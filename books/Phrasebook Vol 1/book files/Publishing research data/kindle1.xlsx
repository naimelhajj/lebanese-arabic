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105" windowWidth="12435" windowHeight="8130" firstSheet="3" activeTab="9"/>
  </bookViews>
  <sheets>
    <sheet name="checklist" sheetId="3" r:id="rId1"/>
    <sheet name="Sheet1" sheetId="1" r:id="rId2"/>
    <sheet name="Lebanese Arabic" sheetId="2" r:id="rId3"/>
    <sheet name="keywords" sheetId="4" r:id="rId4"/>
    <sheet name="Before free promo" sheetId="5" r:id="rId5"/>
    <sheet name="Free promo launching" sheetId="6" r:id="rId6"/>
    <sheet name="0.99 promo" sheetId="7" r:id="rId7"/>
    <sheet name="sites alexa" sheetId="8" r:id="rId8"/>
    <sheet name="ads+alexa" sheetId="9" r:id="rId9"/>
    <sheet name="0.99 launching" sheetId="10" r:id="rId10"/>
    <sheet name="reviews" sheetId="11" r:id="rId11"/>
    <sheet name="possible publishers" sheetId="12" r:id="rId12"/>
  </sheets>
  <calcPr calcId="125725"/>
  <fileRecoveryPr repairLoad="1"/>
</workbook>
</file>

<file path=xl/calcChain.xml><?xml version="1.0" encoding="utf-8"?>
<calcChain xmlns="http://schemas.openxmlformats.org/spreadsheetml/2006/main">
  <c r="B6" i="7"/>
  <c r="B3" l="1"/>
  <c r="B2"/>
  <c r="A4" i="6"/>
  <c r="A5"/>
  <c r="A37"/>
  <c r="A34"/>
  <c r="A33"/>
  <c r="A31"/>
  <c r="A30"/>
  <c r="A29"/>
  <c r="A28"/>
  <c r="A27"/>
  <c r="A26"/>
  <c r="A25"/>
  <c r="A24"/>
  <c r="A23"/>
  <c r="A22"/>
  <c r="A21"/>
  <c r="A20"/>
  <c r="A19"/>
  <c r="A18"/>
  <c r="A17"/>
  <c r="A16"/>
  <c r="A15"/>
  <c r="A14"/>
  <c r="A13"/>
  <c r="A12"/>
  <c r="A11"/>
  <c r="A10"/>
  <c r="A9"/>
  <c r="A8"/>
  <c r="A7"/>
  <c r="A6"/>
  <c r="E14" i="4"/>
  <c r="E15" l="1"/>
  <c r="E13"/>
  <c r="E10"/>
  <c r="E9"/>
  <c r="E8"/>
  <c r="E7"/>
  <c r="E5"/>
  <c r="E4"/>
  <c r="E2"/>
  <c r="C37" i="1"/>
  <c r="C36"/>
  <c r="C35"/>
  <c r="C34"/>
  <c r="C33"/>
  <c r="C32"/>
  <c r="C31"/>
  <c r="C30"/>
  <c r="C29"/>
  <c r="C28"/>
  <c r="C27"/>
  <c r="C26"/>
  <c r="C25"/>
  <c r="C24"/>
  <c r="C23"/>
  <c r="C22"/>
  <c r="C21"/>
  <c r="C20"/>
  <c r="C19"/>
  <c r="C18"/>
  <c r="C17"/>
  <c r="C16"/>
  <c r="C15"/>
  <c r="C14"/>
  <c r="C13"/>
  <c r="C12"/>
  <c r="C11"/>
  <c r="C10"/>
  <c r="C9"/>
  <c r="C8"/>
  <c r="C7"/>
  <c r="C6"/>
</calcChain>
</file>

<file path=xl/sharedStrings.xml><?xml version="1.0" encoding="utf-8"?>
<sst xmlns="http://schemas.openxmlformats.org/spreadsheetml/2006/main" count="1371" uniqueCount="654">
  <si>
    <t>New Release</t>
  </si>
  <si>
    <t>http://www.ereaderutopia.com/index.php/author-corner/submit-new-release</t>
  </si>
  <si>
    <t>Before Free Day</t>
  </si>
  <si>
    <t>On Free Day</t>
  </si>
  <si>
    <t>bargainebookhunter.com</t>
  </si>
  <si>
    <t>http://ereadernewstoday.com/ent-free-book-submissions/</t>
  </si>
  <si>
    <t>http://www.pixelofink.com/sfkb/</t>
  </si>
  <si>
    <t>Tweet #WLCFreeToday</t>
  </si>
  <si>
    <t>http://www.ereaderutopia.com/index.php/author-corner/submit-steal</t>
  </si>
  <si>
    <t>http://snickslist.com/books/place-ad/</t>
  </si>
  <si>
    <t>http://indiebookoftheday.com/authors/nominate-your-book/</t>
  </si>
  <si>
    <t>http://indiebookoftheday.com/authors/free-on-kindle-listing/</t>
  </si>
  <si>
    <t>http://www.freebookdude.com/p/list-your-free-book.html?KeepThis=true&amp;TB_iframe=true&amp;height=550&amp;width=1200</t>
  </si>
  <si>
    <t>http://digitalbooktoday.com/12-top-100-submit-your-free-book-to-be-included-on-this-list/</t>
  </si>
  <si>
    <t>http://form.jotformpro.com/form/21078469493969?KeepThis=true&amp;TB_iframe=true&amp;height=550&amp;width=1200</t>
  </si>
  <si>
    <t>http://bookgoodies.com/submit-your-books-for-review/</t>
  </si>
  <si>
    <t>http://kindlebookpromos.luckycinda.com/?page_id=283?KeepThis=true&amp;TB_iframe=true&amp;height=550&amp;width=1200</t>
  </si>
  <si>
    <t>http://ebookshabit.com/for-authors?KeepThis=true&amp;TB_iframe=true&amp;height=550&amp;width=1200</t>
  </si>
  <si>
    <t>http://www.theereadercafe.com/p/authors.html?KeepThis=true&amp;TB_iframe=true&amp;height=550&amp;width=1200</t>
  </si>
  <si>
    <t>http://www.itswritenow.com/submit-your-book/?KeepThis=true&amp;TB_iframe=true&amp;height=550&amp;width=1200</t>
  </si>
  <si>
    <t>http://bookgoodieskids.com/submit-your-free-book-days?KeepThis=true&amp;TB_iframe=true&amp;height=550&amp;width=1200</t>
  </si>
  <si>
    <t>http://ereadergirl.com/submit-your-ebook?KeepThis=true&amp;TB_iframe=true&amp;height=550&amp;width=1200</t>
  </si>
  <si>
    <t>http://greatbooksgreatdeals.wufoo.com/forms/z7x3p3?KeepThis=true&amp;TB_iframe=true&amp;height=550&amp;width=1200</t>
  </si>
  <si>
    <t>http://askdavid.com/free-book-promotion</t>
  </si>
  <si>
    <t>https://www.facebook.com/galleycat/app_362465080506455</t>
  </si>
  <si>
    <t>goodreads</t>
  </si>
  <si>
    <t>http://kindlebookpromos.luckycinda.com/?page_id=5627</t>
  </si>
  <si>
    <t>http://www.authorgraph.com/books/new</t>
  </si>
  <si>
    <t>http://www.kboards.com/index.php/topic,97167.0.html</t>
  </si>
  <si>
    <t>http://www.mobileread.com/forums/forumdisplay.php?f=226</t>
  </si>
  <si>
    <t>Reddit</t>
  </si>
  <si>
    <t>StumbleUpon</t>
  </si>
  <si>
    <t>Delicious</t>
  </si>
  <si>
    <t>digg</t>
  </si>
  <si>
    <t>https://www.facebook.com/groups/215918835174776/</t>
  </si>
  <si>
    <t>https://www.facebook.com/groups/FreeTodayOnAmazon/</t>
  </si>
  <si>
    <t>https://www.facebook.com/groups/126278657527255/</t>
  </si>
  <si>
    <t>https://www.facebook.com/groups/freebkrus/</t>
  </si>
  <si>
    <t>https://www.facebook.com/groups/270558336379692/</t>
  </si>
  <si>
    <t>https://www.facebook.com/groups/341840249197060/</t>
  </si>
  <si>
    <t>https://www.facebook.com/groups/freeebooks/</t>
  </si>
  <si>
    <t>https://www.facebook.com/groups/426282137432533/</t>
  </si>
  <si>
    <t>https://www.facebook.com/groups/1013820968756497/</t>
  </si>
  <si>
    <t>https://www.facebook.com/groups/294455560643884/</t>
  </si>
  <si>
    <t>https://www.facebook.com/groups/370900356880/</t>
  </si>
  <si>
    <t>facebook</t>
  </si>
  <si>
    <t>twitter</t>
  </si>
  <si>
    <t>reviewer email</t>
  </si>
  <si>
    <t>name</t>
  </si>
  <si>
    <t>interest</t>
  </si>
  <si>
    <t>https://www.facebook.com/groups/321795841212633/</t>
  </si>
  <si>
    <t>https://www.facebook.com/groups/poliglotas/</t>
  </si>
  <si>
    <t>https://www.facebook.com/groups/266113890199270/</t>
  </si>
  <si>
    <t>https://www.facebook.com/groups/6271120617/</t>
  </si>
  <si>
    <t>https://www.facebook.com/groups/607421776022883/</t>
  </si>
  <si>
    <t>https://www.facebook.com/groups/765125346839301/</t>
  </si>
  <si>
    <t>https://www.facebook.com/groups/polyglotalgeria/</t>
  </si>
  <si>
    <t>https://www.facebook.com/groups/polyglotclub/</t>
  </si>
  <si>
    <t>https://www.facebook.com/groups/studylebanese/</t>
  </si>
  <si>
    <t>https://www.facebook.com/groups/651985844836847/</t>
  </si>
  <si>
    <t>@LearnLanguagesB</t>
  </si>
  <si>
    <t>@Languages_Speak</t>
  </si>
  <si>
    <t>@lingotweets</t>
  </si>
  <si>
    <t>@MangoLanguages</t>
  </si>
  <si>
    <t>@Learn_chinese09</t>
  </si>
  <si>
    <t>@Livemocha</t>
  </si>
  <si>
    <t>@lnglrn</t>
  </si>
  <si>
    <t>@ForeignLangSolu</t>
  </si>
  <si>
    <t>@foreignlanguage</t>
  </si>
  <si>
    <t>@second_language</t>
  </si>
  <si>
    <t>@everyday_arabic</t>
  </si>
  <si>
    <t>@Arabic_fisal</t>
  </si>
  <si>
    <t>@PolyglotProject</t>
  </si>
  <si>
    <t>@polyglots</t>
  </si>
  <si>
    <t>@jayelldee</t>
  </si>
  <si>
    <t>Joanna</t>
  </si>
  <si>
    <t>yes</t>
  </si>
  <si>
    <t>lizardiharp@earthlink.net</t>
  </si>
  <si>
    <t>Grady</t>
  </si>
  <si>
    <t>one</t>
  </si>
  <si>
    <t>sistercarrie01@gmail.com</t>
  </si>
  <si>
    <t>carrie</t>
  </si>
  <si>
    <t>Bobbiekar@gmail.com</t>
  </si>
  <si>
    <t>bobbie</t>
  </si>
  <si>
    <t>spanish</t>
  </si>
  <si>
    <t>ptcruiser@putermail.com</t>
  </si>
  <si>
    <t>PT cruiser</t>
  </si>
  <si>
    <t>azn.jwmson@gmail.com</t>
  </si>
  <si>
    <t>john</t>
  </si>
  <si>
    <t>bobtobias@verizon.net</t>
  </si>
  <si>
    <t>robert</t>
  </si>
  <si>
    <t>mirasreviews@aol.com</t>
  </si>
  <si>
    <t>mirasreviews</t>
  </si>
  <si>
    <t>zackabroad@hotmail.com</t>
  </si>
  <si>
    <t>zack</t>
  </si>
  <si>
    <t>tomjaeger33@yahoo.com</t>
  </si>
  <si>
    <t>comdet</t>
  </si>
  <si>
    <t>AngelasReviews@gmail.com</t>
  </si>
  <si>
    <t>angela</t>
  </si>
  <si>
    <t>cfamazon@yahoo.com</t>
  </si>
  <si>
    <t>c. hill</t>
  </si>
  <si>
    <t>find_it@savvysleuth.com</t>
  </si>
  <si>
    <t>andrea</t>
  </si>
  <si>
    <t>dlw@trutor.net</t>
  </si>
  <si>
    <t>debbie</t>
  </si>
  <si>
    <t>mystery.reviewer50@gmail.com</t>
  </si>
  <si>
    <t>Mysterious reviewer</t>
  </si>
  <si>
    <t>Biz.TechTidbits@gmail.com</t>
  </si>
  <si>
    <t>KRN@usa.com</t>
  </si>
  <si>
    <t>kimberly</t>
  </si>
  <si>
    <t>info@deeptrancenow.com</t>
  </si>
  <si>
    <t>laura</t>
  </si>
  <si>
    <t>coffeeramblings@hotmail.com</t>
  </si>
  <si>
    <t>billy</t>
  </si>
  <si>
    <t>rileybirder@gmail.com</t>
  </si>
  <si>
    <t>timothy</t>
  </si>
  <si>
    <t>Subscribers1952@comcast.net</t>
  </si>
  <si>
    <t>sheri</t>
  </si>
  <si>
    <t>beckygardensreviews@gmail.com</t>
  </si>
  <si>
    <t>becky</t>
  </si>
  <si>
    <t>diana@buzzardseyeview.com</t>
  </si>
  <si>
    <t>diana</t>
  </si>
  <si>
    <t>32brie@sbcglobal.net</t>
  </si>
  <si>
    <t>gail</t>
  </si>
  <si>
    <t>avidreviewer@hotmail.com</t>
  </si>
  <si>
    <t>mybeeswax</t>
  </si>
  <si>
    <t>titleteacherk5@gmail.com</t>
  </si>
  <si>
    <t>seek felicity</t>
  </si>
  <si>
    <t>amazon@lisashea.com</t>
  </si>
  <si>
    <t>lisa</t>
  </si>
  <si>
    <t>amazonreviews666@gmail.com</t>
  </si>
  <si>
    <t>stephen</t>
  </si>
  <si>
    <t>rayzul14710@yahoo.com</t>
  </si>
  <si>
    <t>zulma</t>
  </si>
  <si>
    <t>drjlmurphy@aol.com</t>
  </si>
  <si>
    <t>frkurt@yahoo.com</t>
  </si>
  <si>
    <t>frkurt</t>
  </si>
  <si>
    <t>crculver@christopherculver.com</t>
  </si>
  <si>
    <t>christopher</t>
  </si>
  <si>
    <t>languages</t>
  </si>
  <si>
    <t>lexanderphd@msn.com</t>
  </si>
  <si>
    <t>richa3@gol.net.gy</t>
  </si>
  <si>
    <t>amanda</t>
  </si>
  <si>
    <t>mannaent@hiwaay.net</t>
  </si>
  <si>
    <t>brian</t>
  </si>
  <si>
    <t>outlawpoet1970@gmail.com</t>
  </si>
  <si>
    <t>outlawpoet</t>
  </si>
  <si>
    <t>omars1234@gmail.com</t>
  </si>
  <si>
    <t>omar</t>
  </si>
  <si>
    <t>khemprof1a@yahoo.com</t>
  </si>
  <si>
    <t>joe</t>
  </si>
  <si>
    <t>ccirish@att.net</t>
  </si>
  <si>
    <t>c. irish</t>
  </si>
  <si>
    <t>rogerbrunyate@gmail.com</t>
  </si>
  <si>
    <t>roger</t>
  </si>
  <si>
    <t>mike@duvernois.org</t>
  </si>
  <si>
    <t>michael</t>
  </si>
  <si>
    <t>Hello,
I am Hiba Najem,
I found your amazon profile on the Top Reviewers page and I noticed that you have written a review of a language learning product. I don't know if this is a topic you are interested in, or it was just this one coincidence. I have recently finished writing and published a Kindle book titled "Lebanese Arabic Phrasebook" and I would be glad to send you a free copy of the book if you are interested in reviewing it.
Of course, even if you don't have enough time to review my book, I will happily send it to you just so you could read it.
Please let me know if you are interested so I could send you the free copy.
Thanks in advance,
Hiba Najem.</t>
  </si>
  <si>
    <t>Email</t>
  </si>
  <si>
    <t>categories</t>
  </si>
  <si>
    <t> Kindle Store &gt; Kindle eBooks &gt; Education &amp; Teaching &gt; Teacher Resources &gt; Education Theory &gt; Non-Formal Education</t>
  </si>
  <si>
    <t>Kindle Store &gt; Kindle eBooks &gt; Education &amp; Teaching &gt; Teacher Resources &gt; Education Theory &gt; Contemporary Methods &gt; Language Experience Approach</t>
  </si>
  <si>
    <t>Kindle Store &gt; Kindle eBooks &gt; Reference &gt; Words, Language &amp; Grammar &gt; Study &amp; Teaching</t>
  </si>
  <si>
    <t>Kindle Store &gt; Kindle eBooks &gt; Education &amp; Teaching &gt; Teacher Resources &gt; Education Theory &gt; Contemporary Methods &gt; Bilingua</t>
  </si>
  <si>
    <t>Kindle Store &gt; Kindle eBooks &gt; Education &amp; Teaching &gt; Teacher Resources &gt; Education Theory &gt; Contemporary Methods &gt; Experimental</t>
  </si>
  <si>
    <t>Kindle Store &gt; Kindle Short Reads &gt; Two hours or more (65-100 pages) &gt; Travel</t>
  </si>
  <si>
    <t>Kindle Store &gt; Kindle eBooks &gt; Reference &gt; Foreign Language Study &amp; Reference &gt; Language Instruction &gt; Arabic</t>
  </si>
  <si>
    <t>Kindle Store &gt; Kindle eBooks &gt; Education &amp; Teaching &gt; Higher &amp; Continuing Education &gt; Adult &amp; Continuing Education</t>
  </si>
  <si>
    <t>Kindle Store &gt; Kindle eBooks &gt; Reference &gt; Foreign Language Study &amp; Reference &gt; Phrasebooks</t>
  </si>
  <si>
    <t>https://docs.google.com/spreadsheet/viewform?formkey=dFEyLTFUSHREd05KaVItaDdUUkVVNGc6MA#gid=0</t>
  </si>
  <si>
    <t>http://www.freebooksy.com/editorial-submissions?KeepThis=true&amp;TB_iframe=true&amp;height=550&amp;width=1200</t>
  </si>
  <si>
    <t>https://docs.google.com/spreadsheet/viewform?formkey=dHI3UVVZdTZkWUo3d2w3aDExbXk5MEE6MQ#gid=0?KeepThis=true&amp;TB_iframe=true&amp;height=550&amp;width=1200</t>
  </si>
  <si>
    <t>before free days</t>
  </si>
  <si>
    <t>reviews</t>
  </si>
  <si>
    <t>free promo kickstart</t>
  </si>
  <si>
    <t>social bookmarking</t>
  </si>
  <si>
    <t>Keywords</t>
  </si>
  <si>
    <t>lebanese arabic</t>
  </si>
  <si>
    <t>lebanese arabic language</t>
  </si>
  <si>
    <t>learn lebanese</t>
  </si>
  <si>
    <t>learn lebanese arabic</t>
  </si>
  <si>
    <t>lebanese language</t>
  </si>
  <si>
    <t>lebanese dialect</t>
  </si>
  <si>
    <t>lebanese dialect book</t>
  </si>
  <si>
    <t>speak lebanese</t>
  </si>
  <si>
    <t>speaking lebanese</t>
  </si>
  <si>
    <t>how to speak lebanese</t>
  </si>
  <si>
    <t>lebanese arabic lesson</t>
  </si>
  <si>
    <t>spoken arabic</t>
  </si>
  <si>
    <t>lebanese arabic phrasebook</t>
  </si>
  <si>
    <t>lebanese phrasebook</t>
  </si>
  <si>
    <t>lebanese arabic book</t>
  </si>
  <si>
    <t>arabic phrase book</t>
  </si>
  <si>
    <t>arabic phrasebook</t>
  </si>
  <si>
    <t>arabic sentences</t>
  </si>
  <si>
    <t>arabic words</t>
  </si>
  <si>
    <t>english arabic phrasebook</t>
  </si>
  <si>
    <t>english to lebanese</t>
  </si>
  <si>
    <t>english to lebanese arabic</t>
  </si>
  <si>
    <t>how to learn lebanese language</t>
  </si>
  <si>
    <t>how to speak lebanese language</t>
  </si>
  <si>
    <t>learn arabic lebanese dialect</t>
  </si>
  <si>
    <t>learn arabic lebanon</t>
  </si>
  <si>
    <t>learn lebanese online</t>
  </si>
  <si>
    <t>learn to speak lebanese arabic</t>
  </si>
  <si>
    <t>learning lebanese arabic online</t>
  </si>
  <si>
    <t>learning lebanese language</t>
  </si>
  <si>
    <t>lebanese arabic alphabet</t>
  </si>
  <si>
    <t>lebanese arabic phrases</t>
  </si>
  <si>
    <t>lebanese arabic translation</t>
  </si>
  <si>
    <t>lebanese arabic vocabulary</t>
  </si>
  <si>
    <t>lebanese books</t>
  </si>
  <si>
    <t>lebanese dialect arabic</t>
  </si>
  <si>
    <t>lebanese language phrases</t>
  </si>
  <si>
    <t>lebanese language translation</t>
  </si>
  <si>
    <t>lebanese phrases</t>
  </si>
  <si>
    <t>lebanon language</t>
  </si>
  <si>
    <t>speak lebanese arabic</t>
  </si>
  <si>
    <t>none</t>
  </si>
  <si>
    <t>books 82000</t>
  </si>
  <si>
    <t>13,0,0</t>
  </si>
  <si>
    <t>1,13,0</t>
  </si>
  <si>
    <t>books 82001</t>
  </si>
  <si>
    <t>keyword</t>
  </si>
  <si>
    <t>search</t>
  </si>
  <si>
    <t>rank</t>
  </si>
  <si>
    <t>levantine arabic</t>
  </si>
  <si>
    <t>0,0,8</t>
  </si>
  <si>
    <t>price</t>
  </si>
  <si>
    <t>7,0,0</t>
  </si>
  <si>
    <t>4,5,4,2</t>
  </si>
  <si>
    <t>0,0,0</t>
  </si>
  <si>
    <t>0,0</t>
  </si>
  <si>
    <t>0,7,5</t>
  </si>
  <si>
    <t>arabic phrases</t>
  </si>
  <si>
    <t>4,1,3</t>
  </si>
  <si>
    <t>4,1,2</t>
  </si>
  <si>
    <t>Lebanese Arabic Phrasebook Vol. 1: An effective way to learn lebanese through practical sentences, puzzles and videos</t>
  </si>
  <si>
    <t>Lebanese Arabic Phrasebook Vol. 1: Part of the Lebanese Arabic Youtube channel "hiibanajem"</t>
  </si>
  <si>
    <t>Before Publishing</t>
  </si>
  <si>
    <t>keyword research</t>
  </si>
  <si>
    <t>Title</t>
  </si>
  <si>
    <t>Sub-title</t>
  </si>
  <si>
    <t>Cover</t>
  </si>
  <si>
    <t>Categories</t>
  </si>
  <si>
    <t>Description</t>
  </si>
  <si>
    <t>Amazon HTML</t>
  </si>
  <si>
    <t>Customer Review</t>
  </si>
  <si>
    <t>Editorial Review</t>
  </si>
  <si>
    <t>Publishing</t>
  </si>
  <si>
    <t>after free</t>
  </si>
  <si>
    <t>Thursday</t>
  </si>
  <si>
    <t>2 weeks minimum</t>
  </si>
  <si>
    <t>right after</t>
  </si>
  <si>
    <t>before the end of free promos</t>
  </si>
  <si>
    <t>facebook groups</t>
  </si>
  <si>
    <t>facebook page</t>
  </si>
  <si>
    <t>video</t>
  </si>
  <si>
    <t>kindle promo sites</t>
  </si>
  <si>
    <t>awsomegang.com</t>
  </si>
  <si>
    <t>bookbub.com</t>
  </si>
  <si>
    <t>bookgoodies.com</t>
  </si>
  <si>
    <t>dailyfreebooks.com</t>
  </si>
  <si>
    <t>ereaderlove.com</t>
  </si>
  <si>
    <t>fkbooksandtips.com</t>
  </si>
  <si>
    <t>freedigitalreads.com</t>
  </si>
  <si>
    <t>kindlebookpromos.luckycinda.com</t>
  </si>
  <si>
    <t>kindlenationdaily.com</t>
  </si>
  <si>
    <t>pixelscroll.com</t>
  </si>
  <si>
    <t>theereadercafe.com</t>
  </si>
  <si>
    <t>thekindlebookreview.net</t>
  </si>
  <si>
    <t>vesselproject.com</t>
  </si>
  <si>
    <t>worldliterarycafe.com</t>
  </si>
  <si>
    <t>0.99 promo until it peaks 2-3 days</t>
  </si>
  <si>
    <t>competition</t>
  </si>
  <si>
    <t>Promo Sites</t>
  </si>
  <si>
    <t>Customer Reviews</t>
  </si>
  <si>
    <t>Twitter</t>
  </si>
  <si>
    <t>Account</t>
  </si>
  <si>
    <t>tweet</t>
  </si>
  <si>
    <t>Social Bookmarking</t>
  </si>
  <si>
    <t>Facebook groups</t>
  </si>
  <si>
    <t>FB page</t>
  </si>
  <si>
    <t>YT Video</t>
  </si>
  <si>
    <t>adwords</t>
  </si>
  <si>
    <t>instructable</t>
  </si>
  <si>
    <t>wonderhowto</t>
  </si>
  <si>
    <t>reddit</t>
  </si>
  <si>
    <t>blogger</t>
  </si>
  <si>
    <t>g+</t>
  </si>
  <si>
    <t>Promo sites</t>
  </si>
  <si>
    <t>@kindlestuff</t>
  </si>
  <si>
    <t>@kindlenews</t>
  </si>
  <si>
    <t>@ebook</t>
  </si>
  <si>
    <t>@Kindle_promo</t>
  </si>
  <si>
    <t>YT video</t>
  </si>
  <si>
    <t>promo sites</t>
  </si>
  <si>
    <t>@speaklanguages</t>
  </si>
  <si>
    <t>@learnlanguages9</t>
  </si>
  <si>
    <t>@FreeKindleDaily</t>
  </si>
  <si>
    <t>@KindleFreeReads</t>
  </si>
  <si>
    <t>@KindleFreeOne</t>
  </si>
  <si>
    <t>@MadKindlePromos</t>
  </si>
  <si>
    <t>@IAN_AuthorPromo</t>
  </si>
  <si>
    <t>@PromoKindle</t>
  </si>
  <si>
    <t>Lebanese Arabic Phrasebook Vol. 1: Learn Lebanese and Speak Like Natives</t>
  </si>
  <si>
    <t>http://www.thatbookplace.com/free-promo-submissions/</t>
  </si>
  <si>
    <t>http://awsomegang.com/submit-you-book/</t>
  </si>
  <si>
    <t>http://thefrugalereader.wufoo.com/forms/frugal-freebie-submissions/</t>
  </si>
  <si>
    <t>http://freebookshub.com/authors/</t>
  </si>
  <si>
    <t>http://ebooksfreedaily.com/?page_id=16</t>
  </si>
  <si>
    <t>http://ebooklister.net/submit.php</t>
  </si>
  <si>
    <t>http://www.frugal-freebies.com/p/submit-freebie.html</t>
  </si>
  <si>
    <t>http://onehundredfreebooks.com/contact.html</t>
  </si>
  <si>
    <t>http://www.kindlemojo.com/contact-info/</t>
  </si>
  <si>
    <t>http://www.centsibleereads.com/p/for-authors.html</t>
  </si>
  <si>
    <t>http://www.freebookclub.org/kindle-books/book-submissions/</t>
  </si>
  <si>
    <t>http://addictedtoebooks.com/free</t>
  </si>
  <si>
    <t>http://www.daily-free-ebooks.com/suggest-free-ebook</t>
  </si>
  <si>
    <t>review request</t>
  </si>
  <si>
    <t>email list giveaway</t>
  </si>
  <si>
    <t>Lebanese Arabic Phrasebook Vol. 1: Over 300 Lebanese Arabic phrases and videos for great efficiency</t>
  </si>
  <si>
    <t>Lebanese Arabic Phrasebook Vol. 1: Learn Lebanese efficiently through phrases and accompanying videos</t>
  </si>
  <si>
    <t>Lebanese Arabic Phrasebook Vol. 1: Over 300 Lebanese Arabic phrases with accompanying videos</t>
  </si>
  <si>
    <t>A very practical way to learn Lebanese</t>
  </si>
  <si>
    <t>This is a Lebanese Arabic phrasebook, in a sense that it is designed to both:</t>
  </si>
  <si>
    <r>
      <t xml:space="preserve">1- Give you all you need to know to </t>
    </r>
    <r>
      <rPr>
        <b/>
        <sz val="11"/>
        <color theme="1"/>
        <rFont val="Calibri"/>
        <family val="2"/>
        <scheme val="minor"/>
      </rPr>
      <t>get by speaking Lebanese when travelling to Lebanon</t>
    </r>
  </si>
  <si>
    <r>
      <t xml:space="preserve">2- Offer you a </t>
    </r>
    <r>
      <rPr>
        <b/>
        <sz val="11"/>
        <color theme="1"/>
        <rFont val="Calibri"/>
        <family val="2"/>
        <scheme val="minor"/>
      </rPr>
      <t>very practical and easy way of learning the dialect</t>
    </r>
  </si>
  <si>
    <t>Method found to be very efficient by students</t>
  </si>
  <si>
    <t>The method and phrases used in this book have been developing since 2011 through my teachings of the Lebanese dialect through video lessons on youtube, as well as private lessons on skype.</t>
  </si>
  <si>
    <t>They have been tweaked and are constantly evolving through the feedback of the students, focusing on what they find to be useful and efficient.</t>
  </si>
  <si>
    <t>Every phrase is linked to a video so you could perfect the pronunciation.</t>
  </si>
  <si>
    <t>Translation and Transliteration</t>
  </si>
  <si>
    <t>Each English phrase is translated to Lebanese using the Arabic alphabet for those who are Arabic literate, and then in its turn transliterated to the Latin alphabet for those who aren’t.</t>
  </si>
  <si>
    <t>Exercises and Puzzles</t>
  </si>
  <si>
    <r>
      <t xml:space="preserve">In order to help you master the material, there are exercises and puzzle at the end of the book, such as </t>
    </r>
    <r>
      <rPr>
        <b/>
        <sz val="11"/>
        <color theme="1"/>
        <rFont val="Calibri"/>
        <family val="2"/>
        <scheme val="minor"/>
      </rPr>
      <t>crosswords and word search</t>
    </r>
    <r>
      <rPr>
        <sz val="11"/>
        <color theme="1"/>
        <rFont val="Calibri"/>
        <family val="2"/>
        <scheme val="minor"/>
      </rPr>
      <t>.</t>
    </r>
  </si>
  <si>
    <r>
      <t xml:space="preserve">The most important aspect of learning a new language is to hear it being spoken by natives. Especially since Lebanese is considered as "spoken Arabic". That is why the advantage of this book is that </t>
    </r>
    <r>
      <rPr>
        <b/>
        <sz val="11"/>
        <color theme="1"/>
        <rFont val="Calibri"/>
        <family val="2"/>
        <scheme val="minor"/>
      </rPr>
      <t>EVERY word and sentence used, is linked to the video in which it was taught, so you can hear it, and try to master the pronunciation.</t>
    </r>
  </si>
  <si>
    <t>Sent?</t>
  </si>
  <si>
    <t>approach</t>
  </si>
  <si>
    <t>book</t>
  </si>
  <si>
    <t>replied</t>
  </si>
  <si>
    <t>andre</t>
  </si>
  <si>
    <t>free</t>
  </si>
  <si>
    <t>bought</t>
  </si>
  <si>
    <t>Review</t>
  </si>
  <si>
    <t>Site</t>
  </si>
  <si>
    <t>Submitted</t>
  </si>
  <si>
    <t>both</t>
  </si>
  <si>
    <t>http://bargainbooksy.com/for-authors?utm_campaign=editorial-submissions&amp;utm_source=Freebooksy&amp;utm_medium=referral</t>
  </si>
  <si>
    <t>sale</t>
  </si>
  <si>
    <t>http://ereaderutopia.com/author/submissions</t>
  </si>
  <si>
    <t>N/A</t>
  </si>
  <si>
    <t xml:space="preserve">bookbub.com  </t>
  </si>
  <si>
    <t xml:space="preserve">jotformpro.com  </t>
  </si>
  <si>
    <t xml:space="preserve">kindlenationdaily.com  </t>
  </si>
  <si>
    <t xml:space="preserve">askdavid.com  </t>
  </si>
  <si>
    <t xml:space="preserve">indiebookoftheday.com  </t>
  </si>
  <si>
    <t xml:space="preserve">pixelofink.com  </t>
  </si>
  <si>
    <t xml:space="preserve">itswritenow.com  </t>
  </si>
  <si>
    <t xml:space="preserve">bookgoodies.com  </t>
  </si>
  <si>
    <t xml:space="preserve">freebooksy.com  </t>
  </si>
  <si>
    <t xml:space="preserve">worldliterarycafe.com  </t>
  </si>
  <si>
    <t xml:space="preserve">ereadernewstoday.com  </t>
  </si>
  <si>
    <t xml:space="preserve">dailyfreebooks.com  </t>
  </si>
  <si>
    <t xml:space="preserve">digitalbooktoday.com  </t>
  </si>
  <si>
    <t xml:space="preserve">vesselproject.com  </t>
  </si>
  <si>
    <t xml:space="preserve">fkbooksandtips.com  </t>
  </si>
  <si>
    <t xml:space="preserve">authorgraph.com  </t>
  </si>
  <si>
    <t xml:space="preserve">ebookshabit.com  </t>
  </si>
  <si>
    <t xml:space="preserve">thekindlebookreview.net  </t>
  </si>
  <si>
    <t xml:space="preserve">addictedtoebooks.com  </t>
  </si>
  <si>
    <t xml:space="preserve">frugal-freebies.com  </t>
  </si>
  <si>
    <t xml:space="preserve">ereaderlove.com  </t>
  </si>
  <si>
    <t xml:space="preserve">ereadergirl.com  </t>
  </si>
  <si>
    <t xml:space="preserve">freebookdude.com  </t>
  </si>
  <si>
    <t xml:space="preserve">kindlemojo.com  </t>
  </si>
  <si>
    <t xml:space="preserve">theereadercafe.com  </t>
  </si>
  <si>
    <t xml:space="preserve">luckycinda.com  </t>
  </si>
  <si>
    <t xml:space="preserve">ebooklister.net  </t>
  </si>
  <si>
    <t xml:space="preserve">bargainebookhunter.com  </t>
  </si>
  <si>
    <t xml:space="preserve">bargainbooksy.com  </t>
  </si>
  <si>
    <t xml:space="preserve">freebookshub.com  </t>
  </si>
  <si>
    <t xml:space="preserve">freedigitalreads.com  </t>
  </si>
  <si>
    <t xml:space="preserve">ereaderutopia.com  </t>
  </si>
  <si>
    <t xml:space="preserve">pixelscroll.com  </t>
  </si>
  <si>
    <t xml:space="preserve">daily-free-ebooks.com  </t>
  </si>
  <si>
    <t xml:space="preserve">ebooksfreedaily.com  </t>
  </si>
  <si>
    <t xml:space="preserve">bookgoodieskids.com  </t>
  </si>
  <si>
    <t xml:space="preserve">centsibleereads.com  </t>
  </si>
  <si>
    <t xml:space="preserve">freebookclub.org  </t>
  </si>
  <si>
    <t xml:space="preserve">onehundredfreebooks.com  </t>
  </si>
  <si>
    <t>x</t>
  </si>
  <si>
    <t>18+ reviews 4+ stars</t>
  </si>
  <si>
    <t>both+review</t>
  </si>
  <si>
    <t>authormarketingclub.com</t>
  </si>
  <si>
    <t>https://docs.google.com/forms/d/1DlL2gaFaDtcTbjZSTE-zsGD4HOvHRccShMyycCgqfGs/viewform</t>
  </si>
  <si>
    <t>http://www.ereaderperks.com/authors/</t>
  </si>
  <si>
    <t>http://freediscountedbooks.com/submit/</t>
  </si>
  <si>
    <t>http://bookpraiser.com/submit-book/</t>
  </si>
  <si>
    <t>http://igniteyourbook.com/free-ebook-submission/</t>
  </si>
  <si>
    <t>http://www.orangeberrybooktours.com/free-me</t>
  </si>
  <si>
    <t>http://jungledealsandsteals.com/submit-your-kindle-freebie/</t>
  </si>
  <si>
    <t>http://storyfinds.com/promotions-for-authors</t>
  </si>
  <si>
    <t>http://readingdeals.com/submit-ebook</t>
  </si>
  <si>
    <t>http://listmyebook.com/list-your-free-or-discounted-book.html</t>
  </si>
  <si>
    <t>alexanderphd@msn.com</t>
  </si>
  <si>
    <t>no</t>
  </si>
  <si>
    <t>ebooknewsca@gmail.com</t>
  </si>
  <si>
    <t>Carrie</t>
  </si>
  <si>
    <t>KBR</t>
  </si>
  <si>
    <t>mommajacques@gmail.com</t>
  </si>
  <si>
    <t>Kathy</t>
  </si>
  <si>
    <t>jewltone@gmail.com</t>
  </si>
  <si>
    <t>Deena</t>
  </si>
  <si>
    <t>mrsbrinius@comcast.net</t>
  </si>
  <si>
    <t>Vicki</t>
  </si>
  <si>
    <t>oleoghain@aol.com</t>
  </si>
  <si>
    <t>leila</t>
  </si>
  <si>
    <t>http://www.freeebooksdaily.com/p/promote-your-free-book.html</t>
  </si>
  <si>
    <t>http://everywritersresource.com/selfpublished/submit-your-book/</t>
  </si>
  <si>
    <t>ereaderiq.com  </t>
  </si>
  <si>
    <t>ereaderperks.com  </t>
  </si>
  <si>
    <t>freediscountedbooks.com  </t>
  </si>
  <si>
    <t>bookpraiser.com  </t>
  </si>
  <si>
    <t>igniteyourbook.com  </t>
  </si>
  <si>
    <t>jungledealsandsteals.com  </t>
  </si>
  <si>
    <t>storyfinds.com  </t>
  </si>
  <si>
    <t>readingdeals.com  </t>
  </si>
  <si>
    <t>listmyebook.com  </t>
  </si>
  <si>
    <t>freeebooksdaily.com  </t>
  </si>
  <si>
    <t>everywritersresource.com  </t>
  </si>
  <si>
    <t>awesomegang.com</t>
  </si>
  <si>
    <t>site</t>
  </si>
  <si>
    <t>https://www.free-ebooks.net/submit-ebook</t>
  </si>
  <si>
    <t>free-ebooks.net</t>
  </si>
  <si>
    <t>http://www.armadilloebooks.com/submit-free-ebooks/</t>
  </si>
  <si>
    <t>http://www.bestebooksfree.com/Authors-eBook-Promotion.shtml</t>
  </si>
  <si>
    <t>http://bookangel.co.uk/submit-your-book/</t>
  </si>
  <si>
    <t>http://bookdealhunter.com/submit-free-book/</t>
  </si>
  <si>
    <t>http://bookfreebies.com/services.php</t>
  </si>
  <si>
    <t>http://bookpinning.com/?sws=home/submit-book</t>
  </si>
  <si>
    <t>http://www.booklybooks.com/</t>
  </si>
  <si>
    <t>http://contentmo.com/submit-your-free-ebook-promo</t>
  </si>
  <si>
    <t>http://digitalinktoday.com/</t>
  </si>
  <si>
    <t>http://www.freebooks.com/submit</t>
  </si>
  <si>
    <t>http://www.free-kindle-books-4u.com/promote-your-book/</t>
  </si>
  <si>
    <t>http://www.freestufftimes.com/about-the-site</t>
  </si>
  <si>
    <t>http://freebies4mom.com/share-free-ebooks-with-freebies-4-mom/</t>
  </si>
  <si>
    <t>http://www.getfreebooks.org/contact/</t>
  </si>
  <si>
    <t>http://dealseekingmom.com/about/contact/</t>
  </si>
  <si>
    <t>http://indiebookpromo.com/</t>
  </si>
  <si>
    <t>http://hunt4freebies.com/submit-freebie</t>
  </si>
  <si>
    <t>http://www.iloveebooks.com/for-authors.html</t>
  </si>
  <si>
    <t>https://docs.google.com/spreadsheet/embeddedform?formkey=dFp6S0QxdjdlZ2tycUVBRVhpR29JekE6MQ</t>
  </si>
  <si>
    <t>http://www.readinghud.com/p/book-submission.html</t>
  </si>
  <si>
    <t>http://www.pennypinchinmom.com/contact-me/</t>
  </si>
  <si>
    <t>https://docs.google.com/spreadsheet/embeddedform?formkey=dC1PcUFvVlZiV25lcjYtZzhtNzNQQnc6MQ</t>
  </si>
  <si>
    <t>armadilloebooks.com  </t>
  </si>
  <si>
    <t>bestebooksfree.com  </t>
  </si>
  <si>
    <t>bookangel.co.uk  </t>
  </si>
  <si>
    <t>bookdealhunter.com  </t>
  </si>
  <si>
    <t>bookfreebies.com  </t>
  </si>
  <si>
    <t>bookpinning.com  </t>
  </si>
  <si>
    <t>booklybooks.com  </t>
  </si>
  <si>
    <t>contentmo.com  </t>
  </si>
  <si>
    <t>digitalinktoday.com  </t>
  </si>
  <si>
    <t>ebookdealofday.com  </t>
  </si>
  <si>
    <t>freebooks.com  </t>
  </si>
  <si>
    <t>freeebooksblog.com  </t>
  </si>
  <si>
    <t>free-kindle-books-4u.com  </t>
  </si>
  <si>
    <t>freestufftimes.com  </t>
  </si>
  <si>
    <t>freebies4mom.com  </t>
  </si>
  <si>
    <t>getfreebooks.org  </t>
  </si>
  <si>
    <t>dealseekingmom.com  </t>
  </si>
  <si>
    <t>indiebookpromo.com  </t>
  </si>
  <si>
    <t>hunt4freebies.com  </t>
  </si>
  <si>
    <t>iloveebooks.com  </t>
  </si>
  <si>
    <t>readinghud.com  </t>
  </si>
  <si>
    <t>pennypinchinmom.com  </t>
  </si>
  <si>
    <t>thatbookplace.com  </t>
  </si>
  <si>
    <t>yourdailyebooks.com  </t>
  </si>
  <si>
    <t>Arabic</t>
  </si>
  <si>
    <t>Linda</t>
  </si>
  <si>
    <t>rices101@yahoo.com</t>
  </si>
  <si>
    <t>emblaisdell@gmail.com</t>
  </si>
  <si>
    <t>-</t>
  </si>
  <si>
    <t>kaptain_krispy@yahoo.com</t>
  </si>
  <si>
    <t>sparky_magic_rainbow</t>
  </si>
  <si>
    <t>essorant@hotmail.com</t>
  </si>
  <si>
    <t>Kevin</t>
  </si>
  <si>
    <t>philipparth@yahoo.con</t>
  </si>
  <si>
    <t>barhayim</t>
  </si>
  <si>
    <t>mikerdna@hotmail.com</t>
  </si>
  <si>
    <t>joyce.akesson@icloud.com</t>
  </si>
  <si>
    <t>Joyce</t>
  </si>
  <si>
    <t>amymuniz417@yahoo.com</t>
  </si>
  <si>
    <t>Amy</t>
  </si>
  <si>
    <t>3+ reviews</t>
  </si>
  <si>
    <t>180$</t>
  </si>
  <si>
    <t>8+ reviews 4+stars</t>
  </si>
  <si>
    <t>29.99$</t>
  </si>
  <si>
    <t>bigots!</t>
  </si>
  <si>
    <t>http://www.worldliterarycafe.com/content/indie-kindle</t>
  </si>
  <si>
    <t>https://www.goodreads.com/group/show/83561-bargain-basement</t>
  </si>
  <si>
    <t>Reviews</t>
  </si>
  <si>
    <t>Top reviewer google</t>
  </si>
  <si>
    <t>https://www.thekindlebookreview.net/book-reviews/</t>
  </si>
  <si>
    <t>http://www.theindieview.com/indie-reviewers/</t>
  </si>
  <si>
    <t>offthebookblog@gmail.com</t>
  </si>
  <si>
    <t>atmadunes@aol.com</t>
  </si>
  <si>
    <t> doodlesdoodleseverywhere@gmail.com</t>
  </si>
  <si>
    <t>misanthropicreader@outlook.com</t>
  </si>
  <si>
    <t>http://girlandkindlebookpromos.blogspot.com/p/services.html</t>
  </si>
  <si>
    <t>http://www.emptymirrorbooks.com/publishing/10-ways-to-find-reviewers-for-your-self-published-book.html</t>
  </si>
  <si>
    <t>8$</t>
  </si>
  <si>
    <t>5+ reviews</t>
  </si>
  <si>
    <t>free check</t>
  </si>
  <si>
    <t>25$</t>
  </si>
  <si>
    <t>http://bookpraiser.com/freesitespromotion/</t>
  </si>
  <si>
    <t>20$</t>
  </si>
  <si>
    <t>now sale</t>
  </si>
  <si>
    <t>now</t>
  </si>
  <si>
    <t>10+ reviews 4+ stars</t>
  </si>
  <si>
    <t>http://www.trainingauthors.com/bookmarketing/</t>
  </si>
  <si>
    <t>1.8$</t>
  </si>
  <si>
    <t>lisa.alhashimi@gmail.com</t>
  </si>
  <si>
    <t>J. Al-hashimi</t>
  </si>
  <si>
    <t>dheagle93@gmail.com</t>
  </si>
  <si>
    <t>Doug</t>
  </si>
  <si>
    <t>raspell38120@comcast.net</t>
  </si>
  <si>
    <t>R. Spell</t>
  </si>
  <si>
    <t>jeffxlippincott@jlippin.com</t>
  </si>
  <si>
    <t>Jeff</t>
  </si>
  <si>
    <t>me@dustywhite.net</t>
  </si>
  <si>
    <t>dusty white</t>
  </si>
  <si>
    <t>tanager@manistee.com</t>
  </si>
  <si>
    <t>Brian</t>
  </si>
  <si>
    <t>http://www.daveenglish.com/asstd/maildave.html</t>
  </si>
  <si>
    <t>dave</t>
  </si>
  <si>
    <t>Ivy@IvyReisner.com</t>
  </si>
  <si>
    <t>Ivy</t>
  </si>
  <si>
    <t>@kindlestuffs</t>
  </si>
  <si>
    <t>Youtube Channel hiibanajem's new book: Lebanese Arabic Phrasebook on sale now http://amzn.to/1oK5Qmr #WLCAuthor #arabic</t>
  </si>
  <si>
    <t>New Release: Lebanese Arabic Phrasebook on sale now http://amzn.to/1oK5Qmr @KindleFreeReads</t>
  </si>
  <si>
    <t>eddie@compulearning.co.za</t>
  </si>
  <si>
    <t>Eddie</t>
  </si>
  <si>
    <t>anything</t>
  </si>
  <si>
    <t>gary.dale@cearley.net</t>
  </si>
  <si>
    <t>Gary</t>
  </si>
  <si>
    <t>christianbruck@yahoo.com</t>
  </si>
  <si>
    <t>christian</t>
  </si>
  <si>
    <t>lminervino@hotmail.com</t>
  </si>
  <si>
    <t>loves the view</t>
  </si>
  <si>
    <t>gcorey@neo.rr.com</t>
  </si>
  <si>
    <t>Glenn</t>
  </si>
  <si>
    <t>hcota@webtv.net</t>
  </si>
  <si>
    <t>takingadayoff</t>
  </si>
  <si>
    <t>robhardy3@gmail.com</t>
  </si>
  <si>
    <t>R. Hardy</t>
  </si>
  <si>
    <t>contact@alexstrick.com</t>
  </si>
  <si>
    <t>alex</t>
  </si>
  <si>
    <t>callahan.brian@gmail.com</t>
  </si>
  <si>
    <t>http://kieranmaynard.com/contact/</t>
  </si>
  <si>
    <t>kieran</t>
  </si>
  <si>
    <t>eric@CompellingConversations.com</t>
  </si>
  <si>
    <t>eric</t>
  </si>
  <si>
    <t>52@claudiosantori.it</t>
  </si>
  <si>
    <t>claudio</t>
  </si>
  <si>
    <t>email list</t>
  </si>
  <si>
    <t>video post</t>
  </si>
  <si>
    <t>book post</t>
  </si>
  <si>
    <t>A Lebanese Arabic phrasebook for FREE! I don't know why it's free, but who cares :) http://amzn.to/1qWrPtn @Livemocha</t>
  </si>
  <si>
    <t>#languages</t>
  </si>
  <si>
    <t>#languagelearning</t>
  </si>
  <si>
    <t>#polyglot</t>
  </si>
  <si>
    <t>amzn.to/1BeOYtp</t>
  </si>
  <si>
    <t>New Release "Lebanese Arabic Phrasebook" Now for FREE amzn.to/1BeOYtp @FreeKindleDaily #polyglot</t>
  </si>
  <si>
    <t>Giving away my New Lebanese Arabic Phrasebook for FREE amzn.to/1BeOYtp</t>
  </si>
  <si>
    <t>#freebook</t>
  </si>
  <si>
    <t>#authorRT</t>
  </si>
  <si>
    <t>#asmsg</t>
  </si>
  <si>
    <t>#IARTG</t>
  </si>
  <si>
    <t>#WLCauthor</t>
  </si>
  <si>
    <t>#freeebook</t>
  </si>
  <si>
    <t>#freereads</t>
  </si>
  <si>
    <t>#pricedrop</t>
  </si>
  <si>
    <t>#bookboost</t>
  </si>
  <si>
    <t>#bookplugs</t>
  </si>
  <si>
    <t>#beezeebooks</t>
  </si>
  <si>
    <t>@WritersRT</t>
  </si>
  <si>
    <t>Our Lebanese Arabic Phrasebook will be #FREE until the 18th of August. Enjoy! :) amzn.to/1BeOYtp</t>
  </si>
  <si>
    <t>https://www.goodreads.com/group/show/68798-free-kindle-ebooks</t>
  </si>
  <si>
    <t>https://www.goodreads.com/group/show/51445-uk-amazon-kindle-forum</t>
  </si>
  <si>
    <t>If anyone is interested in ever learning #LebaneseArabic, get this phrasebook while it's #free amzn.to/1BeOYtp</t>
  </si>
  <si>
    <t>Grab your free copy of the Arabic Phrasebook by @LebaneseArabic at http://amzn.to/1BeOYtp . Valid till Aug 18. Pls RT</t>
  </si>
  <si>
    <t>Day 1 of the 5-day-sale is about to end. Grab a #free copy of the Lebanese Phrasebook before the 18th amzn.to/1BeOYtp</t>
  </si>
  <si>
    <t>#FREE Lebanese Arabic Phrasebook: An effective way to learn Lebanese through practical sentences, puzzles &amp; videos amzn.to/1BeOYtp</t>
  </si>
  <si>
    <t>Hi polyglots, don't forget that my Lebanese Phrasebook is Free until Monday. Hurry up and get it at  amzn.to/1BeOYtp</t>
  </si>
  <si>
    <t>http://www.booksends.com/advertise.php</t>
  </si>
  <si>
    <t>#WFGR</t>
  </si>
  <si>
    <t>#FreeKindleBooks,#ibook</t>
  </si>
  <si>
    <t>#free #kindle</t>
  </si>
  <si>
    <t>#freekindlebooks #freeebooks #free</t>
  </si>
  <si>
    <t>#ShareTheFree #FreeKindleBooks #Freebies #Kindle</t>
  </si>
  <si>
    <t>#WLCAuthor #amreading</t>
  </si>
  <si>
    <t>#IAN1 #iartg #amwriting</t>
  </si>
  <si>
    <t>Lebanese Arabic Phrasebook Vol. 1 amzn.to/1BeOYtp</t>
  </si>
  <si>
    <t>2 more FREE days: Lebanese Arabic Phrasebook amzn.to/1BeOYtp</t>
  </si>
  <si>
    <t>Our Phrasebook is now #1Bestseller in the free "Phrasebooks" Category! Thx everyone and don't forget to grab your copy amzn.to/1BeOYtp</t>
  </si>
  <si>
    <t>Last FREE day: Lebanese Arabic Phrasebook by @LebaneseArabic amzn.to/1BeOYtp</t>
  </si>
  <si>
    <t xml:space="preserve">Book Bub		</t>
  </si>
  <si>
    <t xml:space="preserve">Ereader	News	Today	</t>
  </si>
  <si>
    <t xml:space="preserve">Many	Books		</t>
  </si>
  <si>
    <t xml:space="preserve">Kindle	Nation	Daily	</t>
  </si>
  <si>
    <t>The	Kindle	Book	Review</t>
  </si>
  <si>
    <t xml:space="preserve">Get	Free	Ebooks	</t>
  </si>
  <si>
    <t xml:space="preserve">Author	Marketing	Club	</t>
  </si>
  <si>
    <t xml:space="preserve">Obooko			</t>
  </si>
  <si>
    <t xml:space="preserve">Book	Daily		</t>
  </si>
  <si>
    <t xml:space="preserve">Bargain	eBook	Hunter	</t>
  </si>
  <si>
    <t xml:space="preserve">Book	Goodies		</t>
  </si>
  <si>
    <t xml:space="preserve">Awesome	Gang		</t>
  </si>
  <si>
    <t>The	Independent	Author	Network</t>
  </si>
  <si>
    <t xml:space="preserve">Kindle	Book	Promos	</t>
  </si>
  <si>
    <t xml:space="preserve">Book	Tweeting	Service	</t>
  </si>
  <si>
    <t xml:space="preserve">GoodKindles			</t>
  </si>
  <si>
    <t xml:space="preserve">Daily	Free	eBooks	</t>
  </si>
  <si>
    <t xml:space="preserve">The	Women’s	Nest	</t>
  </si>
  <si>
    <t xml:space="preserve">StoryFinds			</t>
  </si>
  <si>
    <t xml:space="preserve">Bibliotastic			</t>
  </si>
  <si>
    <t xml:space="preserve">Book	Deal	Hunter	</t>
  </si>
  <si>
    <t xml:space="preserve">Kufads			</t>
  </si>
  <si>
    <t xml:space="preserve">Zwoodle	Books		</t>
  </si>
  <si>
    <t>#DISCOUNTED Foreign Language #ebook #IARTG Lebanese Arabic Phrasebook http://amzn.to/1oK5Qmr</t>
  </si>
  <si>
    <t>this is not free</t>
  </si>
  <si>
    <t>http://indiebookoftheday.com/authors/sponsorships/</t>
  </si>
  <si>
    <t>once</t>
  </si>
  <si>
    <t>Dover publications</t>
  </si>
  <si>
    <t>Ulysses Press</t>
  </si>
  <si>
    <t>Penguin Books</t>
  </si>
  <si>
    <t>Chronicle Books</t>
  </si>
  <si>
    <t>Hippocrene Books</t>
  </si>
  <si>
    <t>Follow-up</t>
  </si>
  <si>
    <t>sent</t>
  </si>
  <si>
    <t>don't</t>
  </si>
  <si>
    <t>no time</t>
  </si>
  <si>
    <t>donation</t>
  </si>
  <si>
    <t>rejected</t>
  </si>
  <si>
    <t>yes $20</t>
  </si>
  <si>
    <t>regular price must be 5.99 max</t>
  </si>
  <si>
    <t>contacted</t>
  </si>
  <si>
    <t>http://www.ebookstamp.com/</t>
  </si>
  <si>
    <t>check for contests</t>
  </si>
  <si>
    <t>??</t>
  </si>
</sst>
</file>

<file path=xl/styles.xml><?xml version="1.0" encoding="utf-8"?>
<styleSheet xmlns="http://schemas.openxmlformats.org/spreadsheetml/2006/main">
  <fonts count="7">
    <font>
      <sz val="11"/>
      <color theme="1"/>
      <name val="Calibri"/>
      <family val="2"/>
      <scheme val="minor"/>
    </font>
    <font>
      <u/>
      <sz val="11"/>
      <color theme="10"/>
      <name val="Calibri"/>
      <family val="2"/>
    </font>
    <font>
      <b/>
      <sz val="11"/>
      <color theme="1"/>
      <name val="Calibri"/>
      <family val="2"/>
      <scheme val="minor"/>
    </font>
    <font>
      <b/>
      <sz val="16"/>
      <color rgb="FFF79646"/>
      <name val="Calibri"/>
      <family val="2"/>
      <scheme val="minor"/>
    </font>
    <font>
      <sz val="9"/>
      <color rgb="FF4F4F4F"/>
      <name val="Verdana"/>
      <family val="2"/>
    </font>
    <font>
      <sz val="10"/>
      <color rgb="FF333333"/>
      <name val="Arial"/>
      <family val="2"/>
    </font>
    <font>
      <sz val="10"/>
      <color rgb="FF222222"/>
      <name val="Arial"/>
      <family val="2"/>
    </font>
  </fonts>
  <fills count="12">
    <fill>
      <patternFill patternType="none"/>
    </fill>
    <fill>
      <patternFill patternType="gray125"/>
    </fill>
    <fill>
      <patternFill patternType="solid">
        <fgColor rgb="FFFFC000"/>
        <bgColor indexed="64"/>
      </patternFill>
    </fill>
    <fill>
      <patternFill patternType="solid">
        <fgColor theme="5"/>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rgb="FFFF0000"/>
        <bgColor indexed="64"/>
      </patternFill>
    </fill>
    <fill>
      <patternFill patternType="solid">
        <fgColor rgb="FFFFFF00"/>
        <bgColor indexed="64"/>
      </patternFill>
    </fill>
    <fill>
      <patternFill patternType="solid">
        <fgColor theme="6" tint="0.79998168889431442"/>
        <bgColor indexed="64"/>
      </patternFill>
    </fill>
    <fill>
      <patternFill patternType="solid">
        <fgColor theme="6"/>
        <bgColor indexed="64"/>
      </patternFill>
    </fill>
  </fills>
  <borders count="21">
    <border>
      <left/>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ck">
        <color indexed="64"/>
      </right>
      <top/>
      <bottom/>
      <diagonal/>
    </border>
    <border>
      <left/>
      <right style="thick">
        <color indexed="64"/>
      </right>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bottom/>
      <diagonal/>
    </border>
    <border>
      <left style="thick">
        <color indexed="64"/>
      </left>
      <right/>
      <top/>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alignment vertical="top"/>
      <protection locked="0"/>
    </xf>
  </cellStyleXfs>
  <cellXfs count="89">
    <xf numFmtId="0" fontId="0" fillId="0" borderId="0" xfId="0"/>
    <xf numFmtId="0" fontId="1" fillId="0" borderId="0" xfId="1" applyAlignment="1" applyProtection="1"/>
    <xf numFmtId="0" fontId="0" fillId="0" borderId="1" xfId="0" applyBorder="1"/>
    <xf numFmtId="0" fontId="0" fillId="0" borderId="3" xfId="0" applyBorder="1"/>
    <xf numFmtId="0" fontId="0" fillId="0" borderId="2" xfId="0" applyBorder="1"/>
    <xf numFmtId="0" fontId="0" fillId="0" borderId="5" xfId="0" applyBorder="1"/>
    <xf numFmtId="0" fontId="0" fillId="0" borderId="4" xfId="0" applyBorder="1"/>
    <xf numFmtId="0" fontId="0" fillId="0" borderId="0" xfId="0" applyBorder="1"/>
    <xf numFmtId="0" fontId="0" fillId="0" borderId="0" xfId="0" applyAlignment="1">
      <alignment vertical="top"/>
    </xf>
    <xf numFmtId="0" fontId="1" fillId="0" borderId="4" xfId="1" applyBorder="1" applyAlignment="1" applyProtection="1"/>
    <xf numFmtId="0" fontId="0" fillId="0" borderId="6" xfId="0" applyBorder="1"/>
    <xf numFmtId="0" fontId="2" fillId="0" borderId="7" xfId="0" applyFont="1" applyBorder="1"/>
    <xf numFmtId="0" fontId="0" fillId="0" borderId="8" xfId="0" applyBorder="1"/>
    <xf numFmtId="0" fontId="0" fillId="2" borderId="9" xfId="0" applyNumberFormat="1" applyFill="1" applyBorder="1" applyAlignment="1">
      <alignment wrapText="1"/>
    </xf>
    <xf numFmtId="0" fontId="0" fillId="0" borderId="9" xfId="0" applyNumberFormat="1" applyBorder="1" applyAlignment="1">
      <alignment wrapText="1"/>
    </xf>
    <xf numFmtId="0" fontId="0" fillId="0" borderId="10" xfId="0" applyBorder="1"/>
    <xf numFmtId="0" fontId="2" fillId="0" borderId="7" xfId="0" applyNumberFormat="1" applyFont="1" applyBorder="1" applyAlignment="1">
      <alignment wrapText="1"/>
    </xf>
    <xf numFmtId="0" fontId="0" fillId="0" borderId="9" xfId="0" applyBorder="1"/>
    <xf numFmtId="0" fontId="0" fillId="0" borderId="11" xfId="0" applyBorder="1"/>
    <xf numFmtId="14" fontId="0" fillId="0" borderId="0" xfId="0" applyNumberFormat="1"/>
    <xf numFmtId="3" fontId="0" fillId="0" borderId="0" xfId="0" applyNumberFormat="1"/>
    <xf numFmtId="0" fontId="0" fillId="3" borderId="0" xfId="0" applyFill="1"/>
    <xf numFmtId="0" fontId="0" fillId="4" borderId="0" xfId="0" applyFill="1"/>
    <xf numFmtId="0" fontId="0" fillId="5" borderId="0" xfId="0" applyFill="1"/>
    <xf numFmtId="0" fontId="0" fillId="6" borderId="0" xfId="0" applyFill="1"/>
    <xf numFmtId="0" fontId="2" fillId="0" borderId="13" xfId="0" applyFont="1" applyBorder="1" applyAlignment="1">
      <alignment vertical="center"/>
    </xf>
    <xf numFmtId="0" fontId="0" fillId="0" borderId="0" xfId="0" applyAlignment="1">
      <alignment vertical="center"/>
    </xf>
    <xf numFmtId="0" fontId="0" fillId="0" borderId="12" xfId="0" applyBorder="1" applyAlignment="1">
      <alignment vertical="center"/>
    </xf>
    <xf numFmtId="0" fontId="2" fillId="0" borderId="14" xfId="0" applyFont="1" applyBorder="1" applyAlignment="1">
      <alignment vertical="center"/>
    </xf>
    <xf numFmtId="0" fontId="2" fillId="0" borderId="18" xfId="0" applyFont="1" applyBorder="1" applyAlignment="1">
      <alignment vertical="center"/>
    </xf>
    <xf numFmtId="0" fontId="2" fillId="0" borderId="18" xfId="0" applyFont="1" applyBorder="1" applyAlignment="1">
      <alignment vertical="center" wrapText="1"/>
    </xf>
    <xf numFmtId="0" fontId="2" fillId="0" borderId="18" xfId="0" applyFont="1" applyFill="1" applyBorder="1" applyAlignment="1">
      <alignment vertical="center" wrapText="1"/>
    </xf>
    <xf numFmtId="0" fontId="0" fillId="0" borderId="14" xfId="0" applyBorder="1" applyAlignment="1">
      <alignment vertical="center"/>
    </xf>
    <xf numFmtId="0" fontId="0" fillId="0" borderId="4" xfId="0" applyBorder="1" applyAlignment="1">
      <alignment vertical="center"/>
    </xf>
    <xf numFmtId="0" fontId="0" fillId="0" borderId="4" xfId="0" applyBorder="1" applyAlignment="1">
      <alignment vertical="center" wrapText="1"/>
    </xf>
    <xf numFmtId="0" fontId="0" fillId="0" borderId="2" xfId="0" applyBorder="1" applyAlignment="1">
      <alignment vertical="center"/>
    </xf>
    <xf numFmtId="0" fontId="0" fillId="0" borderId="0" xfId="0" applyBorder="1" applyAlignment="1">
      <alignment vertical="center"/>
    </xf>
    <xf numFmtId="0" fontId="0" fillId="0" borderId="0" xfId="0" applyAlignment="1">
      <alignment vertical="center" wrapText="1"/>
    </xf>
    <xf numFmtId="0" fontId="0" fillId="0" borderId="0" xfId="0" applyAlignment="1"/>
    <xf numFmtId="0" fontId="0" fillId="0" borderId="4" xfId="0" applyBorder="1" applyAlignment="1"/>
    <xf numFmtId="0" fontId="2" fillId="0" borderId="1" xfId="0" applyFont="1" applyBorder="1"/>
    <xf numFmtId="0" fontId="2" fillId="0" borderId="5" xfId="0" applyFont="1" applyBorder="1"/>
    <xf numFmtId="0" fontId="2" fillId="0" borderId="3" xfId="0" applyFont="1" applyBorder="1"/>
    <xf numFmtId="0" fontId="0" fillId="8" borderId="2" xfId="0" applyFill="1" applyBorder="1"/>
    <xf numFmtId="0" fontId="0" fillId="7" borderId="2" xfId="0" applyFill="1" applyBorder="1"/>
    <xf numFmtId="0" fontId="1" fillId="9" borderId="0" xfId="1" applyFill="1" applyAlignment="1" applyProtection="1"/>
    <xf numFmtId="0" fontId="0" fillId="9" borderId="0" xfId="0" applyFill="1"/>
    <xf numFmtId="0" fontId="1" fillId="0" borderId="17" xfId="1" applyBorder="1" applyAlignment="1" applyProtection="1">
      <alignment vertical="center"/>
    </xf>
    <xf numFmtId="0" fontId="1" fillId="0" borderId="18" xfId="1" applyBorder="1" applyAlignment="1" applyProtection="1">
      <alignment vertical="center"/>
    </xf>
    <xf numFmtId="0" fontId="0" fillId="0" borderId="15" xfId="0" applyFill="1" applyBorder="1" applyAlignment="1">
      <alignment vertical="center"/>
    </xf>
    <xf numFmtId="0" fontId="3" fillId="0" borderId="0" xfId="0" applyFont="1"/>
    <xf numFmtId="0" fontId="0" fillId="3" borderId="9" xfId="0" applyNumberFormat="1" applyFill="1" applyBorder="1" applyAlignment="1">
      <alignment wrapText="1"/>
    </xf>
    <xf numFmtId="0" fontId="0" fillId="3" borderId="11" xfId="0" applyNumberFormat="1" applyFill="1" applyBorder="1" applyAlignment="1">
      <alignment wrapText="1"/>
    </xf>
    <xf numFmtId="0" fontId="2" fillId="0" borderId="0" xfId="0" applyFont="1" applyAlignment="1">
      <alignment horizontal="center"/>
    </xf>
    <xf numFmtId="0" fontId="0" fillId="10" borderId="0" xfId="0" applyFill="1"/>
    <xf numFmtId="0" fontId="0" fillId="0" borderId="0" xfId="0" applyFill="1" applyBorder="1" applyAlignment="1"/>
    <xf numFmtId="0" fontId="4" fillId="0" borderId="0" xfId="0" applyFont="1"/>
    <xf numFmtId="0" fontId="0" fillId="10" borderId="0" xfId="0" applyFill="1" applyAlignment="1"/>
    <xf numFmtId="0" fontId="0" fillId="0" borderId="1" xfId="0" applyFill="1" applyBorder="1"/>
    <xf numFmtId="0" fontId="5" fillId="0" borderId="0" xfId="0" applyFont="1"/>
    <xf numFmtId="0" fontId="0" fillId="8" borderId="0" xfId="0" applyFill="1" applyBorder="1"/>
    <xf numFmtId="0" fontId="0" fillId="7" borderId="0" xfId="0" applyFill="1" applyBorder="1"/>
    <xf numFmtId="0" fontId="6" fillId="0" borderId="0" xfId="0" applyFont="1"/>
    <xf numFmtId="0" fontId="0" fillId="11" borderId="2" xfId="0" applyFill="1" applyBorder="1"/>
    <xf numFmtId="0" fontId="0" fillId="11" borderId="4" xfId="0" applyFill="1" applyBorder="1"/>
    <xf numFmtId="0" fontId="0" fillId="11" borderId="4" xfId="0" applyFont="1" applyFill="1" applyBorder="1"/>
    <xf numFmtId="0" fontId="1" fillId="11" borderId="4" xfId="1" applyFill="1" applyBorder="1" applyAlignment="1" applyProtection="1"/>
    <xf numFmtId="0" fontId="2" fillId="3" borderId="2" xfId="0" applyFont="1" applyFill="1" applyBorder="1"/>
    <xf numFmtId="0" fontId="2" fillId="2" borderId="2" xfId="0" applyFont="1" applyFill="1" applyBorder="1"/>
    <xf numFmtId="0" fontId="2" fillId="11" borderId="2" xfId="0" applyFont="1" applyFill="1" applyBorder="1"/>
    <xf numFmtId="0" fontId="2" fillId="8" borderId="2" xfId="0" applyFont="1" applyFill="1" applyBorder="1"/>
    <xf numFmtId="0" fontId="0" fillId="2" borderId="0" xfId="0" applyFill="1"/>
    <xf numFmtId="0" fontId="0" fillId="9" borderId="2" xfId="0" applyFill="1" applyBorder="1"/>
    <xf numFmtId="0" fontId="2" fillId="9" borderId="2" xfId="0" applyFont="1" applyFill="1" applyBorder="1"/>
    <xf numFmtId="0" fontId="2" fillId="7" borderId="2" xfId="0" applyFont="1" applyFill="1" applyBorder="1"/>
    <xf numFmtId="0" fontId="2" fillId="0" borderId="0" xfId="0" applyFont="1" applyAlignment="1">
      <alignment horizontal="center"/>
    </xf>
    <xf numFmtId="0" fontId="0" fillId="0" borderId="2" xfId="0" applyBorder="1" applyAlignment="1"/>
    <xf numFmtId="0" fontId="1" fillId="0" borderId="0" xfId="1" applyBorder="1" applyAlignment="1" applyProtection="1"/>
    <xf numFmtId="0" fontId="0" fillId="0" borderId="0" xfId="0" applyBorder="1" applyAlignment="1"/>
    <xf numFmtId="0" fontId="1" fillId="0" borderId="19" xfId="1" applyBorder="1" applyAlignment="1" applyProtection="1">
      <alignment horizontal="center" vertical="center"/>
    </xf>
    <xf numFmtId="0" fontId="1" fillId="0" borderId="20" xfId="1" applyBorder="1" applyAlignment="1" applyProtection="1">
      <alignment horizontal="center" vertical="center"/>
    </xf>
    <xf numFmtId="0" fontId="0" fillId="0" borderId="16" xfId="0" applyBorder="1" applyAlignment="1">
      <alignment horizontal="center" vertical="center"/>
    </xf>
    <xf numFmtId="0" fontId="0" fillId="0" borderId="0" xfId="0" applyBorder="1" applyAlignment="1">
      <alignment horizontal="center" vertical="center"/>
    </xf>
    <xf numFmtId="0" fontId="0" fillId="0" borderId="0" xfId="0" applyAlignment="1">
      <alignment horizontal="left" vertical="top" wrapText="1"/>
    </xf>
    <xf numFmtId="0" fontId="0" fillId="0" borderId="0" xfId="0" applyAlignment="1">
      <alignment horizontal="left" vertical="top"/>
    </xf>
    <xf numFmtId="0" fontId="2" fillId="0" borderId="0" xfId="0" applyFont="1" applyAlignment="1">
      <alignment horizontal="center"/>
    </xf>
    <xf numFmtId="0" fontId="0" fillId="0" borderId="0" xfId="0" applyAlignment="1">
      <alignment horizontal="center"/>
    </xf>
    <xf numFmtId="0" fontId="2" fillId="0" borderId="1" xfId="0" applyFont="1" applyBorder="1" applyAlignment="1">
      <alignment horizontal="center"/>
    </xf>
    <xf numFmtId="0" fontId="2" fillId="0" borderId="3" xfId="0" applyFont="1" applyBorder="1" applyAlignment="1">
      <alignment horizontal="center"/>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thefrugalereader.wufoo.com/forms/frugal-freebie-submissions/" TargetMode="External"/><Relationship Id="rId13" Type="http://schemas.openxmlformats.org/officeDocument/2006/relationships/hyperlink" Target="http://onehundredfreebooks.com/contact.html" TargetMode="External"/><Relationship Id="rId18" Type="http://schemas.openxmlformats.org/officeDocument/2006/relationships/hyperlink" Target="http://www.daily-free-ebooks.com/suggest-free-ebook" TargetMode="External"/><Relationship Id="rId3" Type="http://schemas.openxmlformats.org/officeDocument/2006/relationships/hyperlink" Target="https://docs.google.com/spreadsheet/viewform?formkey=dFEyLTFUSHREd05KaVItaDdUUkVVNGc6MA" TargetMode="External"/><Relationship Id="rId7" Type="http://schemas.openxmlformats.org/officeDocument/2006/relationships/hyperlink" Target="http://awsomegang.com/submit-you-book/" TargetMode="External"/><Relationship Id="rId12" Type="http://schemas.openxmlformats.org/officeDocument/2006/relationships/hyperlink" Target="http://www.frugal-freebies.com/p/submit-freebie.html" TargetMode="External"/><Relationship Id="rId17" Type="http://schemas.openxmlformats.org/officeDocument/2006/relationships/hyperlink" Target="http://addictedtoebooks.com/free" TargetMode="External"/><Relationship Id="rId2" Type="http://schemas.openxmlformats.org/officeDocument/2006/relationships/hyperlink" Target="http://www.mobileread.com/forums/forumdisplay.php?f=226" TargetMode="External"/><Relationship Id="rId16" Type="http://schemas.openxmlformats.org/officeDocument/2006/relationships/hyperlink" Target="http://www.freebookclub.org/kindle-books/book-submissions/" TargetMode="External"/><Relationship Id="rId1" Type="http://schemas.openxmlformats.org/officeDocument/2006/relationships/hyperlink" Target="http://www.kboards.com/index.php/topic,97167.0.html" TargetMode="External"/><Relationship Id="rId6" Type="http://schemas.openxmlformats.org/officeDocument/2006/relationships/hyperlink" Target="http://www.thatbookplace.com/free-promo-submissions/" TargetMode="External"/><Relationship Id="rId11" Type="http://schemas.openxmlformats.org/officeDocument/2006/relationships/hyperlink" Target="http://ebooklister.net/submit.php" TargetMode="External"/><Relationship Id="rId5" Type="http://schemas.openxmlformats.org/officeDocument/2006/relationships/hyperlink" Target="https://docs.google.com/spreadsheet/viewform?formkey=dHI3UVVZdTZkWUo3d2w3aDExbXk5MEE6MQ" TargetMode="External"/><Relationship Id="rId15" Type="http://schemas.openxmlformats.org/officeDocument/2006/relationships/hyperlink" Target="http://www.centsibleereads.com/p/for-authors.html" TargetMode="External"/><Relationship Id="rId10" Type="http://schemas.openxmlformats.org/officeDocument/2006/relationships/hyperlink" Target="http://ebooksfreedaily.com/?page_id=16" TargetMode="External"/><Relationship Id="rId4" Type="http://schemas.openxmlformats.org/officeDocument/2006/relationships/hyperlink" Target="http://www.freebooksy.com/editorial-submissions?KeepThis=true&amp;TB_iframe=true&amp;height=550&amp;width=1200" TargetMode="External"/><Relationship Id="rId9" Type="http://schemas.openxmlformats.org/officeDocument/2006/relationships/hyperlink" Target="http://freebookshub.com/authors/" TargetMode="External"/><Relationship Id="rId14" Type="http://schemas.openxmlformats.org/officeDocument/2006/relationships/hyperlink" Target="http://www.kindlemojo.com/contact-info/"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zackabroad@hotmail.com" TargetMode="External"/><Relationship Id="rId13" Type="http://schemas.openxmlformats.org/officeDocument/2006/relationships/hyperlink" Target="mailto:dlw@trutor.net" TargetMode="External"/><Relationship Id="rId18" Type="http://schemas.openxmlformats.org/officeDocument/2006/relationships/hyperlink" Target="mailto:coffeeramblings@hotmail.com" TargetMode="External"/><Relationship Id="rId26" Type="http://schemas.openxmlformats.org/officeDocument/2006/relationships/hyperlink" Target="mailto:amazon@lisashea.com" TargetMode="External"/><Relationship Id="rId39" Type="http://schemas.openxmlformats.org/officeDocument/2006/relationships/hyperlink" Target="mailto:rogerbrunyate@gmail.com" TargetMode="External"/><Relationship Id="rId3" Type="http://schemas.openxmlformats.org/officeDocument/2006/relationships/hyperlink" Target="mailto:Bobbiekar@gmail.com" TargetMode="External"/><Relationship Id="rId21" Type="http://schemas.openxmlformats.org/officeDocument/2006/relationships/hyperlink" Target="mailto:beckygardensreviews@gmail.com" TargetMode="External"/><Relationship Id="rId34" Type="http://schemas.openxmlformats.org/officeDocument/2006/relationships/hyperlink" Target="mailto:mannaent@hiwaay.net" TargetMode="External"/><Relationship Id="rId7" Type="http://schemas.openxmlformats.org/officeDocument/2006/relationships/hyperlink" Target="mailto:mirasreviews@aol.com" TargetMode="External"/><Relationship Id="rId12" Type="http://schemas.openxmlformats.org/officeDocument/2006/relationships/hyperlink" Target="mailto:find_it@savvysleuth.com" TargetMode="External"/><Relationship Id="rId17" Type="http://schemas.openxmlformats.org/officeDocument/2006/relationships/hyperlink" Target="mailto:info@deeptrancenow.com" TargetMode="External"/><Relationship Id="rId25" Type="http://schemas.openxmlformats.org/officeDocument/2006/relationships/hyperlink" Target="mailto:titleteacherk5@gmail.com" TargetMode="External"/><Relationship Id="rId33" Type="http://schemas.openxmlformats.org/officeDocument/2006/relationships/hyperlink" Target="mailto:richa3@gol.net.gy" TargetMode="External"/><Relationship Id="rId38" Type="http://schemas.openxmlformats.org/officeDocument/2006/relationships/hyperlink" Target="mailto:ccirish@att.net" TargetMode="External"/><Relationship Id="rId2" Type="http://schemas.openxmlformats.org/officeDocument/2006/relationships/hyperlink" Target="mailto:sistercarrie01@gmail.com" TargetMode="External"/><Relationship Id="rId16" Type="http://schemas.openxmlformats.org/officeDocument/2006/relationships/hyperlink" Target="mailto:KRN@usa.com" TargetMode="External"/><Relationship Id="rId20" Type="http://schemas.openxmlformats.org/officeDocument/2006/relationships/hyperlink" Target="mailto:Subscribers1952@comcast.net" TargetMode="External"/><Relationship Id="rId29" Type="http://schemas.openxmlformats.org/officeDocument/2006/relationships/hyperlink" Target="mailto:drjlmurphy@aol.com" TargetMode="External"/><Relationship Id="rId41" Type="http://schemas.openxmlformats.org/officeDocument/2006/relationships/printerSettings" Target="../printerSettings/printerSettings2.bin"/><Relationship Id="rId1" Type="http://schemas.openxmlformats.org/officeDocument/2006/relationships/hyperlink" Target="mailto:lizardiharp@earthlink.net" TargetMode="External"/><Relationship Id="rId6" Type="http://schemas.openxmlformats.org/officeDocument/2006/relationships/hyperlink" Target="mailto:bobtobias@verizon.net" TargetMode="External"/><Relationship Id="rId11" Type="http://schemas.openxmlformats.org/officeDocument/2006/relationships/hyperlink" Target="mailto:cfamazon@yahoo.com" TargetMode="External"/><Relationship Id="rId24" Type="http://schemas.openxmlformats.org/officeDocument/2006/relationships/hyperlink" Target="mailto:avidreviewer@hotmail.com" TargetMode="External"/><Relationship Id="rId32" Type="http://schemas.openxmlformats.org/officeDocument/2006/relationships/hyperlink" Target="mailto:alexanderphd@msn.com" TargetMode="External"/><Relationship Id="rId37" Type="http://schemas.openxmlformats.org/officeDocument/2006/relationships/hyperlink" Target="mailto:khemprof1a@yahoo.com" TargetMode="External"/><Relationship Id="rId40" Type="http://schemas.openxmlformats.org/officeDocument/2006/relationships/hyperlink" Target="mailto:mike@duvernois.org" TargetMode="External"/><Relationship Id="rId5" Type="http://schemas.openxmlformats.org/officeDocument/2006/relationships/hyperlink" Target="mailto:azn.jwmson@gmail.com" TargetMode="External"/><Relationship Id="rId15" Type="http://schemas.openxmlformats.org/officeDocument/2006/relationships/hyperlink" Target="mailto:Biz.TechTidbits@gmail.com" TargetMode="External"/><Relationship Id="rId23" Type="http://schemas.openxmlformats.org/officeDocument/2006/relationships/hyperlink" Target="mailto:32brie@sbcglobal.net" TargetMode="External"/><Relationship Id="rId28" Type="http://schemas.openxmlformats.org/officeDocument/2006/relationships/hyperlink" Target="mailto:rayzul14710@yahoo.com" TargetMode="External"/><Relationship Id="rId36" Type="http://schemas.openxmlformats.org/officeDocument/2006/relationships/hyperlink" Target="mailto:omars1234@gmail.com" TargetMode="External"/><Relationship Id="rId10" Type="http://schemas.openxmlformats.org/officeDocument/2006/relationships/hyperlink" Target="mailto:AngelasReviews@gmail.com" TargetMode="External"/><Relationship Id="rId19" Type="http://schemas.openxmlformats.org/officeDocument/2006/relationships/hyperlink" Target="mailto:rileybirder@gmail.com" TargetMode="External"/><Relationship Id="rId31" Type="http://schemas.openxmlformats.org/officeDocument/2006/relationships/hyperlink" Target="mailto:crculver@christopherculver.com" TargetMode="External"/><Relationship Id="rId4" Type="http://schemas.openxmlformats.org/officeDocument/2006/relationships/hyperlink" Target="mailto:ptcruiser@putermail.com" TargetMode="External"/><Relationship Id="rId9" Type="http://schemas.openxmlformats.org/officeDocument/2006/relationships/hyperlink" Target="http://tomjaeger33@yahoo.com/" TargetMode="External"/><Relationship Id="rId14" Type="http://schemas.openxmlformats.org/officeDocument/2006/relationships/hyperlink" Target="mailto:mystery.reviewer50@gmail.com" TargetMode="External"/><Relationship Id="rId22" Type="http://schemas.openxmlformats.org/officeDocument/2006/relationships/hyperlink" Target="mailto:diana@buzzardseyeview.com" TargetMode="External"/><Relationship Id="rId27" Type="http://schemas.openxmlformats.org/officeDocument/2006/relationships/hyperlink" Target="mailto:amazonreviews666@gmail.com" TargetMode="External"/><Relationship Id="rId30" Type="http://schemas.openxmlformats.org/officeDocument/2006/relationships/hyperlink" Target="mailto:frkurt@yahoo.com" TargetMode="External"/><Relationship Id="rId35" Type="http://schemas.openxmlformats.org/officeDocument/2006/relationships/hyperlink" Target="mailto:outlawpoet1970@gmail.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3" Type="http://schemas.openxmlformats.org/officeDocument/2006/relationships/hyperlink" Target="mailto:find_it@savvysleuth.com" TargetMode="External"/><Relationship Id="rId18" Type="http://schemas.openxmlformats.org/officeDocument/2006/relationships/hyperlink" Target="mailto:info@deeptrancenow.com" TargetMode="External"/><Relationship Id="rId26" Type="http://schemas.openxmlformats.org/officeDocument/2006/relationships/hyperlink" Target="mailto:titleteacherk5@gmail.com" TargetMode="External"/><Relationship Id="rId39" Type="http://schemas.openxmlformats.org/officeDocument/2006/relationships/hyperlink" Target="mailto:ccirish@att.net" TargetMode="External"/><Relationship Id="rId21" Type="http://schemas.openxmlformats.org/officeDocument/2006/relationships/hyperlink" Target="mailto:Subscribers1952@comcast.net" TargetMode="External"/><Relationship Id="rId34" Type="http://schemas.openxmlformats.org/officeDocument/2006/relationships/hyperlink" Target="mailto:richa3@gol.net.gy" TargetMode="External"/><Relationship Id="rId42" Type="http://schemas.openxmlformats.org/officeDocument/2006/relationships/hyperlink" Target="http://freebookshub.com/authors/" TargetMode="External"/><Relationship Id="rId47" Type="http://schemas.openxmlformats.org/officeDocument/2006/relationships/hyperlink" Target="http://addictedtoebooks.com/free" TargetMode="External"/><Relationship Id="rId50" Type="http://schemas.openxmlformats.org/officeDocument/2006/relationships/hyperlink" Target="mailto:emblaisdell@gmail.com" TargetMode="External"/><Relationship Id="rId55" Type="http://schemas.openxmlformats.org/officeDocument/2006/relationships/hyperlink" Target="mailto:amymuniz417@yahoo.com" TargetMode="External"/><Relationship Id="rId63" Type="http://schemas.openxmlformats.org/officeDocument/2006/relationships/hyperlink" Target="mailto:christianbruck@yahoo.com" TargetMode="External"/><Relationship Id="rId68" Type="http://schemas.openxmlformats.org/officeDocument/2006/relationships/hyperlink" Target="mailto:callahan.brian@gmail.com" TargetMode="External"/><Relationship Id="rId7" Type="http://schemas.openxmlformats.org/officeDocument/2006/relationships/hyperlink" Target="mailto:bobtobias@verizon.net" TargetMode="External"/><Relationship Id="rId71" Type="http://schemas.openxmlformats.org/officeDocument/2006/relationships/printerSettings" Target="../printerSettings/printerSettings4.bin"/><Relationship Id="rId2" Type="http://schemas.openxmlformats.org/officeDocument/2006/relationships/hyperlink" Target="mailto:lizardiharp@earthlink.net" TargetMode="External"/><Relationship Id="rId16" Type="http://schemas.openxmlformats.org/officeDocument/2006/relationships/hyperlink" Target="mailto:Biz.TechTidbits@gmail.com" TargetMode="External"/><Relationship Id="rId29" Type="http://schemas.openxmlformats.org/officeDocument/2006/relationships/hyperlink" Target="mailto:rayzul14710@yahoo.com" TargetMode="External"/><Relationship Id="rId1" Type="http://schemas.openxmlformats.org/officeDocument/2006/relationships/hyperlink" Target="http://www.freebooksy.com/editorial-submissions?KeepThis=true&amp;TB_iframe=true&amp;height=550&amp;width=1200" TargetMode="External"/><Relationship Id="rId6" Type="http://schemas.openxmlformats.org/officeDocument/2006/relationships/hyperlink" Target="mailto:azn.jwmson@gmail.com" TargetMode="External"/><Relationship Id="rId11" Type="http://schemas.openxmlformats.org/officeDocument/2006/relationships/hyperlink" Target="mailto:AngelasReviews@gmail.com" TargetMode="External"/><Relationship Id="rId24" Type="http://schemas.openxmlformats.org/officeDocument/2006/relationships/hyperlink" Target="mailto:32brie@sbcglobal.net" TargetMode="External"/><Relationship Id="rId32" Type="http://schemas.openxmlformats.org/officeDocument/2006/relationships/hyperlink" Target="mailto:crculver@christopherculver.com" TargetMode="External"/><Relationship Id="rId37" Type="http://schemas.openxmlformats.org/officeDocument/2006/relationships/hyperlink" Target="mailto:omars1234@gmail.com" TargetMode="External"/><Relationship Id="rId40" Type="http://schemas.openxmlformats.org/officeDocument/2006/relationships/hyperlink" Target="mailto:rogerbrunyate@gmail.com" TargetMode="External"/><Relationship Id="rId45" Type="http://schemas.openxmlformats.org/officeDocument/2006/relationships/hyperlink" Target="http://onehundredfreebooks.com/contact.html" TargetMode="External"/><Relationship Id="rId53" Type="http://schemas.openxmlformats.org/officeDocument/2006/relationships/hyperlink" Target="mailto:philipparth@yahoo.con" TargetMode="External"/><Relationship Id="rId58" Type="http://schemas.openxmlformats.org/officeDocument/2006/relationships/hyperlink" Target="mailto:me@dustywhite.net" TargetMode="External"/><Relationship Id="rId66" Type="http://schemas.openxmlformats.org/officeDocument/2006/relationships/hyperlink" Target="mailto:hcota@webtv.net" TargetMode="External"/><Relationship Id="rId5" Type="http://schemas.openxmlformats.org/officeDocument/2006/relationships/hyperlink" Target="mailto:ptcruiser@putermail.com" TargetMode="External"/><Relationship Id="rId15" Type="http://schemas.openxmlformats.org/officeDocument/2006/relationships/hyperlink" Target="mailto:mystery.reviewer50@gmail.com" TargetMode="External"/><Relationship Id="rId23" Type="http://schemas.openxmlformats.org/officeDocument/2006/relationships/hyperlink" Target="mailto:diana@buzzardseyeview.com" TargetMode="External"/><Relationship Id="rId28" Type="http://schemas.openxmlformats.org/officeDocument/2006/relationships/hyperlink" Target="mailto:amazonreviews666@gmail.com" TargetMode="External"/><Relationship Id="rId36" Type="http://schemas.openxmlformats.org/officeDocument/2006/relationships/hyperlink" Target="mailto:outlawpoet1970@gmail.com" TargetMode="External"/><Relationship Id="rId49" Type="http://schemas.openxmlformats.org/officeDocument/2006/relationships/hyperlink" Target="mailto:rices101@yahoo.com" TargetMode="External"/><Relationship Id="rId57" Type="http://schemas.openxmlformats.org/officeDocument/2006/relationships/hyperlink" Target="mailto:jeffxlippincott@jlippin.com" TargetMode="External"/><Relationship Id="rId61" Type="http://schemas.openxmlformats.org/officeDocument/2006/relationships/hyperlink" Target="mailto:eddie@compulearning.co.za" TargetMode="External"/><Relationship Id="rId10" Type="http://schemas.openxmlformats.org/officeDocument/2006/relationships/hyperlink" Target="http://tomjaeger33@yahoo.com/" TargetMode="External"/><Relationship Id="rId19" Type="http://schemas.openxmlformats.org/officeDocument/2006/relationships/hyperlink" Target="mailto:coffeeramblings@hotmail.com" TargetMode="External"/><Relationship Id="rId31" Type="http://schemas.openxmlformats.org/officeDocument/2006/relationships/hyperlink" Target="mailto:frkurt@yahoo.com" TargetMode="External"/><Relationship Id="rId44" Type="http://schemas.openxmlformats.org/officeDocument/2006/relationships/hyperlink" Target="http://www.frugal-freebies.com/p/submit-freebie.html" TargetMode="External"/><Relationship Id="rId52" Type="http://schemas.openxmlformats.org/officeDocument/2006/relationships/hyperlink" Target="mailto:essorant@hotmail.com" TargetMode="External"/><Relationship Id="rId60" Type="http://schemas.openxmlformats.org/officeDocument/2006/relationships/hyperlink" Target="mailto:Ivy@IvyReisner.com" TargetMode="External"/><Relationship Id="rId65" Type="http://schemas.openxmlformats.org/officeDocument/2006/relationships/hyperlink" Target="mailto:gcorey@neo.rr.com" TargetMode="External"/><Relationship Id="rId4" Type="http://schemas.openxmlformats.org/officeDocument/2006/relationships/hyperlink" Target="mailto:Bobbiekar@gmail.com" TargetMode="External"/><Relationship Id="rId9" Type="http://schemas.openxmlformats.org/officeDocument/2006/relationships/hyperlink" Target="mailto:zackabroad@hotmail.com" TargetMode="External"/><Relationship Id="rId14" Type="http://schemas.openxmlformats.org/officeDocument/2006/relationships/hyperlink" Target="mailto:dlw@trutor.net" TargetMode="External"/><Relationship Id="rId22" Type="http://schemas.openxmlformats.org/officeDocument/2006/relationships/hyperlink" Target="mailto:beckygardensreviews@gmail.com" TargetMode="External"/><Relationship Id="rId27" Type="http://schemas.openxmlformats.org/officeDocument/2006/relationships/hyperlink" Target="mailto:amazon@lisashea.com" TargetMode="External"/><Relationship Id="rId30" Type="http://schemas.openxmlformats.org/officeDocument/2006/relationships/hyperlink" Target="mailto:drjlmurphy@aol.com" TargetMode="External"/><Relationship Id="rId35" Type="http://schemas.openxmlformats.org/officeDocument/2006/relationships/hyperlink" Target="mailto:mannaent@hiwaay.net" TargetMode="External"/><Relationship Id="rId43" Type="http://schemas.openxmlformats.org/officeDocument/2006/relationships/hyperlink" Target="http://ebooklister.net/submit.php" TargetMode="External"/><Relationship Id="rId48" Type="http://schemas.openxmlformats.org/officeDocument/2006/relationships/hyperlink" Target="http://www.daily-free-ebooks.com/suggest-free-ebook" TargetMode="External"/><Relationship Id="rId56" Type="http://schemas.openxmlformats.org/officeDocument/2006/relationships/hyperlink" Target="mailto:lisa.alhashimi@gmail.com" TargetMode="External"/><Relationship Id="rId64" Type="http://schemas.openxmlformats.org/officeDocument/2006/relationships/hyperlink" Target="mailto:lminervino@hotmail.com" TargetMode="External"/><Relationship Id="rId69" Type="http://schemas.openxmlformats.org/officeDocument/2006/relationships/hyperlink" Target="mailto:eric@compellingconversations.com" TargetMode="External"/><Relationship Id="rId8" Type="http://schemas.openxmlformats.org/officeDocument/2006/relationships/hyperlink" Target="mailto:mirasreviews@aol.com" TargetMode="External"/><Relationship Id="rId51" Type="http://schemas.openxmlformats.org/officeDocument/2006/relationships/hyperlink" Target="mailto:kaptain_krispy@yahoo.com" TargetMode="External"/><Relationship Id="rId3" Type="http://schemas.openxmlformats.org/officeDocument/2006/relationships/hyperlink" Target="mailto:sistercarrie01@gmail.com" TargetMode="External"/><Relationship Id="rId12" Type="http://schemas.openxmlformats.org/officeDocument/2006/relationships/hyperlink" Target="mailto:cfamazon@yahoo.com" TargetMode="External"/><Relationship Id="rId17" Type="http://schemas.openxmlformats.org/officeDocument/2006/relationships/hyperlink" Target="mailto:KRN@usa.com" TargetMode="External"/><Relationship Id="rId25" Type="http://schemas.openxmlformats.org/officeDocument/2006/relationships/hyperlink" Target="mailto:avidreviewer@hotmail.com" TargetMode="External"/><Relationship Id="rId33" Type="http://schemas.openxmlformats.org/officeDocument/2006/relationships/hyperlink" Target="mailto:alexanderphd@msn.com" TargetMode="External"/><Relationship Id="rId38" Type="http://schemas.openxmlformats.org/officeDocument/2006/relationships/hyperlink" Target="mailto:khemprof1a@yahoo.com" TargetMode="External"/><Relationship Id="rId46" Type="http://schemas.openxmlformats.org/officeDocument/2006/relationships/hyperlink" Target="http://www.kindlemojo.com/contact-info/" TargetMode="External"/><Relationship Id="rId59" Type="http://schemas.openxmlformats.org/officeDocument/2006/relationships/hyperlink" Target="mailto:tanager@manistee.com" TargetMode="External"/><Relationship Id="rId67" Type="http://schemas.openxmlformats.org/officeDocument/2006/relationships/hyperlink" Target="mailto:robhardy3@gmail.com" TargetMode="External"/><Relationship Id="rId20" Type="http://schemas.openxmlformats.org/officeDocument/2006/relationships/hyperlink" Target="mailto:rileybirder@gmail.com" TargetMode="External"/><Relationship Id="rId41" Type="http://schemas.openxmlformats.org/officeDocument/2006/relationships/hyperlink" Target="mailto:mike@duvernois.org" TargetMode="External"/><Relationship Id="rId54" Type="http://schemas.openxmlformats.org/officeDocument/2006/relationships/hyperlink" Target="mailto:mikerdna@hotmail.com" TargetMode="External"/><Relationship Id="rId62" Type="http://schemas.openxmlformats.org/officeDocument/2006/relationships/hyperlink" Target="mailto:gary.dale@cearley.net" TargetMode="External"/><Relationship Id="rId70" Type="http://schemas.openxmlformats.org/officeDocument/2006/relationships/hyperlink" Target="mailto:52@claudiosantori.it"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twitter.com/hashtag/WFGR?src=hash" TargetMode="External"/><Relationship Id="rId2" Type="http://schemas.openxmlformats.org/officeDocument/2006/relationships/hyperlink" Target="http://www.freebookclub.org/kindle-books/book-submissions/" TargetMode="External"/><Relationship Id="rId1" Type="http://schemas.openxmlformats.org/officeDocument/2006/relationships/hyperlink" Target="https://twitter.com/IAN_AuthorPromo" TargetMode="External"/><Relationship Id="rId5" Type="http://schemas.openxmlformats.org/officeDocument/2006/relationships/printerSettings" Target="../printerSettings/printerSettings5.bin"/><Relationship Id="rId4" Type="http://schemas.openxmlformats.org/officeDocument/2006/relationships/hyperlink" Target="https://twitter.com/hashtag/FreeKindleBooks?src=hash" TargetMode="Externa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www.mobileread.com/forums/forumdisplay.php?f=226" TargetMode="External"/><Relationship Id="rId1" Type="http://schemas.openxmlformats.org/officeDocument/2006/relationships/hyperlink" Target="http://www.kboards.com/index.php/topic,97167.0.html"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www.daily-free-ebooks.com/suggest-free-ebook" TargetMode="External"/><Relationship Id="rId3" Type="http://schemas.openxmlformats.org/officeDocument/2006/relationships/hyperlink" Target="http://ebooklister.net/submit.php" TargetMode="External"/><Relationship Id="rId7" Type="http://schemas.openxmlformats.org/officeDocument/2006/relationships/hyperlink" Target="http://addictedtoebooks.com/free" TargetMode="External"/><Relationship Id="rId2" Type="http://schemas.openxmlformats.org/officeDocument/2006/relationships/hyperlink" Target="http://freebookshub.com/authors/" TargetMode="External"/><Relationship Id="rId1" Type="http://schemas.openxmlformats.org/officeDocument/2006/relationships/hyperlink" Target="http://www.freebooksy.com/editorial-submissions?KeepThis=true&amp;TB_iframe=true&amp;height=550&amp;width=1200" TargetMode="External"/><Relationship Id="rId6" Type="http://schemas.openxmlformats.org/officeDocument/2006/relationships/hyperlink" Target="http://www.kindlemojo.com/contact-info/" TargetMode="External"/><Relationship Id="rId5" Type="http://schemas.openxmlformats.org/officeDocument/2006/relationships/hyperlink" Target="http://onehundredfreebooks.com/contact.html" TargetMode="External"/><Relationship Id="rId4" Type="http://schemas.openxmlformats.org/officeDocument/2006/relationships/hyperlink" Target="http://www.frugal-freebies.com/p/submit-freebie.html"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dimension ref="A1:E11"/>
  <sheetViews>
    <sheetView workbookViewId="0">
      <selection activeCell="C8" sqref="C8"/>
    </sheetView>
  </sheetViews>
  <sheetFormatPr defaultRowHeight="15"/>
  <cols>
    <col min="1" max="1" width="16.85546875" style="26" bestFit="1" customWidth="1"/>
    <col min="2" max="2" width="18.140625" style="26" customWidth="1"/>
    <col min="3" max="3" width="19.140625" style="26" bestFit="1" customWidth="1"/>
    <col min="4" max="4" width="17.28515625" style="37" customWidth="1"/>
    <col min="5" max="5" width="17.7109375" style="26" bestFit="1" customWidth="1"/>
    <col min="6" max="16384" width="9.140625" style="26"/>
  </cols>
  <sheetData>
    <row r="1" spans="1:5">
      <c r="A1" s="25" t="s">
        <v>239</v>
      </c>
      <c r="B1" s="81" t="s">
        <v>249</v>
      </c>
      <c r="C1" s="82"/>
      <c r="D1" s="82"/>
      <c r="E1" s="82"/>
    </row>
    <row r="2" spans="1:5">
      <c r="A2" s="27" t="s">
        <v>240</v>
      </c>
      <c r="B2" s="47" t="s">
        <v>172</v>
      </c>
      <c r="C2" s="48" t="s">
        <v>174</v>
      </c>
      <c r="D2" s="79" t="s">
        <v>250</v>
      </c>
      <c r="E2" s="80"/>
    </row>
    <row r="3" spans="1:5" ht="30">
      <c r="A3" s="27" t="s">
        <v>241</v>
      </c>
      <c r="B3" s="28" t="s">
        <v>252</v>
      </c>
      <c r="C3" s="29" t="s">
        <v>251</v>
      </c>
      <c r="D3" s="30" t="s">
        <v>253</v>
      </c>
      <c r="E3" s="31" t="s">
        <v>273</v>
      </c>
    </row>
    <row r="4" spans="1:5" ht="30">
      <c r="A4" s="27" t="s">
        <v>242</v>
      </c>
      <c r="B4" s="32" t="s">
        <v>247</v>
      </c>
      <c r="C4" s="33" t="s">
        <v>46</v>
      </c>
      <c r="D4" s="34" t="s">
        <v>254</v>
      </c>
      <c r="E4" s="33" t="s">
        <v>46</v>
      </c>
    </row>
    <row r="5" spans="1:5">
      <c r="A5" s="27" t="s">
        <v>243</v>
      </c>
      <c r="B5" s="35" t="s">
        <v>258</v>
      </c>
      <c r="C5" s="33" t="s">
        <v>175</v>
      </c>
      <c r="D5" s="34">
        <v>0.99</v>
      </c>
      <c r="E5" s="33" t="s">
        <v>256</v>
      </c>
    </row>
    <row r="6" spans="1:5">
      <c r="A6" s="27" t="s">
        <v>244</v>
      </c>
      <c r="B6" s="49" t="s">
        <v>248</v>
      </c>
      <c r="C6" s="33" t="s">
        <v>255</v>
      </c>
      <c r="D6" s="34"/>
      <c r="E6" s="33" t="s">
        <v>257</v>
      </c>
    </row>
    <row r="7" spans="1:5">
      <c r="A7" s="27" t="s">
        <v>245</v>
      </c>
      <c r="B7" s="35"/>
      <c r="C7" s="33" t="s">
        <v>256</v>
      </c>
      <c r="D7" s="34"/>
      <c r="E7" s="33" t="s">
        <v>258</v>
      </c>
    </row>
    <row r="8" spans="1:5">
      <c r="A8" s="27" t="s">
        <v>246</v>
      </c>
      <c r="B8" s="35"/>
      <c r="C8" s="33" t="s">
        <v>257</v>
      </c>
      <c r="D8" s="34"/>
      <c r="E8" s="35" t="s">
        <v>274</v>
      </c>
    </row>
    <row r="9" spans="1:5">
      <c r="A9" s="36" t="s">
        <v>320</v>
      </c>
      <c r="B9" s="35"/>
      <c r="C9" s="33" t="s">
        <v>258</v>
      </c>
      <c r="D9" s="34"/>
      <c r="E9" s="35"/>
    </row>
    <row r="10" spans="1:5">
      <c r="A10" s="36" t="s">
        <v>319</v>
      </c>
    </row>
    <row r="11" spans="1:5">
      <c r="A11" s="36"/>
    </row>
  </sheetData>
  <mergeCells count="2">
    <mergeCell ref="D2:E2"/>
    <mergeCell ref="B1:E1"/>
  </mergeCells>
  <hyperlinks>
    <hyperlink ref="B2" location="'Before free promo'!A1" display="before free days"/>
    <hyperlink ref="C2" location="'Free promo launching'!A1" display="free promo kickstart"/>
    <hyperlink ref="D2:E2" location="'0.99 promo'!A1" display="after free"/>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D52"/>
  <sheetViews>
    <sheetView workbookViewId="0">
      <selection activeCell="J49" sqref="J49"/>
    </sheetView>
  </sheetViews>
  <sheetFormatPr defaultRowHeight="15"/>
  <cols>
    <col min="1" max="1" width="32.7109375" style="4" customWidth="1"/>
    <col min="2" max="2" width="42.42578125" style="6" customWidth="1"/>
    <col min="3" max="3" width="9.140625" style="6"/>
  </cols>
  <sheetData>
    <row r="1" spans="1:4">
      <c r="A1" s="3" t="s">
        <v>0</v>
      </c>
      <c r="B1" s="5" t="s">
        <v>2</v>
      </c>
      <c r="C1" s="5" t="s">
        <v>3</v>
      </c>
      <c r="D1" s="58" t="s">
        <v>504</v>
      </c>
    </row>
    <row r="2" spans="1:4">
      <c r="A2" t="s">
        <v>1</v>
      </c>
      <c r="B2" s="6" t="s">
        <v>4</v>
      </c>
      <c r="C2" s="6" t="s">
        <v>9</v>
      </c>
      <c r="D2" t="s">
        <v>505</v>
      </c>
    </row>
    <row r="3" spans="1:4">
      <c r="A3" s="1" t="s">
        <v>15</v>
      </c>
      <c r="B3" s="6" t="s">
        <v>5</v>
      </c>
      <c r="C3" s="6" t="s">
        <v>7</v>
      </c>
      <c r="D3" t="s">
        <v>506</v>
      </c>
    </row>
    <row r="4" spans="1:4">
      <c r="A4" s="4" t="s">
        <v>10</v>
      </c>
      <c r="B4" s="6" t="s">
        <v>6</v>
      </c>
      <c r="C4" s="9" t="s">
        <v>28</v>
      </c>
      <c r="D4" t="s">
        <v>507</v>
      </c>
    </row>
    <row r="5" spans="1:4">
      <c r="A5" s="4" t="s">
        <v>23</v>
      </c>
      <c r="B5" s="9" t="s">
        <v>171</v>
      </c>
      <c r="C5" s="9" t="s">
        <v>29</v>
      </c>
      <c r="D5" t="s">
        <v>513</v>
      </c>
    </row>
    <row r="6" spans="1:4">
      <c r="A6" s="4" t="s">
        <v>24</v>
      </c>
      <c r="B6" s="9" t="s">
        <v>170</v>
      </c>
      <c r="C6" s="6" t="str">
        <f>"@free_kindle_fic"</f>
        <v>@free_kindle_fic</v>
      </c>
    </row>
    <row r="7" spans="1:4">
      <c r="A7" s="4" t="s">
        <v>25</v>
      </c>
      <c r="B7" s="9" t="s">
        <v>169</v>
      </c>
      <c r="C7" s="6" t="str">
        <f>"@CheapKindleDly"</f>
        <v>@CheapKindleDly</v>
      </c>
    </row>
    <row r="8" spans="1:4">
      <c r="A8" s="4" t="s">
        <v>26</v>
      </c>
      <c r="B8" s="6" t="s">
        <v>8</v>
      </c>
      <c r="C8" s="6" t="str">
        <f>"@DigitalBkToday"</f>
        <v>@DigitalBkToday</v>
      </c>
    </row>
    <row r="9" spans="1:4">
      <c r="A9" s="4" t="s">
        <v>27</v>
      </c>
      <c r="B9" s="6" t="s">
        <v>11</v>
      </c>
      <c r="C9" s="6" t="str">
        <f>"@Kindle_free"</f>
        <v>@Kindle_free</v>
      </c>
    </row>
    <row r="10" spans="1:4">
      <c r="B10" s="6" t="s">
        <v>12</v>
      </c>
      <c r="C10" s="6" t="str">
        <f>"@freeebooksdaily"</f>
        <v>@freeebooksdaily</v>
      </c>
    </row>
    <row r="11" spans="1:4">
      <c r="B11" s="6" t="s">
        <v>13</v>
      </c>
      <c r="C11" s="6" t="str">
        <f>"@Kindlefreebooks"</f>
        <v>@Kindlefreebooks</v>
      </c>
    </row>
    <row r="12" spans="1:4">
      <c r="B12" s="6" t="s">
        <v>14</v>
      </c>
      <c r="C12" s="6" t="str">
        <f>"@zilchebooks"</f>
        <v>@zilchebooks</v>
      </c>
    </row>
    <row r="13" spans="1:4">
      <c r="B13" s="6" t="s">
        <v>16</v>
      </c>
      <c r="C13" s="6" t="str">
        <f>"@freedailybooks"</f>
        <v>@freedailybooks</v>
      </c>
    </row>
    <row r="14" spans="1:4">
      <c r="B14" s="6" t="s">
        <v>17</v>
      </c>
      <c r="C14" s="6" t="str">
        <f>"@free2kindle"</f>
        <v>@free2kindle</v>
      </c>
    </row>
    <row r="15" spans="1:4">
      <c r="B15" s="6" t="s">
        <v>18</v>
      </c>
      <c r="C15" s="6" t="str">
        <f>"@freereadfeed"</f>
        <v>@freereadfeed</v>
      </c>
    </row>
    <row r="16" spans="1:4">
      <c r="B16" s="6" t="s">
        <v>19</v>
      </c>
      <c r="C16" s="6" t="str">
        <f>"@pixelofink"</f>
        <v>@pixelofink</v>
      </c>
    </row>
    <row r="17" spans="2:3">
      <c r="B17" s="6" t="s">
        <v>20</v>
      </c>
      <c r="C17" s="6" t="str">
        <f>"@digitalinktoday"</f>
        <v>@digitalinktoday</v>
      </c>
    </row>
    <row r="18" spans="2:3">
      <c r="B18" s="6" t="s">
        <v>21</v>
      </c>
      <c r="C18" s="6" t="str">
        <f>"@freebookclub1"</f>
        <v>@freebookclub1</v>
      </c>
    </row>
    <row r="19" spans="2:3">
      <c r="B19" s="6" t="s">
        <v>22</v>
      </c>
      <c r="C19" s="6" t="str">
        <f>"@ibdbookoftheday"</f>
        <v>@ibdbookoftheday</v>
      </c>
    </row>
    <row r="20" spans="2:3">
      <c r="B20" s="6" t="s">
        <v>259</v>
      </c>
      <c r="C20" s="6" t="str">
        <f>"@Booksontheknob"</f>
        <v>@Booksontheknob</v>
      </c>
    </row>
    <row r="21" spans="2:3">
      <c r="B21" s="6" t="s">
        <v>260</v>
      </c>
      <c r="C21" s="6" t="str">
        <f>"@bookbub"</f>
        <v>@bookbub</v>
      </c>
    </row>
    <row r="22" spans="2:3">
      <c r="B22" s="6" t="s">
        <v>261</v>
      </c>
      <c r="C22" s="6" t="str">
        <f>"@fkbt"</f>
        <v>@fkbt</v>
      </c>
    </row>
    <row r="23" spans="2:3">
      <c r="B23" s="6" t="s">
        <v>262</v>
      </c>
      <c r="C23" s="6" t="str">
        <f>"@kindlestuff"</f>
        <v>@kindlestuff</v>
      </c>
    </row>
    <row r="24" spans="2:3">
      <c r="B24" s="6" t="s">
        <v>263</v>
      </c>
      <c r="C24" s="6" t="str">
        <f>"@kindlenews"</f>
        <v>@kindlenews</v>
      </c>
    </row>
    <row r="25" spans="2:3">
      <c r="B25" s="6" t="s">
        <v>264</v>
      </c>
      <c r="C25" s="6" t="str">
        <f>"@ebook"</f>
        <v>@ebook</v>
      </c>
    </row>
    <row r="26" spans="2:3">
      <c r="B26" s="6" t="s">
        <v>265</v>
      </c>
      <c r="C26" s="6" t="str">
        <f>"@freeebookdeal"</f>
        <v>@freeebookdeal</v>
      </c>
    </row>
    <row r="27" spans="2:3">
      <c r="B27" s="6" t="s">
        <v>266</v>
      </c>
      <c r="C27" s="6" t="str">
        <f>"@free_kindle"</f>
        <v>@free_kindle</v>
      </c>
    </row>
    <row r="28" spans="2:3">
      <c r="B28" s="6" t="s">
        <v>267</v>
      </c>
      <c r="C28" s="6" t="str">
        <f>"@freebookdude"</f>
        <v>@freebookdude</v>
      </c>
    </row>
    <row r="29" spans="2:3">
      <c r="B29" s="6" t="s">
        <v>268</v>
      </c>
      <c r="C29" s="6" t="str">
        <f>"@4freekindlebook"</f>
        <v>@4freekindlebook</v>
      </c>
    </row>
    <row r="30" spans="2:3">
      <c r="B30" s="6" t="s">
        <v>269</v>
      </c>
      <c r="C30" s="6" t="str">
        <f>"@freekindlestuff"</f>
        <v>@freekindlestuff</v>
      </c>
    </row>
    <row r="31" spans="2:3">
      <c r="B31" s="6" t="s">
        <v>270</v>
      </c>
      <c r="C31" s="6" t="str">
        <f>"@IndAuthorSucess"</f>
        <v>@IndAuthorSucess</v>
      </c>
    </row>
    <row r="32" spans="2:3">
      <c r="B32" s="6" t="s">
        <v>271</v>
      </c>
      <c r="C32" s="6" t="str">
        <f>"@IndieKindle"</f>
        <v>@IndieKindle</v>
      </c>
    </row>
    <row r="33" spans="2:3">
      <c r="B33" s="6" t="s">
        <v>272</v>
      </c>
      <c r="C33" s="6" t="str">
        <f>"@kindleebooks"</f>
        <v>@kindleebooks</v>
      </c>
    </row>
    <row r="34" spans="2:3">
      <c r="B34" s="9" t="s">
        <v>306</v>
      </c>
      <c r="C34" s="6" t="str">
        <f>"@kindlebookking"</f>
        <v>@kindlebookking</v>
      </c>
    </row>
    <row r="35" spans="2:3">
      <c r="B35" s="9" t="s">
        <v>307</v>
      </c>
      <c r="C35" s="6" t="str">
        <f>"@kindleupdates"</f>
        <v>@kindleupdates</v>
      </c>
    </row>
    <row r="36" spans="2:3">
      <c r="B36" s="9" t="s">
        <v>308</v>
      </c>
      <c r="C36" s="6" t="str">
        <f>"@Kindle_promo"</f>
        <v>@Kindle_promo</v>
      </c>
    </row>
    <row r="37" spans="2:3">
      <c r="B37" s="9" t="s">
        <v>309</v>
      </c>
      <c r="C37" s="6" t="str">
        <f>"@kindleDaily"</f>
        <v>@kindleDaily</v>
      </c>
    </row>
    <row r="38" spans="2:3">
      <c r="B38" s="9" t="s">
        <v>310</v>
      </c>
      <c r="C38" s="6" t="s">
        <v>30</v>
      </c>
    </row>
    <row r="39" spans="2:3">
      <c r="B39" s="9" t="s">
        <v>311</v>
      </c>
      <c r="C39" s="6" t="s">
        <v>31</v>
      </c>
    </row>
    <row r="40" spans="2:3">
      <c r="B40" s="9" t="s">
        <v>312</v>
      </c>
      <c r="C40" s="6" t="s">
        <v>32</v>
      </c>
    </row>
    <row r="41" spans="2:3">
      <c r="B41" s="9" t="s">
        <v>313</v>
      </c>
      <c r="C41" s="6" t="s">
        <v>33</v>
      </c>
    </row>
    <row r="42" spans="2:3">
      <c r="B42" s="9" t="s">
        <v>314</v>
      </c>
      <c r="C42" s="6" t="s">
        <v>34</v>
      </c>
    </row>
    <row r="43" spans="2:3">
      <c r="B43" s="9" t="s">
        <v>315</v>
      </c>
      <c r="C43" s="6" t="s">
        <v>35</v>
      </c>
    </row>
    <row r="44" spans="2:3">
      <c r="B44" s="9" t="s">
        <v>316</v>
      </c>
      <c r="C44" s="6" t="s">
        <v>36</v>
      </c>
    </row>
    <row r="45" spans="2:3">
      <c r="B45" s="9" t="s">
        <v>317</v>
      </c>
      <c r="C45" s="6" t="s">
        <v>37</v>
      </c>
    </row>
    <row r="46" spans="2:3">
      <c r="B46" s="9" t="s">
        <v>318</v>
      </c>
      <c r="C46" s="6" t="s">
        <v>38</v>
      </c>
    </row>
    <row r="47" spans="2:3">
      <c r="B47" s="6" t="s">
        <v>518</v>
      </c>
      <c r="C47" s="6" t="s">
        <v>39</v>
      </c>
    </row>
    <row r="48" spans="2:3">
      <c r="B48" s="6" t="s">
        <v>523</v>
      </c>
      <c r="C48" s="6" t="s">
        <v>40</v>
      </c>
    </row>
    <row r="49" spans="3:3">
      <c r="C49" s="6" t="s">
        <v>41</v>
      </c>
    </row>
    <row r="50" spans="3:3">
      <c r="C50" s="6" t="s">
        <v>42</v>
      </c>
    </row>
    <row r="51" spans="3:3">
      <c r="C51" s="6" t="s">
        <v>43</v>
      </c>
    </row>
    <row r="52" spans="3:3">
      <c r="C52" s="6" t="s">
        <v>44</v>
      </c>
    </row>
  </sheetData>
  <hyperlinks>
    <hyperlink ref="C4" r:id="rId1"/>
    <hyperlink ref="C5" r:id="rId2"/>
    <hyperlink ref="B7" r:id="rId3" location="gid=0"/>
    <hyperlink ref="B6" r:id="rId4"/>
    <hyperlink ref="B5" r:id="rId5" location="gid=0?KeepThis=true&amp;TB_iframe=true&amp;height=550&amp;width=1200"/>
    <hyperlink ref="B34" r:id="rId6"/>
    <hyperlink ref="B35" r:id="rId7"/>
    <hyperlink ref="B36" r:id="rId8"/>
    <hyperlink ref="B37" r:id="rId9"/>
    <hyperlink ref="B38" r:id="rId10"/>
    <hyperlink ref="B39" r:id="rId11"/>
    <hyperlink ref="B40" r:id="rId12"/>
    <hyperlink ref="B41" r:id="rId13"/>
    <hyperlink ref="B42" r:id="rId14"/>
    <hyperlink ref="B43" r:id="rId15"/>
    <hyperlink ref="B44" r:id="rId16"/>
    <hyperlink ref="B45" r:id="rId17"/>
    <hyperlink ref="B46" r:id="rId18"/>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42"/>
  <sheetViews>
    <sheetView topLeftCell="B1" workbookViewId="0">
      <selection activeCell="G2" sqref="G2:G26"/>
    </sheetView>
  </sheetViews>
  <sheetFormatPr defaultRowHeight="15"/>
  <cols>
    <col min="1" max="1" width="19.5703125" customWidth="1"/>
    <col min="3" max="3" width="14.5703125" bestFit="1" customWidth="1"/>
    <col min="4" max="4" width="8.28515625" customWidth="1"/>
    <col min="7" max="7" width="43.5703125" style="8" customWidth="1"/>
    <col min="9" max="9" width="128.140625" style="7" customWidth="1"/>
    <col min="10" max="11" width="9.140625" style="7"/>
  </cols>
  <sheetData>
    <row r="1" spans="1:9">
      <c r="A1" t="s">
        <v>45</v>
      </c>
      <c r="B1" t="s">
        <v>46</v>
      </c>
      <c r="C1" t="s">
        <v>47</v>
      </c>
      <c r="D1" t="s">
        <v>48</v>
      </c>
      <c r="E1" t="s">
        <v>49</v>
      </c>
      <c r="G1" s="8" t="s">
        <v>158</v>
      </c>
      <c r="H1" s="10"/>
      <c r="I1" s="11" t="s">
        <v>159</v>
      </c>
    </row>
    <row r="2" spans="1:9" ht="15" customHeight="1">
      <c r="A2" t="s">
        <v>50</v>
      </c>
      <c r="B2" t="s">
        <v>60</v>
      </c>
      <c r="C2" t="s">
        <v>74</v>
      </c>
      <c r="D2" t="s">
        <v>75</v>
      </c>
      <c r="E2" t="s">
        <v>76</v>
      </c>
      <c r="G2" s="83" t="s">
        <v>157</v>
      </c>
      <c r="H2" s="12">
        <v>1</v>
      </c>
      <c r="I2" s="51" t="s">
        <v>162</v>
      </c>
    </row>
    <row r="3" spans="1:9">
      <c r="A3" t="s">
        <v>51</v>
      </c>
      <c r="B3" t="s">
        <v>61</v>
      </c>
      <c r="C3" s="1" t="s">
        <v>77</v>
      </c>
      <c r="D3" t="s">
        <v>78</v>
      </c>
      <c r="E3" t="s">
        <v>79</v>
      </c>
      <c r="G3" s="84"/>
      <c r="H3" s="12">
        <v>1</v>
      </c>
      <c r="I3" s="13" t="s">
        <v>163</v>
      </c>
    </row>
    <row r="4" spans="1:9">
      <c r="A4" t="s">
        <v>52</v>
      </c>
      <c r="B4" t="s">
        <v>62</v>
      </c>
      <c r="C4" s="1" t="s">
        <v>80</v>
      </c>
      <c r="D4" t="s">
        <v>81</v>
      </c>
      <c r="E4" t="s">
        <v>79</v>
      </c>
      <c r="G4" s="84"/>
      <c r="H4" s="12">
        <v>2</v>
      </c>
      <c r="I4" s="14" t="s">
        <v>160</v>
      </c>
    </row>
    <row r="5" spans="1:9" ht="30">
      <c r="A5" t="s">
        <v>53</v>
      </c>
      <c r="B5" t="s">
        <v>63</v>
      </c>
      <c r="C5" s="1" t="s">
        <v>82</v>
      </c>
      <c r="D5" t="s">
        <v>83</v>
      </c>
      <c r="E5" t="s">
        <v>84</v>
      </c>
      <c r="G5" s="84"/>
      <c r="H5" s="12">
        <v>2</v>
      </c>
      <c r="I5" s="14" t="s">
        <v>161</v>
      </c>
    </row>
    <row r="6" spans="1:9">
      <c r="A6" t="s">
        <v>54</v>
      </c>
      <c r="B6" t="s">
        <v>64</v>
      </c>
      <c r="C6" s="1" t="s">
        <v>85</v>
      </c>
      <c r="D6" t="s">
        <v>86</v>
      </c>
      <c r="E6" t="s">
        <v>79</v>
      </c>
      <c r="G6" s="84"/>
      <c r="H6" s="12">
        <v>3</v>
      </c>
      <c r="I6" s="14" t="s">
        <v>164</v>
      </c>
    </row>
    <row r="7" spans="1:9">
      <c r="A7" t="s">
        <v>55</v>
      </c>
      <c r="B7" t="s">
        <v>65</v>
      </c>
      <c r="C7" s="1" t="s">
        <v>87</v>
      </c>
      <c r="D7" t="s">
        <v>88</v>
      </c>
      <c r="E7" t="s">
        <v>79</v>
      </c>
      <c r="G7" s="84"/>
      <c r="H7" s="12">
        <v>3</v>
      </c>
      <c r="I7" s="14" t="s">
        <v>165</v>
      </c>
    </row>
    <row r="8" spans="1:9">
      <c r="A8" t="s">
        <v>56</v>
      </c>
      <c r="B8" t="s">
        <v>66</v>
      </c>
      <c r="C8" s="1" t="s">
        <v>89</v>
      </c>
      <c r="D8" t="s">
        <v>90</v>
      </c>
      <c r="E8" t="s">
        <v>84</v>
      </c>
      <c r="G8" s="84"/>
      <c r="H8" s="12">
        <v>4</v>
      </c>
      <c r="I8" s="14" t="s">
        <v>167</v>
      </c>
    </row>
    <row r="9" spans="1:9">
      <c r="A9" t="s">
        <v>57</v>
      </c>
      <c r="B9" t="s">
        <v>67</v>
      </c>
      <c r="C9" s="1" t="s">
        <v>91</v>
      </c>
      <c r="D9" t="s">
        <v>92</v>
      </c>
      <c r="E9" t="s">
        <v>79</v>
      </c>
      <c r="G9" s="84"/>
      <c r="H9" s="12">
        <v>5</v>
      </c>
      <c r="I9" s="13" t="s">
        <v>166</v>
      </c>
    </row>
    <row r="10" spans="1:9" ht="15.75" thickBot="1">
      <c r="A10" t="s">
        <v>58</v>
      </c>
      <c r="B10" t="s">
        <v>68</v>
      </c>
      <c r="C10" s="1" t="s">
        <v>93</v>
      </c>
      <c r="D10" t="s">
        <v>94</v>
      </c>
      <c r="E10" t="s">
        <v>79</v>
      </c>
      <c r="G10" s="84"/>
      <c r="H10" s="15">
        <v>5</v>
      </c>
      <c r="I10" s="52" t="s">
        <v>168</v>
      </c>
    </row>
    <row r="11" spans="1:9">
      <c r="A11" t="s">
        <v>59</v>
      </c>
      <c r="B11" t="s">
        <v>69</v>
      </c>
      <c r="C11" s="1" t="s">
        <v>95</v>
      </c>
      <c r="D11" t="s">
        <v>96</v>
      </c>
      <c r="E11" t="s">
        <v>79</v>
      </c>
      <c r="G11" s="84"/>
      <c r="H11" s="10"/>
      <c r="I11" s="16" t="s">
        <v>176</v>
      </c>
    </row>
    <row r="12" spans="1:9">
      <c r="B12" t="s">
        <v>70</v>
      </c>
      <c r="C12" s="1" t="s">
        <v>97</v>
      </c>
      <c r="D12" t="s">
        <v>98</v>
      </c>
      <c r="E12" t="s">
        <v>79</v>
      </c>
      <c r="G12" s="84"/>
      <c r="H12" s="12">
        <v>1</v>
      </c>
      <c r="I12" s="14" t="s">
        <v>177</v>
      </c>
    </row>
    <row r="13" spans="1:9">
      <c r="B13" t="s">
        <v>71</v>
      </c>
      <c r="C13" s="1" t="s">
        <v>99</v>
      </c>
      <c r="D13" t="s">
        <v>100</v>
      </c>
      <c r="E13" t="s">
        <v>79</v>
      </c>
      <c r="G13" s="84"/>
      <c r="H13" s="12"/>
      <c r="I13" s="14" t="s">
        <v>178</v>
      </c>
    </row>
    <row r="14" spans="1:9">
      <c r="B14" t="s">
        <v>72</v>
      </c>
      <c r="C14" s="1" t="s">
        <v>101</v>
      </c>
      <c r="D14" t="s">
        <v>102</v>
      </c>
      <c r="E14" t="s">
        <v>79</v>
      </c>
      <c r="G14" s="84"/>
      <c r="H14" s="12">
        <v>1</v>
      </c>
      <c r="I14" s="14" t="s">
        <v>179</v>
      </c>
    </row>
    <row r="15" spans="1:9">
      <c r="B15" t="s">
        <v>73</v>
      </c>
      <c r="C15" s="1" t="s">
        <v>103</v>
      </c>
      <c r="D15" t="s">
        <v>104</v>
      </c>
      <c r="E15" t="s">
        <v>79</v>
      </c>
      <c r="G15" s="84"/>
      <c r="H15" s="12"/>
      <c r="I15" s="14" t="s">
        <v>180</v>
      </c>
    </row>
    <row r="16" spans="1:9">
      <c r="C16" s="1" t="s">
        <v>105</v>
      </c>
      <c r="D16" t="s">
        <v>106</v>
      </c>
      <c r="E16" t="s">
        <v>79</v>
      </c>
      <c r="G16" s="84"/>
      <c r="H16" s="12"/>
      <c r="I16" s="14" t="s">
        <v>181</v>
      </c>
    </row>
    <row r="17" spans="3:9">
      <c r="C17" s="1" t="s">
        <v>107</v>
      </c>
      <c r="D17" t="s">
        <v>102</v>
      </c>
      <c r="E17" t="s">
        <v>79</v>
      </c>
      <c r="G17" s="84"/>
      <c r="H17" s="12"/>
      <c r="I17" s="14" t="s">
        <v>182</v>
      </c>
    </row>
    <row r="18" spans="3:9">
      <c r="C18" s="1" t="s">
        <v>108</v>
      </c>
      <c r="D18" t="s">
        <v>109</v>
      </c>
      <c r="E18" t="s">
        <v>79</v>
      </c>
      <c r="G18" s="84"/>
      <c r="H18" s="12"/>
      <c r="I18" s="14" t="s">
        <v>183</v>
      </c>
    </row>
    <row r="19" spans="3:9">
      <c r="C19" s="1" t="s">
        <v>110</v>
      </c>
      <c r="D19" t="s">
        <v>111</v>
      </c>
      <c r="E19" t="s">
        <v>79</v>
      </c>
      <c r="G19" s="84"/>
      <c r="H19" s="12"/>
      <c r="I19" s="14" t="s">
        <v>184</v>
      </c>
    </row>
    <row r="20" spans="3:9">
      <c r="C20" s="1" t="s">
        <v>112</v>
      </c>
      <c r="D20" t="s">
        <v>113</v>
      </c>
      <c r="E20" t="s">
        <v>79</v>
      </c>
      <c r="G20" s="84"/>
      <c r="H20" s="12"/>
      <c r="I20" s="17" t="s">
        <v>185</v>
      </c>
    </row>
    <row r="21" spans="3:9">
      <c r="C21" s="1" t="s">
        <v>114</v>
      </c>
      <c r="D21" t="s">
        <v>115</v>
      </c>
      <c r="E21" t="s">
        <v>79</v>
      </c>
      <c r="G21" s="84"/>
      <c r="H21" s="12"/>
      <c r="I21" s="17" t="s">
        <v>186</v>
      </c>
    </row>
    <row r="22" spans="3:9">
      <c r="C22" s="1" t="s">
        <v>116</v>
      </c>
      <c r="D22" t="s">
        <v>117</v>
      </c>
      <c r="E22" t="s">
        <v>79</v>
      </c>
      <c r="G22" s="84"/>
      <c r="H22" s="12"/>
      <c r="I22" s="17" t="s">
        <v>187</v>
      </c>
    </row>
    <row r="23" spans="3:9">
      <c r="C23" s="1" t="s">
        <v>118</v>
      </c>
      <c r="D23" t="s">
        <v>119</v>
      </c>
      <c r="E23" t="s">
        <v>79</v>
      </c>
      <c r="G23" s="84"/>
      <c r="H23" s="12">
        <v>1</v>
      </c>
      <c r="I23" s="17" t="s">
        <v>188</v>
      </c>
    </row>
    <row r="24" spans="3:9">
      <c r="C24" s="1" t="s">
        <v>120</v>
      </c>
      <c r="D24" t="s">
        <v>121</v>
      </c>
      <c r="E24" t="s">
        <v>79</v>
      </c>
      <c r="G24" s="84"/>
      <c r="H24" s="12"/>
      <c r="I24" s="17" t="s">
        <v>189</v>
      </c>
    </row>
    <row r="25" spans="3:9">
      <c r="C25" s="1" t="s">
        <v>122</v>
      </c>
      <c r="D25" t="s">
        <v>123</v>
      </c>
      <c r="E25" t="s">
        <v>79</v>
      </c>
      <c r="G25" s="84"/>
      <c r="H25" s="12"/>
      <c r="I25" s="17" t="s">
        <v>190</v>
      </c>
    </row>
    <row r="26" spans="3:9" ht="15.75" thickBot="1">
      <c r="C26" s="1" t="s">
        <v>124</v>
      </c>
      <c r="D26" t="s">
        <v>125</v>
      </c>
      <c r="E26" t="s">
        <v>79</v>
      </c>
      <c r="G26" s="84"/>
      <c r="H26" s="15"/>
      <c r="I26" s="18" t="s">
        <v>191</v>
      </c>
    </row>
    <row r="27" spans="3:9">
      <c r="C27" s="1" t="s">
        <v>126</v>
      </c>
      <c r="D27" t="s">
        <v>127</v>
      </c>
      <c r="E27" t="s">
        <v>79</v>
      </c>
    </row>
    <row r="28" spans="3:9">
      <c r="C28" s="1" t="s">
        <v>128</v>
      </c>
      <c r="D28" t="s">
        <v>129</v>
      </c>
      <c r="E28" t="s">
        <v>79</v>
      </c>
    </row>
    <row r="29" spans="3:9">
      <c r="C29" s="1" t="s">
        <v>130</v>
      </c>
      <c r="D29" t="s">
        <v>131</v>
      </c>
      <c r="E29" t="s">
        <v>79</v>
      </c>
    </row>
    <row r="30" spans="3:9">
      <c r="C30" s="1" t="s">
        <v>132</v>
      </c>
      <c r="D30" t="s">
        <v>133</v>
      </c>
      <c r="E30" t="s">
        <v>79</v>
      </c>
    </row>
    <row r="31" spans="3:9">
      <c r="C31" s="1" t="s">
        <v>134</v>
      </c>
      <c r="D31" t="s">
        <v>88</v>
      </c>
      <c r="E31" t="s">
        <v>79</v>
      </c>
    </row>
    <row r="32" spans="3:9">
      <c r="C32" s="1" t="s">
        <v>135</v>
      </c>
      <c r="D32" t="s">
        <v>136</v>
      </c>
      <c r="E32" t="s">
        <v>79</v>
      </c>
    </row>
    <row r="33" spans="3:5">
      <c r="C33" s="1" t="s">
        <v>137</v>
      </c>
      <c r="D33" t="s">
        <v>138</v>
      </c>
      <c r="E33" t="s">
        <v>139</v>
      </c>
    </row>
    <row r="34" spans="3:5">
      <c r="C34" s="1" t="s">
        <v>140</v>
      </c>
      <c r="D34" t="s">
        <v>138</v>
      </c>
      <c r="E34" t="s">
        <v>79</v>
      </c>
    </row>
    <row r="35" spans="3:5">
      <c r="C35" s="1" t="s">
        <v>141</v>
      </c>
      <c r="D35" t="s">
        <v>142</v>
      </c>
      <c r="E35" t="s">
        <v>79</v>
      </c>
    </row>
    <row r="36" spans="3:5">
      <c r="C36" s="1" t="s">
        <v>143</v>
      </c>
      <c r="D36" t="s">
        <v>144</v>
      </c>
      <c r="E36" t="s">
        <v>79</v>
      </c>
    </row>
    <row r="37" spans="3:5">
      <c r="C37" s="1" t="s">
        <v>145</v>
      </c>
      <c r="D37" t="s">
        <v>146</v>
      </c>
      <c r="E37" t="s">
        <v>79</v>
      </c>
    </row>
    <row r="38" spans="3:5">
      <c r="C38" s="1" t="s">
        <v>147</v>
      </c>
      <c r="D38" t="s">
        <v>148</v>
      </c>
      <c r="E38" t="s">
        <v>79</v>
      </c>
    </row>
    <row r="39" spans="3:5">
      <c r="C39" s="1" t="s">
        <v>149</v>
      </c>
      <c r="D39" t="s">
        <v>150</v>
      </c>
      <c r="E39" t="s">
        <v>79</v>
      </c>
    </row>
    <row r="40" spans="3:5">
      <c r="C40" s="1" t="s">
        <v>151</v>
      </c>
      <c r="D40" t="s">
        <v>152</v>
      </c>
      <c r="E40" t="s">
        <v>79</v>
      </c>
    </row>
    <row r="41" spans="3:5">
      <c r="C41" s="1" t="s">
        <v>153</v>
      </c>
      <c r="D41" t="s">
        <v>154</v>
      </c>
      <c r="E41" t="s">
        <v>79</v>
      </c>
    </row>
    <row r="42" spans="3:5">
      <c r="C42" s="1" t="s">
        <v>155</v>
      </c>
      <c r="D42" t="s">
        <v>156</v>
      </c>
      <c r="E42" t="s">
        <v>79</v>
      </c>
    </row>
  </sheetData>
  <sortState ref="H2:I42">
    <sortCondition ref="H2:H42"/>
  </sortState>
  <mergeCells count="1">
    <mergeCell ref="G2:G26"/>
  </mergeCells>
  <hyperlinks>
    <hyperlink ref="C3" r:id="rId1" display="mailto:lizardiharp@earthlink.net"/>
    <hyperlink ref="C4" r:id="rId2" display="mailto:sistercarrie01@gmail.com"/>
    <hyperlink ref="C5" r:id="rId3" display="mailto:Bobbiekar@gmail.com"/>
    <hyperlink ref="C6" r:id="rId4" display="mailto:ptcruiser@putermail.com"/>
    <hyperlink ref="C7" r:id="rId5" display="mailto:azn.jwmson@gmail.com"/>
    <hyperlink ref="C8" r:id="rId6" display="mailto:bobtobias@verizon.net"/>
    <hyperlink ref="C9" r:id="rId7" display="mailto:mirasreviews@aol.com"/>
    <hyperlink ref="C10" r:id="rId8" display="mailto:zackabroad@hotmail.com"/>
    <hyperlink ref="C11" r:id="rId9" display="http://tomjaeger33@yahoo.com/"/>
    <hyperlink ref="C12" r:id="rId10" display="mailto:AngelasReviews@gmail.com"/>
    <hyperlink ref="C13" r:id="rId11" display="mailto:cfamazon@yahoo.com"/>
    <hyperlink ref="C14" r:id="rId12" display="mailto:find_it@savvysleuth.com"/>
    <hyperlink ref="C15" r:id="rId13" display="mailto:dlw@trutor.net"/>
    <hyperlink ref="C16" r:id="rId14" display="mailto:mystery.reviewer50@gmail.com"/>
    <hyperlink ref="C17" r:id="rId15" display="mailto:Biz.TechTidbits@gmail.com"/>
    <hyperlink ref="C18" r:id="rId16" display="mailto:KRN@usa.com"/>
    <hyperlink ref="C19" r:id="rId17" display="mailto:info@deeptrancenow.com"/>
    <hyperlink ref="C20" r:id="rId18" display="mailto:coffeeramblings@hotmail.com"/>
    <hyperlink ref="C21" r:id="rId19" display="mailto:rileybirder@gmail.com"/>
    <hyperlink ref="C22" r:id="rId20" display="mailto:Subscribers1952@comcast.net"/>
    <hyperlink ref="C23" r:id="rId21" display="mailto:beckygardensreviews@gmail.com"/>
    <hyperlink ref="C24" r:id="rId22" display="mailto:diana@buzzardseyeview.com"/>
    <hyperlink ref="C25" r:id="rId23" display="mailto:32brie@sbcglobal.net"/>
    <hyperlink ref="C26" r:id="rId24" display="mailto:avidreviewer@hotmail.com"/>
    <hyperlink ref="C27" r:id="rId25" display="mailto:titleteacherk5@gmail.com"/>
    <hyperlink ref="C28" r:id="rId26" display="mailto:amazon@lisashea.com"/>
    <hyperlink ref="C29" r:id="rId27" display="mailto:amazonreviews666@gmail.com"/>
    <hyperlink ref="C30" r:id="rId28" display="mailto:rayzul14710@yahoo.com"/>
    <hyperlink ref="C31" r:id="rId29" display="mailto:drjlmurphy@aol.com"/>
    <hyperlink ref="C32" r:id="rId30" display="mailto:frkurt@yahoo.com"/>
    <hyperlink ref="C33" r:id="rId31" display="mailto:crculver@christopherculver.com"/>
    <hyperlink ref="C34" r:id="rId32" display="mailto:alexanderphd@msn.com"/>
    <hyperlink ref="C35" r:id="rId33" display="mailto:richa3@gol.net.gy"/>
    <hyperlink ref="C36" r:id="rId34" display="mailto:mannaent@hiwaay.net"/>
    <hyperlink ref="C37" r:id="rId35" display="mailto:outlawpoet1970@gmail.com"/>
    <hyperlink ref="C38" r:id="rId36" display="mailto:omars1234@gmail.com"/>
    <hyperlink ref="C39" r:id="rId37" display="mailto:khemprof1a@yahoo.com"/>
    <hyperlink ref="C40" r:id="rId38" display="mailto:ccirish@att.net"/>
    <hyperlink ref="C41" r:id="rId39" display="mailto:rogerbrunyate@gmail.com"/>
    <hyperlink ref="C42" r:id="rId40"/>
  </hyperlinks>
  <pageMargins left="0.7" right="0.7" top="0.75" bottom="0.75" header="0.3" footer="0.3"/>
  <pageSetup orientation="portrait" r:id="rId41"/>
</worksheet>
</file>

<file path=xl/worksheets/sheet4.xml><?xml version="1.0" encoding="utf-8"?>
<worksheet xmlns="http://schemas.openxmlformats.org/spreadsheetml/2006/main" xmlns:r="http://schemas.openxmlformats.org/officeDocument/2006/relationships">
  <dimension ref="A1:H44"/>
  <sheetViews>
    <sheetView topLeftCell="A25" workbookViewId="0">
      <selection activeCell="E4" sqref="E4"/>
    </sheetView>
  </sheetViews>
  <sheetFormatPr defaultRowHeight="15"/>
  <cols>
    <col min="1" max="1" width="31.42578125" customWidth="1"/>
  </cols>
  <sheetData>
    <row r="1" spans="1:8" s="2" customFormat="1">
      <c r="A1" s="2" t="s">
        <v>223</v>
      </c>
      <c r="B1" s="2" t="s">
        <v>224</v>
      </c>
      <c r="C1" s="2" t="s">
        <v>173</v>
      </c>
      <c r="D1" s="2" t="s">
        <v>225</v>
      </c>
      <c r="E1" s="2" t="s">
        <v>228</v>
      </c>
    </row>
    <row r="2" spans="1:8">
      <c r="A2" s="21" t="s">
        <v>177</v>
      </c>
      <c r="B2">
        <v>4</v>
      </c>
      <c r="C2" t="s">
        <v>227</v>
      </c>
      <c r="D2" s="20">
        <v>423592</v>
      </c>
      <c r="E2">
        <f>AVERAGE(4.99,0.99,19.89)</f>
        <v>8.6233333333333331</v>
      </c>
      <c r="H2" t="s">
        <v>237</v>
      </c>
    </row>
    <row r="3" spans="1:8">
      <c r="A3" s="23" t="s">
        <v>226</v>
      </c>
      <c r="B3">
        <v>5</v>
      </c>
      <c r="C3">
        <v>8</v>
      </c>
      <c r="D3" s="20">
        <v>877702</v>
      </c>
      <c r="H3" t="s">
        <v>238</v>
      </c>
    </row>
    <row r="4" spans="1:8">
      <c r="A4" s="24" t="s">
        <v>188</v>
      </c>
      <c r="B4">
        <v>7</v>
      </c>
      <c r="C4" t="s">
        <v>229</v>
      </c>
      <c r="D4" s="20">
        <v>482944</v>
      </c>
      <c r="E4">
        <f>AVERAGE(6.12,10.21,138.22)</f>
        <v>51.516666666666673</v>
      </c>
      <c r="H4" t="s">
        <v>305</v>
      </c>
    </row>
    <row r="5" spans="1:8">
      <c r="A5" s="21" t="s">
        <v>193</v>
      </c>
      <c r="B5">
        <v>7</v>
      </c>
      <c r="C5" t="s">
        <v>230</v>
      </c>
      <c r="D5" s="20">
        <v>226947</v>
      </c>
      <c r="E5">
        <f>AVERAGE(5.35,4.99,5.69,3.99)</f>
        <v>5.0050000000000008</v>
      </c>
      <c r="H5" t="s">
        <v>321</v>
      </c>
    </row>
    <row r="6" spans="1:8">
      <c r="A6" s="22" t="s">
        <v>184</v>
      </c>
      <c r="B6">
        <v>7</v>
      </c>
      <c r="C6" t="s">
        <v>220</v>
      </c>
      <c r="D6" t="s">
        <v>219</v>
      </c>
      <c r="H6" t="s">
        <v>322</v>
      </c>
    </row>
    <row r="7" spans="1:8">
      <c r="A7" s="24" t="s">
        <v>179</v>
      </c>
      <c r="B7">
        <v>8</v>
      </c>
      <c r="C7" t="s">
        <v>231</v>
      </c>
      <c r="D7" s="20">
        <v>423592</v>
      </c>
      <c r="E7">
        <f>AVERAGE(4.99,0.99,1.99)</f>
        <v>2.6566666666666667</v>
      </c>
      <c r="H7" t="s">
        <v>323</v>
      </c>
    </row>
    <row r="8" spans="1:8">
      <c r="A8" s="24" t="s">
        <v>181</v>
      </c>
      <c r="B8">
        <v>9</v>
      </c>
      <c r="C8" t="s">
        <v>231</v>
      </c>
      <c r="D8" s="20">
        <v>423592</v>
      </c>
      <c r="E8">
        <f>AVERAGE(4.99,0.99,1.99,6.95)</f>
        <v>3.7300000000000004</v>
      </c>
    </row>
    <row r="9" spans="1:8">
      <c r="A9" s="24" t="s">
        <v>190</v>
      </c>
      <c r="B9">
        <v>11</v>
      </c>
      <c r="C9" t="s">
        <v>232</v>
      </c>
      <c r="D9" s="20">
        <v>423592</v>
      </c>
      <c r="E9">
        <f>AVERAGE(4.99,0.99)</f>
        <v>2.99</v>
      </c>
    </row>
    <row r="10" spans="1:8">
      <c r="A10" s="23" t="s">
        <v>211</v>
      </c>
      <c r="B10">
        <v>10</v>
      </c>
      <c r="C10" t="s">
        <v>233</v>
      </c>
      <c r="D10">
        <v>390.005</v>
      </c>
      <c r="E10">
        <f>AVERAGE(2.99,0.99,3.99)</f>
        <v>2.6566666666666667</v>
      </c>
    </row>
    <row r="11" spans="1:8" ht="21">
      <c r="A11" s="22" t="s">
        <v>182</v>
      </c>
      <c r="B11">
        <v>10</v>
      </c>
      <c r="C11" t="s">
        <v>220</v>
      </c>
      <c r="D11" t="s">
        <v>219</v>
      </c>
      <c r="H11" s="50" t="s">
        <v>324</v>
      </c>
    </row>
    <row r="12" spans="1:8">
      <c r="A12" s="22" t="s">
        <v>185</v>
      </c>
      <c r="B12">
        <v>11</v>
      </c>
      <c r="C12" t="s">
        <v>221</v>
      </c>
      <c r="D12" t="s">
        <v>222</v>
      </c>
      <c r="H12" t="s">
        <v>325</v>
      </c>
    </row>
    <row r="13" spans="1:8">
      <c r="A13" s="23" t="s">
        <v>178</v>
      </c>
      <c r="B13">
        <v>15</v>
      </c>
      <c r="C13" t="s">
        <v>231</v>
      </c>
      <c r="D13" s="20">
        <v>423592</v>
      </c>
      <c r="E13">
        <f>AVERAGE(4.99,0.99,6.95)</f>
        <v>4.3099999999999996</v>
      </c>
      <c r="H13" t="s">
        <v>326</v>
      </c>
    </row>
    <row r="14" spans="1:8">
      <c r="A14" s="23" t="s">
        <v>192</v>
      </c>
      <c r="B14">
        <v>13</v>
      </c>
      <c r="C14" s="19" t="s">
        <v>236</v>
      </c>
      <c r="D14" s="20">
        <v>226946</v>
      </c>
      <c r="E14">
        <f>AVERAGE(5.35,14.6,9.01)</f>
        <v>9.6533333333333342</v>
      </c>
      <c r="H14" t="s">
        <v>327</v>
      </c>
    </row>
    <row r="15" spans="1:8">
      <c r="A15" s="24" t="s">
        <v>234</v>
      </c>
      <c r="B15">
        <v>7</v>
      </c>
      <c r="C15" s="19" t="s">
        <v>235</v>
      </c>
      <c r="D15" s="20">
        <v>226947</v>
      </c>
      <c r="E15">
        <f>AVERAGE(5.35,14.6,9.01)</f>
        <v>9.6533333333333342</v>
      </c>
    </row>
    <row r="16" spans="1:8" ht="21">
      <c r="A16" t="s">
        <v>194</v>
      </c>
      <c r="B16" t="s">
        <v>218</v>
      </c>
      <c r="H16" s="50" t="s">
        <v>328</v>
      </c>
    </row>
    <row r="17" spans="1:8">
      <c r="A17" t="s">
        <v>195</v>
      </c>
      <c r="B17" t="s">
        <v>218</v>
      </c>
      <c r="H17" t="s">
        <v>329</v>
      </c>
    </row>
    <row r="18" spans="1:8">
      <c r="A18" t="s">
        <v>196</v>
      </c>
      <c r="B18" t="s">
        <v>218</v>
      </c>
      <c r="H18" t="s">
        <v>330</v>
      </c>
    </row>
    <row r="19" spans="1:8">
      <c r="A19" t="s">
        <v>197</v>
      </c>
      <c r="B19" t="s">
        <v>218</v>
      </c>
    </row>
    <row r="20" spans="1:8" ht="21">
      <c r="A20" t="s">
        <v>198</v>
      </c>
      <c r="B20" t="s">
        <v>218</v>
      </c>
      <c r="H20" s="50" t="s">
        <v>331</v>
      </c>
    </row>
    <row r="21" spans="1:8">
      <c r="A21" t="s">
        <v>199</v>
      </c>
      <c r="B21" t="s">
        <v>218</v>
      </c>
      <c r="H21" t="s">
        <v>336</v>
      </c>
    </row>
    <row r="22" spans="1:8">
      <c r="A22" t="s">
        <v>186</v>
      </c>
      <c r="B22" t="s">
        <v>218</v>
      </c>
    </row>
    <row r="23" spans="1:8" ht="21">
      <c r="A23" t="s">
        <v>200</v>
      </c>
      <c r="B23" t="s">
        <v>218</v>
      </c>
      <c r="H23" s="50" t="s">
        <v>332</v>
      </c>
    </row>
    <row r="24" spans="1:8">
      <c r="A24" t="s">
        <v>201</v>
      </c>
      <c r="B24" t="s">
        <v>218</v>
      </c>
      <c r="H24" t="s">
        <v>333</v>
      </c>
    </row>
    <row r="25" spans="1:8">
      <c r="A25" t="s">
        <v>202</v>
      </c>
      <c r="B25" t="s">
        <v>218</v>
      </c>
    </row>
    <row r="26" spans="1:8" ht="21">
      <c r="A26" t="s">
        <v>180</v>
      </c>
      <c r="B26" t="s">
        <v>218</v>
      </c>
      <c r="H26" s="50" t="s">
        <v>334</v>
      </c>
    </row>
    <row r="27" spans="1:8">
      <c r="A27" t="s">
        <v>203</v>
      </c>
      <c r="B27" t="s">
        <v>218</v>
      </c>
      <c r="H27" t="s">
        <v>335</v>
      </c>
    </row>
    <row r="28" spans="1:8">
      <c r="A28" t="s">
        <v>204</v>
      </c>
      <c r="B28" t="s">
        <v>218</v>
      </c>
    </row>
    <row r="29" spans="1:8">
      <c r="A29" t="s">
        <v>205</v>
      </c>
      <c r="B29" t="s">
        <v>218</v>
      </c>
    </row>
    <row r="30" spans="1:8">
      <c r="A30" t="s">
        <v>206</v>
      </c>
      <c r="B30" t="s">
        <v>218</v>
      </c>
    </row>
    <row r="31" spans="1:8">
      <c r="A31" t="s">
        <v>207</v>
      </c>
      <c r="B31" t="s">
        <v>218</v>
      </c>
    </row>
    <row r="32" spans="1:8">
      <c r="A32" t="s">
        <v>191</v>
      </c>
      <c r="B32" t="s">
        <v>218</v>
      </c>
    </row>
    <row r="33" spans="1:2">
      <c r="A33" t="s">
        <v>187</v>
      </c>
      <c r="B33" t="s">
        <v>218</v>
      </c>
    </row>
    <row r="34" spans="1:2">
      <c r="A34" t="s">
        <v>189</v>
      </c>
      <c r="B34" t="s">
        <v>218</v>
      </c>
    </row>
    <row r="35" spans="1:2">
      <c r="A35" t="s">
        <v>208</v>
      </c>
      <c r="B35" t="s">
        <v>218</v>
      </c>
    </row>
    <row r="36" spans="1:2">
      <c r="A36" t="s">
        <v>209</v>
      </c>
      <c r="B36" t="s">
        <v>218</v>
      </c>
    </row>
    <row r="37" spans="1:2">
      <c r="A37" t="s">
        <v>210</v>
      </c>
      <c r="B37" t="s">
        <v>218</v>
      </c>
    </row>
    <row r="38" spans="1:2">
      <c r="A38" t="s">
        <v>212</v>
      </c>
      <c r="B38" t="s">
        <v>218</v>
      </c>
    </row>
    <row r="39" spans="1:2">
      <c r="A39" t="s">
        <v>183</v>
      </c>
      <c r="B39" t="s">
        <v>218</v>
      </c>
    </row>
    <row r="40" spans="1:2">
      <c r="A40" t="s">
        <v>213</v>
      </c>
      <c r="B40" t="s">
        <v>218</v>
      </c>
    </row>
    <row r="41" spans="1:2">
      <c r="A41" t="s">
        <v>214</v>
      </c>
      <c r="B41" t="s">
        <v>218</v>
      </c>
    </row>
    <row r="42" spans="1:2">
      <c r="A42" t="s">
        <v>215</v>
      </c>
      <c r="B42" t="s">
        <v>218</v>
      </c>
    </row>
    <row r="43" spans="1:2">
      <c r="A43" t="s">
        <v>216</v>
      </c>
      <c r="B43" t="s">
        <v>218</v>
      </c>
    </row>
    <row r="44" spans="1:2">
      <c r="A44" t="s">
        <v>217</v>
      </c>
      <c r="B44" t="s">
        <v>218</v>
      </c>
    </row>
  </sheetData>
  <sortState ref="A2:D43">
    <sortCondition ref="B1"/>
  </sortState>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dimension ref="A1:K91"/>
  <sheetViews>
    <sheetView topLeftCell="A40" workbookViewId="0">
      <selection activeCell="K81" sqref="K81"/>
    </sheetView>
  </sheetViews>
  <sheetFormatPr defaultRowHeight="15"/>
  <cols>
    <col min="1" max="2" width="25.7109375" style="38" customWidth="1"/>
    <col min="3" max="3" width="28.85546875" customWidth="1"/>
  </cols>
  <sheetData>
    <row r="1" spans="1:11">
      <c r="A1" s="85" t="s">
        <v>275</v>
      </c>
      <c r="B1" s="85"/>
      <c r="C1" s="85" t="s">
        <v>276</v>
      </c>
      <c r="D1" s="85"/>
      <c r="E1" s="85"/>
      <c r="F1" s="86" t="s">
        <v>337</v>
      </c>
      <c r="G1" s="86"/>
      <c r="H1" s="86"/>
      <c r="I1" s="86"/>
      <c r="J1" s="86"/>
      <c r="K1" s="86"/>
    </row>
    <row r="2" spans="1:11">
      <c r="A2" s="53" t="s">
        <v>345</v>
      </c>
      <c r="B2" s="53" t="s">
        <v>346</v>
      </c>
      <c r="C2" t="s">
        <v>47</v>
      </c>
      <c r="D2" t="s">
        <v>48</v>
      </c>
      <c r="E2" t="s">
        <v>49</v>
      </c>
      <c r="F2" t="s">
        <v>338</v>
      </c>
      <c r="G2" t="s">
        <v>340</v>
      </c>
      <c r="H2" t="s">
        <v>339</v>
      </c>
      <c r="I2" t="s">
        <v>344</v>
      </c>
      <c r="J2" s="86" t="s">
        <v>642</v>
      </c>
      <c r="K2" s="86"/>
    </row>
    <row r="3" spans="1:11">
      <c r="A3" s="39" t="s">
        <v>4</v>
      </c>
      <c r="B3" t="s">
        <v>342</v>
      </c>
      <c r="C3" t="s">
        <v>74</v>
      </c>
      <c r="D3" t="s">
        <v>75</v>
      </c>
      <c r="E3" t="s">
        <v>76</v>
      </c>
    </row>
    <row r="4" spans="1:11">
      <c r="A4" s="39" t="s">
        <v>5</v>
      </c>
      <c r="B4" t="s">
        <v>342</v>
      </c>
      <c r="C4" s="1" t="s">
        <v>77</v>
      </c>
      <c r="D4" t="s">
        <v>78</v>
      </c>
      <c r="E4" t="s">
        <v>79</v>
      </c>
      <c r="F4" t="s">
        <v>76</v>
      </c>
      <c r="G4" t="s">
        <v>76</v>
      </c>
      <c r="H4" t="s">
        <v>343</v>
      </c>
      <c r="I4">
        <v>5</v>
      </c>
      <c r="J4" t="s">
        <v>485</v>
      </c>
    </row>
    <row r="5" spans="1:11">
      <c r="A5" s="39" t="s">
        <v>6</v>
      </c>
      <c r="B5" t="s">
        <v>347</v>
      </c>
      <c r="C5" s="1" t="s">
        <v>80</v>
      </c>
      <c r="D5" t="s">
        <v>81</v>
      </c>
      <c r="E5" t="s">
        <v>79</v>
      </c>
      <c r="F5" t="s">
        <v>76</v>
      </c>
    </row>
    <row r="6" spans="1:11">
      <c r="A6" s="9" t="s">
        <v>348</v>
      </c>
      <c r="B6" t="s">
        <v>349</v>
      </c>
      <c r="C6" s="1" t="s">
        <v>82</v>
      </c>
      <c r="D6" t="s">
        <v>83</v>
      </c>
      <c r="E6" t="s">
        <v>84</v>
      </c>
      <c r="F6" t="s">
        <v>76</v>
      </c>
    </row>
    <row r="7" spans="1:11">
      <c r="A7" s="9" t="s">
        <v>170</v>
      </c>
      <c r="B7" t="s">
        <v>342</v>
      </c>
      <c r="C7" s="1" t="s">
        <v>85</v>
      </c>
      <c r="D7" t="s">
        <v>86</v>
      </c>
      <c r="E7" t="s">
        <v>79</v>
      </c>
      <c r="F7" t="s">
        <v>76</v>
      </c>
    </row>
    <row r="8" spans="1:11">
      <c r="A8" s="38" t="s">
        <v>400</v>
      </c>
      <c r="B8" t="s">
        <v>342</v>
      </c>
      <c r="C8" s="1" t="s">
        <v>87</v>
      </c>
      <c r="D8" t="s">
        <v>88</v>
      </c>
      <c r="E8" t="s">
        <v>79</v>
      </c>
      <c r="F8" t="s">
        <v>76</v>
      </c>
    </row>
    <row r="9" spans="1:11">
      <c r="A9" s="39" t="s">
        <v>350</v>
      </c>
      <c r="B9" t="s">
        <v>347</v>
      </c>
      <c r="C9" s="1" t="s">
        <v>89</v>
      </c>
      <c r="D9" t="s">
        <v>90</v>
      </c>
      <c r="E9" t="s">
        <v>84</v>
      </c>
      <c r="F9" t="s">
        <v>76</v>
      </c>
      <c r="G9" t="s">
        <v>76</v>
      </c>
      <c r="H9" t="s">
        <v>342</v>
      </c>
      <c r="I9" t="s">
        <v>406</v>
      </c>
      <c r="J9" t="s">
        <v>643</v>
      </c>
      <c r="K9" t="s">
        <v>645</v>
      </c>
    </row>
    <row r="10" spans="1:11">
      <c r="A10" s="39" t="s">
        <v>11</v>
      </c>
      <c r="B10" t="s">
        <v>342</v>
      </c>
      <c r="C10" s="1" t="s">
        <v>91</v>
      </c>
      <c r="D10" t="s">
        <v>92</v>
      </c>
      <c r="E10" t="s">
        <v>79</v>
      </c>
      <c r="F10" t="s">
        <v>76</v>
      </c>
    </row>
    <row r="11" spans="1:11">
      <c r="A11" s="39" t="s">
        <v>12</v>
      </c>
      <c r="B11" t="s">
        <v>342</v>
      </c>
      <c r="C11" s="1" t="s">
        <v>93</v>
      </c>
      <c r="D11" t="s">
        <v>94</v>
      </c>
      <c r="E11" t="s">
        <v>79</v>
      </c>
      <c r="F11" t="s">
        <v>76</v>
      </c>
    </row>
    <row r="12" spans="1:11">
      <c r="A12" s="39" t="s">
        <v>13</v>
      </c>
      <c r="B12" t="s">
        <v>392</v>
      </c>
      <c r="C12" s="1" t="s">
        <v>95</v>
      </c>
      <c r="D12" t="s">
        <v>96</v>
      </c>
      <c r="E12" t="s">
        <v>79</v>
      </c>
      <c r="F12" t="s">
        <v>76</v>
      </c>
    </row>
    <row r="13" spans="1:11">
      <c r="A13" s="39" t="s">
        <v>16</v>
      </c>
      <c r="B13" t="s">
        <v>347</v>
      </c>
      <c r="C13" s="1" t="s">
        <v>97</v>
      </c>
      <c r="D13" t="s">
        <v>98</v>
      </c>
      <c r="E13" t="s">
        <v>79</v>
      </c>
      <c r="F13" t="s">
        <v>76</v>
      </c>
    </row>
    <row r="14" spans="1:11">
      <c r="A14" s="39" t="s">
        <v>17</v>
      </c>
      <c r="B14" t="s">
        <v>342</v>
      </c>
      <c r="C14" s="1" t="s">
        <v>99</v>
      </c>
      <c r="D14" t="s">
        <v>100</v>
      </c>
      <c r="E14" t="s">
        <v>79</v>
      </c>
      <c r="F14" t="s">
        <v>76</v>
      </c>
    </row>
    <row r="15" spans="1:11">
      <c r="A15" s="39" t="s">
        <v>18</v>
      </c>
      <c r="B15" t="s">
        <v>497</v>
      </c>
      <c r="C15" s="1" t="s">
        <v>101</v>
      </c>
      <c r="D15" t="s">
        <v>102</v>
      </c>
      <c r="E15" t="s">
        <v>79</v>
      </c>
      <c r="F15" t="s">
        <v>76</v>
      </c>
    </row>
    <row r="16" spans="1:11">
      <c r="A16" s="39" t="s">
        <v>19</v>
      </c>
      <c r="B16" t="s">
        <v>342</v>
      </c>
      <c r="C16" s="1" t="s">
        <v>103</v>
      </c>
      <c r="D16" t="s">
        <v>104</v>
      </c>
      <c r="E16" t="s">
        <v>79</v>
      </c>
      <c r="F16" t="s">
        <v>76</v>
      </c>
    </row>
    <row r="17" spans="1:10">
      <c r="A17" s="39" t="s">
        <v>20</v>
      </c>
      <c r="B17" t="s">
        <v>485</v>
      </c>
      <c r="C17" s="1" t="s">
        <v>105</v>
      </c>
      <c r="D17" t="s">
        <v>106</v>
      </c>
      <c r="E17" t="s">
        <v>79</v>
      </c>
      <c r="F17" t="s">
        <v>76</v>
      </c>
    </row>
    <row r="18" spans="1:10">
      <c r="A18" s="39" t="s">
        <v>21</v>
      </c>
      <c r="B18" t="s">
        <v>347</v>
      </c>
      <c r="C18" s="1" t="s">
        <v>107</v>
      </c>
      <c r="D18" t="s">
        <v>341</v>
      </c>
      <c r="E18" t="s">
        <v>79</v>
      </c>
      <c r="F18" t="s">
        <v>76</v>
      </c>
      <c r="G18" t="s">
        <v>76</v>
      </c>
      <c r="H18" t="s">
        <v>343</v>
      </c>
      <c r="I18" t="s">
        <v>406</v>
      </c>
      <c r="J18" t="s">
        <v>643</v>
      </c>
    </row>
    <row r="19" spans="1:10">
      <c r="A19" s="39" t="s">
        <v>22</v>
      </c>
      <c r="B19" t="s">
        <v>485</v>
      </c>
      <c r="C19" s="1" t="s">
        <v>108</v>
      </c>
      <c r="D19" t="s">
        <v>109</v>
      </c>
      <c r="E19" t="s">
        <v>79</v>
      </c>
      <c r="F19" t="s">
        <v>76</v>
      </c>
    </row>
    <row r="20" spans="1:10">
      <c r="A20" s="39" t="s">
        <v>431</v>
      </c>
      <c r="B20" t="s">
        <v>342</v>
      </c>
      <c r="C20" s="1" t="s">
        <v>110</v>
      </c>
      <c r="D20" t="s">
        <v>111</v>
      </c>
      <c r="E20" t="s">
        <v>79</v>
      </c>
      <c r="F20" t="s">
        <v>76</v>
      </c>
    </row>
    <row r="21" spans="1:10">
      <c r="A21" s="39" t="s">
        <v>260</v>
      </c>
      <c r="B21" t="s">
        <v>498</v>
      </c>
      <c r="C21" s="1" t="s">
        <v>112</v>
      </c>
      <c r="D21" t="s">
        <v>113</v>
      </c>
      <c r="E21" t="s">
        <v>79</v>
      </c>
      <c r="F21" t="s">
        <v>76</v>
      </c>
    </row>
    <row r="22" spans="1:10">
      <c r="A22" s="39" t="s">
        <v>261</v>
      </c>
      <c r="B22" t="s">
        <v>347</v>
      </c>
      <c r="C22" s="1" t="s">
        <v>114</v>
      </c>
      <c r="D22" t="s">
        <v>115</v>
      </c>
      <c r="E22" t="s">
        <v>79</v>
      </c>
      <c r="F22" t="s">
        <v>76</v>
      </c>
    </row>
    <row r="23" spans="1:10">
      <c r="A23" s="39" t="s">
        <v>262</v>
      </c>
      <c r="B23"/>
      <c r="C23" s="1" t="s">
        <v>116</v>
      </c>
      <c r="D23" t="s">
        <v>117</v>
      </c>
      <c r="E23" t="s">
        <v>79</v>
      </c>
      <c r="F23" t="s">
        <v>76</v>
      </c>
    </row>
    <row r="24" spans="1:10">
      <c r="A24" s="39" t="s">
        <v>263</v>
      </c>
      <c r="B24" t="s">
        <v>342</v>
      </c>
      <c r="C24" s="1" t="s">
        <v>118</v>
      </c>
      <c r="D24" t="s">
        <v>119</v>
      </c>
      <c r="E24" t="s">
        <v>79</v>
      </c>
      <c r="F24" t="s">
        <v>76</v>
      </c>
    </row>
    <row r="25" spans="1:10">
      <c r="A25" s="39" t="s">
        <v>264</v>
      </c>
      <c r="B25" t="s">
        <v>499</v>
      </c>
      <c r="C25" s="1" t="s">
        <v>120</v>
      </c>
      <c r="D25" t="s">
        <v>121</v>
      </c>
      <c r="E25" t="s">
        <v>79</v>
      </c>
      <c r="F25" t="s">
        <v>76</v>
      </c>
    </row>
    <row r="26" spans="1:10">
      <c r="A26" s="39" t="s">
        <v>265</v>
      </c>
      <c r="B26" t="s">
        <v>342</v>
      </c>
      <c r="C26" s="1" t="s">
        <v>122</v>
      </c>
      <c r="D26" t="s">
        <v>123</v>
      </c>
      <c r="E26" t="s">
        <v>79</v>
      </c>
      <c r="F26" t="s">
        <v>76</v>
      </c>
    </row>
    <row r="27" spans="1:10">
      <c r="A27" s="39" t="s">
        <v>266</v>
      </c>
      <c r="B27"/>
      <c r="C27" s="1" t="s">
        <v>124</v>
      </c>
      <c r="D27" t="s">
        <v>125</v>
      </c>
      <c r="E27" t="s">
        <v>79</v>
      </c>
      <c r="F27" t="s">
        <v>76</v>
      </c>
    </row>
    <row r="28" spans="1:10">
      <c r="A28" s="39" t="s">
        <v>267</v>
      </c>
      <c r="B28" t="s">
        <v>500</v>
      </c>
      <c r="C28" s="1" t="s">
        <v>126</v>
      </c>
      <c r="D28" t="s">
        <v>127</v>
      </c>
      <c r="E28" t="s">
        <v>79</v>
      </c>
      <c r="F28" t="s">
        <v>76</v>
      </c>
    </row>
    <row r="29" spans="1:10">
      <c r="A29" s="39" t="s">
        <v>268</v>
      </c>
      <c r="B29" t="s">
        <v>342</v>
      </c>
      <c r="C29" s="1" t="s">
        <v>128</v>
      </c>
      <c r="D29" t="s">
        <v>129</v>
      </c>
      <c r="E29" t="s">
        <v>79</v>
      </c>
      <c r="F29" t="s">
        <v>76</v>
      </c>
    </row>
    <row r="30" spans="1:10">
      <c r="A30" s="39" t="s">
        <v>270</v>
      </c>
      <c r="B30" t="s">
        <v>342</v>
      </c>
      <c r="C30" s="1" t="s">
        <v>130</v>
      </c>
      <c r="D30" t="s">
        <v>131</v>
      </c>
      <c r="E30" t="s">
        <v>79</v>
      </c>
      <c r="F30" t="s">
        <v>76</v>
      </c>
    </row>
    <row r="31" spans="1:10">
      <c r="A31" s="39" t="s">
        <v>271</v>
      </c>
      <c r="B31" t="s">
        <v>501</v>
      </c>
      <c r="C31" s="1" t="s">
        <v>132</v>
      </c>
      <c r="D31" t="s">
        <v>133</v>
      </c>
      <c r="E31" t="s">
        <v>79</v>
      </c>
      <c r="F31" t="s">
        <v>76</v>
      </c>
    </row>
    <row r="32" spans="1:10">
      <c r="A32" s="39" t="s">
        <v>272</v>
      </c>
      <c r="B32"/>
      <c r="C32" s="1" t="s">
        <v>134</v>
      </c>
      <c r="D32" t="s">
        <v>88</v>
      </c>
      <c r="E32" t="s">
        <v>79</v>
      </c>
      <c r="F32" t="s">
        <v>76</v>
      </c>
    </row>
    <row r="33" spans="1:10">
      <c r="A33" s="4" t="s">
        <v>23</v>
      </c>
      <c r="B33"/>
      <c r="C33" s="1" t="s">
        <v>135</v>
      </c>
      <c r="D33" t="s">
        <v>136</v>
      </c>
      <c r="E33" t="s">
        <v>79</v>
      </c>
      <c r="F33" t="s">
        <v>76</v>
      </c>
    </row>
    <row r="34" spans="1:10">
      <c r="A34" s="4" t="s">
        <v>24</v>
      </c>
      <c r="B34"/>
      <c r="C34" s="1" t="s">
        <v>137</v>
      </c>
      <c r="D34" t="s">
        <v>138</v>
      </c>
      <c r="E34" t="s">
        <v>139</v>
      </c>
      <c r="F34" t="s">
        <v>76</v>
      </c>
    </row>
    <row r="35" spans="1:10">
      <c r="A35" s="4" t="s">
        <v>25</v>
      </c>
      <c r="B35" t="s">
        <v>393</v>
      </c>
      <c r="C35" s="1" t="s">
        <v>405</v>
      </c>
      <c r="D35" t="s">
        <v>138</v>
      </c>
      <c r="E35" t="s">
        <v>79</v>
      </c>
      <c r="F35" t="s">
        <v>76</v>
      </c>
    </row>
    <row r="36" spans="1:10">
      <c r="A36" s="4" t="s">
        <v>27</v>
      </c>
      <c r="B36"/>
      <c r="C36" s="1" t="s">
        <v>141</v>
      </c>
      <c r="D36" t="s">
        <v>142</v>
      </c>
      <c r="E36" t="s">
        <v>79</v>
      </c>
      <c r="F36" t="s">
        <v>76</v>
      </c>
    </row>
    <row r="37" spans="1:10">
      <c r="A37" s="9"/>
      <c r="B37"/>
      <c r="C37" s="1" t="s">
        <v>143</v>
      </c>
      <c r="D37" t="s">
        <v>144</v>
      </c>
      <c r="E37" t="s">
        <v>79</v>
      </c>
      <c r="F37" t="s">
        <v>76</v>
      </c>
    </row>
    <row r="38" spans="1:10">
      <c r="A38" s="9"/>
      <c r="B38"/>
      <c r="C38" s="1" t="s">
        <v>145</v>
      </c>
      <c r="D38" t="s">
        <v>146</v>
      </c>
      <c r="E38" t="s">
        <v>79</v>
      </c>
      <c r="F38" t="s">
        <v>76</v>
      </c>
    </row>
    <row r="39" spans="1:10">
      <c r="A39" s="9"/>
      <c r="B39"/>
      <c r="C39" s="1" t="s">
        <v>147</v>
      </c>
      <c r="D39" t="s">
        <v>148</v>
      </c>
      <c r="E39" t="s">
        <v>79</v>
      </c>
      <c r="F39" t="s">
        <v>76</v>
      </c>
    </row>
    <row r="40" spans="1:10">
      <c r="A40" s="9" t="s">
        <v>309</v>
      </c>
      <c r="B40" t="s">
        <v>514</v>
      </c>
      <c r="C40" s="1" t="s">
        <v>149</v>
      </c>
      <c r="D40" t="s">
        <v>150</v>
      </c>
      <c r="E40" t="s">
        <v>79</v>
      </c>
      <c r="F40" t="s">
        <v>76</v>
      </c>
    </row>
    <row r="41" spans="1:10">
      <c r="A41" s="9"/>
      <c r="B41"/>
      <c r="C41" s="1" t="s">
        <v>151</v>
      </c>
      <c r="D41" t="s">
        <v>152</v>
      </c>
      <c r="E41" t="s">
        <v>79</v>
      </c>
      <c r="F41" t="s">
        <v>76</v>
      </c>
    </row>
    <row r="42" spans="1:10">
      <c r="A42" s="9" t="s">
        <v>311</v>
      </c>
      <c r="B42" t="s">
        <v>515</v>
      </c>
      <c r="C42" s="1" t="s">
        <v>153</v>
      </c>
      <c r="D42" t="s">
        <v>154</v>
      </c>
      <c r="E42" t="s">
        <v>79</v>
      </c>
      <c r="F42" t="s">
        <v>76</v>
      </c>
      <c r="G42" t="s">
        <v>76</v>
      </c>
      <c r="H42" t="s">
        <v>406</v>
      </c>
      <c r="I42" t="s">
        <v>485</v>
      </c>
      <c r="J42" t="s">
        <v>485</v>
      </c>
    </row>
    <row r="43" spans="1:10">
      <c r="A43" s="9" t="s">
        <v>312</v>
      </c>
      <c r="B43" t="s">
        <v>516</v>
      </c>
      <c r="C43" s="1" t="s">
        <v>155</v>
      </c>
      <c r="D43" t="s">
        <v>156</v>
      </c>
      <c r="E43" t="s">
        <v>79</v>
      </c>
      <c r="F43" t="s">
        <v>76</v>
      </c>
    </row>
    <row r="44" spans="1:10">
      <c r="A44" s="9" t="s">
        <v>313</v>
      </c>
      <c r="B44" t="s">
        <v>342</v>
      </c>
      <c r="C44" s="56" t="s">
        <v>407</v>
      </c>
      <c r="D44" t="s">
        <v>408</v>
      </c>
      <c r="E44" t="s">
        <v>409</v>
      </c>
      <c r="F44" t="s">
        <v>76</v>
      </c>
    </row>
    <row r="45" spans="1:10">
      <c r="A45" s="9" t="s">
        <v>314</v>
      </c>
      <c r="B45" t="s">
        <v>517</v>
      </c>
      <c r="C45" s="56" t="s">
        <v>410</v>
      </c>
      <c r="D45" t="s">
        <v>411</v>
      </c>
      <c r="E45" t="s">
        <v>409</v>
      </c>
      <c r="F45" t="s">
        <v>76</v>
      </c>
    </row>
    <row r="46" spans="1:10">
      <c r="A46" s="9"/>
      <c r="B46"/>
      <c r="C46" s="56" t="s">
        <v>412</v>
      </c>
      <c r="D46" t="s">
        <v>413</v>
      </c>
      <c r="E46" t="s">
        <v>409</v>
      </c>
      <c r="F46" t="s">
        <v>76</v>
      </c>
    </row>
    <row r="47" spans="1:10">
      <c r="A47" s="9"/>
      <c r="B47"/>
      <c r="C47" s="56" t="s">
        <v>414</v>
      </c>
      <c r="D47" t="s">
        <v>415</v>
      </c>
      <c r="E47" t="s">
        <v>409</v>
      </c>
      <c r="F47" t="s">
        <v>76</v>
      </c>
      <c r="G47" t="s">
        <v>76</v>
      </c>
      <c r="H47" t="s">
        <v>342</v>
      </c>
      <c r="I47" t="s">
        <v>406</v>
      </c>
      <c r="J47" t="s">
        <v>644</v>
      </c>
    </row>
    <row r="48" spans="1:10">
      <c r="A48" s="9" t="s">
        <v>317</v>
      </c>
      <c r="B48" t="s">
        <v>515</v>
      </c>
      <c r="C48" s="56" t="s">
        <v>416</v>
      </c>
      <c r="D48" t="s">
        <v>417</v>
      </c>
      <c r="E48" t="s">
        <v>409</v>
      </c>
      <c r="F48" t="s">
        <v>76</v>
      </c>
      <c r="G48" t="s">
        <v>76</v>
      </c>
      <c r="H48" t="s">
        <v>342</v>
      </c>
      <c r="I48" t="s">
        <v>406</v>
      </c>
      <c r="J48" t="s">
        <v>644</v>
      </c>
    </row>
    <row r="49" spans="1:10">
      <c r="A49" s="9" t="s">
        <v>318</v>
      </c>
      <c r="B49" t="s">
        <v>349</v>
      </c>
      <c r="C49" s="1" t="s">
        <v>483</v>
      </c>
      <c r="D49" t="s">
        <v>482</v>
      </c>
      <c r="E49" t="s">
        <v>481</v>
      </c>
      <c r="F49" t="s">
        <v>76</v>
      </c>
      <c r="G49" t="s">
        <v>76</v>
      </c>
      <c r="H49" t="s">
        <v>406</v>
      </c>
      <c r="I49" t="s">
        <v>485</v>
      </c>
      <c r="J49" t="s">
        <v>485</v>
      </c>
    </row>
    <row r="50" spans="1:10">
      <c r="B50"/>
      <c r="C50" s="1" t="s">
        <v>484</v>
      </c>
      <c r="D50" t="s">
        <v>485</v>
      </c>
      <c r="E50" t="s">
        <v>481</v>
      </c>
      <c r="F50" t="s">
        <v>76</v>
      </c>
    </row>
    <row r="51" spans="1:10">
      <c r="B51"/>
      <c r="C51" s="1" t="s">
        <v>486</v>
      </c>
      <c r="D51" t="s">
        <v>487</v>
      </c>
      <c r="E51" t="s">
        <v>481</v>
      </c>
      <c r="F51" t="s">
        <v>76</v>
      </c>
    </row>
    <row r="52" spans="1:10">
      <c r="B52"/>
      <c r="C52" s="1" t="s">
        <v>488</v>
      </c>
      <c r="D52" t="s">
        <v>489</v>
      </c>
      <c r="E52" t="s">
        <v>481</v>
      </c>
      <c r="F52" t="s">
        <v>76</v>
      </c>
    </row>
    <row r="53" spans="1:10">
      <c r="A53" s="38" t="s">
        <v>456</v>
      </c>
      <c r="B53" t="s">
        <v>347</v>
      </c>
      <c r="C53" s="1" t="s">
        <v>490</v>
      </c>
      <c r="D53" t="s">
        <v>491</v>
      </c>
      <c r="E53" t="s">
        <v>481</v>
      </c>
      <c r="F53" t="s">
        <v>76</v>
      </c>
    </row>
    <row r="54" spans="1:10">
      <c r="A54" s="38" t="s">
        <v>395</v>
      </c>
      <c r="B54" t="s">
        <v>349</v>
      </c>
      <c r="C54" s="1" t="s">
        <v>492</v>
      </c>
      <c r="D54" t="s">
        <v>156</v>
      </c>
      <c r="E54" t="s">
        <v>481</v>
      </c>
      <c r="F54" t="s">
        <v>76</v>
      </c>
    </row>
    <row r="55" spans="1:10">
      <c r="A55" s="38" t="s">
        <v>396</v>
      </c>
      <c r="B55" t="s">
        <v>517</v>
      </c>
      <c r="C55" t="s">
        <v>493</v>
      </c>
      <c r="D55" t="s">
        <v>494</v>
      </c>
      <c r="E55" t="s">
        <v>481</v>
      </c>
      <c r="F55" t="s">
        <v>76</v>
      </c>
      <c r="G55" t="s">
        <v>76</v>
      </c>
      <c r="H55" t="s">
        <v>343</v>
      </c>
      <c r="I55">
        <v>5</v>
      </c>
      <c r="J55" t="s">
        <v>485</v>
      </c>
    </row>
    <row r="56" spans="1:10">
      <c r="A56" s="38" t="s">
        <v>397</v>
      </c>
      <c r="B56" t="s">
        <v>342</v>
      </c>
      <c r="C56" s="1" t="s">
        <v>495</v>
      </c>
      <c r="D56" t="s">
        <v>496</v>
      </c>
      <c r="E56" t="s">
        <v>481</v>
      </c>
      <c r="F56" t="s">
        <v>76</v>
      </c>
      <c r="G56" t="s">
        <v>76</v>
      </c>
      <c r="H56" t="s">
        <v>406</v>
      </c>
      <c r="I56" t="s">
        <v>485</v>
      </c>
      <c r="J56" t="s">
        <v>485</v>
      </c>
    </row>
    <row r="57" spans="1:10">
      <c r="A57" s="38" t="s">
        <v>398</v>
      </c>
      <c r="B57" t="s">
        <v>342</v>
      </c>
      <c r="C57" t="s">
        <v>508</v>
      </c>
      <c r="D57" t="s">
        <v>485</v>
      </c>
      <c r="E57" t="s">
        <v>173</v>
      </c>
      <c r="F57" t="s">
        <v>76</v>
      </c>
    </row>
    <row r="58" spans="1:10">
      <c r="A58" s="38" t="s">
        <v>399</v>
      </c>
      <c r="B58" t="s">
        <v>342</v>
      </c>
      <c r="C58" t="s">
        <v>509</v>
      </c>
      <c r="D58" t="s">
        <v>98</v>
      </c>
      <c r="E58" t="s">
        <v>173</v>
      </c>
      <c r="F58" t="s">
        <v>76</v>
      </c>
    </row>
    <row r="59" spans="1:10">
      <c r="A59" s="38" t="s">
        <v>401</v>
      </c>
      <c r="B59" t="s">
        <v>342</v>
      </c>
      <c r="C59" t="s">
        <v>510</v>
      </c>
      <c r="D59" t="s">
        <v>485</v>
      </c>
      <c r="E59" t="s">
        <v>173</v>
      </c>
      <c r="F59" t="s">
        <v>76</v>
      </c>
    </row>
    <row r="60" spans="1:10">
      <c r="A60" s="38" t="s">
        <v>402</v>
      </c>
      <c r="B60" t="s">
        <v>519</v>
      </c>
      <c r="C60" t="s">
        <v>511</v>
      </c>
      <c r="D60" t="s">
        <v>485</v>
      </c>
      <c r="E60" t="s">
        <v>173</v>
      </c>
      <c r="F60" t="s">
        <v>76</v>
      </c>
    </row>
    <row r="61" spans="1:10">
      <c r="A61" s="38" t="s">
        <v>403</v>
      </c>
      <c r="B61" t="s">
        <v>520</v>
      </c>
      <c r="C61" s="1" t="s">
        <v>525</v>
      </c>
      <c r="D61" t="s">
        <v>526</v>
      </c>
      <c r="E61" t="s">
        <v>481</v>
      </c>
      <c r="F61" t="s">
        <v>76</v>
      </c>
    </row>
    <row r="62" spans="1:10">
      <c r="A62" s="38" t="s">
        <v>404</v>
      </c>
      <c r="B62" t="s">
        <v>349</v>
      </c>
      <c r="C62" t="s">
        <v>527</v>
      </c>
      <c r="D62" t="s">
        <v>528</v>
      </c>
      <c r="E62" t="s">
        <v>481</v>
      </c>
      <c r="F62" t="s">
        <v>76</v>
      </c>
      <c r="G62" t="s">
        <v>76</v>
      </c>
      <c r="H62" t="s">
        <v>342</v>
      </c>
      <c r="I62">
        <v>4</v>
      </c>
      <c r="J62" t="s">
        <v>485</v>
      </c>
    </row>
    <row r="63" spans="1:10">
      <c r="A63" s="38" t="s">
        <v>418</v>
      </c>
      <c r="B63"/>
      <c r="C63" s="59" t="s">
        <v>529</v>
      </c>
      <c r="D63" t="s">
        <v>530</v>
      </c>
      <c r="E63" t="s">
        <v>79</v>
      </c>
      <c r="F63" t="s">
        <v>76</v>
      </c>
      <c r="G63" t="s">
        <v>76</v>
      </c>
      <c r="H63" t="s">
        <v>406</v>
      </c>
      <c r="I63" t="s">
        <v>485</v>
      </c>
      <c r="J63" t="s">
        <v>485</v>
      </c>
    </row>
    <row r="64" spans="1:10">
      <c r="A64" s="38" t="s">
        <v>419</v>
      </c>
      <c r="B64" t="s">
        <v>520</v>
      </c>
      <c r="C64" s="1" t="s">
        <v>531</v>
      </c>
      <c r="D64" t="s">
        <v>532</v>
      </c>
      <c r="E64" t="s">
        <v>79</v>
      </c>
      <c r="F64" t="s">
        <v>76</v>
      </c>
    </row>
    <row r="65" spans="1:11">
      <c r="A65" s="38" t="s">
        <v>433</v>
      </c>
      <c r="B65"/>
      <c r="C65" s="1" t="s">
        <v>533</v>
      </c>
      <c r="D65" t="s">
        <v>534</v>
      </c>
      <c r="E65" t="s">
        <v>79</v>
      </c>
      <c r="F65" t="s">
        <v>76</v>
      </c>
    </row>
    <row r="66" spans="1:11">
      <c r="A66" s="38" t="s">
        <v>435</v>
      </c>
      <c r="B66" t="s">
        <v>342</v>
      </c>
      <c r="C66" s="1" t="s">
        <v>535</v>
      </c>
      <c r="D66" t="s">
        <v>536</v>
      </c>
      <c r="E66" t="s">
        <v>79</v>
      </c>
      <c r="F66" t="s">
        <v>76</v>
      </c>
    </row>
    <row r="67" spans="1:11">
      <c r="A67" s="38" t="s">
        <v>436</v>
      </c>
      <c r="B67" t="s">
        <v>522</v>
      </c>
      <c r="C67" t="s">
        <v>537</v>
      </c>
      <c r="D67" t="s">
        <v>538</v>
      </c>
      <c r="E67" t="s">
        <v>79</v>
      </c>
      <c r="F67" t="s">
        <v>76</v>
      </c>
    </row>
    <row r="68" spans="1:11">
      <c r="A68" s="38" t="s">
        <v>437</v>
      </c>
      <c r="B68" t="s">
        <v>342</v>
      </c>
      <c r="C68" s="1" t="s">
        <v>539</v>
      </c>
      <c r="D68" t="s">
        <v>540</v>
      </c>
      <c r="E68" t="s">
        <v>79</v>
      </c>
      <c r="F68" t="s">
        <v>76</v>
      </c>
    </row>
    <row r="69" spans="1:11">
      <c r="A69" s="38" t="s">
        <v>438</v>
      </c>
      <c r="B69" t="s">
        <v>342</v>
      </c>
      <c r="C69" s="1" t="s">
        <v>544</v>
      </c>
      <c r="D69" t="s">
        <v>545</v>
      </c>
      <c r="E69" t="s">
        <v>546</v>
      </c>
    </row>
    <row r="70" spans="1:11">
      <c r="A70" s="38" t="s">
        <v>439</v>
      </c>
      <c r="B70">
        <v>10</v>
      </c>
      <c r="C70" s="1" t="s">
        <v>547</v>
      </c>
      <c r="D70" t="s">
        <v>548</v>
      </c>
      <c r="E70" t="s">
        <v>139</v>
      </c>
      <c r="F70" t="s">
        <v>76</v>
      </c>
      <c r="G70" s="62" t="s">
        <v>76</v>
      </c>
      <c r="H70" t="s">
        <v>342</v>
      </c>
      <c r="I70" t="s">
        <v>406</v>
      </c>
      <c r="J70" t="s">
        <v>643</v>
      </c>
    </row>
    <row r="71" spans="1:11">
      <c r="A71" s="38" t="s">
        <v>440</v>
      </c>
      <c r="B71" t="s">
        <v>520</v>
      </c>
      <c r="C71" s="1" t="s">
        <v>549</v>
      </c>
      <c r="D71" t="s">
        <v>550</v>
      </c>
      <c r="E71" t="s">
        <v>139</v>
      </c>
      <c r="F71" t="s">
        <v>76</v>
      </c>
    </row>
    <row r="72" spans="1:11">
      <c r="A72" s="38" t="s">
        <v>441</v>
      </c>
      <c r="B72" t="s">
        <v>524</v>
      </c>
      <c r="C72" s="1" t="s">
        <v>551</v>
      </c>
      <c r="D72" t="s">
        <v>552</v>
      </c>
      <c r="E72" t="s">
        <v>139</v>
      </c>
      <c r="F72" t="s">
        <v>76</v>
      </c>
    </row>
    <row r="73" spans="1:11">
      <c r="A73" s="38" t="s">
        <v>442</v>
      </c>
      <c r="B73" t="s">
        <v>342</v>
      </c>
      <c r="C73" s="1" t="s">
        <v>553</v>
      </c>
      <c r="D73" t="s">
        <v>554</v>
      </c>
      <c r="E73" t="s">
        <v>139</v>
      </c>
      <c r="F73" t="s">
        <v>76</v>
      </c>
    </row>
    <row r="74" spans="1:11">
      <c r="A74" s="38" t="s">
        <v>443</v>
      </c>
      <c r="B74" t="s">
        <v>342</v>
      </c>
      <c r="C74" s="1" t="s">
        <v>555</v>
      </c>
      <c r="D74" t="s">
        <v>556</v>
      </c>
      <c r="E74" t="s">
        <v>139</v>
      </c>
      <c r="F74" t="s">
        <v>76</v>
      </c>
    </row>
    <row r="75" spans="1:11">
      <c r="B75"/>
      <c r="C75" s="1" t="s">
        <v>557</v>
      </c>
      <c r="D75" t="s">
        <v>558</v>
      </c>
      <c r="E75" t="s">
        <v>139</v>
      </c>
      <c r="F75" t="s">
        <v>76</v>
      </c>
      <c r="G75" t="s">
        <v>76</v>
      </c>
      <c r="H75" t="s">
        <v>406</v>
      </c>
      <c r="I75" t="s">
        <v>485</v>
      </c>
      <c r="J75" t="s">
        <v>485</v>
      </c>
    </row>
    <row r="76" spans="1:11">
      <c r="A76" s="38" t="s">
        <v>444</v>
      </c>
      <c r="B76" t="s">
        <v>342</v>
      </c>
      <c r="C76" t="s">
        <v>559</v>
      </c>
      <c r="D76" t="s">
        <v>560</v>
      </c>
      <c r="E76" t="s">
        <v>139</v>
      </c>
      <c r="F76" t="s">
        <v>76</v>
      </c>
      <c r="G76" t="s">
        <v>76</v>
      </c>
      <c r="H76" t="s">
        <v>342</v>
      </c>
      <c r="I76" t="s">
        <v>25</v>
      </c>
      <c r="J76" t="s">
        <v>485</v>
      </c>
    </row>
    <row r="77" spans="1:11">
      <c r="B77"/>
      <c r="C77" s="1" t="s">
        <v>561</v>
      </c>
      <c r="D77" t="s">
        <v>144</v>
      </c>
      <c r="E77" t="s">
        <v>139</v>
      </c>
      <c r="F77" t="s">
        <v>76</v>
      </c>
    </row>
    <row r="78" spans="1:11">
      <c r="A78" s="38" t="s">
        <v>445</v>
      </c>
      <c r="B78" t="s">
        <v>342</v>
      </c>
      <c r="C78" t="s">
        <v>562</v>
      </c>
      <c r="D78" t="s">
        <v>563</v>
      </c>
      <c r="E78" t="s">
        <v>139</v>
      </c>
      <c r="F78" t="s">
        <v>76</v>
      </c>
      <c r="G78" t="s">
        <v>76</v>
      </c>
      <c r="H78" t="s">
        <v>342</v>
      </c>
      <c r="I78" t="s">
        <v>406</v>
      </c>
      <c r="J78" t="s">
        <v>643</v>
      </c>
    </row>
    <row r="79" spans="1:11">
      <c r="A79" s="38" t="s">
        <v>446</v>
      </c>
      <c r="B79" t="s">
        <v>342</v>
      </c>
      <c r="C79" s="1" t="s">
        <v>564</v>
      </c>
      <c r="D79" t="s">
        <v>565</v>
      </c>
      <c r="E79" t="s">
        <v>139</v>
      </c>
      <c r="F79" t="s">
        <v>76</v>
      </c>
    </row>
    <row r="80" spans="1:11">
      <c r="A80" s="38" t="s">
        <v>447</v>
      </c>
      <c r="B80" t="s">
        <v>342</v>
      </c>
      <c r="C80" s="1" t="s">
        <v>566</v>
      </c>
      <c r="D80" t="s">
        <v>567</v>
      </c>
      <c r="E80" t="s">
        <v>139</v>
      </c>
      <c r="F80" t="s">
        <v>76</v>
      </c>
      <c r="G80" t="s">
        <v>76</v>
      </c>
      <c r="H80" t="s">
        <v>342</v>
      </c>
      <c r="I80" t="s">
        <v>406</v>
      </c>
      <c r="J80" t="s">
        <v>643</v>
      </c>
      <c r="K80" t="s">
        <v>645</v>
      </c>
    </row>
    <row r="81" spans="1:2">
      <c r="A81" s="38" t="s">
        <v>448</v>
      </c>
      <c r="B81" t="s">
        <v>342</v>
      </c>
    </row>
    <row r="82" spans="1:2">
      <c r="A82" s="38" t="s">
        <v>449</v>
      </c>
      <c r="B82"/>
    </row>
    <row r="83" spans="1:2">
      <c r="A83" s="38" t="s">
        <v>450</v>
      </c>
      <c r="B83">
        <v>15</v>
      </c>
    </row>
    <row r="84" spans="1:2">
      <c r="A84" s="38" t="s">
        <v>451</v>
      </c>
      <c r="B84" t="s">
        <v>342</v>
      </c>
    </row>
    <row r="85" spans="1:2">
      <c r="A85" s="38" t="s">
        <v>452</v>
      </c>
      <c r="B85" t="s">
        <v>342</v>
      </c>
    </row>
    <row r="86" spans="1:2">
      <c r="A86" s="38" t="s">
        <v>453</v>
      </c>
      <c r="B86" t="s">
        <v>342</v>
      </c>
    </row>
    <row r="87" spans="1:2">
      <c r="A87" s="38" t="s">
        <v>454</v>
      </c>
      <c r="B87" t="s">
        <v>349</v>
      </c>
    </row>
    <row r="88" spans="1:2">
      <c r="A88" s="38" t="s">
        <v>455</v>
      </c>
      <c r="B88"/>
    </row>
    <row r="89" spans="1:2">
      <c r="B89"/>
    </row>
    <row r="90" spans="1:2">
      <c r="B90"/>
    </row>
    <row r="91" spans="1:2">
      <c r="B91"/>
    </row>
  </sheetData>
  <mergeCells count="4">
    <mergeCell ref="C1:E1"/>
    <mergeCell ref="A1:B1"/>
    <mergeCell ref="J2:K2"/>
    <mergeCell ref="F1:K1"/>
  </mergeCells>
  <hyperlinks>
    <hyperlink ref="A7" r:id="rId1"/>
    <hyperlink ref="C4" r:id="rId2"/>
    <hyperlink ref="C5" r:id="rId3"/>
    <hyperlink ref="C6" r:id="rId4" display="mailto:Bobbiekar@gmail.com"/>
    <hyperlink ref="C7" r:id="rId5"/>
    <hyperlink ref="C8" r:id="rId6"/>
    <hyperlink ref="C9" r:id="rId7" display="mailto:bobtobias@verizon.net"/>
    <hyperlink ref="C10" r:id="rId8" display="mailto:mirasreviews@aol.com"/>
    <hyperlink ref="C11" r:id="rId9"/>
    <hyperlink ref="C12" r:id="rId10" display="http://tomjaeger33@yahoo.com/"/>
    <hyperlink ref="C13" r:id="rId11"/>
    <hyperlink ref="C14" r:id="rId12"/>
    <hyperlink ref="C15" r:id="rId13" display="mailto:find_it@savvysleuth.com"/>
    <hyperlink ref="C16" r:id="rId14" display="mailto:dlw@trutor.net"/>
    <hyperlink ref="C17" r:id="rId15" display="mailto:mystery.reviewer50@gmail.com"/>
    <hyperlink ref="C18" r:id="rId16"/>
    <hyperlink ref="C19" r:id="rId17" display="mailto:KRN@usa.com"/>
    <hyperlink ref="C20" r:id="rId18" display="mailto:info@deeptrancenow.com"/>
    <hyperlink ref="C21" r:id="rId19"/>
    <hyperlink ref="C22" r:id="rId20" display="mailto:rileybirder@gmail.com"/>
    <hyperlink ref="C23" r:id="rId21"/>
    <hyperlink ref="C24" r:id="rId22" display="mailto:beckygardensreviews@gmail.com"/>
    <hyperlink ref="C25" r:id="rId23" display="mailto:diana@buzzardseyeview.com"/>
    <hyperlink ref="C26" r:id="rId24" display="mailto:32brie@sbcglobal.net"/>
    <hyperlink ref="C27" r:id="rId25" display="mailto:avidreviewer@hotmail.com"/>
    <hyperlink ref="C28" r:id="rId26" display="mailto:titleteacherk5@gmail.com"/>
    <hyperlink ref="C29" r:id="rId27" display="mailto:amazon@lisashea.com"/>
    <hyperlink ref="C30" r:id="rId28" display="mailto:amazonreviews666@gmail.com"/>
    <hyperlink ref="C31" r:id="rId29" display="mailto:rayzul14710@yahoo.com"/>
    <hyperlink ref="C32" r:id="rId30" display="mailto:drjlmurphy@aol.com"/>
    <hyperlink ref="C33" r:id="rId31" display="mailto:frkurt@yahoo.com"/>
    <hyperlink ref="C34" r:id="rId32" display="mailto:crculver@christopherculver.com"/>
    <hyperlink ref="C35" r:id="rId33"/>
    <hyperlink ref="C36" r:id="rId34" display="mailto:richa3@gol.net.gy"/>
    <hyperlink ref="C37" r:id="rId35" display="mailto:mannaent@hiwaay.net"/>
    <hyperlink ref="C38" r:id="rId36" display="mailto:outlawpoet1970@gmail.com"/>
    <hyperlink ref="C39" r:id="rId37" display="mailto:omars1234@gmail.com"/>
    <hyperlink ref="C40" r:id="rId38" display="mailto:khemprof1a@yahoo.com"/>
    <hyperlink ref="C41" r:id="rId39" display="mailto:ccirish@att.net"/>
    <hyperlink ref="C42" r:id="rId40" display="mailto:rogerbrunyate@gmail.com"/>
    <hyperlink ref="C43" r:id="rId41"/>
    <hyperlink ref="A40" r:id="rId42"/>
    <hyperlink ref="A42" r:id="rId43"/>
    <hyperlink ref="A43" r:id="rId44"/>
    <hyperlink ref="A44" r:id="rId45"/>
    <hyperlink ref="A45" r:id="rId46"/>
    <hyperlink ref="A48" r:id="rId47"/>
    <hyperlink ref="A49" r:id="rId48"/>
    <hyperlink ref="C49" r:id="rId49" display="mailto:rices101@yahoo.com"/>
    <hyperlink ref="C50" r:id="rId50" display="mailto:emblaisdell@gmail.com"/>
    <hyperlink ref="C51" r:id="rId51" display="mailto:kaptain_krispy@yahoo.com"/>
    <hyperlink ref="C52" r:id="rId52" display="mailto:essorant@hotmail.com"/>
    <hyperlink ref="C53" r:id="rId53" display="mailto:philipparth@yahoo.con"/>
    <hyperlink ref="C54" r:id="rId54" display="mailto:mikerdna@hotmail.com"/>
    <hyperlink ref="C56" r:id="rId55" display="mailto:amymuniz417@yahoo.com"/>
    <hyperlink ref="C61" r:id="rId56" display="mailto:lisa.alhashimi@gmail.com"/>
    <hyperlink ref="C64" r:id="rId57"/>
    <hyperlink ref="C65" r:id="rId58" display="mailto:me@dustywhite.net"/>
    <hyperlink ref="C66" r:id="rId59" display="mailto:tanager@manistee.com"/>
    <hyperlink ref="C68" r:id="rId60"/>
    <hyperlink ref="C69" r:id="rId61" display="mailto:eddie@compulearning.co.za"/>
    <hyperlink ref="C70" r:id="rId62" display="mailto:gary.dale@cearley.net"/>
    <hyperlink ref="C71" r:id="rId63" display="mailto:christianbruck@yahoo.com"/>
    <hyperlink ref="C72" r:id="rId64"/>
    <hyperlink ref="C73" r:id="rId65" display="mailto:gcorey@neo.rr.com"/>
    <hyperlink ref="C74" r:id="rId66" display="mailto:hcota@webtv.net"/>
    <hyperlink ref="C75" r:id="rId67" display="mailto:robhardy3@gmail.com"/>
    <hyperlink ref="C77" r:id="rId68"/>
    <hyperlink ref="C79" r:id="rId69" display="mailto:eric@compellingconversations.com"/>
    <hyperlink ref="C80" r:id="rId70" display="mailto:52@claudiosantori.it"/>
  </hyperlinks>
  <pageMargins left="0.7" right="0.7" top="0.75" bottom="0.75" header="0.3" footer="0.3"/>
  <pageSetup orientation="portrait" r:id="rId71"/>
</worksheet>
</file>

<file path=xl/worksheets/sheet6.xml><?xml version="1.0" encoding="utf-8"?>
<worksheet xmlns="http://schemas.openxmlformats.org/spreadsheetml/2006/main" xmlns:r="http://schemas.openxmlformats.org/officeDocument/2006/relationships">
  <dimension ref="A1:H66"/>
  <sheetViews>
    <sheetView workbookViewId="0">
      <selection activeCell="A60" sqref="A60"/>
    </sheetView>
  </sheetViews>
  <sheetFormatPr defaultRowHeight="15"/>
  <cols>
    <col min="1" max="2" width="22" style="4" customWidth="1"/>
    <col min="3" max="3" width="26.85546875" style="4" customWidth="1"/>
    <col min="4" max="4" width="9.140625" style="6"/>
    <col min="5" max="5" width="45.7109375" style="6" customWidth="1"/>
    <col min="6" max="6" width="10.28515625" bestFit="1" customWidth="1"/>
    <col min="7" max="7" width="14" style="4" bestFit="1" customWidth="1"/>
    <col min="8" max="8" width="9.140625" style="6"/>
  </cols>
  <sheetData>
    <row r="1" spans="1:8">
      <c r="A1" s="87" t="s">
        <v>277</v>
      </c>
      <c r="B1" s="87"/>
      <c r="C1" s="88"/>
      <c r="D1" s="41" t="s">
        <v>280</v>
      </c>
      <c r="E1" s="41" t="s">
        <v>281</v>
      </c>
      <c r="F1" s="40" t="s">
        <v>282</v>
      </c>
      <c r="G1" s="42" t="s">
        <v>283</v>
      </c>
      <c r="H1" s="41" t="s">
        <v>290</v>
      </c>
    </row>
    <row r="2" spans="1:8">
      <c r="A2" s="4" t="s">
        <v>278</v>
      </c>
      <c r="B2"/>
      <c r="C2" s="4" t="s">
        <v>279</v>
      </c>
      <c r="D2" s="65" t="s">
        <v>30</v>
      </c>
      <c r="E2" s="6" t="s">
        <v>34</v>
      </c>
      <c r="F2" s="63" t="s">
        <v>569</v>
      </c>
      <c r="G2" s="63" t="s">
        <v>284</v>
      </c>
      <c r="H2" s="64" t="s">
        <v>9</v>
      </c>
    </row>
    <row r="3" spans="1:8">
      <c r="A3" s="63" t="s">
        <v>299</v>
      </c>
      <c r="B3"/>
      <c r="C3" s="4" t="s">
        <v>576</v>
      </c>
      <c r="D3" s="64" t="s">
        <v>31</v>
      </c>
      <c r="E3" s="6" t="s">
        <v>35</v>
      </c>
      <c r="F3" s="63" t="s">
        <v>570</v>
      </c>
      <c r="G3" s="63" t="s">
        <v>285</v>
      </c>
      <c r="H3" s="64" t="s">
        <v>503</v>
      </c>
    </row>
    <row r="4" spans="1:8">
      <c r="A4" s="4" t="str">
        <f>"@freekindlebook"</f>
        <v>@freekindlebook</v>
      </c>
      <c r="B4"/>
      <c r="C4" s="4" t="s">
        <v>577</v>
      </c>
      <c r="D4" s="6" t="s">
        <v>32</v>
      </c>
      <c r="E4" s="6" t="s">
        <v>36</v>
      </c>
      <c r="G4" s="63" t="s">
        <v>286</v>
      </c>
      <c r="H4" s="6" t="s">
        <v>512</v>
      </c>
    </row>
    <row r="5" spans="1:8">
      <c r="A5" s="4" t="str">
        <f>"@CheapKindle1"</f>
        <v>@CheapKindle1</v>
      </c>
      <c r="B5"/>
      <c r="C5" s="4" t="s">
        <v>590</v>
      </c>
      <c r="D5" s="6" t="s">
        <v>33</v>
      </c>
      <c r="E5" s="64" t="s">
        <v>37</v>
      </c>
      <c r="G5" s="63" t="s">
        <v>287</v>
      </c>
      <c r="H5" s="66" t="s">
        <v>316</v>
      </c>
    </row>
    <row r="6" spans="1:8">
      <c r="A6" s="73" t="str">
        <f>"@DigitalBkToday"</f>
        <v>@DigitalBkToday</v>
      </c>
      <c r="B6" s="1" t="s">
        <v>599</v>
      </c>
      <c r="C6" s="4" t="s">
        <v>593</v>
      </c>
      <c r="E6" s="64" t="s">
        <v>38</v>
      </c>
      <c r="G6" s="63" t="s">
        <v>288</v>
      </c>
      <c r="H6" s="64" t="s">
        <v>591</v>
      </c>
    </row>
    <row r="7" spans="1:8">
      <c r="A7" s="73" t="str">
        <f>"@Kindle_free"</f>
        <v>@Kindle_free</v>
      </c>
      <c r="B7"/>
      <c r="C7" s="4" t="s">
        <v>594</v>
      </c>
      <c r="E7" s="6" t="s">
        <v>39</v>
      </c>
      <c r="G7" s="63" t="s">
        <v>289</v>
      </c>
      <c r="H7" s="64" t="s">
        <v>592</v>
      </c>
    </row>
    <row r="8" spans="1:8">
      <c r="A8" s="73" t="str">
        <f>"@freeebooksdaily"</f>
        <v>@freeebooksdaily</v>
      </c>
      <c r="B8" s="1" t="s">
        <v>600</v>
      </c>
      <c r="C8" s="4" t="s">
        <v>608</v>
      </c>
      <c r="E8" s="6" t="s">
        <v>40</v>
      </c>
      <c r="G8" s="63" t="s">
        <v>568</v>
      </c>
    </row>
    <row r="9" spans="1:8">
      <c r="A9" s="74" t="str">
        <f>"@Kindlefreebooks"</f>
        <v>@Kindlefreebooks</v>
      </c>
      <c r="B9"/>
      <c r="C9" s="4" t="s">
        <v>595</v>
      </c>
      <c r="E9" s="64" t="s">
        <v>41</v>
      </c>
      <c r="G9" s="63" t="s">
        <v>256</v>
      </c>
    </row>
    <row r="10" spans="1:8">
      <c r="A10" s="72" t="str">
        <f>"@zilchebooks"</f>
        <v>@zilchebooks</v>
      </c>
      <c r="B10" t="s">
        <v>601</v>
      </c>
      <c r="C10" s="4" t="s">
        <v>596</v>
      </c>
      <c r="E10" s="6" t="s">
        <v>42</v>
      </c>
      <c r="G10" s="63" t="s">
        <v>46</v>
      </c>
    </row>
    <row r="11" spans="1:8">
      <c r="A11" s="72" t="str">
        <f>"@freedailybooks"</f>
        <v>@freedailybooks</v>
      </c>
      <c r="B11"/>
      <c r="C11" s="4" t="s">
        <v>597</v>
      </c>
      <c r="E11" s="6" t="s">
        <v>50</v>
      </c>
    </row>
    <row r="12" spans="1:8">
      <c r="A12" s="44" t="str">
        <f>"@free2kindle"</f>
        <v>@free2kindle</v>
      </c>
      <c r="B12"/>
      <c r="C12" s="4" t="s">
        <v>606</v>
      </c>
      <c r="E12" s="6" t="s">
        <v>44</v>
      </c>
    </row>
    <row r="13" spans="1:8">
      <c r="A13" s="44" t="str">
        <f>"@freereadfeed"</f>
        <v>@freereadfeed</v>
      </c>
      <c r="B13"/>
      <c r="C13" s="4" t="s">
        <v>607</v>
      </c>
      <c r="E13" s="6" t="s">
        <v>50</v>
      </c>
    </row>
    <row r="14" spans="1:8">
      <c r="A14" s="44" t="str">
        <f>"@pixelofink"</f>
        <v>@pixelofink</v>
      </c>
      <c r="B14"/>
      <c r="C14" s="4" t="s">
        <v>609</v>
      </c>
      <c r="E14" s="64" t="s">
        <v>51</v>
      </c>
    </row>
    <row r="15" spans="1:8">
      <c r="A15" s="73" t="str">
        <f>"@digitalinktoday"</f>
        <v>@digitalinktoday</v>
      </c>
      <c r="B15" t="s">
        <v>602</v>
      </c>
      <c r="C15" s="4" t="s">
        <v>575</v>
      </c>
      <c r="E15" s="6" t="s">
        <v>52</v>
      </c>
    </row>
    <row r="16" spans="1:8">
      <c r="A16" s="44" t="str">
        <f>"@freebookclub1"</f>
        <v>@freebookclub1</v>
      </c>
      <c r="B16"/>
      <c r="C16" s="4" t="s">
        <v>575</v>
      </c>
      <c r="E16" s="6" t="s">
        <v>53</v>
      </c>
    </row>
    <row r="17" spans="1:5">
      <c r="A17" s="44" t="str">
        <f>"@ibdbookoftheday"</f>
        <v>@ibdbookoftheday</v>
      </c>
      <c r="B17"/>
      <c r="C17" s="4" t="s">
        <v>575</v>
      </c>
      <c r="E17" s="6" t="s">
        <v>54</v>
      </c>
    </row>
    <row r="18" spans="1:5">
      <c r="A18" s="44" t="str">
        <f>"@Booksontheknob"</f>
        <v>@Booksontheknob</v>
      </c>
      <c r="B18"/>
      <c r="C18" s="4" t="s">
        <v>575</v>
      </c>
      <c r="E18" s="6" t="s">
        <v>55</v>
      </c>
    </row>
    <row r="19" spans="1:5">
      <c r="A19" s="63" t="str">
        <f>"@bookbub"</f>
        <v>@bookbub</v>
      </c>
      <c r="B19"/>
      <c r="C19" s="4" t="s">
        <v>575</v>
      </c>
      <c r="E19" s="64" t="s">
        <v>56</v>
      </c>
    </row>
    <row r="20" spans="1:5">
      <c r="A20" s="63" t="str">
        <f>"@fkbt"</f>
        <v>@fkbt</v>
      </c>
      <c r="B20"/>
      <c r="E20" s="6" t="s">
        <v>57</v>
      </c>
    </row>
    <row r="21" spans="1:5">
      <c r="A21" s="4" t="str">
        <f>"@kindlestuff"</f>
        <v>@kindlestuff</v>
      </c>
      <c r="B21"/>
      <c r="E21" s="6" t="s">
        <v>58</v>
      </c>
    </row>
    <row r="22" spans="1:5">
      <c r="A22" s="4" t="str">
        <f>"@kindlenews"</f>
        <v>@kindlenews</v>
      </c>
      <c r="B22"/>
      <c r="E22" s="64" t="s">
        <v>59</v>
      </c>
    </row>
    <row r="23" spans="1:5">
      <c r="A23" s="44" t="str">
        <f>"@freeebookdeal"</f>
        <v>@freeebookdeal</v>
      </c>
      <c r="B23"/>
    </row>
    <row r="24" spans="1:5">
      <c r="A24" s="4" t="str">
        <f>"@free_kindle"</f>
        <v>@free_kindle</v>
      </c>
      <c r="B24"/>
    </row>
    <row r="25" spans="1:5">
      <c r="A25" s="73" t="str">
        <f>"@freebookdude"</f>
        <v>@freebookdude</v>
      </c>
      <c r="B25" t="s">
        <v>603</v>
      </c>
    </row>
    <row r="26" spans="1:5">
      <c r="A26" s="44" t="str">
        <f>"@4freekindlebook"</f>
        <v>@4freekindlebook</v>
      </c>
      <c r="B26"/>
    </row>
    <row r="27" spans="1:5">
      <c r="A27" s="4" t="str">
        <f>"@freekindlestuff"</f>
        <v>@freekindlestuff</v>
      </c>
      <c r="B27"/>
    </row>
    <row r="28" spans="1:5">
      <c r="A28" s="72" t="str">
        <f>"@IndAuthorSucess"</f>
        <v>@IndAuthorSucess</v>
      </c>
      <c r="B28"/>
    </row>
    <row r="29" spans="1:5">
      <c r="A29" s="72" t="str">
        <f>"@IndieKindle"</f>
        <v>@IndieKindle</v>
      </c>
      <c r="B29" t="s">
        <v>604</v>
      </c>
    </row>
    <row r="30" spans="1:5">
      <c r="A30" s="72" t="str">
        <f>"@kindleebooks"</f>
        <v>@kindleebooks</v>
      </c>
      <c r="B30"/>
    </row>
    <row r="31" spans="1:5">
      <c r="A31" s="44" t="str">
        <f>"@kindlebookking"</f>
        <v>@kindlebookking</v>
      </c>
      <c r="B31"/>
    </row>
    <row r="32" spans="1:5">
      <c r="A32" s="63" t="s">
        <v>589</v>
      </c>
      <c r="B32"/>
    </row>
    <row r="33" spans="1:3">
      <c r="A33" s="4" t="str">
        <f>"@kindleupdates"</f>
        <v>@kindleupdates</v>
      </c>
      <c r="B33"/>
    </row>
    <row r="34" spans="1:3">
      <c r="A34" s="44" t="str">
        <f>"@Kindle_promo"</f>
        <v>@Kindle_promo</v>
      </c>
      <c r="B34"/>
    </row>
    <row r="35" spans="1:3">
      <c r="A35" s="44" t="s">
        <v>301</v>
      </c>
      <c r="B35"/>
    </row>
    <row r="36" spans="1:3">
      <c r="A36" s="4" t="s">
        <v>300</v>
      </c>
      <c r="B36"/>
    </row>
    <row r="37" spans="1:3">
      <c r="A37" s="4" t="str">
        <f>"@kindleDaily"</f>
        <v>@kindleDaily</v>
      </c>
      <c r="B37"/>
    </row>
    <row r="38" spans="1:3">
      <c r="A38" s="70" t="s">
        <v>60</v>
      </c>
      <c r="B38"/>
    </row>
    <row r="39" spans="1:3">
      <c r="A39" s="4" t="s">
        <v>62</v>
      </c>
      <c r="B39"/>
    </row>
    <row r="40" spans="1:3">
      <c r="A40" s="4" t="s">
        <v>64</v>
      </c>
      <c r="B40"/>
    </row>
    <row r="41" spans="1:3">
      <c r="A41" s="68" t="s">
        <v>65</v>
      </c>
      <c r="B41"/>
      <c r="C41" s="4" t="s">
        <v>571</v>
      </c>
    </row>
    <row r="42" spans="1:3">
      <c r="A42" s="67" t="s">
        <v>66</v>
      </c>
      <c r="B42"/>
    </row>
    <row r="43" spans="1:3">
      <c r="A43" s="4" t="s">
        <v>67</v>
      </c>
      <c r="B43"/>
    </row>
    <row r="44" spans="1:3">
      <c r="A44" s="43" t="s">
        <v>68</v>
      </c>
      <c r="B44"/>
    </row>
    <row r="45" spans="1:3">
      <c r="A45" s="43" t="s">
        <v>69</v>
      </c>
      <c r="B45"/>
    </row>
    <row r="46" spans="1:3">
      <c r="A46" s="4" t="s">
        <v>71</v>
      </c>
      <c r="B46"/>
    </row>
    <row r="47" spans="1:3">
      <c r="A47" s="67" t="s">
        <v>72</v>
      </c>
      <c r="B47"/>
    </row>
    <row r="48" spans="1:3">
      <c r="A48" s="69" t="s">
        <v>73</v>
      </c>
      <c r="B48"/>
    </row>
    <row r="49" spans="1:2">
      <c r="A49" s="4" t="s">
        <v>7</v>
      </c>
      <c r="B49"/>
    </row>
    <row r="50" spans="1:2">
      <c r="A50" s="45" t="s">
        <v>303</v>
      </c>
      <c r="B50" t="s">
        <v>605</v>
      </c>
    </row>
    <row r="51" spans="1:2">
      <c r="A51" s="4" t="s">
        <v>502</v>
      </c>
      <c r="B51"/>
    </row>
    <row r="52" spans="1:2">
      <c r="A52" s="4" t="s">
        <v>572</v>
      </c>
      <c r="B52"/>
    </row>
    <row r="53" spans="1:2">
      <c r="A53" s="4" t="s">
        <v>573</v>
      </c>
      <c r="B53"/>
    </row>
    <row r="54" spans="1:2">
      <c r="A54" s="4" t="s">
        <v>574</v>
      </c>
    </row>
    <row r="55" spans="1:2">
      <c r="A55" s="4" t="s">
        <v>578</v>
      </c>
    </row>
    <row r="56" spans="1:2">
      <c r="A56" s="4" t="s">
        <v>579</v>
      </c>
    </row>
    <row r="57" spans="1:2">
      <c r="A57" s="4" t="s">
        <v>580</v>
      </c>
    </row>
    <row r="58" spans="1:2">
      <c r="A58" s="4" t="s">
        <v>581</v>
      </c>
    </row>
    <row r="59" spans="1:2">
      <c r="A59" s="4" t="s">
        <v>582</v>
      </c>
    </row>
    <row r="60" spans="1:2">
      <c r="A60" s="4" t="s">
        <v>583</v>
      </c>
    </row>
    <row r="61" spans="1:2">
      <c r="A61" s="4" t="s">
        <v>584</v>
      </c>
    </row>
    <row r="62" spans="1:2">
      <c r="A62" s="4" t="s">
        <v>585</v>
      </c>
    </row>
    <row r="63" spans="1:2">
      <c r="A63" s="4" t="s">
        <v>586</v>
      </c>
    </row>
    <row r="64" spans="1:2">
      <c r="A64" s="4" t="s">
        <v>587</v>
      </c>
    </row>
    <row r="65" spans="1:1">
      <c r="A65" s="4" t="s">
        <v>588</v>
      </c>
    </row>
    <row r="66" spans="1:1">
      <c r="A66" s="4" t="s">
        <v>599</v>
      </c>
    </row>
  </sheetData>
  <mergeCells count="1">
    <mergeCell ref="A1:C1"/>
  </mergeCells>
  <hyperlinks>
    <hyperlink ref="A50" r:id="rId1" display="https://twitter.com/IAN_AuthorPromo"/>
    <hyperlink ref="H5" r:id="rId2"/>
    <hyperlink ref="B6" r:id="rId3" display="https://twitter.com/hashtag/WFGR?src=hash"/>
    <hyperlink ref="B8" r:id="rId4" display="https://twitter.com/hashtag/FreeKindleBooks?src=hash"/>
  </hyperlinks>
  <pageMargins left="0.7" right="0.7" top="0.75" bottom="0.75" header="0.3" footer="0.3"/>
  <pageSetup orientation="portrait" r:id="rId5"/>
</worksheet>
</file>

<file path=xl/worksheets/sheet7.xml><?xml version="1.0" encoding="utf-8"?>
<worksheet xmlns="http://schemas.openxmlformats.org/spreadsheetml/2006/main" xmlns:r="http://schemas.openxmlformats.org/officeDocument/2006/relationships">
  <dimension ref="A1:E14"/>
  <sheetViews>
    <sheetView workbookViewId="0">
      <selection activeCell="A13" sqref="A13"/>
    </sheetView>
  </sheetViews>
  <sheetFormatPr defaultRowHeight="15"/>
  <cols>
    <col min="1" max="1" width="21.42578125" customWidth="1"/>
  </cols>
  <sheetData>
    <row r="1" spans="1:5">
      <c r="A1" t="s">
        <v>46</v>
      </c>
      <c r="B1" t="s">
        <v>279</v>
      </c>
      <c r="C1" t="s">
        <v>282</v>
      </c>
      <c r="D1" t="s">
        <v>295</v>
      </c>
      <c r="E1" t="s">
        <v>296</v>
      </c>
    </row>
    <row r="2" spans="1:5">
      <c r="A2" s="4" t="s">
        <v>541</v>
      </c>
      <c r="B2" s="7" t="str">
        <f>" @FreeBookPromo #IARTG Hello = marHaba #LebaneseArabic New Phrasebook on sale http://amzn.to/1oK5Qmr"</f>
        <v xml:space="preserve"> @FreeBookPromo #IARTG Hello = marHaba #LebaneseArabic New Phrasebook on sale http://amzn.to/1oK5Qmr</v>
      </c>
      <c r="E2" s="9" t="s">
        <v>28</v>
      </c>
    </row>
    <row r="3" spans="1:5">
      <c r="A3" s="4" t="s">
        <v>291</v>
      </c>
      <c r="B3" s="7" t="str">
        <f>"@Kindle_Promo #99cents New #LebaneseArabic Phrasebook by Hiba Najem on sale http://amzn.to/1oK5Qmr"</f>
        <v>@Kindle_Promo #99cents New #LebaneseArabic Phrasebook by Hiba Najem on sale http://amzn.to/1oK5Qmr</v>
      </c>
      <c r="E3" s="9" t="s">
        <v>29</v>
      </c>
    </row>
    <row r="4" spans="1:5">
      <c r="A4" s="4" t="s">
        <v>292</v>
      </c>
      <c r="B4" s="7" t="s">
        <v>542</v>
      </c>
      <c r="E4" s="71" t="s">
        <v>598</v>
      </c>
    </row>
    <row r="5" spans="1:5">
      <c r="A5" s="4" t="s">
        <v>293</v>
      </c>
      <c r="B5" s="7" t="s">
        <v>543</v>
      </c>
    </row>
    <row r="6" spans="1:5">
      <c r="A6" s="4" t="s">
        <v>294</v>
      </c>
      <c r="B6" s="7" t="str">
        <f>"#learnarabic Lebanese with translations, puzzles and videos. Lebanese Arabic Phrasebook Vol.1 http://amzn.to/1oK5Qmr @KindleShoutOuts"</f>
        <v>#learnarabic Lebanese with translations, puzzles and videos. Lebanese Arabic Phrasebook Vol.1 http://amzn.to/1oK5Qmr @KindleShoutOuts</v>
      </c>
    </row>
    <row r="7" spans="1:5">
      <c r="A7" s="43" t="s">
        <v>61</v>
      </c>
      <c r="B7" s="60" t="s">
        <v>633</v>
      </c>
    </row>
    <row r="8" spans="1:5">
      <c r="A8" s="44" t="s">
        <v>63</v>
      </c>
      <c r="B8" s="61"/>
    </row>
    <row r="9" spans="1:5">
      <c r="A9" s="43" t="s">
        <v>70</v>
      </c>
      <c r="B9" s="60"/>
    </row>
    <row r="10" spans="1:5">
      <c r="A10" s="43" t="s">
        <v>297</v>
      </c>
      <c r="B10" s="60"/>
    </row>
    <row r="11" spans="1:5">
      <c r="A11" s="43" t="s">
        <v>298</v>
      </c>
      <c r="B11" s="60"/>
    </row>
    <row r="12" spans="1:5">
      <c r="A12" t="s">
        <v>302</v>
      </c>
    </row>
    <row r="13" spans="1:5">
      <c r="A13" s="46" t="s">
        <v>303</v>
      </c>
      <c r="B13" s="46"/>
    </row>
    <row r="14" spans="1:5">
      <c r="A14" t="s">
        <v>304</v>
      </c>
    </row>
  </sheetData>
  <hyperlinks>
    <hyperlink ref="E2" r:id="rId1"/>
    <hyperlink ref="E3" r:id="rId2"/>
  </hyperlinks>
  <pageMargins left="0.7" right="0.7" top="0.75" bottom="0.75" header="0.3" footer="0.3"/>
  <pageSetup orientation="portrait" r:id="rId3"/>
</worksheet>
</file>

<file path=xl/worksheets/sheet8.xml><?xml version="1.0" encoding="utf-8"?>
<worksheet xmlns="http://schemas.openxmlformats.org/spreadsheetml/2006/main" xmlns:r="http://schemas.openxmlformats.org/officeDocument/2006/relationships">
  <dimension ref="A1:H79"/>
  <sheetViews>
    <sheetView topLeftCell="A7" workbookViewId="0">
      <selection activeCell="G25" sqref="G25"/>
    </sheetView>
  </sheetViews>
  <sheetFormatPr defaultRowHeight="15"/>
  <cols>
    <col min="1" max="1" width="26.7109375" bestFit="1" customWidth="1"/>
    <col min="2" max="2" width="10.140625" style="20" bestFit="1" customWidth="1"/>
  </cols>
  <sheetData>
    <row r="1" spans="1:4">
      <c r="A1" t="s">
        <v>432</v>
      </c>
      <c r="B1" s="20" t="s">
        <v>225</v>
      </c>
      <c r="C1" t="s">
        <v>342</v>
      </c>
      <c r="D1" t="s">
        <v>349</v>
      </c>
    </row>
    <row r="2" spans="1:4">
      <c r="A2" t="s">
        <v>434</v>
      </c>
      <c r="B2" s="20">
        <v>9500</v>
      </c>
    </row>
    <row r="3" spans="1:4">
      <c r="A3" t="s">
        <v>352</v>
      </c>
      <c r="B3" s="20">
        <v>17802</v>
      </c>
      <c r="C3">
        <v>180</v>
      </c>
      <c r="D3">
        <v>360</v>
      </c>
    </row>
    <row r="4" spans="1:4">
      <c r="A4" s="54" t="s">
        <v>470</v>
      </c>
      <c r="B4" s="20">
        <v>29965</v>
      </c>
      <c r="C4" t="s">
        <v>391</v>
      </c>
    </row>
    <row r="5" spans="1:4">
      <c r="A5" t="s">
        <v>473</v>
      </c>
      <c r="B5" s="20">
        <v>30333</v>
      </c>
    </row>
    <row r="6" spans="1:4">
      <c r="A6" s="54" t="s">
        <v>475</v>
      </c>
      <c r="B6" s="20">
        <v>31801</v>
      </c>
      <c r="C6" t="s">
        <v>391</v>
      </c>
    </row>
    <row r="7" spans="1:4">
      <c r="A7" t="s">
        <v>478</v>
      </c>
      <c r="B7" s="20">
        <v>37328</v>
      </c>
    </row>
    <row r="8" spans="1:4">
      <c r="A8" t="s">
        <v>420</v>
      </c>
      <c r="B8" s="20">
        <v>46085</v>
      </c>
    </row>
    <row r="9" spans="1:4">
      <c r="A9" t="s">
        <v>354</v>
      </c>
      <c r="B9" s="20">
        <v>51208</v>
      </c>
      <c r="C9" s="55">
        <v>29.99</v>
      </c>
    </row>
    <row r="10" spans="1:4">
      <c r="A10" t="s">
        <v>355</v>
      </c>
      <c r="B10" s="20">
        <v>52755</v>
      </c>
    </row>
    <row r="11" spans="1:4">
      <c r="A11" t="s">
        <v>394</v>
      </c>
      <c r="B11" s="20">
        <v>67496</v>
      </c>
    </row>
    <row r="12" spans="1:4">
      <c r="A12" s="54" t="s">
        <v>356</v>
      </c>
      <c r="B12" s="20">
        <v>94498</v>
      </c>
      <c r="C12" t="s">
        <v>391</v>
      </c>
    </row>
    <row r="13" spans="1:4">
      <c r="A13" s="54" t="s">
        <v>357</v>
      </c>
      <c r="B13" s="20">
        <v>95154</v>
      </c>
      <c r="C13" t="s">
        <v>391</v>
      </c>
      <c r="D13" t="s">
        <v>391</v>
      </c>
    </row>
    <row r="14" spans="1:4">
      <c r="A14" s="54" t="s">
        <v>358</v>
      </c>
      <c r="B14" s="20">
        <v>100534</v>
      </c>
      <c r="C14" t="s">
        <v>391</v>
      </c>
    </row>
    <row r="15" spans="1:4">
      <c r="A15" s="54" t="s">
        <v>359</v>
      </c>
      <c r="B15" s="20">
        <v>115290</v>
      </c>
      <c r="C15" t="s">
        <v>391</v>
      </c>
      <c r="D15" t="s">
        <v>391</v>
      </c>
    </row>
    <row r="16" spans="1:4">
      <c r="A16" s="54" t="s">
        <v>471</v>
      </c>
      <c r="B16" s="20">
        <v>129336</v>
      </c>
      <c r="C16" t="s">
        <v>391</v>
      </c>
    </row>
    <row r="17" spans="1:4">
      <c r="A17" s="54" t="s">
        <v>360</v>
      </c>
      <c r="B17" s="20">
        <v>130005</v>
      </c>
      <c r="C17" t="s">
        <v>391</v>
      </c>
    </row>
    <row r="18" spans="1:4">
      <c r="A18" t="s">
        <v>361</v>
      </c>
      <c r="B18" s="20">
        <v>131227</v>
      </c>
      <c r="D18">
        <v>20</v>
      </c>
    </row>
    <row r="19" spans="1:4">
      <c r="A19" s="54" t="s">
        <v>362</v>
      </c>
      <c r="B19" s="20">
        <v>136886</v>
      </c>
      <c r="C19" t="s">
        <v>391</v>
      </c>
    </row>
    <row r="20" spans="1:4">
      <c r="A20" t="s">
        <v>363</v>
      </c>
      <c r="B20" s="20">
        <v>145119</v>
      </c>
    </row>
    <row r="21" spans="1:4">
      <c r="A21" t="s">
        <v>364</v>
      </c>
      <c r="B21" s="20">
        <v>156814</v>
      </c>
    </row>
    <row r="22" spans="1:4">
      <c r="A22" s="57" t="s">
        <v>431</v>
      </c>
      <c r="B22" s="20">
        <v>171277</v>
      </c>
      <c r="C22" t="s">
        <v>391</v>
      </c>
    </row>
    <row r="23" spans="1:4">
      <c r="A23" t="s">
        <v>365</v>
      </c>
      <c r="B23" s="20">
        <v>173003</v>
      </c>
    </row>
    <row r="24" spans="1:4">
      <c r="A24" s="54" t="s">
        <v>421</v>
      </c>
      <c r="B24" s="20">
        <v>196303</v>
      </c>
      <c r="C24" t="s">
        <v>391</v>
      </c>
    </row>
    <row r="25" spans="1:4">
      <c r="A25" t="s">
        <v>366</v>
      </c>
      <c r="B25" s="20">
        <v>198103</v>
      </c>
    </row>
    <row r="26" spans="1:4">
      <c r="A26" t="s">
        <v>474</v>
      </c>
      <c r="B26" s="20">
        <v>199148</v>
      </c>
    </row>
    <row r="27" spans="1:4">
      <c r="A27" s="54" t="s">
        <v>425</v>
      </c>
      <c r="B27" s="20">
        <v>201727</v>
      </c>
      <c r="C27" t="s">
        <v>391</v>
      </c>
    </row>
    <row r="28" spans="1:4">
      <c r="A28" t="s">
        <v>367</v>
      </c>
      <c r="B28" s="20">
        <v>236708</v>
      </c>
    </row>
    <row r="29" spans="1:4">
      <c r="A29" s="54" t="s">
        <v>368</v>
      </c>
      <c r="B29" s="20">
        <v>258594</v>
      </c>
      <c r="C29" t="s">
        <v>391</v>
      </c>
    </row>
    <row r="30" spans="1:4">
      <c r="A30" t="s">
        <v>430</v>
      </c>
      <c r="B30" s="20">
        <v>270990</v>
      </c>
      <c r="D30" t="s">
        <v>521</v>
      </c>
    </row>
    <row r="31" spans="1:4">
      <c r="A31" s="54" t="s">
        <v>369</v>
      </c>
      <c r="B31" s="20">
        <v>275350</v>
      </c>
      <c r="C31" t="s">
        <v>391</v>
      </c>
    </row>
    <row r="32" spans="1:4">
      <c r="A32" t="s">
        <v>370</v>
      </c>
      <c r="B32" s="20">
        <v>292544</v>
      </c>
    </row>
    <row r="33" spans="1:4">
      <c r="A33" s="54" t="s">
        <v>371</v>
      </c>
      <c r="B33" s="20">
        <v>298395</v>
      </c>
      <c r="C33" t="s">
        <v>391</v>
      </c>
    </row>
    <row r="34" spans="1:4">
      <c r="A34" s="54" t="s">
        <v>372</v>
      </c>
      <c r="B34" s="20">
        <v>302382</v>
      </c>
      <c r="C34" t="s">
        <v>391</v>
      </c>
    </row>
    <row r="35" spans="1:4">
      <c r="A35" s="54" t="s">
        <v>373</v>
      </c>
      <c r="B35" s="20">
        <v>315409</v>
      </c>
      <c r="C35" t="s">
        <v>391</v>
      </c>
      <c r="D35" t="s">
        <v>391</v>
      </c>
    </row>
    <row r="36" spans="1:4">
      <c r="A36" s="54" t="s">
        <v>374</v>
      </c>
      <c r="B36" s="20">
        <v>325644</v>
      </c>
      <c r="C36" t="s">
        <v>391</v>
      </c>
    </row>
    <row r="37" spans="1:4">
      <c r="A37" t="s">
        <v>375</v>
      </c>
      <c r="B37" s="20">
        <v>350242</v>
      </c>
    </row>
    <row r="38" spans="1:4">
      <c r="A38" s="54" t="s">
        <v>422</v>
      </c>
      <c r="B38" s="20">
        <v>361514</v>
      </c>
      <c r="C38" t="s">
        <v>391</v>
      </c>
    </row>
    <row r="39" spans="1:4">
      <c r="A39" t="s">
        <v>376</v>
      </c>
      <c r="B39" s="20">
        <v>368120</v>
      </c>
    </row>
    <row r="40" spans="1:4">
      <c r="A40" s="54" t="s">
        <v>377</v>
      </c>
      <c r="B40" s="20">
        <v>376780</v>
      </c>
      <c r="C40" t="s">
        <v>391</v>
      </c>
      <c r="D40" t="s">
        <v>391</v>
      </c>
    </row>
    <row r="41" spans="1:4">
      <c r="A41" t="s">
        <v>378</v>
      </c>
      <c r="B41" s="20">
        <v>378565</v>
      </c>
    </row>
    <row r="42" spans="1:4">
      <c r="A42" s="54" t="s">
        <v>379</v>
      </c>
      <c r="B42" s="20">
        <v>440331</v>
      </c>
      <c r="C42" t="s">
        <v>391</v>
      </c>
      <c r="D42" t="s">
        <v>391</v>
      </c>
    </row>
    <row r="43" spans="1:4">
      <c r="A43" s="54" t="s">
        <v>423</v>
      </c>
      <c r="B43" s="20">
        <v>446525</v>
      </c>
      <c r="C43" t="s">
        <v>391</v>
      </c>
    </row>
    <row r="44" spans="1:4">
      <c r="A44" t="s">
        <v>426</v>
      </c>
      <c r="B44" s="20">
        <v>477688</v>
      </c>
    </row>
    <row r="45" spans="1:4">
      <c r="A45" s="54" t="s">
        <v>467</v>
      </c>
      <c r="B45" s="20">
        <v>494429</v>
      </c>
      <c r="C45" t="s">
        <v>391</v>
      </c>
    </row>
    <row r="46" spans="1:4">
      <c r="A46" s="54" t="s">
        <v>380</v>
      </c>
      <c r="B46" s="20">
        <v>503712</v>
      </c>
      <c r="D46" t="s">
        <v>391</v>
      </c>
    </row>
    <row r="47" spans="1:4">
      <c r="A47" t="s">
        <v>429</v>
      </c>
      <c r="B47" s="20">
        <v>511997</v>
      </c>
    </row>
    <row r="48" spans="1:4">
      <c r="A48" t="s">
        <v>381</v>
      </c>
      <c r="B48" s="20">
        <v>520650</v>
      </c>
    </row>
    <row r="49" spans="1:8">
      <c r="A49" s="54" t="s">
        <v>382</v>
      </c>
      <c r="B49" s="20">
        <v>524208</v>
      </c>
      <c r="C49" t="s">
        <v>391</v>
      </c>
    </row>
    <row r="50" spans="1:8">
      <c r="A50" s="54" t="s">
        <v>383</v>
      </c>
      <c r="B50" s="20">
        <v>684871</v>
      </c>
      <c r="C50" t="s">
        <v>391</v>
      </c>
      <c r="D50" t="s">
        <v>391</v>
      </c>
    </row>
    <row r="51" spans="1:8">
      <c r="A51" s="54" t="s">
        <v>384</v>
      </c>
      <c r="B51" s="20">
        <v>740737</v>
      </c>
      <c r="C51" t="s">
        <v>391</v>
      </c>
      <c r="D51" t="s">
        <v>391</v>
      </c>
    </row>
    <row r="52" spans="1:8">
      <c r="A52" t="s">
        <v>462</v>
      </c>
      <c r="B52" s="20">
        <v>787791</v>
      </c>
    </row>
    <row r="53" spans="1:8">
      <c r="A53" s="54" t="s">
        <v>424</v>
      </c>
      <c r="B53" s="20">
        <v>811355</v>
      </c>
      <c r="C53" t="s">
        <v>391</v>
      </c>
    </row>
    <row r="54" spans="1:8">
      <c r="A54" s="54" t="s">
        <v>464</v>
      </c>
      <c r="B54" s="20">
        <v>873414</v>
      </c>
      <c r="C54" t="s">
        <v>391</v>
      </c>
    </row>
    <row r="55" spans="1:8">
      <c r="A55" t="s">
        <v>479</v>
      </c>
      <c r="B55" s="20">
        <v>900628</v>
      </c>
    </row>
    <row r="56" spans="1:8">
      <c r="A56" t="s">
        <v>385</v>
      </c>
      <c r="B56" s="20">
        <v>900677</v>
      </c>
      <c r="D56" t="s">
        <v>391</v>
      </c>
      <c r="H56" s="38"/>
    </row>
    <row r="57" spans="1:8">
      <c r="A57" s="54" t="s">
        <v>459</v>
      </c>
      <c r="B57" s="20">
        <v>948454</v>
      </c>
      <c r="C57" t="s">
        <v>391</v>
      </c>
      <c r="H57" s="38"/>
    </row>
    <row r="58" spans="1:8">
      <c r="A58" t="s">
        <v>466</v>
      </c>
      <c r="B58" s="20">
        <v>1076369</v>
      </c>
      <c r="H58" s="38"/>
    </row>
    <row r="59" spans="1:8">
      <c r="A59" t="s">
        <v>461</v>
      </c>
      <c r="B59" s="20">
        <v>1146605</v>
      </c>
      <c r="H59" s="38"/>
    </row>
    <row r="60" spans="1:8">
      <c r="A60" s="54" t="s">
        <v>460</v>
      </c>
      <c r="B60" s="20">
        <v>1197452</v>
      </c>
      <c r="C60" t="s">
        <v>391</v>
      </c>
      <c r="H60" s="38"/>
    </row>
    <row r="61" spans="1:8">
      <c r="A61" t="s">
        <v>463</v>
      </c>
      <c r="B61" s="20">
        <v>1261281</v>
      </c>
      <c r="H61" s="38"/>
    </row>
    <row r="62" spans="1:8">
      <c r="A62" s="54" t="s">
        <v>457</v>
      </c>
      <c r="B62" s="20">
        <v>1372935</v>
      </c>
      <c r="C62" t="s">
        <v>391</v>
      </c>
      <c r="H62" s="38"/>
    </row>
    <row r="63" spans="1:8">
      <c r="A63" t="s">
        <v>468</v>
      </c>
      <c r="B63" s="20">
        <v>1483726</v>
      </c>
      <c r="H63" s="38"/>
    </row>
    <row r="64" spans="1:8">
      <c r="A64" s="54" t="s">
        <v>476</v>
      </c>
      <c r="B64" s="20">
        <v>1515980</v>
      </c>
      <c r="C64" t="s">
        <v>391</v>
      </c>
      <c r="H64" s="38"/>
    </row>
    <row r="65" spans="1:8">
      <c r="A65" t="s">
        <v>386</v>
      </c>
      <c r="B65" s="20">
        <v>1551879</v>
      </c>
      <c r="H65" s="38"/>
    </row>
    <row r="66" spans="1:8">
      <c r="A66" t="s">
        <v>387</v>
      </c>
      <c r="B66" s="20">
        <v>1679518</v>
      </c>
      <c r="H66" s="38"/>
    </row>
    <row r="67" spans="1:8">
      <c r="A67" t="s">
        <v>388</v>
      </c>
      <c r="B67" s="20">
        <v>1749447</v>
      </c>
      <c r="H67" s="38"/>
    </row>
    <row r="68" spans="1:8">
      <c r="A68" t="s">
        <v>389</v>
      </c>
      <c r="B68" s="20">
        <v>1780958</v>
      </c>
      <c r="H68" s="38"/>
    </row>
    <row r="69" spans="1:8">
      <c r="A69" s="54" t="s">
        <v>465</v>
      </c>
      <c r="B69" s="20">
        <v>1910874</v>
      </c>
      <c r="C69" t="s">
        <v>391</v>
      </c>
      <c r="H69" s="38"/>
    </row>
    <row r="70" spans="1:8">
      <c r="A70" t="s">
        <v>428</v>
      </c>
      <c r="B70" s="20">
        <v>2081905</v>
      </c>
      <c r="D70" t="s">
        <v>391</v>
      </c>
      <c r="H70" s="38"/>
    </row>
    <row r="71" spans="1:8">
      <c r="A71" t="s">
        <v>427</v>
      </c>
      <c r="B71" s="20">
        <v>2209384</v>
      </c>
      <c r="D71" t="s">
        <v>521</v>
      </c>
      <c r="H71" s="38"/>
    </row>
    <row r="72" spans="1:8">
      <c r="A72" t="s">
        <v>458</v>
      </c>
      <c r="B72" s="20">
        <v>2293790</v>
      </c>
      <c r="H72" s="38"/>
    </row>
    <row r="73" spans="1:8">
      <c r="A73" t="s">
        <v>480</v>
      </c>
      <c r="B73" s="20">
        <v>2607514</v>
      </c>
      <c r="H73" s="38"/>
    </row>
    <row r="74" spans="1:8">
      <c r="A74" t="s">
        <v>480</v>
      </c>
      <c r="B74" s="20">
        <v>2607514</v>
      </c>
      <c r="H74" s="38"/>
    </row>
    <row r="75" spans="1:8">
      <c r="A75" t="s">
        <v>469</v>
      </c>
      <c r="B75" s="20">
        <v>2660104</v>
      </c>
      <c r="H75" s="38"/>
    </row>
    <row r="76" spans="1:8">
      <c r="A76" s="54" t="s">
        <v>390</v>
      </c>
      <c r="B76" s="20">
        <v>3318088</v>
      </c>
      <c r="C76" t="s">
        <v>391</v>
      </c>
      <c r="H76" s="38"/>
    </row>
    <row r="77" spans="1:8">
      <c r="A77" t="s">
        <v>477</v>
      </c>
      <c r="B77" s="20">
        <v>3761518</v>
      </c>
      <c r="D77" t="s">
        <v>391</v>
      </c>
      <c r="H77" s="38"/>
    </row>
    <row r="78" spans="1:8">
      <c r="A78" s="54" t="s">
        <v>472</v>
      </c>
      <c r="B78" s="20">
        <v>10116057</v>
      </c>
      <c r="C78" t="s">
        <v>391</v>
      </c>
      <c r="H78" s="38"/>
    </row>
    <row r="79" spans="1:8">
      <c r="A79" s="54" t="s">
        <v>353</v>
      </c>
      <c r="B79" s="20" t="s">
        <v>351</v>
      </c>
      <c r="C79" t="s">
        <v>391</v>
      </c>
      <c r="H79" s="38"/>
    </row>
  </sheetData>
  <sortState ref="A2:D83">
    <sortCondition ref="B1"/>
  </sortState>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23"/>
  <sheetViews>
    <sheetView workbookViewId="0">
      <selection activeCell="D4" sqref="D4"/>
    </sheetView>
  </sheetViews>
  <sheetFormatPr defaultRowHeight="15"/>
  <cols>
    <col min="1" max="1" width="18.85546875" customWidth="1"/>
  </cols>
  <sheetData>
    <row r="1" spans="1:2">
      <c r="A1" t="s">
        <v>610</v>
      </c>
      <c r="B1" s="20">
        <v>27224</v>
      </c>
    </row>
    <row r="2" spans="1:2">
      <c r="A2" t="s">
        <v>611</v>
      </c>
      <c r="B2" s="20">
        <v>28681</v>
      </c>
    </row>
    <row r="3" spans="1:2">
      <c r="A3" t="s">
        <v>612</v>
      </c>
      <c r="B3" s="20">
        <v>35754</v>
      </c>
    </row>
    <row r="4" spans="1:2">
      <c r="A4" t="s">
        <v>613</v>
      </c>
      <c r="B4" s="20">
        <v>43172</v>
      </c>
    </row>
    <row r="5" spans="1:2">
      <c r="A5" t="s">
        <v>614</v>
      </c>
      <c r="B5" s="20">
        <v>45812</v>
      </c>
    </row>
    <row r="6" spans="1:2">
      <c r="A6" t="s">
        <v>615</v>
      </c>
      <c r="B6" s="20">
        <v>70278</v>
      </c>
    </row>
    <row r="7" spans="1:2">
      <c r="A7" t="s">
        <v>616</v>
      </c>
      <c r="B7" s="20">
        <v>95744</v>
      </c>
    </row>
    <row r="8" spans="1:2">
      <c r="A8" t="s">
        <v>617</v>
      </c>
      <c r="B8" s="20">
        <v>142537</v>
      </c>
    </row>
    <row r="9" spans="1:2">
      <c r="A9" t="s">
        <v>618</v>
      </c>
      <c r="B9" s="20">
        <v>156047</v>
      </c>
    </row>
    <row r="10" spans="1:2">
      <c r="A10" t="s">
        <v>619</v>
      </c>
      <c r="B10" s="20">
        <v>188755</v>
      </c>
    </row>
    <row r="11" spans="1:2">
      <c r="A11" t="s">
        <v>620</v>
      </c>
      <c r="B11" s="20">
        <v>231471</v>
      </c>
    </row>
    <row r="12" spans="1:2">
      <c r="A12" t="s">
        <v>621</v>
      </c>
      <c r="B12" s="20">
        <v>165689</v>
      </c>
    </row>
    <row r="13" spans="1:2">
      <c r="A13" t="s">
        <v>622</v>
      </c>
      <c r="B13" s="20">
        <v>253883</v>
      </c>
    </row>
    <row r="14" spans="1:2">
      <c r="A14" t="s">
        <v>623</v>
      </c>
      <c r="B14" s="20">
        <v>431795</v>
      </c>
    </row>
    <row r="15" spans="1:2">
      <c r="A15" t="s">
        <v>624</v>
      </c>
      <c r="B15" s="20">
        <v>532402</v>
      </c>
    </row>
    <row r="16" spans="1:2">
      <c r="A16" t="s">
        <v>625</v>
      </c>
      <c r="B16" s="20">
        <v>594646</v>
      </c>
    </row>
    <row r="17" spans="1:2">
      <c r="A17" t="s">
        <v>626</v>
      </c>
      <c r="B17" s="20">
        <v>736060</v>
      </c>
    </row>
    <row r="18" spans="1:2">
      <c r="A18" t="s">
        <v>627</v>
      </c>
      <c r="B18" s="20">
        <v>1020007</v>
      </c>
    </row>
    <row r="19" spans="1:2">
      <c r="A19" t="s">
        <v>628</v>
      </c>
      <c r="B19" s="20">
        <v>1278101</v>
      </c>
    </row>
    <row r="20" spans="1:2">
      <c r="A20" t="s">
        <v>629</v>
      </c>
      <c r="B20" s="20">
        <v>1917321</v>
      </c>
    </row>
    <row r="21" spans="1:2">
      <c r="A21" t="s">
        <v>630</v>
      </c>
      <c r="B21" s="20">
        <v>2297707</v>
      </c>
    </row>
    <row r="22" spans="1:2">
      <c r="A22" t="s">
        <v>631</v>
      </c>
      <c r="B22" s="20">
        <v>3602496</v>
      </c>
    </row>
    <row r="23" spans="1:2">
      <c r="A23" t="s">
        <v>632</v>
      </c>
      <c r="B23" s="20">
        <v>5628580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B91"/>
  <sheetViews>
    <sheetView tabSelected="1" topLeftCell="A25" workbookViewId="0">
      <selection activeCell="D36" sqref="D36"/>
    </sheetView>
  </sheetViews>
  <sheetFormatPr defaultRowHeight="15"/>
  <cols>
    <col min="1" max="2" width="25.7109375" style="38" customWidth="1"/>
  </cols>
  <sheetData>
    <row r="1" spans="1:2">
      <c r="A1" s="85" t="s">
        <v>275</v>
      </c>
      <c r="B1" s="85"/>
    </row>
    <row r="2" spans="1:2">
      <c r="A2" s="75" t="s">
        <v>345</v>
      </c>
      <c r="B2" s="75" t="s">
        <v>346</v>
      </c>
    </row>
    <row r="3" spans="1:2">
      <c r="A3" s="39" t="s">
        <v>262</v>
      </c>
      <c r="B3" t="s">
        <v>485</v>
      </c>
    </row>
    <row r="4" spans="1:2">
      <c r="A4" s="39" t="s">
        <v>265</v>
      </c>
      <c r="B4" t="s">
        <v>485</v>
      </c>
    </row>
    <row r="5" spans="1:2">
      <c r="A5" s="39" t="s">
        <v>437</v>
      </c>
      <c r="B5" t="s">
        <v>485</v>
      </c>
    </row>
    <row r="6" spans="1:2">
      <c r="A6" s="39" t="s">
        <v>438</v>
      </c>
      <c r="B6" t="s">
        <v>485</v>
      </c>
    </row>
    <row r="7" spans="1:2">
      <c r="A7" s="39" t="s">
        <v>439</v>
      </c>
      <c r="B7" t="s">
        <v>485</v>
      </c>
    </row>
    <row r="8" spans="1:2">
      <c r="A8" s="38" t="s">
        <v>20</v>
      </c>
      <c r="B8" t="s">
        <v>485</v>
      </c>
    </row>
    <row r="9" spans="1:2">
      <c r="A9" s="39" t="s">
        <v>442</v>
      </c>
      <c r="B9" t="s">
        <v>485</v>
      </c>
    </row>
    <row r="10" spans="1:2">
      <c r="A10" s="39" t="s">
        <v>13</v>
      </c>
      <c r="B10" t="s">
        <v>485</v>
      </c>
    </row>
    <row r="11" spans="1:2">
      <c r="A11" s="39" t="s">
        <v>443</v>
      </c>
      <c r="B11" t="s">
        <v>485</v>
      </c>
    </row>
    <row r="12" spans="1:2">
      <c r="A12" s="39" t="s">
        <v>17</v>
      </c>
      <c r="B12" t="s">
        <v>485</v>
      </c>
    </row>
    <row r="13" spans="1:2">
      <c r="A13" s="39" t="s">
        <v>397</v>
      </c>
      <c r="B13" t="s">
        <v>485</v>
      </c>
    </row>
    <row r="14" spans="1:2">
      <c r="A14" s="39" t="s">
        <v>22</v>
      </c>
      <c r="B14" t="s">
        <v>485</v>
      </c>
    </row>
    <row r="15" spans="1:2">
      <c r="A15" s="39" t="s">
        <v>399</v>
      </c>
      <c r="B15" t="s">
        <v>485</v>
      </c>
    </row>
    <row r="16" spans="1:2">
      <c r="A16" s="39" t="s">
        <v>401</v>
      </c>
      <c r="B16" t="s">
        <v>485</v>
      </c>
    </row>
    <row r="17" spans="1:2">
      <c r="A17" s="39" t="s">
        <v>436</v>
      </c>
      <c r="B17" t="s">
        <v>485</v>
      </c>
    </row>
    <row r="18" spans="1:2">
      <c r="A18" s="39" t="s">
        <v>396</v>
      </c>
      <c r="B18" t="s">
        <v>485</v>
      </c>
    </row>
    <row r="19" spans="1:2">
      <c r="A19" s="39" t="s">
        <v>12</v>
      </c>
      <c r="B19" t="s">
        <v>485</v>
      </c>
    </row>
    <row r="20" spans="1:2">
      <c r="A20" s="9" t="s">
        <v>170</v>
      </c>
      <c r="B20" t="s">
        <v>485</v>
      </c>
    </row>
    <row r="21" spans="1:2">
      <c r="A21" s="39" t="s">
        <v>418</v>
      </c>
      <c r="B21" t="s">
        <v>485</v>
      </c>
    </row>
    <row r="22" spans="1:2">
      <c r="A22" s="39" t="s">
        <v>446</v>
      </c>
      <c r="B22" t="s">
        <v>485</v>
      </c>
    </row>
    <row r="23" spans="1:2">
      <c r="A23" s="9" t="s">
        <v>312</v>
      </c>
      <c r="B23" t="s">
        <v>485</v>
      </c>
    </row>
    <row r="24" spans="1:2">
      <c r="A24" s="39" t="s">
        <v>448</v>
      </c>
      <c r="B24" t="s">
        <v>485</v>
      </c>
    </row>
    <row r="25" spans="1:2">
      <c r="A25" s="39" t="s">
        <v>452</v>
      </c>
      <c r="B25" t="s">
        <v>485</v>
      </c>
    </row>
    <row r="26" spans="1:2">
      <c r="A26" s="39" t="s">
        <v>19</v>
      </c>
      <c r="B26" t="s">
        <v>485</v>
      </c>
    </row>
    <row r="27" spans="1:2">
      <c r="A27" s="39" t="s">
        <v>400</v>
      </c>
      <c r="B27" t="s">
        <v>485</v>
      </c>
    </row>
    <row r="28" spans="1:2">
      <c r="A28" s="39" t="s">
        <v>455</v>
      </c>
      <c r="B28" t="s">
        <v>485</v>
      </c>
    </row>
    <row r="29" spans="1:2">
      <c r="A29" s="39" t="s">
        <v>6</v>
      </c>
      <c r="B29" t="s">
        <v>485</v>
      </c>
    </row>
    <row r="30" spans="1:2">
      <c r="A30" s="39" t="s">
        <v>454</v>
      </c>
      <c r="B30" t="s">
        <v>485</v>
      </c>
    </row>
    <row r="31" spans="1:2">
      <c r="A31" s="39" t="s">
        <v>18</v>
      </c>
      <c r="B31" t="s">
        <v>485</v>
      </c>
    </row>
    <row r="32" spans="1:2">
      <c r="A32" s="39" t="s">
        <v>395</v>
      </c>
      <c r="B32" t="s">
        <v>485</v>
      </c>
    </row>
    <row r="33" spans="1:2">
      <c r="A33" s="76" t="s">
        <v>453</v>
      </c>
      <c r="B33" t="s">
        <v>485</v>
      </c>
    </row>
    <row r="34" spans="1:2">
      <c r="A34" s="76" t="s">
        <v>435</v>
      </c>
      <c r="B34" t="s">
        <v>653</v>
      </c>
    </row>
    <row r="35" spans="1:2">
      <c r="A35" s="76" t="s">
        <v>5</v>
      </c>
      <c r="B35" t="s">
        <v>647</v>
      </c>
    </row>
    <row r="36" spans="1:2">
      <c r="A36" s="76" t="s">
        <v>402</v>
      </c>
      <c r="B36" t="s">
        <v>652</v>
      </c>
    </row>
    <row r="37" spans="1:2">
      <c r="A37" s="39" t="s">
        <v>449</v>
      </c>
      <c r="B37" t="s">
        <v>650</v>
      </c>
    </row>
    <row r="38" spans="1:2">
      <c r="A38" s="39" t="s">
        <v>451</v>
      </c>
      <c r="B38" t="s">
        <v>650</v>
      </c>
    </row>
    <row r="39" spans="1:2">
      <c r="A39" s="9" t="s">
        <v>309</v>
      </c>
      <c r="B39" t="s">
        <v>646</v>
      </c>
    </row>
    <row r="40" spans="1:2">
      <c r="A40" s="39" t="s">
        <v>431</v>
      </c>
      <c r="B40" t="s">
        <v>636</v>
      </c>
    </row>
    <row r="41" spans="1:2">
      <c r="A41" s="6" t="s">
        <v>23</v>
      </c>
      <c r="B41" t="s">
        <v>636</v>
      </c>
    </row>
    <row r="42" spans="1:2">
      <c r="A42" s="39" t="s">
        <v>419</v>
      </c>
      <c r="B42" t="s">
        <v>636</v>
      </c>
    </row>
    <row r="43" spans="1:2">
      <c r="A43" s="9" t="s">
        <v>317</v>
      </c>
      <c r="B43" t="s">
        <v>649</v>
      </c>
    </row>
    <row r="44" spans="1:2">
      <c r="A44" s="39" t="s">
        <v>260</v>
      </c>
      <c r="B44" t="s">
        <v>647</v>
      </c>
    </row>
    <row r="45" spans="1:2">
      <c r="A45" s="9" t="s">
        <v>313</v>
      </c>
      <c r="B45" t="s">
        <v>647</v>
      </c>
    </row>
    <row r="46" spans="1:2">
      <c r="A46" s="39" t="s">
        <v>263</v>
      </c>
      <c r="B46" t="s">
        <v>634</v>
      </c>
    </row>
    <row r="47" spans="1:2">
      <c r="A47" s="39" t="s">
        <v>264</v>
      </c>
      <c r="B47" t="s">
        <v>634</v>
      </c>
    </row>
    <row r="48" spans="1:2">
      <c r="A48" s="39" t="s">
        <v>21</v>
      </c>
      <c r="B48" t="s">
        <v>634</v>
      </c>
    </row>
    <row r="49" spans="1:2">
      <c r="A49" s="39" t="s">
        <v>450</v>
      </c>
      <c r="B49" t="s">
        <v>634</v>
      </c>
    </row>
    <row r="50" spans="1:2">
      <c r="A50" s="38" t="s">
        <v>441</v>
      </c>
      <c r="B50" t="s">
        <v>634</v>
      </c>
    </row>
    <row r="51" spans="1:2">
      <c r="A51" s="77" t="s">
        <v>314</v>
      </c>
      <c r="B51" t="s">
        <v>634</v>
      </c>
    </row>
    <row r="52" spans="1:2">
      <c r="A52" s="38" t="s">
        <v>267</v>
      </c>
      <c r="B52" t="s">
        <v>634</v>
      </c>
    </row>
    <row r="53" spans="1:2">
      <c r="A53" s="78" t="s">
        <v>270</v>
      </c>
      <c r="B53" t="s">
        <v>634</v>
      </c>
    </row>
    <row r="54" spans="1:2">
      <c r="A54" s="78" t="s">
        <v>271</v>
      </c>
      <c r="B54" t="s">
        <v>634</v>
      </c>
    </row>
    <row r="55" spans="1:2">
      <c r="A55" s="38" t="s">
        <v>4</v>
      </c>
      <c r="B55" t="s">
        <v>76</v>
      </c>
    </row>
    <row r="56" spans="1:2">
      <c r="A56" s="38" t="s">
        <v>261</v>
      </c>
      <c r="B56" t="s">
        <v>76</v>
      </c>
    </row>
    <row r="57" spans="1:2">
      <c r="A57" s="77" t="s">
        <v>348</v>
      </c>
      <c r="B57" t="s">
        <v>76</v>
      </c>
    </row>
    <row r="58" spans="1:2">
      <c r="A58" s="78" t="s">
        <v>440</v>
      </c>
      <c r="B58" t="s">
        <v>76</v>
      </c>
    </row>
    <row r="59" spans="1:2">
      <c r="A59" s="78" t="s">
        <v>398</v>
      </c>
      <c r="B59" t="s">
        <v>76</v>
      </c>
    </row>
    <row r="60" spans="1:2">
      <c r="A60" s="77" t="s">
        <v>311</v>
      </c>
      <c r="B60" t="s">
        <v>76</v>
      </c>
    </row>
    <row r="61" spans="1:2">
      <c r="A61" s="78" t="s">
        <v>350</v>
      </c>
      <c r="B61" t="s">
        <v>76</v>
      </c>
    </row>
    <row r="62" spans="1:2">
      <c r="A62" s="78" t="s">
        <v>11</v>
      </c>
      <c r="B62" t="s">
        <v>76</v>
      </c>
    </row>
    <row r="63" spans="1:2">
      <c r="A63" s="38" t="s">
        <v>16</v>
      </c>
      <c r="B63" t="s">
        <v>76</v>
      </c>
    </row>
    <row r="64" spans="1:2">
      <c r="A64" s="38" t="s">
        <v>404</v>
      </c>
      <c r="B64" t="s">
        <v>76</v>
      </c>
    </row>
    <row r="65" spans="1:2">
      <c r="A65" s="38" t="s">
        <v>403</v>
      </c>
      <c r="B65" t="s">
        <v>76</v>
      </c>
    </row>
    <row r="66" spans="1:2">
      <c r="A66" s="77" t="s">
        <v>318</v>
      </c>
      <c r="B66" t="s">
        <v>76</v>
      </c>
    </row>
    <row r="67" spans="1:2">
      <c r="A67" s="38" t="s">
        <v>651</v>
      </c>
      <c r="B67" t="s">
        <v>76</v>
      </c>
    </row>
    <row r="68" spans="1:2">
      <c r="A68" s="38" t="s">
        <v>444</v>
      </c>
      <c r="B68" t="s">
        <v>76</v>
      </c>
    </row>
    <row r="69" spans="1:2">
      <c r="A69" s="38" t="s">
        <v>456</v>
      </c>
      <c r="B69" t="s">
        <v>76</v>
      </c>
    </row>
    <row r="70" spans="1:2">
      <c r="A70" s="38" t="s">
        <v>268</v>
      </c>
      <c r="B70" t="s">
        <v>76</v>
      </c>
    </row>
    <row r="71" spans="1:2">
      <c r="A71" s="38" t="s">
        <v>272</v>
      </c>
      <c r="B71" t="s">
        <v>648</v>
      </c>
    </row>
    <row r="72" spans="1:2">
      <c r="A72" s="7" t="s">
        <v>25</v>
      </c>
      <c r="B72"/>
    </row>
    <row r="73" spans="1:2">
      <c r="A73" s="38" t="s">
        <v>447</v>
      </c>
      <c r="B73"/>
    </row>
    <row r="74" spans="1:2">
      <c r="A74" s="7" t="s">
        <v>27</v>
      </c>
      <c r="B74"/>
    </row>
    <row r="75" spans="1:2">
      <c r="A75" s="78" t="s">
        <v>445</v>
      </c>
      <c r="B75"/>
    </row>
    <row r="76" spans="1:2">
      <c r="A76" t="s">
        <v>24</v>
      </c>
      <c r="B76"/>
    </row>
    <row r="77" spans="1:2">
      <c r="A77" s="38" t="s">
        <v>433</v>
      </c>
      <c r="B77"/>
    </row>
    <row r="78" spans="1:2">
      <c r="A78" s="77"/>
      <c r="B78"/>
    </row>
    <row r="79" spans="1:2">
      <c r="A79" s="77"/>
      <c r="B79"/>
    </row>
    <row r="80" spans="1:2">
      <c r="A80" s="77"/>
      <c r="B80"/>
    </row>
    <row r="81" spans="1:2">
      <c r="A81" s="77"/>
      <c r="B81"/>
    </row>
    <row r="82" spans="1:2">
      <c r="A82" s="77"/>
      <c r="B82"/>
    </row>
    <row r="83" spans="1:2">
      <c r="A83" s="77"/>
      <c r="B83"/>
    </row>
    <row r="84" spans="1:2">
      <c r="B84"/>
    </row>
    <row r="85" spans="1:2">
      <c r="B85"/>
    </row>
    <row r="86" spans="1:2">
      <c r="B86"/>
    </row>
    <row r="87" spans="1:2">
      <c r="B87"/>
    </row>
    <row r="88" spans="1:2">
      <c r="B88"/>
    </row>
    <row r="89" spans="1:2">
      <c r="B89"/>
    </row>
    <row r="90" spans="1:2">
      <c r="B90"/>
    </row>
    <row r="91" spans="1:2">
      <c r="B91"/>
    </row>
  </sheetData>
  <sortState ref="A3:B77">
    <sortCondition ref="B3:B77"/>
  </sortState>
  <mergeCells count="1">
    <mergeCell ref="A1:B1"/>
  </mergeCells>
  <hyperlinks>
    <hyperlink ref="A20" r:id="rId1"/>
    <hyperlink ref="A39" r:id="rId2"/>
    <hyperlink ref="A60" r:id="rId3"/>
    <hyperlink ref="A23" r:id="rId4"/>
    <hyperlink ref="A45" r:id="rId5"/>
    <hyperlink ref="A51" r:id="rId6"/>
    <hyperlink ref="A43" r:id="rId7"/>
    <hyperlink ref="A66" r:id="rId8"/>
  </hyperlink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
  <sheetViews>
    <sheetView workbookViewId="0">
      <selection activeCell="H15" sqref="H15"/>
    </sheetView>
  </sheetViews>
  <sheetFormatPr defaultRowHeight="15"/>
  <sheetData>
    <row r="1" spans="1:1">
      <c r="A1" t="s">
        <v>635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A5"/>
  <sheetViews>
    <sheetView workbookViewId="0">
      <selection activeCell="D8" sqref="D8"/>
    </sheetView>
  </sheetViews>
  <sheetFormatPr defaultRowHeight="15"/>
  <sheetData>
    <row r="1" spans="1:1">
      <c r="A1" t="s">
        <v>637</v>
      </c>
    </row>
    <row r="2" spans="1:1">
      <c r="A2" t="s">
        <v>638</v>
      </c>
    </row>
    <row r="3" spans="1:1">
      <c r="A3" t="s">
        <v>639</v>
      </c>
    </row>
    <row r="4" spans="1:1">
      <c r="A4" t="s">
        <v>640</v>
      </c>
    </row>
    <row r="5" spans="1:1">
      <c r="A5" s="59" t="s">
        <v>641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checklist</vt:lpstr>
      <vt:lpstr>Sheet1</vt:lpstr>
      <vt:lpstr>Lebanese Arabic</vt:lpstr>
      <vt:lpstr>keywords</vt:lpstr>
      <vt:lpstr>Before free promo</vt:lpstr>
      <vt:lpstr>Free promo launching</vt:lpstr>
      <vt:lpstr>0.99 promo</vt:lpstr>
      <vt:lpstr>sites alexa</vt:lpstr>
      <vt:lpstr>ads+alexa</vt:lpstr>
      <vt:lpstr>0.99 launching</vt:lpstr>
      <vt:lpstr>reviews</vt:lpstr>
      <vt:lpstr>possible publishers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Naim</dc:creator>
  <cp:lastModifiedBy>Naim</cp:lastModifiedBy>
  <dcterms:created xsi:type="dcterms:W3CDTF">2013-05-24T10:10:48Z</dcterms:created>
  <dcterms:modified xsi:type="dcterms:W3CDTF">2014-12-15T19:11:39Z</dcterms:modified>
</cp:coreProperties>
</file>