
<file path=[Content_Types].xml><?xml version="1.0" encoding="utf-8"?>
<Types xmlns="http://schemas.openxmlformats.org/package/2006/content-types">
  <Override PartName="/xl/activeX/activeX4.bin" ContentType="application/vnd.ms-office.activeX"/>
  <Override PartName="/xl/activeX/activeX43.bin" ContentType="application/vnd.ms-office.activeX"/>
  <Override PartName="/xl/activeX/activeX54.bin" ContentType="application/vnd.ms-office.activeX"/>
  <Override PartName="/xl/activeX/activeX88.xml" ContentType="application/vnd.ms-office.activeX+xml"/>
  <Override PartName="/xl/activeX/activeX90.bin" ContentType="application/vnd.ms-office.activeX"/>
  <Override PartName="/xl/styles.xml" ContentType="application/vnd.openxmlformats-officedocument.spreadsheetml.styles+xml"/>
  <Override PartName="/xl/activeX/activeX19.xml" ContentType="application/vnd.ms-office.activeX+xml"/>
  <Override PartName="/xl/activeX/activeX32.bin" ContentType="application/vnd.ms-office.activeX"/>
  <Override PartName="/xl/activeX/activeX66.xml" ContentType="application/vnd.ms-office.activeX+xml"/>
  <Override PartName="/xl/activeX/activeX77.xml" ContentType="application/vnd.ms-office.activeX+xml"/>
  <Override PartName="/xl/activeX/activeX103.bin" ContentType="application/vnd.ms-office.activeX"/>
  <Override PartName="/xl/activeX/activeX5.xml" ContentType="application/vnd.ms-office.activeX+xml"/>
  <Override PartName="/xl/activeX/activeX21.bin" ContentType="application/vnd.ms-office.activeX"/>
  <Override PartName="/xl/activeX/activeX55.xml" ContentType="application/vnd.ms-office.activeX+xml"/>
  <Default Extension="xml" ContentType="application/xml"/>
  <Override PartName="/xl/activeX/activeX10.bin" ContentType="application/vnd.ms-office.activeX"/>
  <Override PartName="/xl/activeX/activeX44.xml" ContentType="application/vnd.ms-office.activeX+xml"/>
  <Override PartName="/xl/activeX/activeX91.xml" ContentType="application/vnd.ms-office.activeX+xml"/>
  <Override PartName="/xl/activeX/activeX104.xml" ContentType="application/vnd.ms-office.activeX+xml"/>
  <Override PartName="/xl/worksheets/sheet3.xml" ContentType="application/vnd.openxmlformats-officedocument.spreadsheetml.worksheet+xml"/>
  <Override PartName="/xl/activeX/activeX22.xml" ContentType="application/vnd.ms-office.activeX+xml"/>
  <Override PartName="/xl/activeX/activeX33.xml" ContentType="application/vnd.ms-office.activeX+xml"/>
  <Override PartName="/xl/activeX/activeX80.xml" ContentType="application/vnd.ms-office.activeX+xml"/>
  <Override PartName="/xl/activeX/activeX9.bin" ContentType="application/vnd.ms-office.activeX"/>
  <Override PartName="/xl/activeX/activeX11.xml" ContentType="application/vnd.ms-office.activeX+xml"/>
  <Override PartName="/xl/activeX/activeX59.bin" ContentType="application/vnd.ms-office.activeX"/>
  <Override PartName="/xl/activeX/activeX48.bin" ContentType="application/vnd.ms-office.activeX"/>
  <Override PartName="/xl/activeX/activeX95.bin" ContentType="application/vnd.ms-office.activeX"/>
  <Override PartName="/xl/activeX/activeX5.bin" ContentType="application/vnd.ms-office.activeX"/>
  <Override PartName="/xl/activeX/activeX37.bin" ContentType="application/vnd.ms-office.activeX"/>
  <Override PartName="/xl/activeX/activeX55.bin" ContentType="application/vnd.ms-office.activeX"/>
  <Override PartName="/xl/activeX/activeX84.bin" ContentType="application/vnd.ms-office.activeX"/>
  <Override PartName="/xl/activeX/activeX89.xml" ContentType="application/vnd.ms-office.activeX+xml"/>
  <Default Extension="bin" ContentType="application/vnd.openxmlformats-officedocument.spreadsheetml.printerSettings"/>
  <Override PartName="/xl/activeX/activeX15.bin" ContentType="application/vnd.ms-office.activeX"/>
  <Override PartName="/xl/activeX/activeX26.bin" ContentType="application/vnd.ms-office.activeX"/>
  <Override PartName="/xl/activeX/activeX44.bin" ContentType="application/vnd.ms-office.activeX"/>
  <Override PartName="/xl/activeX/activeX62.bin" ContentType="application/vnd.ms-office.activeX"/>
  <Override PartName="/xl/activeX/activeX73.bin" ContentType="application/vnd.ms-office.activeX"/>
  <Override PartName="/xl/activeX/activeX78.xml" ContentType="application/vnd.ms-office.activeX+xml"/>
  <Override PartName="/xl/activeX/activeX91.bin" ContentType="application/vnd.ms-office.activeX"/>
  <Override PartName="/xl/activeX/activeX104.bin" ContentType="application/vnd.ms-office.activeX"/>
  <Override PartName="/xl/activeX/activeX1.bin" ContentType="application/vnd.ms-office.activeX"/>
  <Override PartName="/xl/activeX/activeX22.bin" ContentType="application/vnd.ms-office.activeX"/>
  <Override PartName="/xl/activeX/activeX33.bin" ContentType="application/vnd.ms-office.activeX"/>
  <Override PartName="/xl/activeX/activeX38.xml" ContentType="application/vnd.ms-office.activeX+xml"/>
  <Override PartName="/xl/activeX/activeX49.xml" ContentType="application/vnd.ms-office.activeX+xml"/>
  <Override PartName="/xl/activeX/activeX51.bin" ContentType="application/vnd.ms-office.activeX"/>
  <Override PartName="/xl/activeX/activeX67.xml" ContentType="application/vnd.ms-office.activeX+xml"/>
  <Override PartName="/xl/activeX/activeX80.bin" ContentType="application/vnd.ms-office.activeX"/>
  <Override PartName="/xl/activeX/activeX85.xml" ContentType="application/vnd.ms-office.activeX+xml"/>
  <Override PartName="/xl/activeX/activeX96.xml" ContentType="application/vnd.ms-office.activeX+xml"/>
  <Override PartName="/xl/activeX/activeX6.xml" ContentType="application/vnd.ms-office.activeX+xml"/>
  <Override PartName="/xl/activeX/activeX11.bin" ContentType="application/vnd.ms-office.activeX"/>
  <Override PartName="/xl/activeX/activeX27.xml" ContentType="application/vnd.ms-office.activeX+xml"/>
  <Override PartName="/xl/activeX/activeX40.bin" ContentType="application/vnd.ms-office.activeX"/>
  <Override PartName="/xl/activeX/activeX45.xml" ContentType="application/vnd.ms-office.activeX+xml"/>
  <Override PartName="/xl/activeX/activeX56.xml" ContentType="application/vnd.ms-office.activeX+xml"/>
  <Override PartName="/xl/activeX/activeX74.xml" ContentType="application/vnd.ms-office.activeX+xml"/>
  <Override PartName="/xl/activeX/activeX92.xml" ContentType="application/vnd.ms-office.activeX+xml"/>
  <Override PartName="/xl/activeX/activeX100.bin" ContentType="application/vnd.ms-office.activeX"/>
  <Default Extension="emf" ContentType="image/x-emf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activeX/activeX2.xml" ContentType="application/vnd.ms-office.activeX+xml"/>
  <Override PartName="/xl/activeX/activeX16.xml" ContentType="application/vnd.ms-office.activeX+xml"/>
  <Override PartName="/xl/activeX/activeX34.xml" ContentType="application/vnd.ms-office.activeX+xml"/>
  <Override PartName="/xl/activeX/activeX63.xml" ContentType="application/vnd.ms-office.activeX+xml"/>
  <Override PartName="/xl/activeX/activeX81.xml" ContentType="application/vnd.ms-office.activeX+xml"/>
  <Override PartName="/xl/activeX/activeX105.xml" ContentType="application/vnd.ms-office.activeX+xml"/>
  <Override PartName="/docProps/app.xml" ContentType="application/vnd.openxmlformats-officedocument.extended-properties+xml"/>
  <Override PartName="/xl/activeX/activeX23.xml" ContentType="application/vnd.ms-office.activeX+xml"/>
  <Override PartName="/xl/activeX/activeX41.xml" ContentType="application/vnd.ms-office.activeX+xml"/>
  <Override PartName="/xl/activeX/activeX52.xml" ContentType="application/vnd.ms-office.activeX+xml"/>
  <Override PartName="/xl/activeX/activeX70.xml" ContentType="application/vnd.ms-office.activeX+xml"/>
  <Override PartName="/xl/activeX/activeX89.bin" ContentType="application/vnd.ms-office.activeX"/>
  <Default Extension="vml" ContentType="application/vnd.openxmlformats-officedocument.vmlDrawing"/>
  <Override PartName="/xl/activeX/activeX12.xml" ContentType="application/vnd.ms-office.activeX+xml"/>
  <Override PartName="/xl/activeX/activeX30.xml" ContentType="application/vnd.ms-office.activeX+xml"/>
  <Override PartName="/xl/activeX/activeX78.bin" ContentType="application/vnd.ms-office.activeX"/>
  <Override PartName="/xl/activeX/activeX101.xml" ContentType="application/vnd.ms-office.activeX+xml"/>
  <Override PartName="/xl/calcChain.xml" ContentType="application/vnd.openxmlformats-officedocument.spreadsheetml.calcChain+xml"/>
  <Override PartName="/xl/activeX/activeX38.bin" ContentType="application/vnd.ms-office.activeX"/>
  <Override PartName="/xl/activeX/activeX49.bin" ContentType="application/vnd.ms-office.activeX"/>
  <Override PartName="/xl/activeX/activeX67.bin" ContentType="application/vnd.ms-office.activeX"/>
  <Override PartName="/xl/activeX/activeX85.bin" ContentType="application/vnd.ms-office.activeX"/>
  <Override PartName="/xl/activeX/activeX96.bin" ContentType="application/vnd.ms-office.activeX"/>
  <Override PartName="/xl/activeX/activeX6.bin" ContentType="application/vnd.ms-office.activeX"/>
  <Override PartName="/xl/activeX/activeX27.bin" ContentType="application/vnd.ms-office.activeX"/>
  <Override PartName="/xl/activeX/activeX45.bin" ContentType="application/vnd.ms-office.activeX"/>
  <Override PartName="/xl/activeX/activeX56.bin" ContentType="application/vnd.ms-office.activeX"/>
  <Override PartName="/xl/activeX/activeX74.bin" ContentType="application/vnd.ms-office.activeX"/>
  <Override PartName="/xl/activeX/activeX92.bin" ContentType="application/vnd.ms-office.activeX"/>
  <Override PartName="/docProps/core.xml" ContentType="application/vnd.openxmlformats-package.core-properties+xml"/>
  <Override PartName="/xl/activeX/activeX2.bin" ContentType="application/vnd.ms-office.activeX"/>
  <Override PartName="/xl/activeX/activeX16.bin" ContentType="application/vnd.ms-office.activeX"/>
  <Override PartName="/xl/activeX/activeX34.bin" ContentType="application/vnd.ms-office.activeX"/>
  <Override PartName="/xl/activeX/activeX63.bin" ContentType="application/vnd.ms-office.activeX"/>
  <Override PartName="/xl/activeX/activeX68.xml" ContentType="application/vnd.ms-office.activeX+xml"/>
  <Override PartName="/xl/activeX/activeX79.xml" ContentType="application/vnd.ms-office.activeX+xml"/>
  <Override PartName="/xl/activeX/activeX81.bin" ContentType="application/vnd.ms-office.activeX"/>
  <Override PartName="/xl/activeX/activeX97.xml" ContentType="application/vnd.ms-office.activeX+xml"/>
  <Override PartName="/xl/activeX/activeX105.bin" ContentType="application/vnd.ms-office.activeX"/>
  <Override PartName="/xl/theme/theme1.xml" ContentType="application/vnd.openxmlformats-officedocument.theme+xml"/>
  <Override PartName="/xl/activeX/activeX7.xml" ContentType="application/vnd.ms-office.activeX+xml"/>
  <Override PartName="/xl/activeX/activeX23.bin" ContentType="application/vnd.ms-office.activeX"/>
  <Override PartName="/xl/activeX/activeX39.xml" ContentType="application/vnd.ms-office.activeX+xml"/>
  <Override PartName="/xl/activeX/activeX41.bin" ContentType="application/vnd.ms-office.activeX"/>
  <Override PartName="/xl/activeX/activeX52.bin" ContentType="application/vnd.ms-office.activeX"/>
  <Override PartName="/xl/activeX/activeX57.xml" ContentType="application/vnd.ms-office.activeX+xml"/>
  <Override PartName="/xl/activeX/activeX70.bin" ContentType="application/vnd.ms-office.activeX"/>
  <Override PartName="/xl/activeX/activeX86.xml" ContentType="application/vnd.ms-office.activeX+xml"/>
  <Override PartName="/xl/activeX/activeX12.bin" ContentType="application/vnd.ms-office.activeX"/>
  <Override PartName="/xl/activeX/activeX17.xml" ContentType="application/vnd.ms-office.activeX+xml"/>
  <Override PartName="/xl/activeX/activeX28.xml" ContentType="application/vnd.ms-office.activeX+xml"/>
  <Override PartName="/xl/activeX/activeX30.bin" ContentType="application/vnd.ms-office.activeX"/>
  <Override PartName="/xl/activeX/activeX46.xml" ContentType="application/vnd.ms-office.activeX+xml"/>
  <Override PartName="/xl/activeX/activeX64.xml" ContentType="application/vnd.ms-office.activeX+xml"/>
  <Override PartName="/xl/activeX/activeX75.xml" ContentType="application/vnd.ms-office.activeX+xml"/>
  <Override PartName="/xl/activeX/activeX93.xml" ContentType="application/vnd.ms-office.activeX+xml"/>
  <Override PartName="/xl/activeX/activeX101.bin" ContentType="application/vnd.ms-office.activeX"/>
  <Default Extension="rels" ContentType="application/vnd.openxmlformats-package.relationships+xml"/>
  <Override PartName="/xl/worksheets/sheet5.xml" ContentType="application/vnd.openxmlformats-officedocument.spreadsheetml.worksheet+xml"/>
  <Override PartName="/xl/activeX/activeX3.xml" ContentType="application/vnd.ms-office.activeX+xml"/>
  <Override PartName="/xl/activeX/activeX24.xml" ContentType="application/vnd.ms-office.activeX+xml"/>
  <Override PartName="/xl/activeX/activeX35.xml" ContentType="application/vnd.ms-office.activeX+xml"/>
  <Override PartName="/xl/activeX/activeX53.xml" ContentType="application/vnd.ms-office.activeX+xml"/>
  <Override PartName="/xl/activeX/activeX82.xml" ContentType="application/vnd.ms-office.activeX+xml"/>
  <Override PartName="/xl/activeX/activeX13.xml" ContentType="application/vnd.ms-office.activeX+xml"/>
  <Override PartName="/xl/activeX/activeX42.xml" ContentType="application/vnd.ms-office.activeX+xml"/>
  <Override PartName="/xl/activeX/activeX60.xml" ContentType="application/vnd.ms-office.activeX+xml"/>
  <Override PartName="/xl/activeX/activeX71.xml" ContentType="application/vnd.ms-office.activeX+xml"/>
  <Override PartName="/xl/activeX/activeX102.xml" ContentType="application/vnd.ms-office.activeX+xml"/>
  <Override PartName="/xl/worksheets/sheet1.xml" ContentType="application/vnd.openxmlformats-officedocument.spreadsheetml.worksheet+xml"/>
  <Override PartName="/xl/activeX/activeX20.xml" ContentType="application/vnd.ms-office.activeX+xml"/>
  <Override PartName="/xl/activeX/activeX31.xml" ContentType="application/vnd.ms-office.activeX+xml"/>
  <Override PartName="/xl/activeX/activeX68.bin" ContentType="application/vnd.ms-office.activeX"/>
  <Override PartName="/xl/activeX/activeX79.bin" ContentType="application/vnd.ms-office.activeX"/>
  <Override PartName="/xl/activeX/activeX97.bin" ContentType="application/vnd.ms-office.activeX"/>
  <Override PartName="/xl/activeX/activeX7.bin" ContentType="application/vnd.ms-office.activeX"/>
  <Override PartName="/xl/activeX/activeX39.bin" ContentType="application/vnd.ms-office.activeX"/>
  <Override PartName="/xl/activeX/activeX57.bin" ContentType="application/vnd.ms-office.activeX"/>
  <Override PartName="/xl/activeX/activeX86.bin" ContentType="application/vnd.ms-office.activeX"/>
  <Override PartName="/xl/activeX/activeX17.bin" ContentType="application/vnd.ms-office.activeX"/>
  <Override PartName="/xl/activeX/activeX28.bin" ContentType="application/vnd.ms-office.activeX"/>
  <Override PartName="/xl/activeX/activeX46.bin" ContentType="application/vnd.ms-office.activeX"/>
  <Override PartName="/xl/activeX/activeX64.bin" ContentType="application/vnd.ms-office.activeX"/>
  <Override PartName="/xl/activeX/activeX75.bin" ContentType="application/vnd.ms-office.activeX"/>
  <Override PartName="/xl/activeX/activeX93.bin" ContentType="application/vnd.ms-office.activeX"/>
  <Override PartName="/xl/activeX/activeX3.bin" ContentType="application/vnd.ms-office.activeX"/>
  <Override PartName="/xl/activeX/activeX35.bin" ContentType="application/vnd.ms-office.activeX"/>
  <Override PartName="/xl/activeX/activeX53.bin" ContentType="application/vnd.ms-office.activeX"/>
  <Override PartName="/xl/activeX/activeX69.xml" ContentType="application/vnd.ms-office.activeX+xml"/>
  <Override PartName="/xl/activeX/activeX82.bin" ContentType="application/vnd.ms-office.activeX"/>
  <Override PartName="/xl/activeX/activeX87.xml" ContentType="application/vnd.ms-office.activeX+xml"/>
  <Override PartName="/xl/activeX/activeX98.xml" ContentType="application/vnd.ms-office.activeX+xml"/>
  <Override PartName="/xl/activeX/activeX8.xml" ContentType="application/vnd.ms-office.activeX+xml"/>
  <Override PartName="/xl/activeX/activeX13.bin" ContentType="application/vnd.ms-office.activeX"/>
  <Override PartName="/xl/activeX/activeX24.bin" ContentType="application/vnd.ms-office.activeX"/>
  <Override PartName="/xl/activeX/activeX29.xml" ContentType="application/vnd.ms-office.activeX+xml"/>
  <Override PartName="/xl/activeX/activeX42.bin" ContentType="application/vnd.ms-office.activeX"/>
  <Override PartName="/xl/activeX/activeX47.xml" ContentType="application/vnd.ms-office.activeX+xml"/>
  <Override PartName="/xl/activeX/activeX58.xml" ContentType="application/vnd.ms-office.activeX+xml"/>
  <Override PartName="/xl/activeX/activeX60.bin" ContentType="application/vnd.ms-office.activeX"/>
  <Override PartName="/xl/activeX/activeX71.bin" ContentType="application/vnd.ms-office.activeX"/>
  <Override PartName="/xl/activeX/activeX76.xml" ContentType="application/vnd.ms-office.activeX+xml"/>
  <Override PartName="/xl/activeX/activeX102.bin" ContentType="application/vnd.ms-office.activeX"/>
  <Override PartName="/xl/worksheets/sheet6.xml" ContentType="application/vnd.openxmlformats-officedocument.spreadsheetml.worksheet+xml"/>
  <Override PartName="/xl/activeX/activeX18.xml" ContentType="application/vnd.ms-office.activeX+xml"/>
  <Override PartName="/xl/activeX/activeX20.bin" ContentType="application/vnd.ms-office.activeX"/>
  <Override PartName="/xl/activeX/activeX31.bin" ContentType="application/vnd.ms-office.activeX"/>
  <Override PartName="/xl/activeX/activeX36.xml" ContentType="application/vnd.ms-office.activeX+xml"/>
  <Override PartName="/xl/activeX/activeX65.xml" ContentType="application/vnd.ms-office.activeX+xml"/>
  <Override PartName="/xl/activeX/activeX83.xml" ContentType="application/vnd.ms-office.activeX+xml"/>
  <Override PartName="/xl/activeX/activeX94.xml" ContentType="application/vnd.ms-office.activeX+xml"/>
  <Override PartName="/xl/activeX/activeX4.xml" ContentType="application/vnd.ms-office.activeX+xml"/>
  <Override PartName="/xl/activeX/activeX25.xml" ContentType="application/vnd.ms-office.activeX+xml"/>
  <Override PartName="/xl/activeX/activeX43.xml" ContentType="application/vnd.ms-office.activeX+xml"/>
  <Override PartName="/xl/activeX/activeX54.xml" ContentType="application/vnd.ms-office.activeX+xml"/>
  <Override PartName="/xl/activeX/activeX72.xml" ContentType="application/vnd.ms-office.activeX+xml"/>
  <Override PartName="/xl/activeX/activeX90.xml" ContentType="application/vnd.ms-office.activeX+xml"/>
  <Override PartName="/xl/worksheets/sheet2.xml" ContentType="application/vnd.openxmlformats-officedocument.spreadsheetml.worksheet+xml"/>
  <Override PartName="/xl/activeX/activeX14.xml" ContentType="application/vnd.ms-office.activeX+xml"/>
  <Override PartName="/xl/activeX/activeX32.xml" ContentType="application/vnd.ms-office.activeX+xml"/>
  <Override PartName="/xl/activeX/activeX61.xml" ContentType="application/vnd.ms-office.activeX+xml"/>
  <Override PartName="/xl/activeX/activeX103.xml" ContentType="application/vnd.ms-office.activeX+xml"/>
  <Override PartName="/xl/activeX/activeX21.xml" ContentType="application/vnd.ms-office.activeX+xml"/>
  <Override PartName="/xl/activeX/activeX50.xml" ContentType="application/vnd.ms-office.activeX+xml"/>
  <Override PartName="/xl/activeX/activeX69.bin" ContentType="application/vnd.ms-office.activeX"/>
  <Override PartName="/xl/activeX/activeX87.bin" ContentType="application/vnd.ms-office.activeX"/>
  <Override PartName="/xl/activeX/activeX98.bin" ContentType="application/vnd.ms-office.activeX"/>
  <Override PartName="/xl/activeX/activeX8.bin" ContentType="application/vnd.ms-office.activeX"/>
  <Override PartName="/xl/activeX/activeX10.xml" ContentType="application/vnd.ms-office.activeX+xml"/>
  <Override PartName="/xl/activeX/activeX29.bin" ContentType="application/vnd.ms-office.activeX"/>
  <Override PartName="/xl/activeX/activeX58.bin" ContentType="application/vnd.ms-office.activeX"/>
  <Override PartName="/xl/activeX/activeX76.bin" ContentType="application/vnd.ms-office.activeX"/>
  <Override PartName="/xl/activeX/activeX18.bin" ContentType="application/vnd.ms-office.activeX"/>
  <Override PartName="/xl/activeX/activeX36.bin" ContentType="application/vnd.ms-office.activeX"/>
  <Override PartName="/xl/activeX/activeX47.bin" ContentType="application/vnd.ms-office.activeX"/>
  <Override PartName="/xl/activeX/activeX65.bin" ContentType="application/vnd.ms-office.activeX"/>
  <Override PartName="/xl/activeX/activeX83.bin" ContentType="application/vnd.ms-office.activeX"/>
  <Override PartName="/xl/activeX/activeX94.bin" ContentType="application/vnd.ms-office.activeX"/>
  <Override PartName="/xl/activeX/activeX99.xml" ContentType="application/vnd.ms-office.activeX+xml"/>
  <Override PartName="/xl/activeX/activeX9.xml" ContentType="application/vnd.ms-office.activeX+xml"/>
  <Override PartName="/xl/activeX/activeX25.bin" ContentType="application/vnd.ms-office.activeX"/>
  <Override PartName="/xl/activeX/activeX59.xml" ContentType="application/vnd.ms-office.activeX+xml"/>
  <Override PartName="/xl/activeX/activeX72.bin" ContentType="application/vnd.ms-office.activeX"/>
  <Override PartName="/xl/activeX/activeX14.bin" ContentType="application/vnd.ms-office.activeX"/>
  <Override PartName="/xl/activeX/activeX48.xml" ContentType="application/vnd.ms-office.activeX+xml"/>
  <Override PartName="/xl/activeX/activeX61.bin" ContentType="application/vnd.ms-office.activeX"/>
  <Override PartName="/xl/activeX/activeX95.xml" ContentType="application/vnd.ms-office.activeX+xml"/>
  <Override PartName="/xl/worksheets/sheet7.xml" ContentType="application/vnd.openxmlformats-officedocument.spreadsheetml.worksheet+xml"/>
  <Override PartName="/xl/activeX/activeX37.xml" ContentType="application/vnd.ms-office.activeX+xml"/>
  <Override PartName="/xl/activeX/activeX50.bin" ContentType="application/vnd.ms-office.activeX"/>
  <Override PartName="/xl/activeX/activeX84.xml" ContentType="application/vnd.ms-office.activeX+xml"/>
  <Override PartName="/xl/activeX/activeX15.xml" ContentType="application/vnd.ms-office.activeX+xml"/>
  <Override PartName="/xl/activeX/activeX26.xml" ContentType="application/vnd.ms-office.activeX+xml"/>
  <Override PartName="/xl/activeX/activeX62.xml" ContentType="application/vnd.ms-office.activeX+xml"/>
  <Override PartName="/xl/activeX/activeX73.xml" ContentType="application/vnd.ms-office.activeX+xml"/>
  <Override PartName="/xl/activeX/activeX1.xml" ContentType="application/vnd.ms-office.activeX+xml"/>
  <Override PartName="/xl/activeX/activeX51.xml" ContentType="application/vnd.ms-office.activeX+xml"/>
  <Override PartName="/xl/activeX/activeX99.bin" ContentType="application/vnd.ms-office.activeX"/>
  <Override PartName="/xl/activeX/activeX40.xml" ContentType="application/vnd.ms-office.activeX+xml"/>
  <Override PartName="/xl/activeX/activeX88.bin" ContentType="application/vnd.ms-office.activeX"/>
  <Override PartName="/xl/activeX/activeX100.xml" ContentType="application/vnd.ms-office.activeX+xml"/>
  <Override PartName="/xl/sharedStrings.xml" ContentType="application/vnd.openxmlformats-officedocument.spreadsheetml.sharedStrings+xml"/>
  <Override PartName="/xl/activeX/activeX19.bin" ContentType="application/vnd.ms-office.activeX"/>
  <Override PartName="/xl/activeX/activeX66.bin" ContentType="application/vnd.ms-office.activeX"/>
  <Override PartName="/xl/activeX/activeX77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1475" windowHeight="7200" activeTab="2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8" sheetId="8" r:id="rId6"/>
    <sheet name="Sheet9" sheetId="9" r:id="rId7"/>
  </sheets>
  <calcPr calcId="125725"/>
</workbook>
</file>

<file path=xl/calcChain.xml><?xml version="1.0" encoding="utf-8"?>
<calcChain xmlns="http://schemas.openxmlformats.org/spreadsheetml/2006/main">
  <c r="L3" i="3"/>
  <c r="B122" i="8" l="1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10"/>
  <c r="B111"/>
  <c r="B112"/>
  <c r="B113"/>
  <c r="B114"/>
  <c r="B115"/>
  <c r="B116"/>
  <c r="B117"/>
  <c r="B118"/>
  <c r="B119"/>
  <c r="B120"/>
  <c r="B121"/>
  <c r="B106"/>
  <c r="B107"/>
  <c r="B108"/>
  <c r="B109"/>
  <c r="B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"/>
  <c r="P4" i="3"/>
  <c r="P5"/>
  <c r="P14"/>
  <c r="K4"/>
  <c r="K5"/>
  <c r="K14"/>
  <c r="K3"/>
  <c r="M21" l="1"/>
  <c r="P3"/>
  <c r="S3"/>
  <c r="M3"/>
  <c r="G1" i="4"/>
  <c r="I4" i="3"/>
  <c r="I5"/>
  <c r="I6"/>
  <c r="I7"/>
  <c r="I8"/>
  <c r="I9"/>
  <c r="I10"/>
  <c r="I11"/>
  <c r="I12"/>
  <c r="V12" s="1"/>
  <c r="I13"/>
  <c r="I14"/>
  <c r="V14"/>
  <c r="I3"/>
  <c r="E4"/>
  <c r="E5"/>
  <c r="R3" s="1"/>
  <c r="E6"/>
  <c r="E8"/>
  <c r="E9"/>
  <c r="E10"/>
  <c r="E11"/>
  <c r="E12"/>
  <c r="E13"/>
  <c r="E14"/>
  <c r="E3"/>
  <c r="J12"/>
  <c r="J14"/>
  <c r="J4"/>
  <c r="J5"/>
  <c r="V6"/>
  <c r="B7" i="1"/>
  <c r="B3"/>
  <c r="B6" s="1"/>
  <c r="C6" s="1"/>
  <c r="V13" i="3" l="1"/>
  <c r="K13"/>
  <c r="P13"/>
  <c r="K12"/>
  <c r="P12"/>
  <c r="V11"/>
  <c r="K11"/>
  <c r="P11"/>
  <c r="V10"/>
  <c r="N21"/>
  <c r="P21" s="1"/>
  <c r="J10"/>
  <c r="P10"/>
  <c r="K10"/>
  <c r="V9"/>
  <c r="P9"/>
  <c r="K9"/>
  <c r="V8"/>
  <c r="P8"/>
  <c r="K8"/>
  <c r="P7"/>
  <c r="K7"/>
  <c r="V7"/>
  <c r="P6"/>
  <c r="K6"/>
  <c r="Q3"/>
  <c r="O3"/>
  <c r="N3"/>
  <c r="T3"/>
  <c r="J3"/>
  <c r="V3"/>
  <c r="J8"/>
  <c r="J13"/>
  <c r="J11"/>
  <c r="J9"/>
  <c r="V4"/>
  <c r="V5"/>
  <c r="J7"/>
  <c r="J6"/>
  <c r="U3"/>
  <c r="O21" l="1"/>
  <c r="W3"/>
</calcChain>
</file>

<file path=xl/sharedStrings.xml><?xml version="1.0" encoding="utf-8"?>
<sst xmlns="http://schemas.openxmlformats.org/spreadsheetml/2006/main" count="633" uniqueCount="362">
  <si>
    <t>price</t>
  </si>
  <si>
    <t>conv rate&gt;profit</t>
  </si>
  <si>
    <t>cpc</t>
  </si>
  <si>
    <t>est.value of conversion</t>
  </si>
  <si>
    <t>Clicks to make 1 conv</t>
  </si>
  <si>
    <t>conv to make 1 buy</t>
  </si>
  <si>
    <t>max cpc</t>
  </si>
  <si>
    <t>conv. Rate</t>
  </si>
  <si>
    <t>oct 31 - nov 6</t>
  </si>
  <si>
    <t>nov 7 - nov 13</t>
  </si>
  <si>
    <t>nov 14 - nov 20</t>
  </si>
  <si>
    <t>nov 21 - nov 27</t>
  </si>
  <si>
    <t>nov 28 - dec 4</t>
  </si>
  <si>
    <t>Date Range</t>
  </si>
  <si>
    <t>Adwords Clicks</t>
  </si>
  <si>
    <t>Products Sold</t>
  </si>
  <si>
    <t>Adwords Spend</t>
  </si>
  <si>
    <t>Revenue</t>
  </si>
  <si>
    <t>ROI</t>
  </si>
  <si>
    <t>10/31-11/6</t>
  </si>
  <si>
    <t>11/7-11/13</t>
  </si>
  <si>
    <t>11/14-11/20</t>
  </si>
  <si>
    <t>11/21-11/27</t>
  </si>
  <si>
    <t>11/28-12/4</t>
  </si>
  <si>
    <t>12/5-12/11</t>
  </si>
  <si>
    <t>12/12-12/18</t>
  </si>
  <si>
    <t>12/19-12/25</t>
  </si>
  <si>
    <t>12/26-1/1</t>
  </si>
  <si>
    <t>1/2-1/8</t>
  </si>
  <si>
    <t>1/9-1/15</t>
  </si>
  <si>
    <t>1/16-1/22</t>
  </si>
  <si>
    <t>Correlation</t>
  </si>
  <si>
    <t>Paperback</t>
  </si>
  <si>
    <t>eBook</t>
  </si>
  <si>
    <t>Sum</t>
  </si>
  <si>
    <t>Profit</t>
  </si>
  <si>
    <t>2/11-2/17</t>
  </si>
  <si>
    <t>2/18-2/24</t>
  </si>
  <si>
    <t>2/25-3/3</t>
  </si>
  <si>
    <t>3/4-3/10</t>
  </si>
  <si>
    <t>3/11-3/17</t>
  </si>
  <si>
    <t>3/18-3/24</t>
  </si>
  <si>
    <t>3/25-3/31</t>
  </si>
  <si>
    <t>4/1-4/7</t>
  </si>
  <si>
    <t>4/8-4/14</t>
  </si>
  <si>
    <t>4/15-4/21</t>
  </si>
  <si>
    <t>4/22-4/28</t>
  </si>
  <si>
    <t>4/29-5/5</t>
  </si>
  <si>
    <t>5/6-5/12</t>
  </si>
  <si>
    <t>5/13-5/19</t>
  </si>
  <si>
    <t>5/20-5/26</t>
  </si>
  <si>
    <t>5/27-6/2</t>
  </si>
  <si>
    <t>6/3-6/9</t>
  </si>
  <si>
    <t>6/10-6/16</t>
  </si>
  <si>
    <t>6/17-6/23</t>
  </si>
  <si>
    <t>6/24-6/30</t>
  </si>
  <si>
    <t>7/1-7/7</t>
  </si>
  <si>
    <t>7/8-7/14</t>
  </si>
  <si>
    <t>Overall Profit</t>
  </si>
  <si>
    <t>Expenses</t>
  </si>
  <si>
    <t>Tot. Revenue</t>
  </si>
  <si>
    <t>Tot. ROI</t>
  </si>
  <si>
    <t>Online Campaign</t>
  </si>
  <si>
    <t>Views Spend</t>
  </si>
  <si>
    <t>Video ROI</t>
  </si>
  <si>
    <t>Adwords ROI</t>
  </si>
  <si>
    <t>All Expenses</t>
  </si>
  <si>
    <t>All Revenue</t>
  </si>
  <si>
    <t>All Profit</t>
  </si>
  <si>
    <t>All ROI</t>
  </si>
  <si>
    <t>Video Views</t>
  </si>
  <si>
    <t>Video Campaign</t>
  </si>
  <si>
    <t>-</t>
  </si>
  <si>
    <t>"arabic words"</t>
  </si>
  <si>
    <t>"arab language"</t>
  </si>
  <si>
    <t>"speaking arabic"</t>
  </si>
  <si>
    <t>"learn arabic"</t>
  </si>
  <si>
    <t>"how to speak arabic"</t>
  </si>
  <si>
    <t>"learn how to speak arabic"</t>
  </si>
  <si>
    <t>"arabic language"</t>
  </si>
  <si>
    <t>"arabic pronunciation"</t>
  </si>
  <si>
    <t>"arabic language learning"</t>
  </si>
  <si>
    <t>"learning to speak arabic"</t>
  </si>
  <si>
    <t>"learning arabic"</t>
  </si>
  <si>
    <t>"learning arabic language"</t>
  </si>
  <si>
    <t>"arabic for beginners"</t>
  </si>
  <si>
    <t>"learn to speak arabic"</t>
  </si>
  <si>
    <t>"arabic language course"</t>
  </si>
  <si>
    <t>"arabic grammar"</t>
  </si>
  <si>
    <t>"learning arabic online"</t>
  </si>
  <si>
    <t>"learn arabic language"</t>
  </si>
  <si>
    <t>"learn arabic online"</t>
  </si>
  <si>
    <t>"arabic vocabulary"</t>
  </si>
  <si>
    <t>"basic arabic"</t>
  </si>
  <si>
    <t>"teach yourself arabic"</t>
  </si>
  <si>
    <t>"arabic for dummies"</t>
  </si>
  <si>
    <t>"learn speak arabic"</t>
  </si>
  <si>
    <t>"learn basic arabic"</t>
  </si>
  <si>
    <t>"learn arabic fast"</t>
  </si>
  <si>
    <t>"study arabic"</t>
  </si>
  <si>
    <t>"learn arab"</t>
  </si>
  <si>
    <t>"spoken arabic"</t>
  </si>
  <si>
    <t>"arabic lessons"</t>
  </si>
  <si>
    <t>"how to learn arabic"</t>
  </si>
  <si>
    <t>"learn arabic on line"</t>
  </si>
  <si>
    <t>"learn arabic free"</t>
  </si>
  <si>
    <t>"learn arabic for free"</t>
  </si>
  <si>
    <t>"learn to read arabic"</t>
  </si>
  <si>
    <t>"learn arabic online free"</t>
  </si>
  <si>
    <t>"learn arabic free online"</t>
  </si>
  <si>
    <t>"learn to write arabic"</t>
  </si>
  <si>
    <t>"learn arabic cd"</t>
  </si>
  <si>
    <t>"lebanese arabic"</t>
  </si>
  <si>
    <t>"learn lebanese"</t>
  </si>
  <si>
    <t>"learn how to read arabic"</t>
  </si>
  <si>
    <t>"learn arabic words"</t>
  </si>
  <si>
    <t>"learn to speak arabic free"</t>
  </si>
  <si>
    <t>"learning the arabic language"</t>
  </si>
  <si>
    <t>"easy way to learn arabic"</t>
  </si>
  <si>
    <t>"learn arabic alphabet"</t>
  </si>
  <si>
    <t>"learning arabic words"</t>
  </si>
  <si>
    <t>"how to learn arabic language"</t>
  </si>
  <si>
    <t>"i want to learn arabic"</t>
  </si>
  <si>
    <t>"learn moroccan arabic"</t>
  </si>
  <si>
    <t>"learn the arabic alphabet"</t>
  </si>
  <si>
    <t>"learn arabic language online"</t>
  </si>
  <si>
    <t>"learn arabic grammar"</t>
  </si>
  <si>
    <t>"to learn arabic"</t>
  </si>
  <si>
    <t>"how to learn arabic online"</t>
  </si>
  <si>
    <t>"how can i learn arabic"</t>
  </si>
  <si>
    <t>"best way to learn arabic"</t>
  </si>
  <si>
    <t>"easiest way to learn arabic"</t>
  </si>
  <si>
    <t>"how to learn arabic fast"</t>
  </si>
  <si>
    <t>"learn arabic for kids"</t>
  </si>
  <si>
    <t>"learn arabic phrases"</t>
  </si>
  <si>
    <t>"learn arabic nyc"</t>
  </si>
  <si>
    <t>"learn arabic books"</t>
  </si>
  <si>
    <t>"learn arabic london"</t>
  </si>
  <si>
    <t>"learn lebanese language"</t>
  </si>
  <si>
    <t>"fastest way to learn arabic"</t>
  </si>
  <si>
    <t>"learn arabic book"</t>
  </si>
  <si>
    <t>"learn arabic online for free"</t>
  </si>
  <si>
    <t>"learning arabic for kids"</t>
  </si>
  <si>
    <t>"learn arabic through english"</t>
  </si>
  <si>
    <t>"should i learn arabic"</t>
  </si>
  <si>
    <t>"learn arabic letters"</t>
  </si>
  <si>
    <t>"learn lebanese arabic"</t>
  </si>
  <si>
    <t>"books to learn arabic"</t>
  </si>
  <si>
    <t>"learning lebanese arabic"</t>
  </si>
  <si>
    <t>"learn arabic speaking"</t>
  </si>
  <si>
    <t>"learn arabic in english"</t>
  </si>
  <si>
    <t>"learning arabic in london"</t>
  </si>
  <si>
    <t>"learn to arabic"</t>
  </si>
  <si>
    <t>"learning arabic for beginners"</t>
  </si>
  <si>
    <t>"lebanese arab"</t>
  </si>
  <si>
    <t>"i want to learn arabic language"</t>
  </si>
  <si>
    <t>"how to learn arabic speaking"</t>
  </si>
  <si>
    <t>"how to learn arabic easily"</t>
  </si>
  <si>
    <t>"arabic learning for kids"</t>
  </si>
  <si>
    <t>"lebanese arabic phrases"</t>
  </si>
  <si>
    <t>"learn arabic online for kids"</t>
  </si>
  <si>
    <t>"lebanese arabic translation"</t>
  </si>
  <si>
    <t>"how to learn arabic quickly"</t>
  </si>
  <si>
    <t>"learn arabic direct"</t>
  </si>
  <si>
    <t>"learn arabic online free for kids"</t>
  </si>
  <si>
    <t>"learn arabic online free with audio"</t>
  </si>
  <si>
    <t>"how to learn lebanese arabic"</t>
  </si>
  <si>
    <t>"lebanese arabic lesson"</t>
  </si>
  <si>
    <t>"learn lebanese dialect"</t>
  </si>
  <si>
    <t>"lebanese arabic dictionary"</t>
  </si>
  <si>
    <t>"lebanese arabic translator"</t>
  </si>
  <si>
    <t>"lebanese arabic words"</t>
  </si>
  <si>
    <t>"lebanese arabic language"</t>
  </si>
  <si>
    <t>arabic words</t>
  </si>
  <si>
    <t>arab language</t>
  </si>
  <si>
    <t>speaking arabic</t>
  </si>
  <si>
    <t>learn arabic</t>
  </si>
  <si>
    <t>how to speak arabic</t>
  </si>
  <si>
    <t>learn how to speak arabic</t>
  </si>
  <si>
    <t>arabic language</t>
  </si>
  <si>
    <t>arabic pronunciation</t>
  </si>
  <si>
    <t>arabic language learning</t>
  </si>
  <si>
    <t>learning to speak arabic</t>
  </si>
  <si>
    <t>learning arabic</t>
  </si>
  <si>
    <t>learning arabic language</t>
  </si>
  <si>
    <t>arabic for beginners</t>
  </si>
  <si>
    <t>learn to speak arabic</t>
  </si>
  <si>
    <t>arabic language course</t>
  </si>
  <si>
    <t>arabic grammar</t>
  </si>
  <si>
    <t>learning arabic online</t>
  </si>
  <si>
    <t>learn arabic language</t>
  </si>
  <si>
    <t>learn arabic online</t>
  </si>
  <si>
    <t>arabic vocabulary</t>
  </si>
  <si>
    <t>basic arabic</t>
  </si>
  <si>
    <t>teach yourself arabic</t>
  </si>
  <si>
    <t>arabic for dummies</t>
  </si>
  <si>
    <t>learn speak arabic</t>
  </si>
  <si>
    <t>learn basic arabic</t>
  </si>
  <si>
    <t>learn arabic fast</t>
  </si>
  <si>
    <t>study arabic</t>
  </si>
  <si>
    <t>learn arab</t>
  </si>
  <si>
    <t>spoken arabic</t>
  </si>
  <si>
    <t>arabic lessons</t>
  </si>
  <si>
    <t>how to learn arabic</t>
  </si>
  <si>
    <t>learn arabic on line</t>
  </si>
  <si>
    <t>learn arabic free</t>
  </si>
  <si>
    <t>learn arabic for free</t>
  </si>
  <si>
    <t>learn to read arabic</t>
  </si>
  <si>
    <t>learn arabic online free</t>
  </si>
  <si>
    <t>learn arabic free online</t>
  </si>
  <si>
    <t>learn to write arabic</t>
  </si>
  <si>
    <t>learn arabic cd</t>
  </si>
  <si>
    <t>lebanese arabic</t>
  </si>
  <si>
    <t>learn lebanese</t>
  </si>
  <si>
    <t>learn how to read arabic</t>
  </si>
  <si>
    <t>learn arabic words</t>
  </si>
  <si>
    <t>learn to speak arabic free</t>
  </si>
  <si>
    <t>learning the arabic language</t>
  </si>
  <si>
    <t>easy way to learn arabic</t>
  </si>
  <si>
    <t>learn arabic alphabet</t>
  </si>
  <si>
    <t>learning arabic words</t>
  </si>
  <si>
    <t>how to learn arabic language</t>
  </si>
  <si>
    <t>i want to learn arabic</t>
  </si>
  <si>
    <t>learn moroccan arabic</t>
  </si>
  <si>
    <t>learn the arabic alphabet</t>
  </si>
  <si>
    <t>learn arabic language online</t>
  </si>
  <si>
    <t>learn arabic grammar</t>
  </si>
  <si>
    <t>to learn arabic</t>
  </si>
  <si>
    <t>how to learn arabic online</t>
  </si>
  <si>
    <t>how can i learn arabic</t>
  </si>
  <si>
    <t>best way to learn arabic</t>
  </si>
  <si>
    <t>easiest way to learn arabic</t>
  </si>
  <si>
    <t>how to learn arabic fast</t>
  </si>
  <si>
    <t>learn arabic for kids</t>
  </si>
  <si>
    <t>learn arabic phrases</t>
  </si>
  <si>
    <t>learn arabic nyc</t>
  </si>
  <si>
    <t>learn arabic books</t>
  </si>
  <si>
    <t>learn arabic london</t>
  </si>
  <si>
    <t>learn lebanese language</t>
  </si>
  <si>
    <t>fastest way to learn arabic</t>
  </si>
  <si>
    <t>learn arabic book</t>
  </si>
  <si>
    <t>learn arabic online for free</t>
  </si>
  <si>
    <t>learning arabic for kids</t>
  </si>
  <si>
    <t>learn arabic through english</t>
  </si>
  <si>
    <t>should i learn arabic</t>
  </si>
  <si>
    <t>learn arabic letters</t>
  </si>
  <si>
    <t>learn lebanese arabic</t>
  </si>
  <si>
    <t>books to learn arabic</t>
  </si>
  <si>
    <t>learning lebanese arabic</t>
  </si>
  <si>
    <t>learn arabic speaking</t>
  </si>
  <si>
    <t>learn arabic in english</t>
  </si>
  <si>
    <t>learning arabic in london</t>
  </si>
  <si>
    <t>learn to arabic</t>
  </si>
  <si>
    <t>learning arabic for beginners</t>
  </si>
  <si>
    <t>lebanese arab</t>
  </si>
  <si>
    <t>i want to learn arabic language</t>
  </si>
  <si>
    <t>how to learn arabic speaking</t>
  </si>
  <si>
    <t>how to learn arabic easily</t>
  </si>
  <si>
    <t>arabic learning for kids</t>
  </si>
  <si>
    <t>lebanese arabic phrases</t>
  </si>
  <si>
    <t>learn arabic online for kids</t>
  </si>
  <si>
    <t>lebanese arabic translation</t>
  </si>
  <si>
    <t>how to learn arabic quickly</t>
  </si>
  <si>
    <t>learn arabic direct</t>
  </si>
  <si>
    <t>learn arabic online free for kids</t>
  </si>
  <si>
    <t>learn arabic online free with audio</t>
  </si>
  <si>
    <t>how to learn lebanese arabic</t>
  </si>
  <si>
    <t>lebanese arabic lesson</t>
  </si>
  <si>
    <t>learn lebanese dialect</t>
  </si>
  <si>
    <t>lebanese arabic dictionary</t>
  </si>
  <si>
    <t>lebanese arabic translator</t>
  </si>
  <si>
    <t>lebanese arabic words</t>
  </si>
  <si>
    <t>lebanese arabic language</t>
  </si>
  <si>
    <t>"tools to learn arabic"</t>
  </si>
  <si>
    <t>"lebanese arabic phrasebook"</t>
  </si>
  <si>
    <t>"learn lebanese arabic lesson 1"</t>
  </si>
  <si>
    <t>"lebanese arabic accent"</t>
  </si>
  <si>
    <t>"lebanese arabic conversation"</t>
  </si>
  <si>
    <t>tools to learn arabic</t>
  </si>
  <si>
    <t>lebanese arabic phrasebook</t>
  </si>
  <si>
    <t>learn lebanese arabic lesson 1</t>
  </si>
  <si>
    <t>lebanese arabic accent</t>
  </si>
  <si>
    <t>lebanese arabic conversation</t>
  </si>
  <si>
    <t>"arabic alphabet"</t>
  </si>
  <si>
    <t>"</t>
  </si>
  <si>
    <t>« remove</t>
  </si>
  <si>
    <t>arabic language classes</t>
  </si>
  <si>
    <t>arabic language translation</t>
  </si>
  <si>
    <t>the arabic language</t>
  </si>
  <si>
    <t>arabic language lessons</t>
  </si>
  <si>
    <t>arabic languages</t>
  </si>
  <si>
    <t>arabic language school</t>
  </si>
  <si>
    <t>arabic classes</t>
  </si>
  <si>
    <t>arabic language software</t>
  </si>
  <si>
    <t>arabic language study</t>
  </si>
  <si>
    <t>arabic language learn</t>
  </si>
  <si>
    <t>arabic language institute</t>
  </si>
  <si>
    <t>arabic learning</t>
  </si>
  <si>
    <t>arabic language online</t>
  </si>
  <si>
    <t>arabic letters</t>
  </si>
  <si>
    <t>arabic language lesson</t>
  </si>
  <si>
    <t>arabic language family</t>
  </si>
  <si>
    <t>arabic lesson</t>
  </si>
  <si>
    <t>arabic language programs</t>
  </si>
  <si>
    <t>arabic language training</t>
  </si>
  <si>
    <t>arabic course</t>
  </si>
  <si>
    <t>speak arabic</t>
  </si>
  <si>
    <t>arabic language learning software</t>
  </si>
  <si>
    <t>arabic language schools</t>
  </si>
  <si>
    <t>study arabic language</t>
  </si>
  <si>
    <t>how to read arabic</t>
  </si>
  <si>
    <t>how to speak arabic language</t>
  </si>
  <si>
    <t>arabic sentences</t>
  </si>
  <si>
    <t>arabic language for beginners</t>
  </si>
  <si>
    <t>language arabic</t>
  </si>
  <si>
    <t>arabic lessons online</t>
  </si>
  <si>
    <t>arabic lesson 1</t>
  </si>
  <si>
    <t>lebanese language</t>
  </si>
  <si>
    <t>learn lebanese arabic online</t>
  </si>
  <si>
    <t>arabic lessons for beginners</t>
  </si>
  <si>
    <t>learning lebanese</t>
  </si>
  <si>
    <t>online arabic lessons</t>
  </si>
  <si>
    <t>learn arabic lesson 1</t>
  </si>
  <si>
    <t>how to learn lebanese</t>
  </si>
  <si>
    <t>"arabic language classes"</t>
  </si>
  <si>
    <t>"arabic language translation"</t>
  </si>
  <si>
    <t>"the arabic language"</t>
  </si>
  <si>
    <t>"arabic language lessons"</t>
  </si>
  <si>
    <t>"arabic languages"</t>
  </si>
  <si>
    <t>"arabic language school"</t>
  </si>
  <si>
    <t>"arabic classes"</t>
  </si>
  <si>
    <t>"arabic language software"</t>
  </si>
  <si>
    <t>"arabic language study"</t>
  </si>
  <si>
    <t>"arabic language learn"</t>
  </si>
  <si>
    <t>"arabic language institute"</t>
  </si>
  <si>
    <t>"arabic learning"</t>
  </si>
  <si>
    <t>"arabic language online"</t>
  </si>
  <si>
    <t>"arabic letters"</t>
  </si>
  <si>
    <t>"arabic language lesson"</t>
  </si>
  <si>
    <t>"arabic language family"</t>
  </si>
  <si>
    <t>"arabic lesson"</t>
  </si>
  <si>
    <t>"arabic language programs"</t>
  </si>
  <si>
    <t>"arabic language training"</t>
  </si>
  <si>
    <t>"arabic course"</t>
  </si>
  <si>
    <t>"speak arabic"</t>
  </si>
  <si>
    <t>"arabic language learning software"</t>
  </si>
  <si>
    <t>"arabic language schools"</t>
  </si>
  <si>
    <t>"study arabic language"</t>
  </si>
  <si>
    <t>"how to read arabic"</t>
  </si>
  <si>
    <t>"how to speak arabic language"</t>
  </si>
  <si>
    <t>"arabic sentences"</t>
  </si>
  <si>
    <t>"arabic language for beginners"</t>
  </si>
  <si>
    <t>"language arabic"</t>
  </si>
  <si>
    <t>"arabic lessons online"</t>
  </si>
  <si>
    <t>"arabic lesson 1"</t>
  </si>
  <si>
    <t>"lebanese language"</t>
  </si>
  <si>
    <t>"learn lebanese arabic online"</t>
  </si>
  <si>
    <t>"arabic lessons for beginners"</t>
  </si>
  <si>
    <t>"learning lebanese"</t>
  </si>
  <si>
    <t>"online arabic lessons"</t>
  </si>
  <si>
    <t>"learn arabic lesson 1"</t>
  </si>
  <si>
    <t>"how to learn lebanese"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</si>
</sst>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164" formatCode="m/d;@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5B5B5B"/>
      <name val="Arial"/>
      <family val="2"/>
    </font>
    <font>
      <sz val="9"/>
      <color rgb="FF222222"/>
      <name val="Arial"/>
      <family val="2"/>
    </font>
    <font>
      <u/>
      <sz val="11"/>
      <color theme="10"/>
      <name val="Calibri"/>
      <family val="2"/>
    </font>
    <font>
      <sz val="9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F3F3F3"/>
      </right>
      <top/>
      <bottom style="medium">
        <color rgb="FFF3F3F3"/>
      </bottom>
      <diagonal/>
    </border>
    <border>
      <left/>
      <right style="medium">
        <color rgb="FFDDDDDD"/>
      </right>
      <top/>
      <bottom style="medium">
        <color rgb="FFF3F3F3"/>
      </bottom>
      <diagonal/>
    </border>
    <border>
      <left style="medium">
        <color rgb="FFDDDDDD"/>
      </left>
      <right style="medium">
        <color rgb="FFF3F3F3"/>
      </right>
      <top/>
      <bottom style="medium">
        <color rgb="FFF3F3F3"/>
      </bottom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10" fontId="0" fillId="0" borderId="0" xfId="0" applyNumberFormat="1"/>
    <xf numFmtId="14" fontId="0" fillId="0" borderId="0" xfId="0" applyNumberFormat="1"/>
    <xf numFmtId="3" fontId="0" fillId="0" borderId="0" xfId="0" applyNumberFormat="1"/>
    <xf numFmtId="8" fontId="0" fillId="0" borderId="0" xfId="0" applyNumberFormat="1"/>
    <xf numFmtId="164" fontId="0" fillId="0" borderId="0" xfId="0" applyNumberFormat="1"/>
    <xf numFmtId="0" fontId="1" fillId="0" borderId="1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2" fillId="0" borderId="7" xfId="0" applyFont="1" applyBorder="1"/>
    <xf numFmtId="8" fontId="2" fillId="0" borderId="0" xfId="0" applyNumberFormat="1" applyFont="1" applyBorder="1"/>
    <xf numFmtId="10" fontId="0" fillId="0" borderId="0" xfId="0" applyNumberFormat="1" applyBorder="1"/>
    <xf numFmtId="8" fontId="0" fillId="0" borderId="0" xfId="0" applyNumberFormat="1" applyBorder="1"/>
    <xf numFmtId="8" fontId="0" fillId="0" borderId="8" xfId="0" applyNumberForma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8" fontId="0" fillId="0" borderId="10" xfId="0" applyNumberFormat="1" applyBorder="1"/>
    <xf numFmtId="0" fontId="0" fillId="0" borderId="11" xfId="0" applyBorder="1"/>
    <xf numFmtId="0" fontId="2" fillId="0" borderId="0" xfId="0" applyFont="1" applyBorder="1"/>
    <xf numFmtId="0" fontId="0" fillId="2" borderId="0" xfId="0" applyFill="1"/>
    <xf numFmtId="0" fontId="0" fillId="0" borderId="12" xfId="0" applyBorder="1"/>
    <xf numFmtId="10" fontId="0" fillId="2" borderId="12" xfId="0" applyNumberFormat="1" applyFill="1" applyBorder="1"/>
    <xf numFmtId="3" fontId="0" fillId="0" borderId="12" xfId="0" applyNumberFormat="1" applyBorder="1"/>
    <xf numFmtId="0" fontId="1" fillId="2" borderId="14" xfId="0" applyFont="1" applyFill="1" applyBorder="1"/>
    <xf numFmtId="3" fontId="0" fillId="0" borderId="19" xfId="0" applyNumberFormat="1" applyBorder="1"/>
    <xf numFmtId="0" fontId="0" fillId="0" borderId="19" xfId="0" applyBorder="1"/>
    <xf numFmtId="10" fontId="0" fillId="2" borderId="19" xfId="0" applyNumberFormat="1" applyFill="1" applyBorder="1"/>
    <xf numFmtId="0" fontId="1" fillId="0" borderId="2" xfId="0" applyFont="1" applyBorder="1"/>
    <xf numFmtId="164" fontId="0" fillId="0" borderId="5" xfId="0" applyNumberFormat="1" applyBorder="1"/>
    <xf numFmtId="164" fontId="0" fillId="0" borderId="21" xfId="0" applyNumberFormat="1" applyBorder="1"/>
    <xf numFmtId="0" fontId="1" fillId="2" borderId="13" xfId="0" applyFont="1" applyFill="1" applyBorder="1"/>
    <xf numFmtId="3" fontId="0" fillId="2" borderId="16" xfId="0" applyNumberFormat="1" applyFill="1" applyBorder="1"/>
    <xf numFmtId="3" fontId="0" fillId="2" borderId="18" xfId="0" applyNumberFormat="1" applyFill="1" applyBorder="1"/>
    <xf numFmtId="0" fontId="1" fillId="0" borderId="22" xfId="0" applyFont="1" applyBorder="1"/>
    <xf numFmtId="8" fontId="0" fillId="0" borderId="23" xfId="0" applyNumberFormat="1" applyBorder="1"/>
    <xf numFmtId="8" fontId="0" fillId="0" borderId="24" xfId="0" applyNumberFormat="1" applyBorder="1"/>
    <xf numFmtId="8" fontId="0" fillId="2" borderId="16" xfId="0" applyNumberFormat="1" applyFill="1" applyBorder="1"/>
    <xf numFmtId="8" fontId="0" fillId="2" borderId="18" xfId="0" applyNumberFormat="1" applyFill="1" applyBorder="1"/>
    <xf numFmtId="164" fontId="0" fillId="0" borderId="25" xfId="0" applyNumberFormat="1" applyBorder="1"/>
    <xf numFmtId="3" fontId="0" fillId="2" borderId="26" xfId="0" applyNumberFormat="1" applyFill="1" applyBorder="1"/>
    <xf numFmtId="0" fontId="0" fillId="0" borderId="27" xfId="0" applyBorder="1"/>
    <xf numFmtId="8" fontId="0" fillId="2" borderId="26" xfId="0" applyNumberFormat="1" applyFill="1" applyBorder="1"/>
    <xf numFmtId="8" fontId="0" fillId="0" borderId="29" xfId="0" applyNumberFormat="1" applyBorder="1"/>
    <xf numFmtId="10" fontId="0" fillId="2" borderId="27" xfId="0" applyNumberFormat="1" applyFill="1" applyBorder="1"/>
    <xf numFmtId="0" fontId="1" fillId="0" borderId="21" xfId="0" applyFont="1" applyBorder="1"/>
    <xf numFmtId="0" fontId="1" fillId="2" borderId="18" xfId="0" applyFont="1" applyFill="1" applyBorder="1"/>
    <xf numFmtId="0" fontId="1" fillId="0" borderId="19" xfId="0" applyFont="1" applyBorder="1"/>
    <xf numFmtId="0" fontId="1" fillId="0" borderId="24" xfId="0" applyFont="1" applyBorder="1"/>
    <xf numFmtId="0" fontId="1" fillId="2" borderId="19" xfId="0" applyFont="1" applyFill="1" applyBorder="1"/>
    <xf numFmtId="8" fontId="0" fillId="0" borderId="9" xfId="0" applyNumberFormat="1" applyBorder="1"/>
    <xf numFmtId="10" fontId="0" fillId="0" borderId="1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15" xfId="0" applyFont="1" applyFill="1" applyBorder="1" applyAlignment="1">
      <alignment horizontal="center"/>
    </xf>
    <xf numFmtId="0" fontId="1" fillId="3" borderId="20" xfId="0" applyFont="1" applyFill="1" applyBorder="1"/>
    <xf numFmtId="0" fontId="0" fillId="3" borderId="28" xfId="0" applyFill="1" applyBorder="1"/>
    <xf numFmtId="0" fontId="0" fillId="3" borderId="17" xfId="0" applyFill="1" applyBorder="1"/>
    <xf numFmtId="0" fontId="0" fillId="3" borderId="20" xfId="0" applyFill="1" applyBorder="1"/>
    <xf numFmtId="0" fontId="0" fillId="3" borderId="0" xfId="0" applyFill="1"/>
    <xf numFmtId="0" fontId="1" fillId="3" borderId="15" xfId="0" applyFont="1" applyFill="1" applyBorder="1"/>
    <xf numFmtId="8" fontId="0" fillId="3" borderId="28" xfId="0" applyNumberFormat="1" applyFill="1" applyBorder="1"/>
    <xf numFmtId="8" fontId="0" fillId="3" borderId="17" xfId="0" applyNumberFormat="1" applyFill="1" applyBorder="1"/>
    <xf numFmtId="8" fontId="0" fillId="3" borderId="20" xfId="0" applyNumberFormat="1" applyFill="1" applyBorder="1"/>
    <xf numFmtId="10" fontId="0" fillId="3" borderId="28" xfId="0" applyNumberFormat="1" applyFill="1" applyBorder="1"/>
    <xf numFmtId="0" fontId="0" fillId="4" borderId="0" xfId="0" applyFill="1"/>
    <xf numFmtId="0" fontId="3" fillId="4" borderId="30" xfId="0" applyFont="1" applyFill="1" applyBorder="1" applyAlignment="1">
      <alignment vertical="top" wrapText="1"/>
    </xf>
    <xf numFmtId="8" fontId="4" fillId="4" borderId="30" xfId="1" applyNumberFormat="1" applyFill="1" applyBorder="1" applyAlignment="1" applyProtection="1">
      <alignment horizontal="right" vertical="top" wrapText="1"/>
    </xf>
    <xf numFmtId="0" fontId="3" fillId="4" borderId="30" xfId="0" applyFont="1" applyFill="1" applyBorder="1" applyAlignment="1">
      <alignment horizontal="right" vertical="top" wrapText="1"/>
    </xf>
    <xf numFmtId="10" fontId="3" fillId="4" borderId="30" xfId="0" applyNumberFormat="1" applyFont="1" applyFill="1" applyBorder="1" applyAlignment="1">
      <alignment horizontal="right" vertical="top" wrapText="1"/>
    </xf>
    <xf numFmtId="8" fontId="3" fillId="4" borderId="30" xfId="0" applyNumberFormat="1" applyFont="1" applyFill="1" applyBorder="1" applyAlignment="1">
      <alignment horizontal="right" vertical="top" wrapText="1"/>
    </xf>
    <xf numFmtId="8" fontId="3" fillId="4" borderId="31" xfId="0" applyNumberFormat="1" applyFont="1" applyFill="1" applyBorder="1" applyAlignment="1">
      <alignment horizontal="right" vertical="top" wrapText="1"/>
    </xf>
    <xf numFmtId="0" fontId="3" fillId="4" borderId="32" xfId="0" applyFont="1" applyFill="1" applyBorder="1" applyAlignment="1">
      <alignment vertical="top" wrapText="1"/>
    </xf>
    <xf numFmtId="0" fontId="4" fillId="4" borderId="30" xfId="1" applyFill="1" applyBorder="1" applyAlignment="1" applyProtection="1">
      <alignment vertical="top" wrapText="1"/>
    </xf>
    <xf numFmtId="0" fontId="5" fillId="4" borderId="32" xfId="0" applyFont="1" applyFill="1" applyBorder="1" applyAlignment="1">
      <alignment vertical="top" wrapText="1"/>
    </xf>
    <xf numFmtId="0" fontId="5" fillId="4" borderId="30" xfId="0" applyFont="1" applyFill="1" applyBorder="1" applyAlignment="1">
      <alignment horizontal="right" vertical="top" wrapText="1"/>
    </xf>
    <xf numFmtId="10" fontId="5" fillId="4" borderId="30" xfId="0" applyNumberFormat="1" applyFont="1" applyFill="1" applyBorder="1" applyAlignment="1">
      <alignment horizontal="right" vertical="top" wrapText="1"/>
    </xf>
    <xf numFmtId="8" fontId="5" fillId="4" borderId="30" xfId="0" applyNumberFormat="1" applyFont="1" applyFill="1" applyBorder="1" applyAlignment="1">
      <alignment horizontal="right" vertical="top" wrapText="1"/>
    </xf>
    <xf numFmtId="8" fontId="5" fillId="4" borderId="31" xfId="0" applyNumberFormat="1" applyFont="1" applyFill="1" applyBorder="1" applyAlignment="1">
      <alignment horizontal="right" vertical="top" wrapText="1"/>
    </xf>
    <xf numFmtId="0" fontId="0" fillId="0" borderId="30" xfId="0" applyBorder="1"/>
    <xf numFmtId="0" fontId="3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3" fillId="4" borderId="33" xfId="0" applyFont="1" applyFill="1" applyBorder="1" applyAlignment="1">
      <alignment vertical="top" wrapText="1"/>
    </xf>
    <xf numFmtId="0" fontId="4" fillId="4" borderId="34" xfId="1" applyFill="1" applyBorder="1" applyAlignment="1" applyProtection="1">
      <alignment horizontal="right" vertical="top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void(0);" TargetMode="External"/><Relationship Id="rId299" Type="http://schemas.openxmlformats.org/officeDocument/2006/relationships/control" Target="../activeX/activeX86.xml"/><Relationship Id="rId303" Type="http://schemas.openxmlformats.org/officeDocument/2006/relationships/control" Target="../activeX/activeX90.xml"/><Relationship Id="rId21" Type="http://schemas.openxmlformats.org/officeDocument/2006/relationships/hyperlink" Target="javascript:void(0);" TargetMode="External"/><Relationship Id="rId42" Type="http://schemas.openxmlformats.org/officeDocument/2006/relationships/hyperlink" Target="javascript:;" TargetMode="External"/><Relationship Id="rId63" Type="http://schemas.openxmlformats.org/officeDocument/2006/relationships/hyperlink" Target="javascript:void(0);" TargetMode="External"/><Relationship Id="rId84" Type="http://schemas.openxmlformats.org/officeDocument/2006/relationships/hyperlink" Target="javascript:;" TargetMode="External"/><Relationship Id="rId138" Type="http://schemas.openxmlformats.org/officeDocument/2006/relationships/hyperlink" Target="javascript:;" TargetMode="External"/><Relationship Id="rId159" Type="http://schemas.openxmlformats.org/officeDocument/2006/relationships/hyperlink" Target="javascript:void(0);" TargetMode="External"/><Relationship Id="rId170" Type="http://schemas.openxmlformats.org/officeDocument/2006/relationships/hyperlink" Target="javascript:;" TargetMode="External"/><Relationship Id="rId191" Type="http://schemas.openxmlformats.org/officeDocument/2006/relationships/hyperlink" Target="javascript:void(0);" TargetMode="External"/><Relationship Id="rId205" Type="http://schemas.openxmlformats.org/officeDocument/2006/relationships/hyperlink" Target="javascript:void(0);" TargetMode="External"/><Relationship Id="rId226" Type="http://schemas.openxmlformats.org/officeDocument/2006/relationships/control" Target="../activeX/activeX13.xml"/><Relationship Id="rId247" Type="http://schemas.openxmlformats.org/officeDocument/2006/relationships/control" Target="../activeX/activeX34.xml"/><Relationship Id="rId107" Type="http://schemas.openxmlformats.org/officeDocument/2006/relationships/hyperlink" Target="javascript:void(0);" TargetMode="External"/><Relationship Id="rId268" Type="http://schemas.openxmlformats.org/officeDocument/2006/relationships/control" Target="../activeX/activeX55.xml"/><Relationship Id="rId289" Type="http://schemas.openxmlformats.org/officeDocument/2006/relationships/control" Target="../activeX/activeX76.xml"/><Relationship Id="rId11" Type="http://schemas.openxmlformats.org/officeDocument/2006/relationships/hyperlink" Target="javascript:void(0);" TargetMode="External"/><Relationship Id="rId32" Type="http://schemas.openxmlformats.org/officeDocument/2006/relationships/hyperlink" Target="javascript:;" TargetMode="External"/><Relationship Id="rId53" Type="http://schemas.openxmlformats.org/officeDocument/2006/relationships/hyperlink" Target="javascript:void(0);" TargetMode="External"/><Relationship Id="rId74" Type="http://schemas.openxmlformats.org/officeDocument/2006/relationships/hyperlink" Target="javascript:;" TargetMode="External"/><Relationship Id="rId128" Type="http://schemas.openxmlformats.org/officeDocument/2006/relationships/hyperlink" Target="javascript:;" TargetMode="External"/><Relationship Id="rId149" Type="http://schemas.openxmlformats.org/officeDocument/2006/relationships/hyperlink" Target="javascript:void(0);" TargetMode="External"/><Relationship Id="rId314" Type="http://schemas.openxmlformats.org/officeDocument/2006/relationships/control" Target="../activeX/activeX101.xml"/><Relationship Id="rId5" Type="http://schemas.openxmlformats.org/officeDocument/2006/relationships/hyperlink" Target="javascript:void(0);" TargetMode="External"/><Relationship Id="rId95" Type="http://schemas.openxmlformats.org/officeDocument/2006/relationships/hyperlink" Target="javascript:void(0);" TargetMode="External"/><Relationship Id="rId160" Type="http://schemas.openxmlformats.org/officeDocument/2006/relationships/hyperlink" Target="javascript:;" TargetMode="External"/><Relationship Id="rId181" Type="http://schemas.openxmlformats.org/officeDocument/2006/relationships/hyperlink" Target="javascript:void(0);" TargetMode="External"/><Relationship Id="rId216" Type="http://schemas.openxmlformats.org/officeDocument/2006/relationships/control" Target="../activeX/activeX3.xml"/><Relationship Id="rId237" Type="http://schemas.openxmlformats.org/officeDocument/2006/relationships/control" Target="../activeX/activeX24.xml"/><Relationship Id="rId258" Type="http://schemas.openxmlformats.org/officeDocument/2006/relationships/control" Target="../activeX/activeX45.xml"/><Relationship Id="rId279" Type="http://schemas.openxmlformats.org/officeDocument/2006/relationships/control" Target="../activeX/activeX66.xml"/><Relationship Id="rId22" Type="http://schemas.openxmlformats.org/officeDocument/2006/relationships/hyperlink" Target="javascript:;" TargetMode="External"/><Relationship Id="rId43" Type="http://schemas.openxmlformats.org/officeDocument/2006/relationships/hyperlink" Target="javascript:void(0);" TargetMode="External"/><Relationship Id="rId64" Type="http://schemas.openxmlformats.org/officeDocument/2006/relationships/hyperlink" Target="javascript:;" TargetMode="External"/><Relationship Id="rId118" Type="http://schemas.openxmlformats.org/officeDocument/2006/relationships/hyperlink" Target="javascript:;" TargetMode="External"/><Relationship Id="rId139" Type="http://schemas.openxmlformats.org/officeDocument/2006/relationships/hyperlink" Target="javascript:void(0);" TargetMode="External"/><Relationship Id="rId290" Type="http://schemas.openxmlformats.org/officeDocument/2006/relationships/control" Target="../activeX/activeX77.xml"/><Relationship Id="rId304" Type="http://schemas.openxmlformats.org/officeDocument/2006/relationships/control" Target="../activeX/activeX91.xml"/><Relationship Id="rId85" Type="http://schemas.openxmlformats.org/officeDocument/2006/relationships/hyperlink" Target="javascript:void(0);" TargetMode="External"/><Relationship Id="rId150" Type="http://schemas.openxmlformats.org/officeDocument/2006/relationships/hyperlink" Target="javascript:;" TargetMode="External"/><Relationship Id="rId171" Type="http://schemas.openxmlformats.org/officeDocument/2006/relationships/hyperlink" Target="javascript:void(0);" TargetMode="External"/><Relationship Id="rId192" Type="http://schemas.openxmlformats.org/officeDocument/2006/relationships/hyperlink" Target="javascript:;" TargetMode="External"/><Relationship Id="rId206" Type="http://schemas.openxmlformats.org/officeDocument/2006/relationships/hyperlink" Target="javascript:;" TargetMode="External"/><Relationship Id="rId227" Type="http://schemas.openxmlformats.org/officeDocument/2006/relationships/control" Target="../activeX/activeX14.xml"/><Relationship Id="rId248" Type="http://schemas.openxmlformats.org/officeDocument/2006/relationships/control" Target="../activeX/activeX35.xml"/><Relationship Id="rId269" Type="http://schemas.openxmlformats.org/officeDocument/2006/relationships/control" Target="../activeX/activeX56.xml"/><Relationship Id="rId12" Type="http://schemas.openxmlformats.org/officeDocument/2006/relationships/hyperlink" Target="javascript:;" TargetMode="External"/><Relationship Id="rId33" Type="http://schemas.openxmlformats.org/officeDocument/2006/relationships/hyperlink" Target="javascript:void(0);" TargetMode="External"/><Relationship Id="rId108" Type="http://schemas.openxmlformats.org/officeDocument/2006/relationships/hyperlink" Target="javascript:;" TargetMode="External"/><Relationship Id="rId129" Type="http://schemas.openxmlformats.org/officeDocument/2006/relationships/hyperlink" Target="javascript:void(0);" TargetMode="External"/><Relationship Id="rId280" Type="http://schemas.openxmlformats.org/officeDocument/2006/relationships/control" Target="../activeX/activeX67.xml"/><Relationship Id="rId315" Type="http://schemas.openxmlformats.org/officeDocument/2006/relationships/control" Target="../activeX/activeX102.xml"/><Relationship Id="rId54" Type="http://schemas.openxmlformats.org/officeDocument/2006/relationships/hyperlink" Target="javascript:;" TargetMode="External"/><Relationship Id="rId75" Type="http://schemas.openxmlformats.org/officeDocument/2006/relationships/hyperlink" Target="javascript:void(0);" TargetMode="External"/><Relationship Id="rId96" Type="http://schemas.openxmlformats.org/officeDocument/2006/relationships/hyperlink" Target="javascript:;" TargetMode="External"/><Relationship Id="rId140" Type="http://schemas.openxmlformats.org/officeDocument/2006/relationships/hyperlink" Target="javascript:;" TargetMode="External"/><Relationship Id="rId161" Type="http://schemas.openxmlformats.org/officeDocument/2006/relationships/hyperlink" Target="javascript:void(0);" TargetMode="External"/><Relationship Id="rId182" Type="http://schemas.openxmlformats.org/officeDocument/2006/relationships/hyperlink" Target="javascript:;" TargetMode="External"/><Relationship Id="rId217" Type="http://schemas.openxmlformats.org/officeDocument/2006/relationships/control" Target="../activeX/activeX4.xml"/><Relationship Id="rId6" Type="http://schemas.openxmlformats.org/officeDocument/2006/relationships/hyperlink" Target="javascript:;" TargetMode="External"/><Relationship Id="rId238" Type="http://schemas.openxmlformats.org/officeDocument/2006/relationships/control" Target="../activeX/activeX25.xml"/><Relationship Id="rId259" Type="http://schemas.openxmlformats.org/officeDocument/2006/relationships/control" Target="../activeX/activeX46.xml"/><Relationship Id="rId23" Type="http://schemas.openxmlformats.org/officeDocument/2006/relationships/hyperlink" Target="javascript:void(0);" TargetMode="External"/><Relationship Id="rId119" Type="http://schemas.openxmlformats.org/officeDocument/2006/relationships/hyperlink" Target="javascript:void(0);" TargetMode="External"/><Relationship Id="rId270" Type="http://schemas.openxmlformats.org/officeDocument/2006/relationships/control" Target="../activeX/activeX57.xml"/><Relationship Id="rId291" Type="http://schemas.openxmlformats.org/officeDocument/2006/relationships/control" Target="../activeX/activeX78.xml"/><Relationship Id="rId305" Type="http://schemas.openxmlformats.org/officeDocument/2006/relationships/control" Target="../activeX/activeX92.xml"/><Relationship Id="rId44" Type="http://schemas.openxmlformats.org/officeDocument/2006/relationships/hyperlink" Target="javascript:;" TargetMode="External"/><Relationship Id="rId65" Type="http://schemas.openxmlformats.org/officeDocument/2006/relationships/hyperlink" Target="javascript:void(0);" TargetMode="External"/><Relationship Id="rId86" Type="http://schemas.openxmlformats.org/officeDocument/2006/relationships/hyperlink" Target="javascript:;" TargetMode="External"/><Relationship Id="rId130" Type="http://schemas.openxmlformats.org/officeDocument/2006/relationships/hyperlink" Target="javascript:;" TargetMode="External"/><Relationship Id="rId151" Type="http://schemas.openxmlformats.org/officeDocument/2006/relationships/hyperlink" Target="javascript:void(0);" TargetMode="External"/><Relationship Id="rId172" Type="http://schemas.openxmlformats.org/officeDocument/2006/relationships/hyperlink" Target="javascript:;" TargetMode="External"/><Relationship Id="rId193" Type="http://schemas.openxmlformats.org/officeDocument/2006/relationships/hyperlink" Target="javascript:void(0);" TargetMode="External"/><Relationship Id="rId207" Type="http://schemas.openxmlformats.org/officeDocument/2006/relationships/hyperlink" Target="javascript:void(0);" TargetMode="External"/><Relationship Id="rId228" Type="http://schemas.openxmlformats.org/officeDocument/2006/relationships/control" Target="../activeX/activeX15.xml"/><Relationship Id="rId249" Type="http://schemas.openxmlformats.org/officeDocument/2006/relationships/control" Target="../activeX/activeX36.xml"/><Relationship Id="rId13" Type="http://schemas.openxmlformats.org/officeDocument/2006/relationships/hyperlink" Target="javascript:void(0);" TargetMode="External"/><Relationship Id="rId109" Type="http://schemas.openxmlformats.org/officeDocument/2006/relationships/hyperlink" Target="javascript:void(0);" TargetMode="External"/><Relationship Id="rId260" Type="http://schemas.openxmlformats.org/officeDocument/2006/relationships/control" Target="../activeX/activeX47.xml"/><Relationship Id="rId281" Type="http://schemas.openxmlformats.org/officeDocument/2006/relationships/control" Target="../activeX/activeX68.xml"/><Relationship Id="rId316" Type="http://schemas.openxmlformats.org/officeDocument/2006/relationships/control" Target="../activeX/activeX103.xml"/><Relationship Id="rId34" Type="http://schemas.openxmlformats.org/officeDocument/2006/relationships/hyperlink" Target="javascript:;" TargetMode="External"/><Relationship Id="rId55" Type="http://schemas.openxmlformats.org/officeDocument/2006/relationships/hyperlink" Target="javascript:void(0);" TargetMode="External"/><Relationship Id="rId76" Type="http://schemas.openxmlformats.org/officeDocument/2006/relationships/hyperlink" Target="javascript:;" TargetMode="External"/><Relationship Id="rId97" Type="http://schemas.openxmlformats.org/officeDocument/2006/relationships/hyperlink" Target="javascript:void(0);" TargetMode="External"/><Relationship Id="rId120" Type="http://schemas.openxmlformats.org/officeDocument/2006/relationships/hyperlink" Target="javascript:;" TargetMode="External"/><Relationship Id="rId141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62" Type="http://schemas.openxmlformats.org/officeDocument/2006/relationships/hyperlink" Target="javascript:;" TargetMode="External"/><Relationship Id="rId183" Type="http://schemas.openxmlformats.org/officeDocument/2006/relationships/hyperlink" Target="javascript:void(0);" TargetMode="External"/><Relationship Id="rId218" Type="http://schemas.openxmlformats.org/officeDocument/2006/relationships/control" Target="../activeX/activeX5.xml"/><Relationship Id="rId239" Type="http://schemas.openxmlformats.org/officeDocument/2006/relationships/control" Target="../activeX/activeX26.xml"/><Relationship Id="rId250" Type="http://schemas.openxmlformats.org/officeDocument/2006/relationships/control" Target="../activeX/activeX37.xml"/><Relationship Id="rId271" Type="http://schemas.openxmlformats.org/officeDocument/2006/relationships/control" Target="../activeX/activeX58.xml"/><Relationship Id="rId292" Type="http://schemas.openxmlformats.org/officeDocument/2006/relationships/control" Target="../activeX/activeX79.xml"/><Relationship Id="rId306" Type="http://schemas.openxmlformats.org/officeDocument/2006/relationships/control" Target="../activeX/activeX93.xml"/><Relationship Id="rId24" Type="http://schemas.openxmlformats.org/officeDocument/2006/relationships/hyperlink" Target="javascript:;" TargetMode="External"/><Relationship Id="rId45" Type="http://schemas.openxmlformats.org/officeDocument/2006/relationships/hyperlink" Target="javascript:void(0);" TargetMode="External"/><Relationship Id="rId66" Type="http://schemas.openxmlformats.org/officeDocument/2006/relationships/hyperlink" Target="javascript:;" TargetMode="External"/><Relationship Id="rId87" Type="http://schemas.openxmlformats.org/officeDocument/2006/relationships/hyperlink" Target="javascript:void(0);" TargetMode="External"/><Relationship Id="rId110" Type="http://schemas.openxmlformats.org/officeDocument/2006/relationships/hyperlink" Target="javascript:;" TargetMode="External"/><Relationship Id="rId131" Type="http://schemas.openxmlformats.org/officeDocument/2006/relationships/hyperlink" Target="javascript:void(0);" TargetMode="External"/><Relationship Id="rId61" Type="http://schemas.openxmlformats.org/officeDocument/2006/relationships/hyperlink" Target="javascript:void(0);" TargetMode="External"/><Relationship Id="rId82" Type="http://schemas.openxmlformats.org/officeDocument/2006/relationships/hyperlink" Target="javascript:;" TargetMode="External"/><Relationship Id="rId152" Type="http://schemas.openxmlformats.org/officeDocument/2006/relationships/hyperlink" Target="javascript:;" TargetMode="External"/><Relationship Id="rId173" Type="http://schemas.openxmlformats.org/officeDocument/2006/relationships/hyperlink" Target="javascript:void(0);" TargetMode="External"/><Relationship Id="rId194" Type="http://schemas.openxmlformats.org/officeDocument/2006/relationships/hyperlink" Target="javascript:;" TargetMode="External"/><Relationship Id="rId199" Type="http://schemas.openxmlformats.org/officeDocument/2006/relationships/hyperlink" Target="javascript:void(0);" TargetMode="External"/><Relationship Id="rId203" Type="http://schemas.openxmlformats.org/officeDocument/2006/relationships/hyperlink" Target="javascript:void(0);" TargetMode="External"/><Relationship Id="rId208" Type="http://schemas.openxmlformats.org/officeDocument/2006/relationships/hyperlink" Target="javascript:;" TargetMode="External"/><Relationship Id="rId229" Type="http://schemas.openxmlformats.org/officeDocument/2006/relationships/control" Target="../activeX/activeX16.xml"/><Relationship Id="rId19" Type="http://schemas.openxmlformats.org/officeDocument/2006/relationships/hyperlink" Target="javascript:void(0);" TargetMode="External"/><Relationship Id="rId224" Type="http://schemas.openxmlformats.org/officeDocument/2006/relationships/control" Target="../activeX/activeX11.xml"/><Relationship Id="rId240" Type="http://schemas.openxmlformats.org/officeDocument/2006/relationships/control" Target="../activeX/activeX27.xml"/><Relationship Id="rId245" Type="http://schemas.openxmlformats.org/officeDocument/2006/relationships/control" Target="../activeX/activeX32.xml"/><Relationship Id="rId261" Type="http://schemas.openxmlformats.org/officeDocument/2006/relationships/control" Target="../activeX/activeX48.xml"/><Relationship Id="rId266" Type="http://schemas.openxmlformats.org/officeDocument/2006/relationships/control" Target="../activeX/activeX53.xml"/><Relationship Id="rId287" Type="http://schemas.openxmlformats.org/officeDocument/2006/relationships/control" Target="../activeX/activeX74.xml"/><Relationship Id="rId14" Type="http://schemas.openxmlformats.org/officeDocument/2006/relationships/hyperlink" Target="javascript:;" TargetMode="External"/><Relationship Id="rId30" Type="http://schemas.openxmlformats.org/officeDocument/2006/relationships/hyperlink" Target="javascript:;" TargetMode="External"/><Relationship Id="rId35" Type="http://schemas.openxmlformats.org/officeDocument/2006/relationships/hyperlink" Target="javascript:void(0);" TargetMode="External"/><Relationship Id="rId56" Type="http://schemas.openxmlformats.org/officeDocument/2006/relationships/hyperlink" Target="javascript:;" TargetMode="External"/><Relationship Id="rId77" Type="http://schemas.openxmlformats.org/officeDocument/2006/relationships/hyperlink" Target="javascript:void(0);" TargetMode="External"/><Relationship Id="rId100" Type="http://schemas.openxmlformats.org/officeDocument/2006/relationships/hyperlink" Target="javascript:;" TargetMode="External"/><Relationship Id="rId105" Type="http://schemas.openxmlformats.org/officeDocument/2006/relationships/hyperlink" Target="javascript:void(0);" TargetMode="External"/><Relationship Id="rId126" Type="http://schemas.openxmlformats.org/officeDocument/2006/relationships/hyperlink" Target="javascript:;" TargetMode="External"/><Relationship Id="rId147" Type="http://schemas.openxmlformats.org/officeDocument/2006/relationships/hyperlink" Target="javascript:void(0);" TargetMode="External"/><Relationship Id="rId168" Type="http://schemas.openxmlformats.org/officeDocument/2006/relationships/hyperlink" Target="javascript:;" TargetMode="External"/><Relationship Id="rId282" Type="http://schemas.openxmlformats.org/officeDocument/2006/relationships/control" Target="../activeX/activeX69.xml"/><Relationship Id="rId312" Type="http://schemas.openxmlformats.org/officeDocument/2006/relationships/control" Target="../activeX/activeX99.xml"/><Relationship Id="rId317" Type="http://schemas.openxmlformats.org/officeDocument/2006/relationships/control" Target="../activeX/activeX104.xml"/><Relationship Id="rId8" Type="http://schemas.openxmlformats.org/officeDocument/2006/relationships/hyperlink" Target="javascript:;" TargetMode="External"/><Relationship Id="rId51" Type="http://schemas.openxmlformats.org/officeDocument/2006/relationships/hyperlink" Target="javascript:void(0);" TargetMode="External"/><Relationship Id="rId72" Type="http://schemas.openxmlformats.org/officeDocument/2006/relationships/hyperlink" Target="javascript:;" TargetMode="External"/><Relationship Id="rId93" Type="http://schemas.openxmlformats.org/officeDocument/2006/relationships/hyperlink" Target="javascript:void(0);" TargetMode="External"/><Relationship Id="rId98" Type="http://schemas.openxmlformats.org/officeDocument/2006/relationships/hyperlink" Target="javascript:;" TargetMode="External"/><Relationship Id="rId121" Type="http://schemas.openxmlformats.org/officeDocument/2006/relationships/hyperlink" Target="javascript:void(0);" TargetMode="External"/><Relationship Id="rId142" Type="http://schemas.openxmlformats.org/officeDocument/2006/relationships/hyperlink" Target="javascript:;" TargetMode="External"/><Relationship Id="rId163" Type="http://schemas.openxmlformats.org/officeDocument/2006/relationships/hyperlink" Target="javascript:void(0);" TargetMode="External"/><Relationship Id="rId184" Type="http://schemas.openxmlformats.org/officeDocument/2006/relationships/hyperlink" Target="javascript:;" TargetMode="External"/><Relationship Id="rId189" Type="http://schemas.openxmlformats.org/officeDocument/2006/relationships/hyperlink" Target="javascript:void(0);" TargetMode="External"/><Relationship Id="rId219" Type="http://schemas.openxmlformats.org/officeDocument/2006/relationships/control" Target="../activeX/activeX6.xml"/><Relationship Id="rId3" Type="http://schemas.openxmlformats.org/officeDocument/2006/relationships/hyperlink" Target="javascript:void(0);" TargetMode="External"/><Relationship Id="rId214" Type="http://schemas.openxmlformats.org/officeDocument/2006/relationships/control" Target="../activeX/activeX1.xml"/><Relationship Id="rId230" Type="http://schemas.openxmlformats.org/officeDocument/2006/relationships/control" Target="../activeX/activeX17.xml"/><Relationship Id="rId235" Type="http://schemas.openxmlformats.org/officeDocument/2006/relationships/control" Target="../activeX/activeX22.xml"/><Relationship Id="rId251" Type="http://schemas.openxmlformats.org/officeDocument/2006/relationships/control" Target="../activeX/activeX38.xml"/><Relationship Id="rId256" Type="http://schemas.openxmlformats.org/officeDocument/2006/relationships/control" Target="../activeX/activeX43.xml"/><Relationship Id="rId277" Type="http://schemas.openxmlformats.org/officeDocument/2006/relationships/control" Target="../activeX/activeX64.xml"/><Relationship Id="rId298" Type="http://schemas.openxmlformats.org/officeDocument/2006/relationships/control" Target="../activeX/activeX85.xml"/><Relationship Id="rId25" Type="http://schemas.openxmlformats.org/officeDocument/2006/relationships/hyperlink" Target="javascript:void(0);" TargetMode="External"/><Relationship Id="rId46" Type="http://schemas.openxmlformats.org/officeDocument/2006/relationships/hyperlink" Target="javascript:;" TargetMode="External"/><Relationship Id="rId67" Type="http://schemas.openxmlformats.org/officeDocument/2006/relationships/hyperlink" Target="javascript:void(0);" TargetMode="External"/><Relationship Id="rId116" Type="http://schemas.openxmlformats.org/officeDocument/2006/relationships/hyperlink" Target="javascript:;" TargetMode="External"/><Relationship Id="rId137" Type="http://schemas.openxmlformats.org/officeDocument/2006/relationships/hyperlink" Target="javascript:void(0);" TargetMode="External"/><Relationship Id="rId158" Type="http://schemas.openxmlformats.org/officeDocument/2006/relationships/hyperlink" Target="javascript:;" TargetMode="External"/><Relationship Id="rId272" Type="http://schemas.openxmlformats.org/officeDocument/2006/relationships/control" Target="../activeX/activeX59.xml"/><Relationship Id="rId293" Type="http://schemas.openxmlformats.org/officeDocument/2006/relationships/control" Target="../activeX/activeX80.xml"/><Relationship Id="rId302" Type="http://schemas.openxmlformats.org/officeDocument/2006/relationships/control" Target="../activeX/activeX89.xml"/><Relationship Id="rId307" Type="http://schemas.openxmlformats.org/officeDocument/2006/relationships/control" Target="../activeX/activeX94.xml"/><Relationship Id="rId20" Type="http://schemas.openxmlformats.org/officeDocument/2006/relationships/hyperlink" Target="javascript:;" TargetMode="External"/><Relationship Id="rId41" Type="http://schemas.openxmlformats.org/officeDocument/2006/relationships/hyperlink" Target="javascript:void(0);" TargetMode="External"/><Relationship Id="rId62" Type="http://schemas.openxmlformats.org/officeDocument/2006/relationships/hyperlink" Target="javascript:;" TargetMode="External"/><Relationship Id="rId83" Type="http://schemas.openxmlformats.org/officeDocument/2006/relationships/hyperlink" Target="javascript:void(0);" TargetMode="External"/><Relationship Id="rId88" Type="http://schemas.openxmlformats.org/officeDocument/2006/relationships/hyperlink" Target="javascript:;" TargetMode="External"/><Relationship Id="rId111" Type="http://schemas.openxmlformats.org/officeDocument/2006/relationships/hyperlink" Target="javascript:void(0);" TargetMode="External"/><Relationship Id="rId132" Type="http://schemas.openxmlformats.org/officeDocument/2006/relationships/hyperlink" Target="javascript:;" TargetMode="External"/><Relationship Id="rId153" Type="http://schemas.openxmlformats.org/officeDocument/2006/relationships/hyperlink" Target="javascript:void(0);" TargetMode="External"/><Relationship Id="rId174" Type="http://schemas.openxmlformats.org/officeDocument/2006/relationships/hyperlink" Target="javascript:;" TargetMode="External"/><Relationship Id="rId179" Type="http://schemas.openxmlformats.org/officeDocument/2006/relationships/hyperlink" Target="javascript:void(0);" TargetMode="External"/><Relationship Id="rId195" Type="http://schemas.openxmlformats.org/officeDocument/2006/relationships/hyperlink" Target="javascript:void(0);" TargetMode="External"/><Relationship Id="rId209" Type="http://schemas.openxmlformats.org/officeDocument/2006/relationships/hyperlink" Target="javascript:void(0);" TargetMode="External"/><Relationship Id="rId190" Type="http://schemas.openxmlformats.org/officeDocument/2006/relationships/hyperlink" Target="javascript:;" TargetMode="External"/><Relationship Id="rId204" Type="http://schemas.openxmlformats.org/officeDocument/2006/relationships/hyperlink" Target="javascript:;" TargetMode="External"/><Relationship Id="rId220" Type="http://schemas.openxmlformats.org/officeDocument/2006/relationships/control" Target="../activeX/activeX7.xml"/><Relationship Id="rId225" Type="http://schemas.openxmlformats.org/officeDocument/2006/relationships/control" Target="../activeX/activeX12.xml"/><Relationship Id="rId241" Type="http://schemas.openxmlformats.org/officeDocument/2006/relationships/control" Target="../activeX/activeX28.xml"/><Relationship Id="rId246" Type="http://schemas.openxmlformats.org/officeDocument/2006/relationships/control" Target="../activeX/activeX33.xml"/><Relationship Id="rId267" Type="http://schemas.openxmlformats.org/officeDocument/2006/relationships/control" Target="../activeX/activeX54.xml"/><Relationship Id="rId288" Type="http://schemas.openxmlformats.org/officeDocument/2006/relationships/control" Target="../activeX/activeX75.xml"/><Relationship Id="rId15" Type="http://schemas.openxmlformats.org/officeDocument/2006/relationships/hyperlink" Target="javascript:void(0);" TargetMode="External"/><Relationship Id="rId36" Type="http://schemas.openxmlformats.org/officeDocument/2006/relationships/hyperlink" Target="javascript:;" TargetMode="External"/><Relationship Id="rId57" Type="http://schemas.openxmlformats.org/officeDocument/2006/relationships/hyperlink" Target="javascript:void(0);" TargetMode="External"/><Relationship Id="rId106" Type="http://schemas.openxmlformats.org/officeDocument/2006/relationships/hyperlink" Target="javascript:;" TargetMode="External"/><Relationship Id="rId127" Type="http://schemas.openxmlformats.org/officeDocument/2006/relationships/hyperlink" Target="javascript:void(0);" TargetMode="External"/><Relationship Id="rId262" Type="http://schemas.openxmlformats.org/officeDocument/2006/relationships/control" Target="../activeX/activeX49.xml"/><Relationship Id="rId283" Type="http://schemas.openxmlformats.org/officeDocument/2006/relationships/control" Target="../activeX/activeX70.xml"/><Relationship Id="rId313" Type="http://schemas.openxmlformats.org/officeDocument/2006/relationships/control" Target="../activeX/activeX100.xml"/><Relationship Id="rId318" Type="http://schemas.openxmlformats.org/officeDocument/2006/relationships/control" Target="../activeX/activeX105.xml"/><Relationship Id="rId10" Type="http://schemas.openxmlformats.org/officeDocument/2006/relationships/hyperlink" Target="javascript:;" TargetMode="External"/><Relationship Id="rId31" Type="http://schemas.openxmlformats.org/officeDocument/2006/relationships/hyperlink" Target="javascript:void(0);" TargetMode="External"/><Relationship Id="rId52" Type="http://schemas.openxmlformats.org/officeDocument/2006/relationships/hyperlink" Target="javascript:;" TargetMode="External"/><Relationship Id="rId73" Type="http://schemas.openxmlformats.org/officeDocument/2006/relationships/hyperlink" Target="javascript:void(0);" TargetMode="External"/><Relationship Id="rId78" Type="http://schemas.openxmlformats.org/officeDocument/2006/relationships/hyperlink" Target="javascript:;" TargetMode="External"/><Relationship Id="rId94" Type="http://schemas.openxmlformats.org/officeDocument/2006/relationships/hyperlink" Target="javascript:;" TargetMode="External"/><Relationship Id="rId99" Type="http://schemas.openxmlformats.org/officeDocument/2006/relationships/hyperlink" Target="javascript:void(0);" TargetMode="External"/><Relationship Id="rId101" Type="http://schemas.openxmlformats.org/officeDocument/2006/relationships/hyperlink" Target="javascript:void(0);" TargetMode="External"/><Relationship Id="rId122" Type="http://schemas.openxmlformats.org/officeDocument/2006/relationships/hyperlink" Target="javascript:;" TargetMode="External"/><Relationship Id="rId143" Type="http://schemas.openxmlformats.org/officeDocument/2006/relationships/hyperlink" Target="javascript:void(0);" TargetMode="External"/><Relationship Id="rId148" Type="http://schemas.openxmlformats.org/officeDocument/2006/relationships/hyperlink" Target="javascript:;" TargetMode="External"/><Relationship Id="rId164" Type="http://schemas.openxmlformats.org/officeDocument/2006/relationships/hyperlink" Target="javascript:;" TargetMode="External"/><Relationship Id="rId169" Type="http://schemas.openxmlformats.org/officeDocument/2006/relationships/hyperlink" Target="javascript:void(0);" TargetMode="External"/><Relationship Id="rId185" Type="http://schemas.openxmlformats.org/officeDocument/2006/relationships/hyperlink" Target="javascript:void(0);" TargetMode="External"/><Relationship Id="rId4" Type="http://schemas.openxmlformats.org/officeDocument/2006/relationships/hyperlink" Target="javascript:;" TargetMode="External"/><Relationship Id="rId9" Type="http://schemas.openxmlformats.org/officeDocument/2006/relationships/hyperlink" Target="javascript:void(0);" TargetMode="External"/><Relationship Id="rId180" Type="http://schemas.openxmlformats.org/officeDocument/2006/relationships/hyperlink" Target="javascript:;" TargetMode="External"/><Relationship Id="rId210" Type="http://schemas.openxmlformats.org/officeDocument/2006/relationships/hyperlink" Target="javascript:;" TargetMode="External"/><Relationship Id="rId215" Type="http://schemas.openxmlformats.org/officeDocument/2006/relationships/control" Target="../activeX/activeX2.xml"/><Relationship Id="rId236" Type="http://schemas.openxmlformats.org/officeDocument/2006/relationships/control" Target="../activeX/activeX23.xml"/><Relationship Id="rId257" Type="http://schemas.openxmlformats.org/officeDocument/2006/relationships/control" Target="../activeX/activeX44.xml"/><Relationship Id="rId278" Type="http://schemas.openxmlformats.org/officeDocument/2006/relationships/control" Target="../activeX/activeX65.xml"/><Relationship Id="rId26" Type="http://schemas.openxmlformats.org/officeDocument/2006/relationships/hyperlink" Target="javascript:;" TargetMode="External"/><Relationship Id="rId231" Type="http://schemas.openxmlformats.org/officeDocument/2006/relationships/control" Target="../activeX/activeX18.xml"/><Relationship Id="rId252" Type="http://schemas.openxmlformats.org/officeDocument/2006/relationships/control" Target="../activeX/activeX39.xml"/><Relationship Id="rId273" Type="http://schemas.openxmlformats.org/officeDocument/2006/relationships/control" Target="../activeX/activeX60.xml"/><Relationship Id="rId294" Type="http://schemas.openxmlformats.org/officeDocument/2006/relationships/control" Target="../activeX/activeX81.xml"/><Relationship Id="rId308" Type="http://schemas.openxmlformats.org/officeDocument/2006/relationships/control" Target="../activeX/activeX95.xml"/><Relationship Id="rId47" Type="http://schemas.openxmlformats.org/officeDocument/2006/relationships/hyperlink" Target="javascript:void(0);" TargetMode="External"/><Relationship Id="rId68" Type="http://schemas.openxmlformats.org/officeDocument/2006/relationships/hyperlink" Target="javascript:;" TargetMode="External"/><Relationship Id="rId89" Type="http://schemas.openxmlformats.org/officeDocument/2006/relationships/hyperlink" Target="javascript:void(0);" TargetMode="External"/><Relationship Id="rId112" Type="http://schemas.openxmlformats.org/officeDocument/2006/relationships/hyperlink" Target="javascript:;" TargetMode="External"/><Relationship Id="rId133" Type="http://schemas.openxmlformats.org/officeDocument/2006/relationships/hyperlink" Target="javascript:void(0);" TargetMode="External"/><Relationship Id="rId154" Type="http://schemas.openxmlformats.org/officeDocument/2006/relationships/hyperlink" Target="javascript:;" TargetMode="External"/><Relationship Id="rId175" Type="http://schemas.openxmlformats.org/officeDocument/2006/relationships/hyperlink" Target="javascript:void(0);" TargetMode="External"/><Relationship Id="rId196" Type="http://schemas.openxmlformats.org/officeDocument/2006/relationships/hyperlink" Target="javascript:;" TargetMode="External"/><Relationship Id="rId200" Type="http://schemas.openxmlformats.org/officeDocument/2006/relationships/hyperlink" Target="javascript:;" TargetMode="External"/><Relationship Id="rId16" Type="http://schemas.openxmlformats.org/officeDocument/2006/relationships/hyperlink" Target="javascript:;" TargetMode="External"/><Relationship Id="rId221" Type="http://schemas.openxmlformats.org/officeDocument/2006/relationships/control" Target="../activeX/activeX8.xml"/><Relationship Id="rId242" Type="http://schemas.openxmlformats.org/officeDocument/2006/relationships/control" Target="../activeX/activeX29.xml"/><Relationship Id="rId263" Type="http://schemas.openxmlformats.org/officeDocument/2006/relationships/control" Target="../activeX/activeX50.xml"/><Relationship Id="rId284" Type="http://schemas.openxmlformats.org/officeDocument/2006/relationships/control" Target="../activeX/activeX71.xml"/><Relationship Id="rId37" Type="http://schemas.openxmlformats.org/officeDocument/2006/relationships/hyperlink" Target="javascript:void(0);" TargetMode="External"/><Relationship Id="rId58" Type="http://schemas.openxmlformats.org/officeDocument/2006/relationships/hyperlink" Target="javascript:;" TargetMode="External"/><Relationship Id="rId79" Type="http://schemas.openxmlformats.org/officeDocument/2006/relationships/hyperlink" Target="javascript:void(0);" TargetMode="External"/><Relationship Id="rId102" Type="http://schemas.openxmlformats.org/officeDocument/2006/relationships/hyperlink" Target="javascript:;" TargetMode="External"/><Relationship Id="rId123" Type="http://schemas.openxmlformats.org/officeDocument/2006/relationships/hyperlink" Target="javascript:void(0);" TargetMode="External"/><Relationship Id="rId144" Type="http://schemas.openxmlformats.org/officeDocument/2006/relationships/hyperlink" Target="javascript:;" TargetMode="External"/><Relationship Id="rId90" Type="http://schemas.openxmlformats.org/officeDocument/2006/relationships/hyperlink" Target="javascript:;" TargetMode="External"/><Relationship Id="rId165" Type="http://schemas.openxmlformats.org/officeDocument/2006/relationships/hyperlink" Target="javascript:void(0);" TargetMode="External"/><Relationship Id="rId186" Type="http://schemas.openxmlformats.org/officeDocument/2006/relationships/hyperlink" Target="javascript:;" TargetMode="External"/><Relationship Id="rId211" Type="http://schemas.openxmlformats.org/officeDocument/2006/relationships/hyperlink" Target="javascript:void(0);" TargetMode="External"/><Relationship Id="rId232" Type="http://schemas.openxmlformats.org/officeDocument/2006/relationships/control" Target="../activeX/activeX19.xml"/><Relationship Id="rId253" Type="http://schemas.openxmlformats.org/officeDocument/2006/relationships/control" Target="../activeX/activeX40.xml"/><Relationship Id="rId274" Type="http://schemas.openxmlformats.org/officeDocument/2006/relationships/control" Target="../activeX/activeX61.xml"/><Relationship Id="rId295" Type="http://schemas.openxmlformats.org/officeDocument/2006/relationships/control" Target="../activeX/activeX82.xml"/><Relationship Id="rId309" Type="http://schemas.openxmlformats.org/officeDocument/2006/relationships/control" Target="../activeX/activeX96.xml"/><Relationship Id="rId27" Type="http://schemas.openxmlformats.org/officeDocument/2006/relationships/hyperlink" Target="javascript:void(0);" TargetMode="External"/><Relationship Id="rId48" Type="http://schemas.openxmlformats.org/officeDocument/2006/relationships/hyperlink" Target="javascript:;" TargetMode="External"/><Relationship Id="rId69" Type="http://schemas.openxmlformats.org/officeDocument/2006/relationships/hyperlink" Target="javascript:void(0);" TargetMode="External"/><Relationship Id="rId113" Type="http://schemas.openxmlformats.org/officeDocument/2006/relationships/hyperlink" Target="javascript:void(0);" TargetMode="External"/><Relationship Id="rId134" Type="http://schemas.openxmlformats.org/officeDocument/2006/relationships/hyperlink" Target="javascript:;" TargetMode="External"/><Relationship Id="rId80" Type="http://schemas.openxmlformats.org/officeDocument/2006/relationships/hyperlink" Target="javascript:;" TargetMode="External"/><Relationship Id="rId155" Type="http://schemas.openxmlformats.org/officeDocument/2006/relationships/hyperlink" Target="javascript:void(0);" TargetMode="External"/><Relationship Id="rId176" Type="http://schemas.openxmlformats.org/officeDocument/2006/relationships/hyperlink" Target="javascript:;" TargetMode="External"/><Relationship Id="rId197" Type="http://schemas.openxmlformats.org/officeDocument/2006/relationships/hyperlink" Target="javascript:void(0);" TargetMode="External"/><Relationship Id="rId201" Type="http://schemas.openxmlformats.org/officeDocument/2006/relationships/hyperlink" Target="javascript:void(0);" TargetMode="External"/><Relationship Id="rId222" Type="http://schemas.openxmlformats.org/officeDocument/2006/relationships/control" Target="../activeX/activeX9.xml"/><Relationship Id="rId243" Type="http://schemas.openxmlformats.org/officeDocument/2006/relationships/control" Target="../activeX/activeX30.xml"/><Relationship Id="rId264" Type="http://schemas.openxmlformats.org/officeDocument/2006/relationships/control" Target="../activeX/activeX51.xml"/><Relationship Id="rId285" Type="http://schemas.openxmlformats.org/officeDocument/2006/relationships/control" Target="../activeX/activeX72.xml"/><Relationship Id="rId17" Type="http://schemas.openxmlformats.org/officeDocument/2006/relationships/hyperlink" Target="javascript:void(0);" TargetMode="External"/><Relationship Id="rId38" Type="http://schemas.openxmlformats.org/officeDocument/2006/relationships/hyperlink" Target="javascript:;" TargetMode="External"/><Relationship Id="rId59" Type="http://schemas.openxmlformats.org/officeDocument/2006/relationships/hyperlink" Target="javascript:void(0);" TargetMode="External"/><Relationship Id="rId103" Type="http://schemas.openxmlformats.org/officeDocument/2006/relationships/hyperlink" Target="javascript:void(0);" TargetMode="External"/><Relationship Id="rId124" Type="http://schemas.openxmlformats.org/officeDocument/2006/relationships/hyperlink" Target="javascript:;" TargetMode="External"/><Relationship Id="rId310" Type="http://schemas.openxmlformats.org/officeDocument/2006/relationships/control" Target="../activeX/activeX97.xml"/><Relationship Id="rId70" Type="http://schemas.openxmlformats.org/officeDocument/2006/relationships/hyperlink" Target="javascript:;" TargetMode="External"/><Relationship Id="rId91" Type="http://schemas.openxmlformats.org/officeDocument/2006/relationships/hyperlink" Target="javascript:void(0);" TargetMode="External"/><Relationship Id="rId145" Type="http://schemas.openxmlformats.org/officeDocument/2006/relationships/hyperlink" Target="javascript:void(0);" TargetMode="External"/><Relationship Id="rId166" Type="http://schemas.openxmlformats.org/officeDocument/2006/relationships/hyperlink" Target="javascript:;" TargetMode="External"/><Relationship Id="rId187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212" Type="http://schemas.openxmlformats.org/officeDocument/2006/relationships/printerSettings" Target="../printerSettings/printerSettings4.bin"/><Relationship Id="rId233" Type="http://schemas.openxmlformats.org/officeDocument/2006/relationships/control" Target="../activeX/activeX20.xml"/><Relationship Id="rId254" Type="http://schemas.openxmlformats.org/officeDocument/2006/relationships/control" Target="../activeX/activeX41.xml"/><Relationship Id="rId28" Type="http://schemas.openxmlformats.org/officeDocument/2006/relationships/hyperlink" Target="javascript:;" TargetMode="External"/><Relationship Id="rId49" Type="http://schemas.openxmlformats.org/officeDocument/2006/relationships/hyperlink" Target="javascript:void(0);" TargetMode="External"/><Relationship Id="rId114" Type="http://schemas.openxmlformats.org/officeDocument/2006/relationships/hyperlink" Target="javascript:;" TargetMode="External"/><Relationship Id="rId275" Type="http://schemas.openxmlformats.org/officeDocument/2006/relationships/control" Target="../activeX/activeX62.xml"/><Relationship Id="rId296" Type="http://schemas.openxmlformats.org/officeDocument/2006/relationships/control" Target="../activeX/activeX83.xml"/><Relationship Id="rId300" Type="http://schemas.openxmlformats.org/officeDocument/2006/relationships/control" Target="../activeX/activeX87.xml"/><Relationship Id="rId60" Type="http://schemas.openxmlformats.org/officeDocument/2006/relationships/hyperlink" Target="javascript:;" TargetMode="External"/><Relationship Id="rId81" Type="http://schemas.openxmlformats.org/officeDocument/2006/relationships/hyperlink" Target="javascript:void(0);" TargetMode="External"/><Relationship Id="rId135" Type="http://schemas.openxmlformats.org/officeDocument/2006/relationships/hyperlink" Target="javascript:void(0);" TargetMode="External"/><Relationship Id="rId156" Type="http://schemas.openxmlformats.org/officeDocument/2006/relationships/hyperlink" Target="javascript:;" TargetMode="External"/><Relationship Id="rId177" Type="http://schemas.openxmlformats.org/officeDocument/2006/relationships/hyperlink" Target="javascript:void(0);" TargetMode="External"/><Relationship Id="rId198" Type="http://schemas.openxmlformats.org/officeDocument/2006/relationships/hyperlink" Target="javascript:;" TargetMode="External"/><Relationship Id="rId202" Type="http://schemas.openxmlformats.org/officeDocument/2006/relationships/hyperlink" Target="javascript:;" TargetMode="External"/><Relationship Id="rId223" Type="http://schemas.openxmlformats.org/officeDocument/2006/relationships/control" Target="../activeX/activeX10.xml"/><Relationship Id="rId244" Type="http://schemas.openxmlformats.org/officeDocument/2006/relationships/control" Target="../activeX/activeX31.xml"/><Relationship Id="rId18" Type="http://schemas.openxmlformats.org/officeDocument/2006/relationships/hyperlink" Target="javascript:;" TargetMode="External"/><Relationship Id="rId39" Type="http://schemas.openxmlformats.org/officeDocument/2006/relationships/hyperlink" Target="javascript:void(0);" TargetMode="External"/><Relationship Id="rId265" Type="http://schemas.openxmlformats.org/officeDocument/2006/relationships/control" Target="../activeX/activeX52.xml"/><Relationship Id="rId286" Type="http://schemas.openxmlformats.org/officeDocument/2006/relationships/control" Target="../activeX/activeX73.xml"/><Relationship Id="rId50" Type="http://schemas.openxmlformats.org/officeDocument/2006/relationships/hyperlink" Target="javascript:;" TargetMode="External"/><Relationship Id="rId104" Type="http://schemas.openxmlformats.org/officeDocument/2006/relationships/hyperlink" Target="javascript:;" TargetMode="External"/><Relationship Id="rId125" Type="http://schemas.openxmlformats.org/officeDocument/2006/relationships/hyperlink" Target="javascript:void(0);" TargetMode="External"/><Relationship Id="rId146" Type="http://schemas.openxmlformats.org/officeDocument/2006/relationships/hyperlink" Target="javascript:;" TargetMode="External"/><Relationship Id="rId167" Type="http://schemas.openxmlformats.org/officeDocument/2006/relationships/hyperlink" Target="javascript:void(0);" TargetMode="External"/><Relationship Id="rId188" Type="http://schemas.openxmlformats.org/officeDocument/2006/relationships/hyperlink" Target="javascript:;" TargetMode="External"/><Relationship Id="rId311" Type="http://schemas.openxmlformats.org/officeDocument/2006/relationships/control" Target="../activeX/activeX98.xml"/><Relationship Id="rId71" Type="http://schemas.openxmlformats.org/officeDocument/2006/relationships/hyperlink" Target="javascript:void(0);" TargetMode="External"/><Relationship Id="rId92" Type="http://schemas.openxmlformats.org/officeDocument/2006/relationships/hyperlink" Target="javascript:;" TargetMode="External"/><Relationship Id="rId213" Type="http://schemas.openxmlformats.org/officeDocument/2006/relationships/vmlDrawing" Target="../drawings/vmlDrawing1.vml"/><Relationship Id="rId234" Type="http://schemas.openxmlformats.org/officeDocument/2006/relationships/control" Target="../activeX/activeX21.xml"/><Relationship Id="rId2" Type="http://schemas.openxmlformats.org/officeDocument/2006/relationships/hyperlink" Target="javascript:;" TargetMode="External"/><Relationship Id="rId29" Type="http://schemas.openxmlformats.org/officeDocument/2006/relationships/hyperlink" Target="javascript:void(0);" TargetMode="External"/><Relationship Id="rId255" Type="http://schemas.openxmlformats.org/officeDocument/2006/relationships/control" Target="../activeX/activeX42.xml"/><Relationship Id="rId276" Type="http://schemas.openxmlformats.org/officeDocument/2006/relationships/control" Target="../activeX/activeX63.xml"/><Relationship Id="rId297" Type="http://schemas.openxmlformats.org/officeDocument/2006/relationships/control" Target="../activeX/activeX84.xml"/><Relationship Id="rId40" Type="http://schemas.openxmlformats.org/officeDocument/2006/relationships/hyperlink" Target="javascript:;" TargetMode="External"/><Relationship Id="rId115" Type="http://schemas.openxmlformats.org/officeDocument/2006/relationships/hyperlink" Target="javascript:void(0);" TargetMode="External"/><Relationship Id="rId136" Type="http://schemas.openxmlformats.org/officeDocument/2006/relationships/hyperlink" Target="javascript:;" TargetMode="External"/><Relationship Id="rId157" Type="http://schemas.openxmlformats.org/officeDocument/2006/relationships/hyperlink" Target="javascript:void(0);" TargetMode="External"/><Relationship Id="rId178" Type="http://schemas.openxmlformats.org/officeDocument/2006/relationships/hyperlink" Target="javascript:;" TargetMode="External"/><Relationship Id="rId301" Type="http://schemas.openxmlformats.org/officeDocument/2006/relationships/control" Target="../activeX/activeX88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55" Type="http://schemas.openxmlformats.org/officeDocument/2006/relationships/hyperlink" Target="javascript:void(0);" TargetMode="External"/><Relationship Id="rId63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41" Type="http://schemas.openxmlformats.org/officeDocument/2006/relationships/hyperlink" Target="javascript:void(0);" TargetMode="External"/><Relationship Id="rId54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45" Type="http://schemas.openxmlformats.org/officeDocument/2006/relationships/hyperlink" Target="javascript:void(0);" TargetMode="External"/><Relationship Id="rId53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49" Type="http://schemas.openxmlformats.org/officeDocument/2006/relationships/hyperlink" Target="javascript:void(0);" TargetMode="External"/><Relationship Id="rId57" Type="http://schemas.openxmlformats.org/officeDocument/2006/relationships/hyperlink" Target="javascript:void(0);" TargetMode="External"/><Relationship Id="rId61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43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56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51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59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C8" sqref="C8"/>
    </sheetView>
  </sheetViews>
  <sheetFormatPr defaultRowHeight="15"/>
  <cols>
    <col min="1" max="1" width="22" bestFit="1" customWidth="1"/>
    <col min="3" max="3" width="10.140625" bestFit="1" customWidth="1"/>
  </cols>
  <sheetData>
    <row r="1" spans="1:3">
      <c r="A1" t="s">
        <v>0</v>
      </c>
      <c r="B1">
        <v>9.85</v>
      </c>
    </row>
    <row r="2" spans="1:3">
      <c r="A2" t="s">
        <v>2</v>
      </c>
      <c r="B2">
        <v>0.12</v>
      </c>
    </row>
    <row r="3" spans="1:3">
      <c r="A3" t="s">
        <v>3</v>
      </c>
      <c r="B3">
        <f>B1/B4</f>
        <v>9.85</v>
      </c>
    </row>
    <row r="4" spans="1:3">
      <c r="A4" t="s">
        <v>5</v>
      </c>
      <c r="B4">
        <v>1</v>
      </c>
    </row>
    <row r="5" spans="1:3">
      <c r="A5" t="s">
        <v>4</v>
      </c>
      <c r="B5">
        <v>200</v>
      </c>
      <c r="C5" s="1"/>
    </row>
    <row r="6" spans="1:3">
      <c r="A6" t="s">
        <v>6</v>
      </c>
      <c r="B6">
        <f>1/B5*B3</f>
        <v>4.9250000000000002E-2</v>
      </c>
      <c r="C6">
        <f>B6*B5*B4</f>
        <v>9.85</v>
      </c>
    </row>
    <row r="7" spans="1:3">
      <c r="A7" t="s">
        <v>7</v>
      </c>
      <c r="B7" s="1">
        <f>1/B5</f>
        <v>5.0000000000000001E-3</v>
      </c>
    </row>
    <row r="8" spans="1:3">
      <c r="A8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6"/>
  <sheetViews>
    <sheetView workbookViewId="0">
      <selection activeCell="F8" sqref="F8"/>
    </sheetView>
  </sheetViews>
  <sheetFormatPr defaultRowHeight="15"/>
  <sheetData>
    <row r="2" spans="1:1">
      <c r="A2" s="2" t="s">
        <v>8</v>
      </c>
    </row>
    <row r="3" spans="1:1">
      <c r="A3" s="2" t="s">
        <v>9</v>
      </c>
    </row>
    <row r="4" spans="1:1">
      <c r="A4" s="2" t="s">
        <v>10</v>
      </c>
    </row>
    <row r="5" spans="1:1">
      <c r="A5" s="2" t="s">
        <v>11</v>
      </c>
    </row>
    <row r="6" spans="1:1">
      <c r="A6" s="2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58"/>
  <sheetViews>
    <sheetView tabSelected="1" workbookViewId="0">
      <selection activeCell="L4" sqref="L4"/>
    </sheetView>
  </sheetViews>
  <sheetFormatPr defaultRowHeight="15"/>
  <cols>
    <col min="1" max="1" width="13.140625" customWidth="1"/>
    <col min="2" max="2" width="12.7109375" style="22" customWidth="1"/>
    <col min="3" max="3" width="10.140625" bestFit="1" customWidth="1"/>
    <col min="4" max="4" width="6.5703125" bestFit="1" customWidth="1"/>
    <col min="5" max="5" width="4.85546875" bestFit="1" customWidth="1"/>
    <col min="6" max="6" width="13.42578125" style="62" customWidth="1"/>
    <col min="7" max="7" width="15" style="22" bestFit="1" customWidth="1"/>
    <col min="8" max="8" width="15" style="62" customWidth="1"/>
    <col min="9" max="9" width="10.85546875" bestFit="1" customWidth="1"/>
    <col min="10" max="10" width="12.140625" style="22" bestFit="1" customWidth="1"/>
    <col min="11" max="11" width="12.140625" style="62" customWidth="1"/>
    <col min="12" max="18" width="8.28515625" customWidth="1"/>
    <col min="19" max="19" width="8" customWidth="1"/>
    <col min="20" max="21" width="8.28515625" customWidth="1"/>
    <col min="22" max="22" width="7.28515625" bestFit="1" customWidth="1"/>
    <col min="23" max="23" width="12.85546875" bestFit="1" customWidth="1"/>
  </cols>
  <sheetData>
    <row r="1" spans="1:23">
      <c r="A1" s="30" t="s">
        <v>13</v>
      </c>
      <c r="B1" s="33" t="s">
        <v>14</v>
      </c>
      <c r="C1" s="87" t="s">
        <v>15</v>
      </c>
      <c r="D1" s="87"/>
      <c r="E1" s="87"/>
      <c r="F1" s="57" t="s">
        <v>70</v>
      </c>
      <c r="G1" s="33" t="s">
        <v>16</v>
      </c>
      <c r="H1" s="63" t="s">
        <v>63</v>
      </c>
      <c r="I1" s="36" t="s">
        <v>17</v>
      </c>
      <c r="J1" s="26" t="s">
        <v>65</v>
      </c>
      <c r="K1" s="63" t="s">
        <v>64</v>
      </c>
      <c r="L1" s="89" t="s">
        <v>71</v>
      </c>
      <c r="M1" s="89"/>
      <c r="N1" s="89"/>
      <c r="O1" s="89"/>
      <c r="P1" s="89"/>
      <c r="Q1" s="90"/>
      <c r="R1" s="88" t="s">
        <v>62</v>
      </c>
      <c r="S1" s="89"/>
      <c r="T1" s="89"/>
      <c r="U1" s="89"/>
      <c r="V1" s="89"/>
      <c r="W1" s="90"/>
    </row>
    <row r="2" spans="1:23" ht="15.75" thickBot="1">
      <c r="A2" s="47"/>
      <c r="B2" s="48"/>
      <c r="C2" s="49" t="s">
        <v>32</v>
      </c>
      <c r="D2" s="49" t="s">
        <v>33</v>
      </c>
      <c r="E2" s="49" t="s">
        <v>34</v>
      </c>
      <c r="F2" s="58"/>
      <c r="G2" s="48"/>
      <c r="H2" s="58"/>
      <c r="I2" s="50"/>
      <c r="J2" s="51"/>
      <c r="K2" s="58"/>
      <c r="L2" s="6" t="s">
        <v>31</v>
      </c>
      <c r="M2" s="6" t="s">
        <v>59</v>
      </c>
      <c r="N2" s="6" t="s">
        <v>60</v>
      </c>
      <c r="O2" s="6" t="s">
        <v>61</v>
      </c>
      <c r="P2" s="6" t="s">
        <v>35</v>
      </c>
      <c r="Q2" s="8" t="s">
        <v>58</v>
      </c>
      <c r="R2" s="7" t="s">
        <v>31</v>
      </c>
      <c r="S2" s="6" t="s">
        <v>59</v>
      </c>
      <c r="T2" s="6" t="s">
        <v>60</v>
      </c>
      <c r="U2" s="6" t="s">
        <v>61</v>
      </c>
      <c r="V2" s="6" t="s">
        <v>35</v>
      </c>
      <c r="W2" s="8" t="s">
        <v>58</v>
      </c>
    </row>
    <row r="3" spans="1:23">
      <c r="A3" s="41" t="s">
        <v>19</v>
      </c>
      <c r="B3" s="42">
        <v>231</v>
      </c>
      <c r="C3" s="43">
        <v>2</v>
      </c>
      <c r="D3" s="43">
        <v>6</v>
      </c>
      <c r="E3" s="43">
        <f>SUM(C3:D3)</f>
        <v>8</v>
      </c>
      <c r="F3" s="59">
        <v>80</v>
      </c>
      <c r="G3" s="44">
        <v>31.76</v>
      </c>
      <c r="H3" s="64">
        <v>8.5</v>
      </c>
      <c r="I3" s="45">
        <f>9.85*C3+7.99*0.7*D3</f>
        <v>53.257999999999996</v>
      </c>
      <c r="J3" s="46">
        <f>(I3-G3)/G3</f>
        <v>0.6768891687657429</v>
      </c>
      <c r="K3" s="67">
        <f>(I3-H3)/H3</f>
        <v>5.2656470588235287</v>
      </c>
      <c r="L3" s="21">
        <f>CORREL(F3:F13,C3:C13)</f>
        <v>-0.18130342977027827</v>
      </c>
      <c r="M3" s="10">
        <f>SUM(H3:H14)</f>
        <v>93.71</v>
      </c>
      <c r="N3" s="10" t="e">
        <f>SUM(I3:I14)</f>
        <v>#VALUE!</v>
      </c>
      <c r="O3" s="11" t="e">
        <f>(SUM(I3:I14)-SUM(H3:H14))/SUM(H3:H14)</f>
        <v>#VALUE!</v>
      </c>
      <c r="P3" s="12">
        <f>I3-H3</f>
        <v>44.757999999999996</v>
      </c>
      <c r="Q3" s="13" t="e">
        <f>SUM(P3:P14)</f>
        <v>#VALUE!</v>
      </c>
      <c r="R3" s="9">
        <f>CORREL(B3:B5,E3:E5)</f>
        <v>-0.74405477081451865</v>
      </c>
      <c r="S3" s="10">
        <f>SUM(G3:G14)</f>
        <v>68.25</v>
      </c>
      <c r="T3" s="10" t="e">
        <f>SUM(I3:I14)</f>
        <v>#VALUE!</v>
      </c>
      <c r="U3" s="11" t="e">
        <f>(SUM(I3:I14)-SUM(G3:G14))/SUM(G3:G14)</f>
        <v>#VALUE!</v>
      </c>
      <c r="V3" s="12">
        <f>I3-G3</f>
        <v>21.497999999999994</v>
      </c>
      <c r="W3" s="13" t="e">
        <f>SUM(V3:V14)</f>
        <v>#VALUE!</v>
      </c>
    </row>
    <row r="4" spans="1:23">
      <c r="A4" s="31" t="s">
        <v>20</v>
      </c>
      <c r="B4" s="34">
        <v>208</v>
      </c>
      <c r="C4" s="23">
        <v>4</v>
      </c>
      <c r="D4" s="23">
        <v>2</v>
      </c>
      <c r="E4" s="23">
        <f t="shared" ref="E4:E14" si="0">SUM(C4:D4)</f>
        <v>6</v>
      </c>
      <c r="F4" s="60">
        <v>85</v>
      </c>
      <c r="G4" s="39">
        <v>17.79</v>
      </c>
      <c r="H4" s="65">
        <v>7.49</v>
      </c>
      <c r="I4" s="37">
        <f t="shared" ref="I4:I14" si="1">9.85*C4+7.99*0.7*D4</f>
        <v>50.585999999999999</v>
      </c>
      <c r="J4" s="24">
        <f t="shared" ref="J4:J14" si="2">(I4-G4)/G4</f>
        <v>1.8435075885328838</v>
      </c>
      <c r="K4" s="67">
        <f t="shared" ref="K4:K14" si="3">(I4-H4)/H4</f>
        <v>5.7538050734312414</v>
      </c>
      <c r="L4" s="15"/>
      <c r="M4" s="15"/>
      <c r="N4" s="15"/>
      <c r="O4" s="15"/>
      <c r="P4" s="12">
        <f t="shared" ref="P4:P14" si="4">I4-H4</f>
        <v>43.095999999999997</v>
      </c>
      <c r="Q4" s="16"/>
      <c r="R4" s="14"/>
      <c r="S4" s="15"/>
      <c r="T4" s="15"/>
      <c r="U4" s="15"/>
      <c r="V4" s="12">
        <f t="shared" ref="V4:V14" si="5">I4-G4</f>
        <v>32.795999999999999</v>
      </c>
      <c r="W4" s="16"/>
    </row>
    <row r="5" spans="1:23">
      <c r="A5" s="31" t="s">
        <v>21</v>
      </c>
      <c r="B5" s="34">
        <v>279</v>
      </c>
      <c r="C5" s="23">
        <v>2</v>
      </c>
      <c r="D5" s="23">
        <v>1</v>
      </c>
      <c r="E5" s="23">
        <f t="shared" si="0"/>
        <v>3</v>
      </c>
      <c r="F5" s="60">
        <v>104</v>
      </c>
      <c r="G5" s="39">
        <v>18.7</v>
      </c>
      <c r="H5" s="65">
        <v>5.25</v>
      </c>
      <c r="I5" s="37">
        <f t="shared" si="1"/>
        <v>25.292999999999999</v>
      </c>
      <c r="J5" s="24">
        <f t="shared" si="2"/>
        <v>0.35256684491978613</v>
      </c>
      <c r="K5" s="67">
        <f t="shared" si="3"/>
        <v>3.8177142857142856</v>
      </c>
      <c r="L5" s="15"/>
      <c r="M5" s="15"/>
      <c r="N5" s="15"/>
      <c r="O5" s="15"/>
      <c r="P5" s="12">
        <f t="shared" si="4"/>
        <v>20.042999999999999</v>
      </c>
      <c r="Q5" s="16"/>
      <c r="R5" s="14"/>
      <c r="S5" s="15"/>
      <c r="T5" s="15"/>
      <c r="U5" s="15"/>
      <c r="V5" s="12">
        <f t="shared" si="5"/>
        <v>6.593</v>
      </c>
      <c r="W5" s="16"/>
    </row>
    <row r="6" spans="1:23">
      <c r="A6" s="31" t="s">
        <v>22</v>
      </c>
      <c r="B6" s="34">
        <v>0</v>
      </c>
      <c r="C6" s="23">
        <v>4</v>
      </c>
      <c r="D6" s="23">
        <v>5</v>
      </c>
      <c r="E6" s="23">
        <f t="shared" si="0"/>
        <v>9</v>
      </c>
      <c r="F6" s="62">
        <v>449</v>
      </c>
      <c r="G6" s="39">
        <v>0</v>
      </c>
      <c r="H6" s="65">
        <v>20.93</v>
      </c>
      <c r="I6" s="37">
        <f t="shared" si="1"/>
        <v>67.364999999999995</v>
      </c>
      <c r="J6" s="24" t="e">
        <f t="shared" si="2"/>
        <v>#DIV/0!</v>
      </c>
      <c r="K6" s="67">
        <f t="shared" si="3"/>
        <v>2.2185857620640226</v>
      </c>
      <c r="L6" s="15"/>
      <c r="M6" s="15"/>
      <c r="N6" s="15"/>
      <c r="O6" s="15"/>
      <c r="P6" s="12">
        <f t="shared" si="4"/>
        <v>46.434999999999995</v>
      </c>
      <c r="Q6" s="16"/>
      <c r="R6" s="14"/>
      <c r="S6" s="15"/>
      <c r="T6" s="15"/>
      <c r="U6" s="15"/>
      <c r="V6" s="12">
        <f t="shared" si="5"/>
        <v>67.364999999999995</v>
      </c>
      <c r="W6" s="16"/>
    </row>
    <row r="7" spans="1:23">
      <c r="A7" s="31" t="s">
        <v>23</v>
      </c>
      <c r="B7" s="34">
        <v>0</v>
      </c>
      <c r="C7" s="23" t="s">
        <v>72</v>
      </c>
      <c r="D7" s="23" t="s">
        <v>72</v>
      </c>
      <c r="E7" s="23" t="s">
        <v>72</v>
      </c>
      <c r="F7" s="60"/>
      <c r="G7" s="39">
        <v>0</v>
      </c>
      <c r="H7" s="65"/>
      <c r="I7" s="37" t="e">
        <f t="shared" si="1"/>
        <v>#VALUE!</v>
      </c>
      <c r="J7" s="24" t="e">
        <f t="shared" si="2"/>
        <v>#VALUE!</v>
      </c>
      <c r="K7" s="67" t="e">
        <f t="shared" si="3"/>
        <v>#VALUE!</v>
      </c>
      <c r="L7" s="15"/>
      <c r="M7" s="15"/>
      <c r="N7" s="15"/>
      <c r="O7" s="15"/>
      <c r="P7" s="12" t="e">
        <f t="shared" si="4"/>
        <v>#VALUE!</v>
      </c>
      <c r="Q7" s="16"/>
      <c r="R7" s="14"/>
      <c r="S7" s="15"/>
      <c r="T7" s="15"/>
      <c r="U7" s="15"/>
      <c r="V7" s="12" t="e">
        <f t="shared" si="5"/>
        <v>#VALUE!</v>
      </c>
      <c r="W7" s="16"/>
    </row>
    <row r="8" spans="1:23">
      <c r="A8" s="31" t="s">
        <v>24</v>
      </c>
      <c r="B8" s="34">
        <v>0</v>
      </c>
      <c r="C8" s="23">
        <v>2</v>
      </c>
      <c r="D8" s="23">
        <v>8</v>
      </c>
      <c r="E8" s="23">
        <f t="shared" si="0"/>
        <v>10</v>
      </c>
      <c r="F8" s="60">
        <v>498</v>
      </c>
      <c r="G8" s="39">
        <v>0</v>
      </c>
      <c r="H8" s="65">
        <v>24.34</v>
      </c>
      <c r="I8" s="37">
        <f t="shared" si="1"/>
        <v>64.444000000000003</v>
      </c>
      <c r="J8" s="24" t="e">
        <f t="shared" si="2"/>
        <v>#DIV/0!</v>
      </c>
      <c r="K8" s="67">
        <f t="shared" si="3"/>
        <v>1.6476581758422351</v>
      </c>
      <c r="L8" s="15"/>
      <c r="M8" s="15"/>
      <c r="N8" s="15"/>
      <c r="O8" s="15"/>
      <c r="P8" s="12">
        <f t="shared" si="4"/>
        <v>40.103999999999999</v>
      </c>
      <c r="Q8" s="16"/>
      <c r="R8" s="14"/>
      <c r="S8" s="15"/>
      <c r="T8" s="15"/>
      <c r="U8" s="15"/>
      <c r="V8" s="12">
        <f t="shared" si="5"/>
        <v>64.444000000000003</v>
      </c>
      <c r="W8" s="16"/>
    </row>
    <row r="9" spans="1:23">
      <c r="A9" s="31" t="s">
        <v>25</v>
      </c>
      <c r="B9" s="34">
        <v>0</v>
      </c>
      <c r="C9" s="25">
        <v>6</v>
      </c>
      <c r="D9" s="25">
        <v>6</v>
      </c>
      <c r="E9" s="23">
        <f t="shared" si="0"/>
        <v>12</v>
      </c>
      <c r="F9" s="60">
        <v>131</v>
      </c>
      <c r="G9" s="39">
        <v>0</v>
      </c>
      <c r="H9" s="65">
        <v>7.24</v>
      </c>
      <c r="I9" s="37">
        <f t="shared" si="1"/>
        <v>92.657999999999987</v>
      </c>
      <c r="J9" s="24" t="e">
        <f t="shared" si="2"/>
        <v>#DIV/0!</v>
      </c>
      <c r="K9" s="67">
        <f t="shared" si="3"/>
        <v>11.79806629834254</v>
      </c>
      <c r="L9" s="15"/>
      <c r="M9" s="15"/>
      <c r="N9" s="15"/>
      <c r="O9" s="15"/>
      <c r="P9" s="12">
        <f t="shared" si="4"/>
        <v>85.417999999999992</v>
      </c>
      <c r="Q9" s="16"/>
      <c r="R9" s="14"/>
      <c r="S9" s="15"/>
      <c r="T9" s="15"/>
      <c r="U9" s="15"/>
      <c r="V9" s="12">
        <f t="shared" si="5"/>
        <v>92.657999999999987</v>
      </c>
      <c r="W9" s="16"/>
    </row>
    <row r="10" spans="1:23">
      <c r="A10" s="31" t="s">
        <v>26</v>
      </c>
      <c r="B10" s="34">
        <v>0</v>
      </c>
      <c r="C10" s="25">
        <v>9</v>
      </c>
      <c r="D10" s="25">
        <v>4</v>
      </c>
      <c r="E10" s="23">
        <f t="shared" si="0"/>
        <v>13</v>
      </c>
      <c r="F10" s="60">
        <v>74</v>
      </c>
      <c r="G10" s="39">
        <v>0</v>
      </c>
      <c r="H10" s="65">
        <v>4.6100000000000003</v>
      </c>
      <c r="I10" s="37">
        <f t="shared" si="1"/>
        <v>111.02199999999999</v>
      </c>
      <c r="J10" s="24" t="e">
        <f t="shared" si="2"/>
        <v>#DIV/0!</v>
      </c>
      <c r="K10" s="67">
        <f t="shared" si="3"/>
        <v>23.082863340563989</v>
      </c>
      <c r="L10" s="15"/>
      <c r="M10" s="15"/>
      <c r="N10" s="15"/>
      <c r="O10" s="15"/>
      <c r="P10" s="12">
        <f t="shared" si="4"/>
        <v>106.41199999999999</v>
      </c>
      <c r="Q10" s="16"/>
      <c r="R10" s="14"/>
      <c r="S10" s="15"/>
      <c r="T10" s="15"/>
      <c r="U10" s="15"/>
      <c r="V10" s="12">
        <f t="shared" si="5"/>
        <v>111.02199999999999</v>
      </c>
      <c r="W10" s="16"/>
    </row>
    <row r="11" spans="1:23">
      <c r="A11" s="31" t="s">
        <v>27</v>
      </c>
      <c r="B11" s="34">
        <v>0</v>
      </c>
      <c r="C11" s="25">
        <v>4</v>
      </c>
      <c r="D11" s="25">
        <v>19</v>
      </c>
      <c r="E11" s="23">
        <f t="shared" si="0"/>
        <v>23</v>
      </c>
      <c r="F11" s="60">
        <v>79</v>
      </c>
      <c r="G11" s="39">
        <v>0</v>
      </c>
      <c r="H11" s="65">
        <v>4.43</v>
      </c>
      <c r="I11" s="37">
        <f t="shared" si="1"/>
        <v>145.667</v>
      </c>
      <c r="J11" s="24" t="e">
        <f t="shared" si="2"/>
        <v>#DIV/0!</v>
      </c>
      <c r="K11" s="67">
        <f t="shared" si="3"/>
        <v>31.88194130925508</v>
      </c>
      <c r="L11" s="15"/>
      <c r="M11" s="15"/>
      <c r="N11" s="15"/>
      <c r="O11" s="15"/>
      <c r="P11" s="12">
        <f t="shared" si="4"/>
        <v>141.23699999999999</v>
      </c>
      <c r="Q11" s="16"/>
      <c r="R11" s="14"/>
      <c r="S11" s="15"/>
      <c r="T11" s="15"/>
      <c r="U11" s="15"/>
      <c r="V11" s="12">
        <f t="shared" si="5"/>
        <v>145.667</v>
      </c>
      <c r="W11" s="16"/>
    </row>
    <row r="12" spans="1:23">
      <c r="A12" s="31" t="s">
        <v>28</v>
      </c>
      <c r="B12" s="34">
        <v>0</v>
      </c>
      <c r="C12" s="25">
        <v>12</v>
      </c>
      <c r="D12" s="25">
        <v>5</v>
      </c>
      <c r="E12" s="23">
        <f t="shared" si="0"/>
        <v>17</v>
      </c>
      <c r="F12" s="60">
        <v>110</v>
      </c>
      <c r="G12" s="39">
        <v>0</v>
      </c>
      <c r="H12" s="65">
        <v>5.81</v>
      </c>
      <c r="I12" s="37">
        <f t="shared" si="1"/>
        <v>146.16499999999999</v>
      </c>
      <c r="J12" s="24" t="e">
        <f t="shared" si="2"/>
        <v>#DIV/0!</v>
      </c>
      <c r="K12" s="67">
        <f t="shared" si="3"/>
        <v>24.157487091222031</v>
      </c>
      <c r="L12" s="15"/>
      <c r="M12" s="15"/>
      <c r="N12" s="15"/>
      <c r="O12" s="15"/>
      <c r="P12" s="12">
        <f t="shared" si="4"/>
        <v>140.35499999999999</v>
      </c>
      <c r="Q12" s="16"/>
      <c r="R12" s="14"/>
      <c r="S12" s="15"/>
      <c r="T12" s="15"/>
      <c r="U12" s="15"/>
      <c r="V12" s="12">
        <f t="shared" si="5"/>
        <v>146.16499999999999</v>
      </c>
      <c r="W12" s="16"/>
    </row>
    <row r="13" spans="1:23">
      <c r="A13" s="31" t="s">
        <v>29</v>
      </c>
      <c r="B13" s="34">
        <v>0</v>
      </c>
      <c r="C13" s="25">
        <v>0</v>
      </c>
      <c r="D13" s="25">
        <v>3</v>
      </c>
      <c r="E13" s="23">
        <f t="shared" si="0"/>
        <v>3</v>
      </c>
      <c r="F13" s="60">
        <v>68</v>
      </c>
      <c r="G13" s="39">
        <v>0</v>
      </c>
      <c r="H13" s="65">
        <v>5.1100000000000003</v>
      </c>
      <c r="I13" s="37">
        <f t="shared" si="1"/>
        <v>16.779</v>
      </c>
      <c r="J13" s="24" t="e">
        <f t="shared" si="2"/>
        <v>#DIV/0!</v>
      </c>
      <c r="K13" s="67">
        <f t="shared" si="3"/>
        <v>2.2835616438356166</v>
      </c>
      <c r="L13" s="15"/>
      <c r="M13" s="15"/>
      <c r="N13" s="15"/>
      <c r="O13" s="15"/>
      <c r="P13" s="12">
        <f t="shared" si="4"/>
        <v>11.669</v>
      </c>
      <c r="Q13" s="16"/>
      <c r="R13" s="14"/>
      <c r="S13" s="15"/>
      <c r="T13" s="15"/>
      <c r="U13" s="15"/>
      <c r="V13" s="12">
        <f t="shared" si="5"/>
        <v>16.779</v>
      </c>
      <c r="W13" s="16"/>
    </row>
    <row r="14" spans="1:23" ht="15.75" thickBot="1">
      <c r="A14" s="32" t="s">
        <v>30</v>
      </c>
      <c r="B14" s="35">
        <v>0</v>
      </c>
      <c r="C14" s="27">
        <v>0</v>
      </c>
      <c r="D14" s="27">
        <v>0</v>
      </c>
      <c r="E14" s="28">
        <f t="shared" si="0"/>
        <v>0</v>
      </c>
      <c r="F14" s="61"/>
      <c r="G14" s="40">
        <v>0</v>
      </c>
      <c r="H14" s="66"/>
      <c r="I14" s="38">
        <f t="shared" si="1"/>
        <v>0</v>
      </c>
      <c r="J14" s="29" t="e">
        <f t="shared" si="2"/>
        <v>#DIV/0!</v>
      </c>
      <c r="K14" s="67" t="e">
        <f t="shared" si="3"/>
        <v>#DIV/0!</v>
      </c>
      <c r="L14" s="18"/>
      <c r="M14" s="18"/>
      <c r="N14" s="18"/>
      <c r="O14" s="18"/>
      <c r="P14" s="12">
        <f t="shared" si="4"/>
        <v>0</v>
      </c>
      <c r="Q14" s="20"/>
      <c r="R14" s="17"/>
      <c r="S14" s="18"/>
      <c r="T14" s="18"/>
      <c r="U14" s="18"/>
      <c r="V14" s="19">
        <f t="shared" si="5"/>
        <v>0</v>
      </c>
      <c r="W14" s="20"/>
    </row>
    <row r="15" spans="1:23">
      <c r="A15" s="5"/>
      <c r="B15"/>
      <c r="F15"/>
      <c r="G15"/>
      <c r="H15"/>
      <c r="J15"/>
      <c r="K15"/>
    </row>
    <row r="16" spans="1:23">
      <c r="A16" s="5"/>
      <c r="B16"/>
      <c r="F16"/>
      <c r="G16"/>
      <c r="H16"/>
      <c r="J16"/>
      <c r="K16"/>
    </row>
    <row r="17" spans="1:16">
      <c r="A17" s="5"/>
      <c r="B17"/>
      <c r="F17"/>
      <c r="G17"/>
      <c r="H17"/>
      <c r="J17"/>
      <c r="K17"/>
    </row>
    <row r="18" spans="1:16">
      <c r="A18" s="5"/>
      <c r="B18"/>
      <c r="F18"/>
      <c r="G18"/>
      <c r="H18"/>
      <c r="J18"/>
      <c r="K18"/>
    </row>
    <row r="19" spans="1:16" ht="15.75" thickBot="1">
      <c r="A19" s="5"/>
      <c r="B19"/>
      <c r="F19"/>
      <c r="G19"/>
      <c r="H19"/>
      <c r="J19"/>
      <c r="K19"/>
    </row>
    <row r="20" spans="1:16">
      <c r="A20" s="5"/>
      <c r="B20"/>
      <c r="F20"/>
      <c r="G20"/>
      <c r="H20"/>
      <c r="J20"/>
      <c r="K20"/>
      <c r="M20" s="54" t="s">
        <v>66</v>
      </c>
      <c r="N20" s="55" t="s">
        <v>67</v>
      </c>
      <c r="O20" s="55" t="s">
        <v>68</v>
      </c>
      <c r="P20" s="56" t="s">
        <v>69</v>
      </c>
    </row>
    <row r="21" spans="1:16" ht="15.75" thickBot="1">
      <c r="A21" s="5"/>
      <c r="B21"/>
      <c r="F21"/>
      <c r="G21"/>
      <c r="H21"/>
      <c r="J21"/>
      <c r="K21"/>
      <c r="M21" s="52">
        <f>SUM(G3:H14)</f>
        <v>161.96000000000006</v>
      </c>
      <c r="N21" s="19">
        <f>SUM(I3:I6,I8:I14)</f>
        <v>773.23699999999997</v>
      </c>
      <c r="O21" s="19">
        <f>N21-M21</f>
        <v>611.27699999999993</v>
      </c>
      <c r="P21" s="53">
        <f>(N21-M21)/M21</f>
        <v>3.7742467275870566</v>
      </c>
    </row>
    <row r="22" spans="1:16">
      <c r="A22" s="5"/>
      <c r="B22"/>
      <c r="F22"/>
      <c r="G22"/>
      <c r="H22"/>
      <c r="J22"/>
      <c r="K22"/>
    </row>
    <row r="23" spans="1:16">
      <c r="A23" s="5"/>
      <c r="B23"/>
      <c r="F23"/>
      <c r="G23"/>
      <c r="H23"/>
      <c r="J23"/>
      <c r="K23"/>
    </row>
    <row r="24" spans="1:16">
      <c r="A24" s="5"/>
      <c r="B24"/>
      <c r="F24"/>
      <c r="G24"/>
      <c r="H24"/>
      <c r="J24"/>
      <c r="K24"/>
    </row>
    <row r="25" spans="1:16">
      <c r="B25"/>
      <c r="F25"/>
      <c r="G25"/>
      <c r="H25"/>
      <c r="J25"/>
      <c r="K25"/>
    </row>
    <row r="26" spans="1:16">
      <c r="B26"/>
      <c r="F26"/>
      <c r="G26"/>
      <c r="H26"/>
      <c r="J26"/>
      <c r="K26"/>
    </row>
    <row r="27" spans="1:16">
      <c r="B27"/>
      <c r="F27"/>
      <c r="G27"/>
      <c r="H27"/>
      <c r="J27"/>
      <c r="K27"/>
    </row>
    <row r="28" spans="1:16">
      <c r="B28"/>
      <c r="F28"/>
      <c r="G28"/>
      <c r="H28"/>
      <c r="J28"/>
      <c r="K28"/>
    </row>
    <row r="29" spans="1:16">
      <c r="B29"/>
      <c r="F29"/>
      <c r="G29"/>
      <c r="H29"/>
      <c r="J29"/>
      <c r="K29"/>
    </row>
    <row r="30" spans="1:16">
      <c r="B30"/>
      <c r="F30"/>
      <c r="G30"/>
      <c r="H30"/>
      <c r="J30"/>
      <c r="K30"/>
    </row>
    <row r="31" spans="1:16">
      <c r="B31"/>
      <c r="F31"/>
      <c r="G31"/>
      <c r="H31"/>
      <c r="J31"/>
      <c r="K31"/>
    </row>
    <row r="32" spans="1:16">
      <c r="B32"/>
      <c r="F32"/>
      <c r="G32"/>
      <c r="H32"/>
      <c r="J32"/>
      <c r="K32"/>
    </row>
    <row r="33" spans="2:11">
      <c r="B33"/>
      <c r="F33"/>
      <c r="G33"/>
      <c r="H33"/>
      <c r="J33"/>
      <c r="K33"/>
    </row>
    <row r="34" spans="2:11">
      <c r="B34"/>
      <c r="F34"/>
      <c r="G34"/>
      <c r="H34"/>
      <c r="J34"/>
      <c r="K34"/>
    </row>
    <row r="35" spans="2:11">
      <c r="B35"/>
      <c r="F35"/>
      <c r="G35"/>
      <c r="H35"/>
      <c r="J35"/>
      <c r="K35"/>
    </row>
    <row r="36" spans="2:11">
      <c r="B36"/>
      <c r="F36"/>
      <c r="G36"/>
      <c r="H36"/>
      <c r="J36"/>
      <c r="K36"/>
    </row>
    <row r="37" spans="2:11">
      <c r="B37"/>
      <c r="F37"/>
      <c r="G37"/>
      <c r="H37"/>
      <c r="J37"/>
      <c r="K37"/>
    </row>
    <row r="38" spans="2:11">
      <c r="B38"/>
      <c r="F38"/>
      <c r="G38"/>
      <c r="H38"/>
      <c r="J38"/>
      <c r="K38"/>
    </row>
    <row r="39" spans="2:11">
      <c r="B39"/>
      <c r="F39"/>
      <c r="G39"/>
      <c r="H39"/>
      <c r="J39"/>
      <c r="K39"/>
    </row>
    <row r="40" spans="2:11">
      <c r="B40"/>
      <c r="F40"/>
      <c r="G40"/>
      <c r="H40"/>
      <c r="J40"/>
      <c r="K40"/>
    </row>
    <row r="41" spans="2:11">
      <c r="B41"/>
      <c r="F41"/>
      <c r="G41"/>
      <c r="H41"/>
      <c r="J41"/>
      <c r="K41"/>
    </row>
    <row r="42" spans="2:11">
      <c r="B42"/>
      <c r="F42"/>
      <c r="G42"/>
      <c r="H42"/>
      <c r="J42"/>
      <c r="K42"/>
    </row>
    <row r="43" spans="2:11">
      <c r="B43"/>
      <c r="F43"/>
      <c r="G43"/>
      <c r="H43"/>
      <c r="J43"/>
      <c r="K43"/>
    </row>
    <row r="44" spans="2:11">
      <c r="B44"/>
      <c r="F44"/>
      <c r="G44"/>
      <c r="H44"/>
      <c r="J44"/>
      <c r="K44"/>
    </row>
    <row r="45" spans="2:11">
      <c r="B45"/>
      <c r="F45"/>
      <c r="G45"/>
      <c r="H45"/>
      <c r="J45"/>
      <c r="K45"/>
    </row>
    <row r="46" spans="2:11">
      <c r="B46"/>
      <c r="F46"/>
      <c r="G46"/>
      <c r="H46"/>
      <c r="J46"/>
      <c r="K46"/>
    </row>
    <row r="47" spans="2:11">
      <c r="B47"/>
      <c r="F47"/>
      <c r="G47"/>
      <c r="H47"/>
      <c r="J47"/>
      <c r="K47"/>
    </row>
    <row r="48" spans="2:11">
      <c r="B48"/>
      <c r="F48"/>
      <c r="G48"/>
      <c r="H48"/>
      <c r="J48"/>
      <c r="K48"/>
    </row>
    <row r="49" spans="2:11">
      <c r="B49"/>
      <c r="F49"/>
      <c r="G49"/>
      <c r="H49"/>
      <c r="J49"/>
      <c r="K49"/>
    </row>
    <row r="50" spans="2:11">
      <c r="B50"/>
      <c r="F50"/>
      <c r="G50"/>
      <c r="H50"/>
      <c r="J50"/>
      <c r="K50"/>
    </row>
    <row r="51" spans="2:11">
      <c r="B51"/>
      <c r="F51"/>
      <c r="G51"/>
      <c r="H51"/>
      <c r="J51"/>
      <c r="K51"/>
    </row>
    <row r="52" spans="2:11">
      <c r="B52"/>
      <c r="F52"/>
      <c r="G52"/>
      <c r="H52"/>
      <c r="J52"/>
      <c r="K52"/>
    </row>
    <row r="53" spans="2:11">
      <c r="B53"/>
      <c r="F53"/>
      <c r="G53"/>
      <c r="H53"/>
      <c r="J53"/>
      <c r="K53"/>
    </row>
    <row r="54" spans="2:11">
      <c r="B54"/>
      <c r="F54"/>
      <c r="G54"/>
      <c r="H54"/>
      <c r="J54"/>
      <c r="K54"/>
    </row>
    <row r="55" spans="2:11">
      <c r="B55"/>
      <c r="F55"/>
      <c r="G55"/>
      <c r="H55"/>
      <c r="J55"/>
      <c r="K55"/>
    </row>
    <row r="56" spans="2:11">
      <c r="B56"/>
      <c r="F56"/>
      <c r="G56"/>
      <c r="H56"/>
      <c r="J56"/>
      <c r="K56"/>
    </row>
    <row r="57" spans="2:11">
      <c r="B57"/>
      <c r="F57"/>
      <c r="G57"/>
      <c r="H57"/>
      <c r="J57"/>
      <c r="K57"/>
    </row>
    <row r="58" spans="2:11">
      <c r="B58"/>
      <c r="F58"/>
      <c r="G58"/>
      <c r="H58"/>
      <c r="J58"/>
      <c r="K58"/>
    </row>
    <row r="59" spans="2:11">
      <c r="B59"/>
      <c r="F59"/>
      <c r="G59"/>
      <c r="H59"/>
      <c r="J59"/>
      <c r="K59"/>
    </row>
    <row r="60" spans="2:11">
      <c r="B60"/>
      <c r="F60"/>
      <c r="G60"/>
      <c r="H60"/>
      <c r="J60"/>
      <c r="K60"/>
    </row>
    <row r="61" spans="2:11">
      <c r="B61"/>
      <c r="F61"/>
      <c r="G61"/>
      <c r="H61"/>
      <c r="J61"/>
      <c r="K61"/>
    </row>
    <row r="62" spans="2:11">
      <c r="B62"/>
      <c r="F62"/>
      <c r="G62"/>
      <c r="H62"/>
      <c r="J62"/>
      <c r="K62"/>
    </row>
    <row r="63" spans="2:11">
      <c r="B63"/>
      <c r="F63"/>
      <c r="G63"/>
      <c r="H63"/>
      <c r="J63"/>
      <c r="K63"/>
    </row>
    <row r="64" spans="2:11">
      <c r="B64"/>
      <c r="F64"/>
      <c r="G64"/>
      <c r="H64"/>
      <c r="J64"/>
      <c r="K64"/>
    </row>
    <row r="65" spans="2:11">
      <c r="B65"/>
      <c r="F65"/>
      <c r="G65"/>
      <c r="H65"/>
      <c r="J65"/>
      <c r="K65"/>
    </row>
    <row r="66" spans="2:11">
      <c r="B66"/>
      <c r="F66"/>
      <c r="G66"/>
      <c r="H66"/>
      <c r="J66"/>
      <c r="K66"/>
    </row>
    <row r="67" spans="2:11">
      <c r="B67"/>
      <c r="F67"/>
      <c r="G67"/>
      <c r="H67"/>
      <c r="J67"/>
      <c r="K67"/>
    </row>
    <row r="68" spans="2:11">
      <c r="B68"/>
      <c r="F68"/>
      <c r="G68"/>
      <c r="H68"/>
      <c r="J68"/>
      <c r="K68"/>
    </row>
    <row r="69" spans="2:11">
      <c r="B69"/>
      <c r="F69"/>
      <c r="G69"/>
      <c r="H69"/>
      <c r="J69"/>
      <c r="K69"/>
    </row>
    <row r="70" spans="2:11">
      <c r="B70"/>
      <c r="F70"/>
      <c r="G70"/>
      <c r="H70"/>
      <c r="J70"/>
      <c r="K70"/>
    </row>
    <row r="71" spans="2:11">
      <c r="B71"/>
      <c r="F71"/>
      <c r="G71"/>
      <c r="H71"/>
      <c r="J71"/>
      <c r="K71"/>
    </row>
    <row r="72" spans="2:11">
      <c r="B72"/>
      <c r="F72"/>
      <c r="G72"/>
      <c r="H72"/>
      <c r="J72"/>
      <c r="K72"/>
    </row>
    <row r="73" spans="2:11">
      <c r="B73"/>
      <c r="F73"/>
      <c r="G73"/>
      <c r="H73"/>
      <c r="J73"/>
      <c r="K73"/>
    </row>
    <row r="74" spans="2:11">
      <c r="B74"/>
      <c r="F74"/>
      <c r="G74"/>
      <c r="H74"/>
      <c r="J74"/>
      <c r="K74"/>
    </row>
    <row r="75" spans="2:11">
      <c r="B75"/>
      <c r="F75"/>
      <c r="G75"/>
      <c r="H75"/>
      <c r="J75"/>
      <c r="K75"/>
    </row>
    <row r="76" spans="2:11">
      <c r="B76"/>
      <c r="F76"/>
      <c r="G76"/>
      <c r="H76"/>
      <c r="J76"/>
      <c r="K76"/>
    </row>
    <row r="77" spans="2:11">
      <c r="B77"/>
      <c r="F77"/>
      <c r="G77"/>
      <c r="H77"/>
      <c r="J77"/>
      <c r="K77"/>
    </row>
    <row r="78" spans="2:11">
      <c r="B78"/>
      <c r="F78"/>
      <c r="G78"/>
      <c r="H78"/>
      <c r="J78"/>
      <c r="K78"/>
    </row>
    <row r="79" spans="2:11">
      <c r="B79"/>
      <c r="F79"/>
      <c r="G79"/>
      <c r="H79"/>
      <c r="J79"/>
      <c r="K79"/>
    </row>
    <row r="80" spans="2:11">
      <c r="B80"/>
      <c r="F80"/>
      <c r="G80"/>
      <c r="H80"/>
      <c r="J80"/>
      <c r="K80"/>
    </row>
    <row r="81" spans="2:11">
      <c r="B81"/>
      <c r="F81"/>
      <c r="G81"/>
      <c r="H81"/>
      <c r="J81"/>
      <c r="K81"/>
    </row>
    <row r="82" spans="2:11">
      <c r="B82"/>
      <c r="F82"/>
      <c r="G82"/>
      <c r="H82"/>
      <c r="J82"/>
      <c r="K82"/>
    </row>
    <row r="83" spans="2:11">
      <c r="B83"/>
      <c r="F83"/>
      <c r="G83"/>
      <c r="H83"/>
      <c r="J83"/>
      <c r="K83"/>
    </row>
    <row r="84" spans="2:11">
      <c r="B84"/>
      <c r="F84"/>
      <c r="G84"/>
      <c r="H84"/>
      <c r="J84"/>
      <c r="K84"/>
    </row>
    <row r="85" spans="2:11">
      <c r="B85"/>
      <c r="F85"/>
      <c r="G85"/>
      <c r="H85"/>
      <c r="J85"/>
      <c r="K85"/>
    </row>
    <row r="86" spans="2:11">
      <c r="B86"/>
      <c r="F86"/>
      <c r="G86"/>
      <c r="H86"/>
      <c r="J86"/>
      <c r="K86"/>
    </row>
    <row r="87" spans="2:11">
      <c r="B87"/>
      <c r="F87"/>
      <c r="G87"/>
      <c r="H87"/>
      <c r="J87"/>
      <c r="K87"/>
    </row>
    <row r="88" spans="2:11">
      <c r="B88"/>
      <c r="F88"/>
      <c r="G88"/>
      <c r="H88"/>
      <c r="J88"/>
      <c r="K88"/>
    </row>
    <row r="89" spans="2:11">
      <c r="B89"/>
      <c r="F89"/>
      <c r="G89"/>
      <c r="H89"/>
      <c r="J89"/>
      <c r="K89"/>
    </row>
    <row r="90" spans="2:11">
      <c r="B90"/>
      <c r="F90"/>
      <c r="G90"/>
      <c r="H90"/>
      <c r="J90"/>
      <c r="K90"/>
    </row>
    <row r="91" spans="2:11">
      <c r="B91"/>
      <c r="F91"/>
      <c r="G91"/>
      <c r="H91"/>
      <c r="J91"/>
      <c r="K91"/>
    </row>
    <row r="92" spans="2:11">
      <c r="B92"/>
      <c r="F92"/>
      <c r="G92"/>
      <c r="H92"/>
      <c r="J92"/>
      <c r="K92"/>
    </row>
    <row r="93" spans="2:11">
      <c r="B93"/>
      <c r="F93"/>
      <c r="G93"/>
      <c r="H93"/>
      <c r="J93"/>
      <c r="K93"/>
    </row>
    <row r="94" spans="2:11">
      <c r="B94"/>
      <c r="F94"/>
      <c r="G94"/>
      <c r="H94"/>
      <c r="J94"/>
      <c r="K94"/>
    </row>
    <row r="95" spans="2:11">
      <c r="B95"/>
      <c r="F95"/>
      <c r="G95"/>
      <c r="H95"/>
      <c r="J95"/>
      <c r="K95"/>
    </row>
    <row r="96" spans="2:11">
      <c r="B96"/>
      <c r="F96"/>
      <c r="G96"/>
      <c r="H96"/>
      <c r="J96"/>
      <c r="K96"/>
    </row>
    <row r="97" spans="2:11">
      <c r="B97"/>
      <c r="F97"/>
      <c r="G97"/>
      <c r="H97"/>
      <c r="J97"/>
      <c r="K97"/>
    </row>
    <row r="98" spans="2:11">
      <c r="B98"/>
      <c r="F98"/>
      <c r="G98"/>
      <c r="H98"/>
      <c r="J98"/>
      <c r="K98"/>
    </row>
    <row r="99" spans="2:11">
      <c r="B99"/>
      <c r="F99"/>
      <c r="G99"/>
      <c r="H99"/>
      <c r="J99"/>
      <c r="K99"/>
    </row>
    <row r="100" spans="2:11">
      <c r="B100"/>
      <c r="F100"/>
      <c r="G100"/>
      <c r="H100"/>
      <c r="J100"/>
      <c r="K100"/>
    </row>
    <row r="101" spans="2:11">
      <c r="B101"/>
      <c r="F101"/>
      <c r="G101"/>
      <c r="H101"/>
      <c r="J101"/>
      <c r="K101"/>
    </row>
    <row r="102" spans="2:11">
      <c r="B102"/>
      <c r="F102"/>
      <c r="G102"/>
      <c r="H102"/>
      <c r="J102"/>
      <c r="K102"/>
    </row>
    <row r="103" spans="2:11">
      <c r="B103"/>
      <c r="F103"/>
      <c r="G103"/>
      <c r="H103"/>
      <c r="J103"/>
      <c r="K103"/>
    </row>
    <row r="104" spans="2:11">
      <c r="B104"/>
      <c r="F104"/>
      <c r="G104"/>
      <c r="H104"/>
      <c r="J104"/>
      <c r="K104"/>
    </row>
    <row r="105" spans="2:11">
      <c r="B105"/>
      <c r="F105"/>
      <c r="G105"/>
      <c r="H105"/>
      <c r="J105"/>
      <c r="K105"/>
    </row>
    <row r="106" spans="2:11">
      <c r="B106"/>
      <c r="F106"/>
      <c r="G106"/>
      <c r="H106"/>
      <c r="J106"/>
      <c r="K106"/>
    </row>
    <row r="107" spans="2:11">
      <c r="B107"/>
      <c r="F107"/>
      <c r="G107"/>
      <c r="H107"/>
      <c r="J107"/>
      <c r="K107"/>
    </row>
    <row r="108" spans="2:11">
      <c r="B108"/>
      <c r="F108"/>
      <c r="G108"/>
      <c r="H108"/>
      <c r="J108"/>
      <c r="K108"/>
    </row>
    <row r="109" spans="2:11">
      <c r="B109"/>
      <c r="F109"/>
      <c r="G109"/>
      <c r="H109"/>
      <c r="J109"/>
      <c r="K109"/>
    </row>
    <row r="110" spans="2:11">
      <c r="B110"/>
      <c r="F110"/>
      <c r="G110"/>
      <c r="H110"/>
      <c r="J110"/>
      <c r="K110"/>
    </row>
    <row r="111" spans="2:11">
      <c r="B111"/>
      <c r="F111"/>
      <c r="G111"/>
      <c r="H111"/>
      <c r="J111"/>
      <c r="K111"/>
    </row>
    <row r="112" spans="2:11">
      <c r="B112"/>
      <c r="F112"/>
      <c r="G112"/>
      <c r="H112"/>
      <c r="J112"/>
      <c r="K112"/>
    </row>
    <row r="113" spans="2:11">
      <c r="B113"/>
      <c r="F113"/>
      <c r="G113"/>
      <c r="H113"/>
      <c r="J113"/>
      <c r="K113"/>
    </row>
    <row r="114" spans="2:11">
      <c r="B114"/>
      <c r="F114"/>
      <c r="G114"/>
      <c r="H114"/>
      <c r="J114"/>
      <c r="K114"/>
    </row>
    <row r="115" spans="2:11">
      <c r="B115"/>
      <c r="F115"/>
      <c r="G115"/>
      <c r="H115"/>
      <c r="J115"/>
      <c r="K115"/>
    </row>
    <row r="116" spans="2:11">
      <c r="B116"/>
      <c r="F116"/>
      <c r="G116"/>
      <c r="H116"/>
      <c r="J116"/>
      <c r="K116"/>
    </row>
    <row r="117" spans="2:11">
      <c r="B117"/>
      <c r="F117"/>
      <c r="G117"/>
      <c r="H117"/>
      <c r="J117"/>
      <c r="K117"/>
    </row>
    <row r="118" spans="2:11">
      <c r="B118"/>
      <c r="F118"/>
      <c r="G118"/>
      <c r="H118"/>
      <c r="J118"/>
      <c r="K118"/>
    </row>
    <row r="119" spans="2:11">
      <c r="B119"/>
      <c r="F119"/>
      <c r="G119"/>
      <c r="H119"/>
      <c r="J119"/>
      <c r="K119"/>
    </row>
    <row r="120" spans="2:11">
      <c r="B120"/>
      <c r="F120"/>
      <c r="G120"/>
      <c r="H120"/>
      <c r="J120"/>
      <c r="K120"/>
    </row>
    <row r="121" spans="2:11">
      <c r="B121"/>
      <c r="F121"/>
      <c r="G121"/>
      <c r="H121"/>
      <c r="J121"/>
      <c r="K121"/>
    </row>
    <row r="122" spans="2:11">
      <c r="B122"/>
      <c r="F122"/>
      <c r="G122"/>
      <c r="H122"/>
      <c r="J122"/>
      <c r="K122"/>
    </row>
    <row r="123" spans="2:11">
      <c r="B123"/>
      <c r="F123"/>
      <c r="G123"/>
      <c r="H123"/>
      <c r="J123"/>
      <c r="K123"/>
    </row>
    <row r="124" spans="2:11">
      <c r="B124"/>
      <c r="F124"/>
      <c r="G124"/>
      <c r="H124"/>
      <c r="J124"/>
      <c r="K124"/>
    </row>
    <row r="125" spans="2:11">
      <c r="B125"/>
      <c r="F125"/>
      <c r="G125"/>
      <c r="H125"/>
      <c r="J125"/>
      <c r="K125"/>
    </row>
    <row r="126" spans="2:11">
      <c r="B126"/>
      <c r="F126"/>
      <c r="G126"/>
      <c r="H126"/>
      <c r="J126"/>
      <c r="K126"/>
    </row>
    <row r="127" spans="2:11">
      <c r="B127"/>
      <c r="F127"/>
      <c r="G127"/>
      <c r="H127"/>
      <c r="J127"/>
      <c r="K127"/>
    </row>
    <row r="128" spans="2:11">
      <c r="B128"/>
      <c r="F128"/>
      <c r="G128"/>
      <c r="H128"/>
      <c r="J128"/>
      <c r="K128"/>
    </row>
    <row r="129" spans="2:11">
      <c r="B129"/>
      <c r="F129"/>
      <c r="G129"/>
      <c r="H129"/>
      <c r="J129"/>
      <c r="K129"/>
    </row>
    <row r="130" spans="2:11">
      <c r="B130"/>
      <c r="F130"/>
      <c r="G130"/>
      <c r="H130"/>
      <c r="J130"/>
      <c r="K130"/>
    </row>
    <row r="131" spans="2:11">
      <c r="B131"/>
      <c r="F131"/>
      <c r="G131"/>
      <c r="H131"/>
      <c r="J131"/>
      <c r="K131"/>
    </row>
    <row r="132" spans="2:11">
      <c r="B132"/>
      <c r="F132"/>
      <c r="G132"/>
      <c r="H132"/>
      <c r="J132"/>
      <c r="K132"/>
    </row>
    <row r="133" spans="2:11">
      <c r="B133"/>
      <c r="F133"/>
      <c r="G133"/>
      <c r="H133"/>
      <c r="J133"/>
      <c r="K133"/>
    </row>
    <row r="134" spans="2:11">
      <c r="B134"/>
      <c r="F134"/>
      <c r="G134"/>
      <c r="H134"/>
      <c r="J134"/>
      <c r="K134"/>
    </row>
    <row r="135" spans="2:11">
      <c r="B135"/>
      <c r="F135"/>
      <c r="G135"/>
      <c r="H135"/>
      <c r="J135"/>
      <c r="K135"/>
    </row>
    <row r="136" spans="2:11">
      <c r="B136"/>
      <c r="F136"/>
      <c r="G136"/>
      <c r="H136"/>
      <c r="J136"/>
      <c r="K136"/>
    </row>
    <row r="137" spans="2:11">
      <c r="B137"/>
      <c r="F137"/>
      <c r="G137"/>
      <c r="H137"/>
      <c r="J137"/>
      <c r="K137"/>
    </row>
    <row r="138" spans="2:11">
      <c r="B138"/>
      <c r="F138"/>
      <c r="G138"/>
      <c r="H138"/>
      <c r="J138"/>
      <c r="K138"/>
    </row>
    <row r="139" spans="2:11">
      <c r="B139"/>
      <c r="F139"/>
      <c r="G139"/>
      <c r="H139"/>
      <c r="J139"/>
      <c r="K139"/>
    </row>
    <row r="140" spans="2:11">
      <c r="B140"/>
      <c r="F140"/>
      <c r="G140"/>
      <c r="H140"/>
      <c r="J140"/>
      <c r="K140"/>
    </row>
    <row r="141" spans="2:11">
      <c r="B141"/>
      <c r="F141"/>
      <c r="G141"/>
      <c r="H141"/>
      <c r="J141"/>
      <c r="K141"/>
    </row>
    <row r="142" spans="2:11">
      <c r="B142"/>
      <c r="F142"/>
      <c r="G142"/>
      <c r="H142"/>
      <c r="J142"/>
      <c r="K142"/>
    </row>
    <row r="143" spans="2:11">
      <c r="B143"/>
      <c r="F143"/>
      <c r="G143"/>
      <c r="H143"/>
      <c r="J143"/>
      <c r="K143"/>
    </row>
    <row r="144" spans="2:11">
      <c r="B144"/>
      <c r="F144"/>
      <c r="G144"/>
      <c r="H144"/>
      <c r="J144"/>
      <c r="K144"/>
    </row>
    <row r="145" spans="2:11">
      <c r="B145"/>
      <c r="F145"/>
      <c r="G145"/>
      <c r="H145"/>
      <c r="J145"/>
      <c r="K145"/>
    </row>
    <row r="146" spans="2:11">
      <c r="B146"/>
      <c r="F146"/>
      <c r="G146"/>
      <c r="H146"/>
      <c r="J146"/>
      <c r="K146"/>
    </row>
    <row r="147" spans="2:11">
      <c r="B147"/>
      <c r="F147"/>
      <c r="G147"/>
      <c r="H147"/>
      <c r="J147"/>
      <c r="K147"/>
    </row>
    <row r="148" spans="2:11">
      <c r="B148"/>
      <c r="F148"/>
      <c r="G148"/>
      <c r="H148"/>
      <c r="J148"/>
      <c r="K148"/>
    </row>
    <row r="149" spans="2:11">
      <c r="B149"/>
      <c r="F149"/>
      <c r="G149"/>
      <c r="H149"/>
      <c r="J149"/>
      <c r="K149"/>
    </row>
    <row r="150" spans="2:11">
      <c r="B150"/>
      <c r="F150"/>
      <c r="G150"/>
      <c r="H150"/>
      <c r="J150"/>
      <c r="K150"/>
    </row>
    <row r="151" spans="2:11">
      <c r="B151"/>
      <c r="F151"/>
      <c r="G151"/>
      <c r="H151"/>
      <c r="J151"/>
      <c r="K151"/>
    </row>
    <row r="152" spans="2:11">
      <c r="B152"/>
      <c r="F152"/>
      <c r="G152"/>
      <c r="H152"/>
      <c r="J152"/>
      <c r="K152"/>
    </row>
    <row r="153" spans="2:11">
      <c r="B153"/>
      <c r="F153"/>
      <c r="G153"/>
      <c r="H153"/>
      <c r="J153"/>
      <c r="K153"/>
    </row>
    <row r="154" spans="2:11">
      <c r="B154"/>
      <c r="F154"/>
      <c r="G154"/>
      <c r="H154"/>
      <c r="J154"/>
      <c r="K154"/>
    </row>
    <row r="155" spans="2:11">
      <c r="B155"/>
      <c r="F155"/>
      <c r="G155"/>
      <c r="H155"/>
      <c r="J155"/>
      <c r="K155"/>
    </row>
    <row r="156" spans="2:11">
      <c r="B156"/>
      <c r="F156"/>
      <c r="G156"/>
      <c r="H156"/>
      <c r="J156"/>
      <c r="K156"/>
    </row>
    <row r="157" spans="2:11">
      <c r="B157"/>
      <c r="F157"/>
      <c r="G157"/>
      <c r="H157"/>
      <c r="J157"/>
      <c r="K157"/>
    </row>
    <row r="158" spans="2:11">
      <c r="B158"/>
      <c r="F158"/>
      <c r="G158"/>
      <c r="H158"/>
      <c r="J158"/>
      <c r="K158"/>
    </row>
  </sheetData>
  <mergeCells count="3">
    <mergeCell ref="C1:E1"/>
    <mergeCell ref="R1:W1"/>
    <mergeCell ref="L1:Q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workbookViewId="0">
      <selection activeCell="H17" sqref="H17"/>
    </sheetView>
  </sheetViews>
  <sheetFormatPr defaultRowHeight="15"/>
  <cols>
    <col min="2" max="2" width="14.42578125" bestFit="1" customWidth="1"/>
    <col min="3" max="3" width="13.140625" bestFit="1" customWidth="1"/>
    <col min="4" max="4" width="15" bestFit="1" customWidth="1"/>
    <col min="5" max="5" width="10.85546875" bestFit="1" customWidth="1"/>
  </cols>
  <sheetData>
    <row r="1" spans="1:7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>
        <f>CORREL(B3:B24,C3:C24)</f>
        <v>0.68144668153976162</v>
      </c>
    </row>
    <row r="3" spans="1:7">
      <c r="A3" t="s">
        <v>36</v>
      </c>
      <c r="B3" s="3">
        <v>1265</v>
      </c>
      <c r="C3">
        <v>984</v>
      </c>
      <c r="D3" s="4">
        <v>1701.59</v>
      </c>
      <c r="E3" s="4">
        <v>12760.53</v>
      </c>
      <c r="F3" s="1">
        <v>6.4992000000000001</v>
      </c>
    </row>
    <row r="4" spans="1:7">
      <c r="A4" t="s">
        <v>37</v>
      </c>
      <c r="B4" s="3">
        <v>3617</v>
      </c>
      <c r="C4">
        <v>834</v>
      </c>
      <c r="D4" s="4">
        <v>4668.6000000000004</v>
      </c>
      <c r="E4" s="4">
        <v>10816.07</v>
      </c>
      <c r="F4" s="1">
        <v>1.3168</v>
      </c>
    </row>
    <row r="5" spans="1:7">
      <c r="A5" t="s">
        <v>38</v>
      </c>
      <c r="B5" s="3">
        <v>2839</v>
      </c>
      <c r="C5" s="3">
        <v>1181</v>
      </c>
      <c r="D5" s="4">
        <v>3606.89</v>
      </c>
      <c r="E5" s="4">
        <v>15312.64</v>
      </c>
      <c r="F5" s="1">
        <v>3.2454000000000001</v>
      </c>
    </row>
    <row r="6" spans="1:7">
      <c r="A6" t="s">
        <v>39</v>
      </c>
      <c r="B6" s="3">
        <v>1902</v>
      </c>
      <c r="C6" s="3">
        <v>1134</v>
      </c>
      <c r="D6" s="4">
        <v>2024.76</v>
      </c>
      <c r="E6" s="4">
        <v>14705</v>
      </c>
      <c r="F6" s="1">
        <v>6.2625999999999999</v>
      </c>
    </row>
    <row r="7" spans="1:7">
      <c r="A7" t="s">
        <v>40</v>
      </c>
      <c r="B7" s="3">
        <v>1649</v>
      </c>
      <c r="C7" s="3">
        <v>1227</v>
      </c>
      <c r="D7" s="4">
        <v>1988.69</v>
      </c>
      <c r="E7" s="4">
        <v>15920.29</v>
      </c>
      <c r="F7" s="1">
        <v>7.0053999999999998</v>
      </c>
    </row>
    <row r="8" spans="1:7">
      <c r="A8" t="s">
        <v>41</v>
      </c>
      <c r="B8" s="3">
        <v>1574</v>
      </c>
      <c r="C8" s="3">
        <v>1181</v>
      </c>
      <c r="D8" s="4">
        <v>1964.51</v>
      </c>
      <c r="E8" s="4">
        <v>15312.64</v>
      </c>
      <c r="F8" s="1">
        <v>6.7946</v>
      </c>
    </row>
    <row r="9" spans="1:7">
      <c r="A9" t="s">
        <v>42</v>
      </c>
      <c r="B9" s="3">
        <v>1424</v>
      </c>
      <c r="C9" s="3">
        <v>1687</v>
      </c>
      <c r="D9" s="4">
        <v>1719.21</v>
      </c>
      <c r="E9" s="4">
        <v>21875.200000000001</v>
      </c>
      <c r="F9" s="1">
        <v>11.724</v>
      </c>
    </row>
    <row r="10" spans="1:7">
      <c r="A10" t="s">
        <v>43</v>
      </c>
      <c r="B10" s="3">
        <v>1762</v>
      </c>
      <c r="C10" s="3">
        <v>1293</v>
      </c>
      <c r="D10" s="4">
        <v>2097.1</v>
      </c>
      <c r="E10" s="4">
        <v>16770.990000000002</v>
      </c>
      <c r="F10" s="1">
        <v>6.9972000000000003</v>
      </c>
    </row>
    <row r="11" spans="1:7">
      <c r="A11" t="s">
        <v>44</v>
      </c>
      <c r="B11" s="3">
        <v>1602</v>
      </c>
      <c r="C11" s="3">
        <v>1359</v>
      </c>
      <c r="D11" s="4">
        <v>2048.56</v>
      </c>
      <c r="E11" s="4">
        <v>17621.689999999999</v>
      </c>
      <c r="F11" s="1">
        <v>7.6020000000000003</v>
      </c>
    </row>
    <row r="12" spans="1:7">
      <c r="A12" t="s">
        <v>45</v>
      </c>
      <c r="B12" s="3">
        <v>1902</v>
      </c>
      <c r="C12" s="3">
        <v>1387</v>
      </c>
      <c r="D12" s="4">
        <v>2021.11</v>
      </c>
      <c r="E12" s="4">
        <v>17986.28</v>
      </c>
      <c r="F12" s="1">
        <v>7.8992000000000004</v>
      </c>
    </row>
    <row r="13" spans="1:7">
      <c r="A13" t="s">
        <v>46</v>
      </c>
      <c r="B13" s="3">
        <v>1921</v>
      </c>
      <c r="C13" s="3">
        <v>1537</v>
      </c>
      <c r="D13" s="4">
        <v>1874</v>
      </c>
      <c r="E13" s="4">
        <v>19930.740000000002</v>
      </c>
      <c r="F13" s="1">
        <v>9.6354000000000006</v>
      </c>
    </row>
    <row r="14" spans="1:7">
      <c r="A14" t="s">
        <v>47</v>
      </c>
      <c r="B14" s="3">
        <v>2230</v>
      </c>
      <c r="C14" s="3">
        <v>1902</v>
      </c>
      <c r="D14" s="4">
        <v>1888.06</v>
      </c>
      <c r="E14" s="4">
        <v>24670.37</v>
      </c>
      <c r="F14" s="1">
        <v>12.066599999999999</v>
      </c>
    </row>
    <row r="15" spans="1:7">
      <c r="A15" t="s">
        <v>48</v>
      </c>
      <c r="B15" s="3">
        <v>3429</v>
      </c>
      <c r="C15" s="3">
        <v>2436</v>
      </c>
      <c r="D15" s="4">
        <v>1962.27</v>
      </c>
      <c r="E15" s="4">
        <v>31597.51</v>
      </c>
      <c r="F15" s="1">
        <v>15.102600000000001</v>
      </c>
    </row>
    <row r="16" spans="1:7">
      <c r="A16" t="s">
        <v>49</v>
      </c>
      <c r="B16" s="3">
        <v>3785</v>
      </c>
      <c r="C16" s="3">
        <v>3261</v>
      </c>
      <c r="D16" s="4">
        <v>1973.79</v>
      </c>
      <c r="E16" s="4">
        <v>42292.06</v>
      </c>
      <c r="F16" s="1">
        <v>20.4268</v>
      </c>
    </row>
    <row r="17" spans="1:6">
      <c r="A17" t="s">
        <v>50</v>
      </c>
      <c r="B17" s="3">
        <v>3364</v>
      </c>
      <c r="C17" s="3">
        <v>3411</v>
      </c>
      <c r="D17" s="4">
        <v>1939.31</v>
      </c>
      <c r="E17" s="4">
        <v>44236.52</v>
      </c>
      <c r="F17" s="1">
        <v>21.810500000000001</v>
      </c>
    </row>
    <row r="18" spans="1:6">
      <c r="A18" t="s">
        <v>51</v>
      </c>
      <c r="B18" s="3">
        <v>3523</v>
      </c>
      <c r="C18" s="3">
        <v>3036</v>
      </c>
      <c r="D18" s="4">
        <v>1845.33</v>
      </c>
      <c r="E18" s="4">
        <v>39375.360000000001</v>
      </c>
      <c r="F18" s="1">
        <v>20.337900000000001</v>
      </c>
    </row>
    <row r="19" spans="1:6">
      <c r="A19" t="s">
        <v>52</v>
      </c>
      <c r="B19" s="3">
        <v>3504</v>
      </c>
      <c r="C19" s="3">
        <v>3945</v>
      </c>
      <c r="D19" s="4">
        <v>2064.77</v>
      </c>
      <c r="E19" s="4">
        <v>51163.67</v>
      </c>
      <c r="F19" s="1">
        <v>23.779299999999999</v>
      </c>
    </row>
    <row r="20" spans="1:6">
      <c r="A20" t="s">
        <v>53</v>
      </c>
      <c r="B20" s="3">
        <v>3767</v>
      </c>
      <c r="C20" s="3">
        <v>3973</v>
      </c>
      <c r="D20" s="4">
        <v>2059.06</v>
      </c>
      <c r="E20" s="4">
        <v>51528.25</v>
      </c>
      <c r="F20" s="1">
        <v>24.025200000000002</v>
      </c>
    </row>
    <row r="21" spans="1:6">
      <c r="A21" t="s">
        <v>54</v>
      </c>
      <c r="B21" s="3">
        <v>2502</v>
      </c>
      <c r="C21" s="3">
        <v>4020</v>
      </c>
      <c r="D21" s="4">
        <v>1901.83</v>
      </c>
      <c r="E21" s="4">
        <v>52135.9</v>
      </c>
      <c r="F21" s="1">
        <v>26.413599999999999</v>
      </c>
    </row>
    <row r="22" spans="1:6">
      <c r="A22" t="s">
        <v>55</v>
      </c>
      <c r="B22" s="3">
        <v>2670</v>
      </c>
      <c r="C22" s="3">
        <v>4366</v>
      </c>
      <c r="D22" s="4">
        <v>2510.9699999999998</v>
      </c>
      <c r="E22" s="4">
        <v>56632.47</v>
      </c>
      <c r="F22" s="1">
        <v>21.553999999999998</v>
      </c>
    </row>
    <row r="23" spans="1:6">
      <c r="A23" t="s">
        <v>56</v>
      </c>
      <c r="B23" s="3">
        <v>3645</v>
      </c>
      <c r="C23" s="3">
        <v>3907</v>
      </c>
      <c r="D23" s="4">
        <v>2648.34</v>
      </c>
      <c r="E23" s="4">
        <v>50677.55</v>
      </c>
      <c r="F23" s="1">
        <v>18.1356</v>
      </c>
    </row>
    <row r="24" spans="1:6">
      <c r="A24" t="s">
        <v>57</v>
      </c>
      <c r="B24" s="3">
        <v>3785</v>
      </c>
      <c r="C24" s="3">
        <v>3898</v>
      </c>
      <c r="D24" s="4">
        <v>2659.39</v>
      </c>
      <c r="E24" s="4">
        <v>50556.02</v>
      </c>
      <c r="F24" s="1">
        <v>18.010400000000001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J198"/>
  <sheetViews>
    <sheetView topLeftCell="A97" workbookViewId="0">
      <selection activeCell="C1" sqref="C1:C1048576"/>
    </sheetView>
  </sheetViews>
  <sheetFormatPr defaultRowHeight="15"/>
  <sheetData>
    <row r="1" spans="1:3" ht="24.75" thickBot="1">
      <c r="A1" s="69"/>
      <c r="C1" s="84" t="s">
        <v>283</v>
      </c>
    </row>
    <row r="2" spans="1:3" ht="24.75" thickBot="1">
      <c r="A2" s="69"/>
      <c r="C2" s="83" t="s">
        <v>174</v>
      </c>
    </row>
    <row r="3" spans="1:3" ht="24.75" thickBot="1">
      <c r="A3" s="69"/>
      <c r="C3" s="83" t="s">
        <v>185</v>
      </c>
    </row>
    <row r="4" spans="1:3" ht="24.75" thickBot="1">
      <c r="A4" s="69"/>
      <c r="C4" s="83" t="s">
        <v>195</v>
      </c>
    </row>
    <row r="5" spans="1:3" ht="24.75" thickBot="1">
      <c r="A5" s="69"/>
      <c r="C5" s="83" t="s">
        <v>188</v>
      </c>
    </row>
    <row r="6" spans="1:3" ht="24.75" thickBot="1">
      <c r="A6" s="69"/>
      <c r="C6" s="83" t="s">
        <v>179</v>
      </c>
    </row>
    <row r="7" spans="1:3" ht="36.75" thickBot="1">
      <c r="A7" s="69"/>
      <c r="C7" s="83" t="s">
        <v>187</v>
      </c>
    </row>
    <row r="8" spans="1:3" ht="36.75" thickBot="1">
      <c r="A8" s="69"/>
      <c r="C8" s="83" t="s">
        <v>181</v>
      </c>
    </row>
    <row r="9" spans="1:3" ht="36.75" thickBot="1">
      <c r="A9" s="69"/>
      <c r="C9" s="83" t="s">
        <v>258</v>
      </c>
    </row>
    <row r="10" spans="1:3" ht="24.75" thickBot="1">
      <c r="A10" s="69"/>
      <c r="C10" s="83" t="s">
        <v>202</v>
      </c>
    </row>
    <row r="11" spans="1:3" ht="36.75" thickBot="1">
      <c r="A11" s="69"/>
      <c r="C11" s="83" t="s">
        <v>180</v>
      </c>
    </row>
    <row r="12" spans="1:3" ht="36.75" thickBot="1">
      <c r="A12" s="69"/>
      <c r="C12" s="83" t="s">
        <v>192</v>
      </c>
    </row>
    <row r="13" spans="1:3" ht="24.75" thickBot="1">
      <c r="A13" s="69"/>
      <c r="C13" s="83" t="s">
        <v>173</v>
      </c>
    </row>
    <row r="14" spans="1:3" ht="24.75" thickBot="1">
      <c r="A14" s="69"/>
      <c r="C14" s="83" t="s">
        <v>193</v>
      </c>
    </row>
    <row r="15" spans="1:3" ht="36.75" thickBot="1">
      <c r="A15" s="69"/>
      <c r="C15" s="83" t="s">
        <v>230</v>
      </c>
    </row>
    <row r="16" spans="1:3" ht="36.75" thickBot="1">
      <c r="A16" s="69"/>
      <c r="C16" s="83" t="s">
        <v>247</v>
      </c>
    </row>
    <row r="17" spans="1:3" ht="48.75" thickBot="1">
      <c r="A17" s="69"/>
      <c r="C17" s="83" t="s">
        <v>231</v>
      </c>
    </row>
    <row r="18" spans="1:3" ht="36.75" thickBot="1">
      <c r="A18" s="69"/>
      <c r="C18" s="83" t="s">
        <v>218</v>
      </c>
    </row>
    <row r="19" spans="1:3" ht="48.75" thickBot="1">
      <c r="A19" s="69"/>
      <c r="C19" s="83" t="s">
        <v>239</v>
      </c>
    </row>
    <row r="20" spans="1:3" ht="36.75" thickBot="1">
      <c r="A20" s="69"/>
      <c r="C20" s="83" t="s">
        <v>229</v>
      </c>
    </row>
    <row r="21" spans="1:3" ht="36.75" thickBot="1">
      <c r="A21" s="69"/>
      <c r="C21" s="83" t="s">
        <v>203</v>
      </c>
    </row>
    <row r="22" spans="1:3" ht="48.75" thickBot="1">
      <c r="A22" s="69"/>
      <c r="C22" s="83" t="s">
        <v>257</v>
      </c>
    </row>
    <row r="23" spans="1:3" ht="36.75" thickBot="1">
      <c r="A23" s="69"/>
      <c r="C23" s="83" t="s">
        <v>232</v>
      </c>
    </row>
    <row r="24" spans="1:3" ht="48.75" thickBot="1">
      <c r="A24" s="69"/>
      <c r="C24" s="83" t="s">
        <v>221</v>
      </c>
    </row>
    <row r="25" spans="1:3" ht="48.75" thickBot="1">
      <c r="A25" s="69"/>
      <c r="C25" s="83" t="s">
        <v>228</v>
      </c>
    </row>
    <row r="26" spans="1:3" ht="48.75" thickBot="1">
      <c r="A26" s="69"/>
      <c r="C26" s="83" t="s">
        <v>262</v>
      </c>
    </row>
    <row r="27" spans="1:3" ht="48.75" thickBot="1">
      <c r="A27" s="69"/>
      <c r="C27" s="83" t="s">
        <v>256</v>
      </c>
    </row>
    <row r="28" spans="1:3" ht="48.75" thickBot="1">
      <c r="A28" s="69"/>
      <c r="C28" s="83" t="s">
        <v>266</v>
      </c>
    </row>
    <row r="29" spans="1:3" ht="36.75" thickBot="1">
      <c r="A29" s="69"/>
      <c r="C29" s="83" t="s">
        <v>177</v>
      </c>
    </row>
    <row r="30" spans="1:3" ht="36.75" thickBot="1">
      <c r="A30" s="69"/>
      <c r="C30" s="83" t="s">
        <v>222</v>
      </c>
    </row>
    <row r="31" spans="1:3" ht="48.75" thickBot="1">
      <c r="A31" s="69"/>
      <c r="C31" s="83" t="s">
        <v>255</v>
      </c>
    </row>
    <row r="32" spans="1:3" ht="15.75" thickBot="1">
      <c r="A32" s="69"/>
      <c r="C32" s="83" t="s">
        <v>200</v>
      </c>
    </row>
    <row r="33" spans="1:3" ht="24.75" thickBot="1">
      <c r="A33" s="69"/>
      <c r="C33" s="83" t="s">
        <v>176</v>
      </c>
    </row>
    <row r="34" spans="1:3" ht="36.75" thickBot="1">
      <c r="A34" s="69"/>
      <c r="C34" s="83" t="s">
        <v>219</v>
      </c>
    </row>
    <row r="35" spans="1:3" ht="36.75" thickBot="1">
      <c r="A35" s="69"/>
      <c r="C35" s="83" t="s">
        <v>240</v>
      </c>
    </row>
    <row r="36" spans="1:3" ht="36.75" thickBot="1">
      <c r="A36" s="69"/>
      <c r="C36" s="83" t="s">
        <v>236</v>
      </c>
    </row>
    <row r="37" spans="1:3" ht="24.75" thickBot="1">
      <c r="A37" s="69"/>
      <c r="C37" s="83" t="s">
        <v>211</v>
      </c>
    </row>
    <row r="38" spans="1:3" ht="36.75" thickBot="1">
      <c r="A38" s="69"/>
      <c r="C38" s="83" t="s">
        <v>263</v>
      </c>
    </row>
    <row r="39" spans="1:3" ht="24.75" thickBot="1">
      <c r="A39" s="69"/>
      <c r="C39" s="83" t="s">
        <v>198</v>
      </c>
    </row>
    <row r="40" spans="1:3" ht="36.75" thickBot="1">
      <c r="A40" s="69"/>
      <c r="C40" s="83" t="s">
        <v>206</v>
      </c>
    </row>
    <row r="41" spans="1:3" ht="36.75" thickBot="1">
      <c r="A41" s="69"/>
      <c r="C41" s="83" t="s">
        <v>233</v>
      </c>
    </row>
    <row r="42" spans="1:3" ht="36.75" thickBot="1">
      <c r="A42" s="69"/>
      <c r="C42" s="83" t="s">
        <v>205</v>
      </c>
    </row>
    <row r="43" spans="1:3" ht="48.75" thickBot="1">
      <c r="A43" s="69"/>
      <c r="C43" s="83" t="s">
        <v>209</v>
      </c>
    </row>
    <row r="44" spans="1:3" ht="36.75" thickBot="1">
      <c r="A44" s="69"/>
      <c r="C44" s="83" t="s">
        <v>226</v>
      </c>
    </row>
    <row r="45" spans="1:3" ht="36.75" thickBot="1">
      <c r="A45" s="69"/>
      <c r="C45" s="83" t="s">
        <v>250</v>
      </c>
    </row>
    <row r="46" spans="1:3" ht="36.75" thickBot="1">
      <c r="A46" s="69"/>
      <c r="C46" s="83" t="s">
        <v>190</v>
      </c>
    </row>
    <row r="47" spans="1:3" ht="48.75" thickBot="1">
      <c r="A47" s="69"/>
      <c r="C47" s="83" t="s">
        <v>225</v>
      </c>
    </row>
    <row r="48" spans="1:3" ht="36.75" thickBot="1">
      <c r="A48" s="69"/>
      <c r="C48" s="83" t="s">
        <v>245</v>
      </c>
    </row>
    <row r="49" spans="1:3" ht="36.75" thickBot="1">
      <c r="A49" s="69"/>
      <c r="C49" s="83" t="s">
        <v>237</v>
      </c>
    </row>
    <row r="50" spans="1:3" ht="24.75" thickBot="1">
      <c r="A50" s="69"/>
      <c r="C50" s="83" t="s">
        <v>235</v>
      </c>
    </row>
    <row r="51" spans="1:3" ht="36.75" thickBot="1">
      <c r="A51" s="69"/>
      <c r="C51" s="83" t="s">
        <v>204</v>
      </c>
    </row>
    <row r="52" spans="1:3" ht="36.75" thickBot="1">
      <c r="A52" s="69"/>
      <c r="C52" s="83" t="s">
        <v>191</v>
      </c>
    </row>
    <row r="53" spans="1:3" ht="48.75" thickBot="1">
      <c r="A53" s="69"/>
      <c r="C53" s="83" t="s">
        <v>241</v>
      </c>
    </row>
    <row r="54" spans="1:3" ht="48.75" thickBot="1">
      <c r="A54" s="69"/>
      <c r="C54" s="83" t="s">
        <v>260</v>
      </c>
    </row>
    <row r="55" spans="1:3" ht="48.75" thickBot="1">
      <c r="A55" s="69"/>
      <c r="C55" s="83" t="s">
        <v>208</v>
      </c>
    </row>
    <row r="56" spans="1:3" ht="60.75" thickBot="1">
      <c r="A56" s="69"/>
      <c r="C56" s="83" t="s">
        <v>264</v>
      </c>
    </row>
    <row r="57" spans="1:3" ht="60.75" thickBot="1">
      <c r="A57" s="69"/>
      <c r="C57" s="83" t="s">
        <v>265</v>
      </c>
    </row>
    <row r="58" spans="1:3" ht="36.75" thickBot="1">
      <c r="A58" s="69"/>
      <c r="C58" s="83" t="s">
        <v>234</v>
      </c>
    </row>
    <row r="59" spans="1:3" ht="36.75" thickBot="1">
      <c r="A59" s="69"/>
      <c r="C59" s="83" t="s">
        <v>249</v>
      </c>
    </row>
    <row r="60" spans="1:3" ht="48.75" thickBot="1">
      <c r="A60" s="69"/>
      <c r="C60" s="83" t="s">
        <v>243</v>
      </c>
    </row>
    <row r="61" spans="1:3" ht="36.75" thickBot="1">
      <c r="A61" s="69"/>
      <c r="C61" s="83" t="s">
        <v>215</v>
      </c>
    </row>
    <row r="62" spans="1:3" ht="36.75" thickBot="1">
      <c r="A62" s="69"/>
      <c r="C62" s="83" t="s">
        <v>197</v>
      </c>
    </row>
    <row r="63" spans="1:3" ht="36.75" thickBot="1">
      <c r="A63" s="69"/>
      <c r="C63" s="83" t="s">
        <v>214</v>
      </c>
    </row>
    <row r="64" spans="1:3" ht="36.75" thickBot="1">
      <c r="A64" s="69"/>
      <c r="C64" s="83" t="s">
        <v>178</v>
      </c>
    </row>
    <row r="65" spans="1:3" ht="24.75" thickBot="1">
      <c r="A65" s="69"/>
      <c r="C65" s="83" t="s">
        <v>213</v>
      </c>
    </row>
    <row r="66" spans="1:3" ht="36.75" thickBot="1">
      <c r="A66" s="69"/>
      <c r="C66" s="83" t="s">
        <v>246</v>
      </c>
    </row>
    <row r="67" spans="1:3" ht="48.75" thickBot="1">
      <c r="A67" s="69"/>
      <c r="C67" s="83" t="s">
        <v>280</v>
      </c>
    </row>
    <row r="68" spans="1:3" ht="36.75" thickBot="1">
      <c r="A68" s="69"/>
      <c r="C68" s="83" t="s">
        <v>268</v>
      </c>
    </row>
    <row r="69" spans="1:3" ht="36.75" thickBot="1">
      <c r="A69" s="69"/>
      <c r="C69" s="83" t="s">
        <v>238</v>
      </c>
    </row>
    <row r="70" spans="1:3" ht="36.75" thickBot="1">
      <c r="A70" s="69"/>
      <c r="C70" s="83" t="s">
        <v>223</v>
      </c>
    </row>
    <row r="71" spans="1:3" ht="36.75" thickBot="1">
      <c r="A71" s="69"/>
      <c r="C71" s="83" t="s">
        <v>196</v>
      </c>
    </row>
    <row r="72" spans="1:3" ht="36.75" thickBot="1">
      <c r="A72" s="69"/>
      <c r="C72" s="83" t="s">
        <v>224</v>
      </c>
    </row>
    <row r="73" spans="1:3" ht="24.75" thickBot="1">
      <c r="A73" s="69"/>
      <c r="C73" s="83" t="s">
        <v>252</v>
      </c>
    </row>
    <row r="74" spans="1:3" ht="36.75" thickBot="1">
      <c r="A74" s="69"/>
      <c r="C74" s="83" t="s">
        <v>207</v>
      </c>
    </row>
    <row r="75" spans="1:3" ht="36.75" thickBot="1">
      <c r="A75" s="69"/>
      <c r="C75" s="83" t="s">
        <v>186</v>
      </c>
    </row>
    <row r="76" spans="1:3" ht="48.75" thickBot="1">
      <c r="A76" s="69"/>
      <c r="C76" s="83" t="s">
        <v>216</v>
      </c>
    </row>
    <row r="77" spans="1:3" ht="36.75" thickBot="1">
      <c r="A77" s="69"/>
      <c r="C77" s="83" t="s">
        <v>210</v>
      </c>
    </row>
    <row r="78" spans="1:3" ht="24.75" thickBot="1">
      <c r="A78" s="69"/>
      <c r="C78" s="83" t="s">
        <v>183</v>
      </c>
    </row>
    <row r="79" spans="1:3" ht="36.75" thickBot="1">
      <c r="A79" s="69"/>
      <c r="C79" s="83" t="s">
        <v>253</v>
      </c>
    </row>
    <row r="80" spans="1:3" ht="36.75" thickBot="1">
      <c r="A80" s="69"/>
      <c r="C80" s="83" t="s">
        <v>242</v>
      </c>
    </row>
    <row r="81" spans="1:10" ht="36.75" thickBot="1">
      <c r="A81" s="69"/>
      <c r="C81" s="83" t="s">
        <v>251</v>
      </c>
    </row>
    <row r="82" spans="1:10" ht="36.75" thickBot="1">
      <c r="A82" s="69"/>
      <c r="C82" s="83" t="s">
        <v>184</v>
      </c>
    </row>
    <row r="83" spans="1:10" ht="36.75" thickBot="1">
      <c r="A83" s="69"/>
      <c r="C83" s="83" t="s">
        <v>189</v>
      </c>
    </row>
    <row r="84" spans="1:10" ht="36.75" thickBot="1">
      <c r="A84" s="69"/>
      <c r="C84" s="83" t="s">
        <v>220</v>
      </c>
    </row>
    <row r="85" spans="1:10" ht="36.75" thickBot="1">
      <c r="A85" s="69"/>
      <c r="C85" s="83" t="s">
        <v>248</v>
      </c>
    </row>
    <row r="86" spans="1:10" ht="36.75" thickBot="1">
      <c r="A86" s="69"/>
      <c r="C86" s="83" t="s">
        <v>217</v>
      </c>
    </row>
    <row r="87" spans="1:10" ht="36.75" thickBot="1">
      <c r="A87" s="69"/>
      <c r="C87" s="83" t="s">
        <v>182</v>
      </c>
    </row>
    <row r="88" spans="1:10" ht="24.75" thickBot="1">
      <c r="A88" s="69"/>
      <c r="C88" s="84" t="s">
        <v>254</v>
      </c>
    </row>
    <row r="89" spans="1:10" ht="24.75" thickBot="1">
      <c r="A89" s="69"/>
      <c r="C89" s="83" t="s">
        <v>212</v>
      </c>
    </row>
    <row r="90" spans="1:10" ht="36.75" thickBot="1">
      <c r="A90" s="69"/>
      <c r="C90" s="83" t="s">
        <v>281</v>
      </c>
    </row>
    <row r="91" spans="1:10" ht="48.75" thickBot="1">
      <c r="A91" s="69"/>
      <c r="C91" s="83" t="s">
        <v>282</v>
      </c>
    </row>
    <row r="92" spans="1:10" ht="36.75" thickBot="1">
      <c r="A92" s="69"/>
      <c r="C92" s="83" t="s">
        <v>269</v>
      </c>
    </row>
    <row r="93" spans="1:10" ht="36.75" thickBot="1">
      <c r="C93" s="69" t="s">
        <v>272</v>
      </c>
      <c r="D93" s="70">
        <v>0.2</v>
      </c>
      <c r="E93" s="78">
        <v>93</v>
      </c>
      <c r="F93" s="79">
        <v>8.0000000000000002E-3</v>
      </c>
      <c r="G93" s="80">
        <v>7.0000000000000007E-2</v>
      </c>
      <c r="H93" s="81">
        <v>6.5</v>
      </c>
      <c r="I93" s="68"/>
      <c r="J93" s="68"/>
    </row>
    <row r="94" spans="1:10" ht="36.75" thickBot="1">
      <c r="A94" s="75"/>
      <c r="B94" s="76"/>
      <c r="C94" s="69" t="s">
        <v>267</v>
      </c>
      <c r="D94" s="70">
        <v>0.2</v>
      </c>
      <c r="E94" s="71">
        <v>23</v>
      </c>
      <c r="F94" s="72">
        <v>8.3999999999999995E-3</v>
      </c>
      <c r="G94" s="73">
        <v>0.04</v>
      </c>
      <c r="H94" s="74">
        <v>0.86</v>
      </c>
    </row>
    <row r="95" spans="1:10" ht="48.75" thickBot="1">
      <c r="A95" s="75"/>
      <c r="B95" s="76"/>
      <c r="C95" s="69" t="s">
        <v>279</v>
      </c>
      <c r="D95" s="70">
        <v>0.2</v>
      </c>
      <c r="E95" s="71">
        <v>16</v>
      </c>
      <c r="F95" s="72">
        <v>1.7299999999999999E-2</v>
      </c>
      <c r="G95" s="73">
        <v>0.04</v>
      </c>
      <c r="H95" s="74">
        <v>0.64</v>
      </c>
    </row>
    <row r="96" spans="1:10" ht="36.75" thickBot="1">
      <c r="A96" s="75"/>
      <c r="B96" s="76"/>
      <c r="C96" s="69" t="s">
        <v>259</v>
      </c>
      <c r="D96" s="70">
        <v>0.2</v>
      </c>
      <c r="E96" s="71">
        <v>8</v>
      </c>
      <c r="F96" s="72">
        <v>4.8999999999999998E-3</v>
      </c>
      <c r="G96" s="73">
        <v>0.05</v>
      </c>
      <c r="H96" s="74">
        <v>0.41</v>
      </c>
    </row>
    <row r="97" spans="1:8" ht="48.75" thickBot="1">
      <c r="A97" s="75"/>
      <c r="B97" s="76"/>
      <c r="C97" s="69" t="s">
        <v>261</v>
      </c>
      <c r="D97" s="70">
        <v>0.2</v>
      </c>
      <c r="E97" s="71">
        <v>6</v>
      </c>
      <c r="F97" s="72">
        <v>6.3E-3</v>
      </c>
      <c r="G97" s="73">
        <v>0.03</v>
      </c>
      <c r="H97" s="74">
        <v>0.17</v>
      </c>
    </row>
    <row r="98" spans="1:8" ht="36.75" thickBot="1">
      <c r="A98" s="75"/>
      <c r="B98" s="76"/>
      <c r="C98" s="69" t="s">
        <v>270</v>
      </c>
      <c r="D98" s="70">
        <v>0.2</v>
      </c>
      <c r="E98" s="71">
        <v>5</v>
      </c>
      <c r="F98" s="72">
        <v>8.0999999999999996E-3</v>
      </c>
      <c r="G98" s="73">
        <v>0.02</v>
      </c>
      <c r="H98" s="74">
        <v>0.12</v>
      </c>
    </row>
    <row r="99" spans="1:8" ht="36.75" thickBot="1">
      <c r="A99" s="75"/>
      <c r="B99" s="76"/>
      <c r="C99" s="69" t="s">
        <v>271</v>
      </c>
      <c r="D99" s="70">
        <v>0.2</v>
      </c>
      <c r="E99" s="71">
        <v>5</v>
      </c>
      <c r="F99" s="72">
        <v>8.5000000000000006E-3</v>
      </c>
      <c r="G99" s="73">
        <v>0.06</v>
      </c>
      <c r="H99" s="74">
        <v>0.3</v>
      </c>
    </row>
    <row r="100" spans="1:8" ht="36.75" thickBot="1">
      <c r="A100" s="75"/>
      <c r="B100" s="76"/>
      <c r="C100" s="69" t="s">
        <v>244</v>
      </c>
      <c r="D100" s="70">
        <v>0.2</v>
      </c>
      <c r="E100" s="71">
        <v>4</v>
      </c>
      <c r="F100" s="72">
        <v>9.4999999999999998E-3</v>
      </c>
      <c r="G100" s="73">
        <v>0.02</v>
      </c>
      <c r="H100" s="74">
        <v>0.09</v>
      </c>
    </row>
    <row r="101" spans="1:8" ht="24.75" thickBot="1">
      <c r="A101" s="75"/>
      <c r="B101" s="76"/>
      <c r="C101" s="69" t="s">
        <v>175</v>
      </c>
      <c r="D101" s="70">
        <v>0.2</v>
      </c>
      <c r="E101" s="71">
        <v>4</v>
      </c>
      <c r="F101" s="72">
        <v>4.1000000000000003E-3</v>
      </c>
      <c r="G101" s="73">
        <v>0.06</v>
      </c>
      <c r="H101" s="74">
        <v>0.22</v>
      </c>
    </row>
    <row r="102" spans="1:8" ht="24.75" thickBot="1">
      <c r="A102" s="75"/>
      <c r="B102" s="76"/>
      <c r="C102" s="69" t="s">
        <v>201</v>
      </c>
      <c r="D102" s="70">
        <v>0.2</v>
      </c>
      <c r="E102" s="71">
        <v>3</v>
      </c>
      <c r="F102" s="72">
        <v>1.8499999999999999E-2</v>
      </c>
      <c r="G102" s="73">
        <v>0.11</v>
      </c>
      <c r="H102" s="74">
        <v>0.34</v>
      </c>
    </row>
    <row r="103" spans="1:8" ht="24.75" thickBot="1">
      <c r="A103" s="75"/>
      <c r="B103" s="76"/>
      <c r="C103" s="69" t="s">
        <v>199</v>
      </c>
      <c r="D103" s="70">
        <v>0.2</v>
      </c>
      <c r="E103" s="71">
        <v>3</v>
      </c>
      <c r="F103" s="72">
        <v>4.7999999999999996E-3</v>
      </c>
      <c r="G103" s="73">
        <v>0.03</v>
      </c>
      <c r="H103" s="74">
        <v>0.09</v>
      </c>
    </row>
    <row r="104" spans="1:8" ht="36.75" thickBot="1">
      <c r="A104" s="77"/>
      <c r="B104" s="76"/>
      <c r="C104" s="69" t="s">
        <v>194</v>
      </c>
      <c r="D104" s="70">
        <v>0.2</v>
      </c>
      <c r="E104" s="78">
        <v>3</v>
      </c>
      <c r="F104" s="79">
        <v>6.7000000000000002E-3</v>
      </c>
      <c r="G104" s="80">
        <v>0.05</v>
      </c>
      <c r="H104" s="81">
        <v>0.15</v>
      </c>
    </row>
    <row r="105" spans="1:8" ht="24.75" thickBot="1">
      <c r="A105" s="75"/>
      <c r="B105" s="76"/>
      <c r="C105" s="69" t="s">
        <v>227</v>
      </c>
      <c r="D105" s="70">
        <v>0.2</v>
      </c>
      <c r="E105" s="71">
        <v>2</v>
      </c>
      <c r="F105" s="72">
        <v>5.1000000000000004E-3</v>
      </c>
      <c r="G105" s="73">
        <v>0.09</v>
      </c>
      <c r="H105" s="74">
        <v>0.18</v>
      </c>
    </row>
    <row r="106" spans="1:8" ht="36.75" thickBot="1">
      <c r="A106" s="75"/>
      <c r="B106" s="76"/>
      <c r="C106" s="69" t="s">
        <v>278</v>
      </c>
      <c r="D106" s="70">
        <v>0.2</v>
      </c>
      <c r="E106" s="71">
        <v>2</v>
      </c>
      <c r="F106" s="72">
        <v>7.1000000000000004E-3</v>
      </c>
      <c r="G106" s="73">
        <v>0.1</v>
      </c>
      <c r="H106" s="74">
        <v>0.19</v>
      </c>
    </row>
    <row r="107" spans="1:8" ht="15.75" thickBot="1">
      <c r="A107" s="75"/>
      <c r="B107" s="76"/>
      <c r="C107" s="82"/>
      <c r="D107" s="70">
        <v>0.2</v>
      </c>
      <c r="E107" s="71">
        <v>2</v>
      </c>
      <c r="F107" s="72">
        <v>2.0999999999999999E-3</v>
      </c>
      <c r="G107" s="73">
        <v>0.02</v>
      </c>
      <c r="H107" s="74">
        <v>0.05</v>
      </c>
    </row>
    <row r="108" spans="1:8" ht="15.75" thickBot="1">
      <c r="A108" s="75"/>
      <c r="B108" s="76"/>
      <c r="C108" s="82"/>
      <c r="D108" s="70">
        <v>0.2</v>
      </c>
      <c r="E108" s="71">
        <v>2</v>
      </c>
      <c r="F108" s="72">
        <v>3.5000000000000001E-3</v>
      </c>
      <c r="G108" s="73">
        <v>0.02</v>
      </c>
      <c r="H108" s="74">
        <v>0.04</v>
      </c>
    </row>
    <row r="109" spans="1:8" ht="15.75" thickBot="1">
      <c r="A109" s="75"/>
      <c r="B109" s="76"/>
      <c r="C109" s="82"/>
      <c r="D109" s="70">
        <v>0.2</v>
      </c>
      <c r="E109" s="71">
        <v>1</v>
      </c>
      <c r="F109" s="72">
        <v>1.6000000000000001E-3</v>
      </c>
      <c r="G109" s="73">
        <v>0.02</v>
      </c>
      <c r="H109" s="74">
        <v>0.02</v>
      </c>
    </row>
    <row r="110" spans="1:8" ht="15.75" thickBot="1">
      <c r="A110" s="75"/>
      <c r="B110" s="76"/>
      <c r="C110" s="82"/>
      <c r="D110" s="70">
        <v>0.2</v>
      </c>
      <c r="E110" s="71">
        <v>1</v>
      </c>
      <c r="F110" s="72">
        <v>3.8999999999999998E-3</v>
      </c>
      <c r="G110" s="73">
        <v>0.08</v>
      </c>
      <c r="H110" s="74">
        <v>0.08</v>
      </c>
    </row>
    <row r="111" spans="1:8" ht="15.75" thickBot="1">
      <c r="A111" s="75"/>
      <c r="B111" s="76"/>
      <c r="C111" s="82"/>
      <c r="D111" s="70">
        <v>0.2</v>
      </c>
      <c r="E111" s="71">
        <v>1</v>
      </c>
      <c r="F111" s="72">
        <v>4.3E-3</v>
      </c>
      <c r="G111" s="73">
        <v>0.02</v>
      </c>
      <c r="H111" s="74">
        <v>0.02</v>
      </c>
    </row>
    <row r="112" spans="1:8" ht="15.75" thickBot="1">
      <c r="A112" s="75"/>
      <c r="B112" s="76"/>
      <c r="C112" s="82"/>
      <c r="D112" s="70">
        <v>0.2</v>
      </c>
      <c r="E112" s="71">
        <v>1</v>
      </c>
      <c r="F112" s="72">
        <v>5.7999999999999996E-3</v>
      </c>
      <c r="G112" s="73">
        <v>0.02</v>
      </c>
      <c r="H112" s="74">
        <v>0.02</v>
      </c>
    </row>
    <row r="113" spans="1:8" ht="15.75" thickBot="1">
      <c r="A113" s="75"/>
      <c r="B113" s="76"/>
      <c r="C113" s="82"/>
      <c r="D113" s="70">
        <v>0.2</v>
      </c>
      <c r="E113" s="71">
        <v>1</v>
      </c>
      <c r="F113" s="72">
        <v>0.125</v>
      </c>
      <c r="G113" s="73">
        <v>0.04</v>
      </c>
      <c r="H113" s="74">
        <v>0.04</v>
      </c>
    </row>
    <row r="114" spans="1:8" ht="15.75" thickBot="1">
      <c r="A114" s="75"/>
      <c r="B114" s="76"/>
      <c r="C114" s="82"/>
      <c r="D114" s="70">
        <v>0.2</v>
      </c>
      <c r="E114" s="71">
        <v>1</v>
      </c>
      <c r="F114" s="72">
        <v>9.2999999999999992E-3</v>
      </c>
      <c r="G114" s="73">
        <v>0.16</v>
      </c>
      <c r="H114" s="74">
        <v>0.16</v>
      </c>
    </row>
    <row r="115" spans="1:8" ht="15.75" thickBot="1">
      <c r="A115" s="75"/>
      <c r="B115" s="76"/>
      <c r="C115" s="82"/>
      <c r="D115" s="70">
        <v>0.2</v>
      </c>
      <c r="E115" s="71">
        <v>0</v>
      </c>
      <c r="F115" s="72">
        <v>0</v>
      </c>
      <c r="G115" s="73">
        <v>0</v>
      </c>
      <c r="H115" s="74">
        <v>0</v>
      </c>
    </row>
    <row r="116" spans="1:8" ht="15.75" thickBot="1">
      <c r="A116" s="75"/>
      <c r="B116" s="76"/>
      <c r="C116" s="82"/>
      <c r="D116" s="70">
        <v>0.2</v>
      </c>
      <c r="E116" s="71">
        <v>0</v>
      </c>
      <c r="F116" s="72">
        <v>0</v>
      </c>
      <c r="G116" s="73">
        <v>0</v>
      </c>
      <c r="H116" s="74">
        <v>0</v>
      </c>
    </row>
    <row r="117" spans="1:8" ht="15.75" thickBot="1">
      <c r="A117" s="75"/>
      <c r="B117" s="76"/>
      <c r="C117" s="82"/>
      <c r="D117" s="70">
        <v>0.2</v>
      </c>
      <c r="E117" s="71">
        <v>0</v>
      </c>
      <c r="F117" s="72">
        <v>0</v>
      </c>
      <c r="G117" s="73">
        <v>0</v>
      </c>
      <c r="H117" s="74">
        <v>0</v>
      </c>
    </row>
    <row r="118" spans="1:8" ht="15.75" thickBot="1">
      <c r="A118" s="75"/>
      <c r="B118" s="76"/>
      <c r="C118" s="82"/>
      <c r="D118" s="70">
        <v>0.2</v>
      </c>
      <c r="E118" s="71">
        <v>0</v>
      </c>
      <c r="F118" s="72">
        <v>0</v>
      </c>
      <c r="G118" s="73">
        <v>0</v>
      </c>
      <c r="H118" s="74">
        <v>0</v>
      </c>
    </row>
    <row r="119" spans="1:8" ht="15.75" thickBot="1">
      <c r="A119" s="75"/>
      <c r="B119" s="76"/>
      <c r="C119" s="82"/>
      <c r="D119" s="70">
        <v>0.2</v>
      </c>
      <c r="E119" s="71">
        <v>0</v>
      </c>
      <c r="F119" s="72">
        <v>0</v>
      </c>
      <c r="G119" s="73">
        <v>0</v>
      </c>
      <c r="H119" s="74">
        <v>0</v>
      </c>
    </row>
    <row r="120" spans="1:8" ht="15.75" thickBot="1">
      <c r="A120" s="75"/>
      <c r="B120" s="76"/>
      <c r="C120" s="82"/>
      <c r="D120" s="70">
        <v>0.2</v>
      </c>
      <c r="E120" s="71">
        <v>0</v>
      </c>
      <c r="F120" s="72">
        <v>0</v>
      </c>
      <c r="G120" s="73">
        <v>0</v>
      </c>
      <c r="H120" s="74">
        <v>0</v>
      </c>
    </row>
    <row r="121" spans="1:8" ht="15.75" thickBot="1">
      <c r="A121" s="75"/>
      <c r="B121" s="76"/>
      <c r="C121" s="82"/>
      <c r="D121" s="70">
        <v>0.2</v>
      </c>
      <c r="E121" s="71">
        <v>0</v>
      </c>
      <c r="F121" s="72">
        <v>0</v>
      </c>
      <c r="G121" s="73">
        <v>0</v>
      </c>
      <c r="H121" s="74">
        <v>0</v>
      </c>
    </row>
    <row r="122" spans="1:8" ht="15.75" thickBot="1">
      <c r="A122" s="75"/>
      <c r="B122" s="76"/>
      <c r="C122" s="82"/>
      <c r="D122" s="70">
        <v>0.2</v>
      </c>
      <c r="E122" s="71">
        <v>0</v>
      </c>
      <c r="F122" s="72">
        <v>0</v>
      </c>
      <c r="G122" s="73">
        <v>0</v>
      </c>
      <c r="H122" s="74">
        <v>0</v>
      </c>
    </row>
    <row r="123" spans="1:8" ht="15.75" thickBot="1">
      <c r="A123" s="75"/>
      <c r="B123" s="76"/>
      <c r="C123" s="82"/>
      <c r="D123" s="70">
        <v>0.2</v>
      </c>
      <c r="E123" s="71">
        <v>0</v>
      </c>
      <c r="F123" s="72">
        <v>0</v>
      </c>
      <c r="G123" s="73">
        <v>0</v>
      </c>
      <c r="H123" s="74">
        <v>0</v>
      </c>
    </row>
    <row r="124" spans="1:8" ht="15.75" thickBot="1">
      <c r="A124" s="75"/>
      <c r="B124" s="76"/>
      <c r="C124" s="82"/>
      <c r="D124" s="70">
        <v>0.2</v>
      </c>
      <c r="E124" s="71">
        <v>0</v>
      </c>
      <c r="F124" s="72">
        <v>0</v>
      </c>
      <c r="G124" s="73">
        <v>0</v>
      </c>
      <c r="H124" s="74">
        <v>0</v>
      </c>
    </row>
    <row r="125" spans="1:8" ht="15.75" thickBot="1">
      <c r="A125" s="75"/>
      <c r="B125" s="76"/>
      <c r="C125" s="82"/>
      <c r="D125" s="70">
        <v>0.2</v>
      </c>
      <c r="E125" s="71">
        <v>0</v>
      </c>
      <c r="F125" s="72">
        <v>0</v>
      </c>
      <c r="G125" s="73">
        <v>0</v>
      </c>
      <c r="H125" s="74">
        <v>0</v>
      </c>
    </row>
    <row r="126" spans="1:8" ht="15.75" thickBot="1">
      <c r="A126" s="75"/>
      <c r="B126" s="76"/>
      <c r="C126" s="82"/>
      <c r="D126" s="70">
        <v>0.2</v>
      </c>
      <c r="E126" s="71">
        <v>0</v>
      </c>
      <c r="F126" s="72">
        <v>0</v>
      </c>
      <c r="G126" s="73">
        <v>0</v>
      </c>
      <c r="H126" s="74">
        <v>0</v>
      </c>
    </row>
    <row r="127" spans="1:8" ht="15.75" thickBot="1">
      <c r="A127" s="75"/>
      <c r="B127" s="76"/>
      <c r="C127" s="82"/>
      <c r="D127" s="70">
        <v>0.2</v>
      </c>
      <c r="E127" s="71">
        <v>0</v>
      </c>
      <c r="F127" s="72">
        <v>0</v>
      </c>
      <c r="G127" s="73">
        <v>0</v>
      </c>
      <c r="H127" s="74">
        <v>0</v>
      </c>
    </row>
    <row r="128" spans="1:8" ht="15.75" thickBot="1">
      <c r="A128" s="75"/>
      <c r="B128" s="76"/>
      <c r="C128" s="82"/>
      <c r="D128" s="70">
        <v>0.2</v>
      </c>
      <c r="E128" s="71">
        <v>0</v>
      </c>
      <c r="F128" s="72">
        <v>0</v>
      </c>
      <c r="G128" s="73">
        <v>0</v>
      </c>
      <c r="H128" s="74">
        <v>0</v>
      </c>
    </row>
    <row r="129" spans="1:8" ht="15.75" thickBot="1">
      <c r="A129" s="75"/>
      <c r="B129" s="76"/>
      <c r="C129" s="82"/>
      <c r="D129" s="70">
        <v>0.2</v>
      </c>
      <c r="E129" s="71">
        <v>0</v>
      </c>
      <c r="F129" s="72">
        <v>0</v>
      </c>
      <c r="G129" s="73">
        <v>0</v>
      </c>
      <c r="H129" s="74">
        <v>0</v>
      </c>
    </row>
    <row r="130" spans="1:8" ht="15.75" thickBot="1">
      <c r="A130" s="75"/>
      <c r="B130" s="76"/>
      <c r="C130" s="82"/>
      <c r="D130" s="70">
        <v>0.2</v>
      </c>
      <c r="E130" s="71">
        <v>0</v>
      </c>
      <c r="F130" s="72">
        <v>0</v>
      </c>
      <c r="G130" s="73">
        <v>0</v>
      </c>
      <c r="H130" s="74">
        <v>0</v>
      </c>
    </row>
    <row r="131" spans="1:8" ht="15.75" thickBot="1">
      <c r="A131" s="75"/>
      <c r="B131" s="76"/>
      <c r="C131" s="82"/>
      <c r="D131" s="70">
        <v>0.2</v>
      </c>
      <c r="E131" s="71">
        <v>0</v>
      </c>
      <c r="F131" s="72">
        <v>0</v>
      </c>
      <c r="G131" s="73">
        <v>0</v>
      </c>
      <c r="H131" s="74">
        <v>0</v>
      </c>
    </row>
    <row r="132" spans="1:8" ht="15.75" thickBot="1">
      <c r="A132" s="75"/>
      <c r="B132" s="76"/>
      <c r="C132" s="82"/>
      <c r="D132" s="70">
        <v>0.2</v>
      </c>
      <c r="E132" s="71">
        <v>0</v>
      </c>
      <c r="F132" s="72">
        <v>0</v>
      </c>
      <c r="G132" s="73">
        <v>0</v>
      </c>
      <c r="H132" s="74">
        <v>0</v>
      </c>
    </row>
    <row r="133" spans="1:8" ht="15.75" thickBot="1">
      <c r="A133" s="75"/>
      <c r="B133" s="76"/>
      <c r="C133" s="82"/>
      <c r="D133" s="70">
        <v>0.2</v>
      </c>
      <c r="E133" s="71">
        <v>0</v>
      </c>
      <c r="F133" s="72">
        <v>0</v>
      </c>
      <c r="G133" s="73">
        <v>0</v>
      </c>
      <c r="H133" s="74">
        <v>0</v>
      </c>
    </row>
    <row r="134" spans="1:8" ht="15.75" thickBot="1">
      <c r="A134" s="75"/>
      <c r="B134" s="76"/>
      <c r="C134" s="82"/>
      <c r="D134" s="70">
        <v>0.2</v>
      </c>
      <c r="E134" s="71">
        <v>0</v>
      </c>
      <c r="F134" s="72">
        <v>0</v>
      </c>
      <c r="G134" s="73">
        <v>0</v>
      </c>
      <c r="H134" s="74">
        <v>0</v>
      </c>
    </row>
    <row r="135" spans="1:8" ht="15.75" thickBot="1">
      <c r="A135" s="75"/>
      <c r="B135" s="76"/>
      <c r="C135" s="82"/>
      <c r="D135" s="70">
        <v>0.2</v>
      </c>
      <c r="E135" s="71">
        <v>0</v>
      </c>
      <c r="F135" s="72">
        <v>0</v>
      </c>
      <c r="G135" s="73">
        <v>0</v>
      </c>
      <c r="H135" s="74">
        <v>0</v>
      </c>
    </row>
    <row r="136" spans="1:8" ht="15.75" thickBot="1">
      <c r="A136" s="75"/>
      <c r="B136" s="76"/>
      <c r="C136" s="82"/>
      <c r="D136" s="70">
        <v>0.2</v>
      </c>
      <c r="E136" s="71">
        <v>0</v>
      </c>
      <c r="F136" s="72">
        <v>0</v>
      </c>
      <c r="G136" s="73">
        <v>0</v>
      </c>
      <c r="H136" s="74">
        <v>0</v>
      </c>
    </row>
    <row r="137" spans="1:8" ht="15.75" thickBot="1">
      <c r="A137" s="75"/>
      <c r="B137" s="76"/>
      <c r="C137" s="82"/>
      <c r="D137" s="70">
        <v>0.2</v>
      </c>
      <c r="E137" s="71">
        <v>0</v>
      </c>
      <c r="F137" s="72">
        <v>0</v>
      </c>
      <c r="G137" s="73">
        <v>0</v>
      </c>
      <c r="H137" s="74">
        <v>0</v>
      </c>
    </row>
    <row r="138" spans="1:8" ht="15.75" thickBot="1">
      <c r="A138" s="75"/>
      <c r="B138" s="76"/>
      <c r="C138" s="82"/>
      <c r="D138" s="70">
        <v>0.2</v>
      </c>
      <c r="E138" s="71">
        <v>0</v>
      </c>
      <c r="F138" s="72">
        <v>0</v>
      </c>
      <c r="G138" s="73">
        <v>0</v>
      </c>
      <c r="H138" s="74">
        <v>0</v>
      </c>
    </row>
    <row r="139" spans="1:8" ht="15.75" thickBot="1">
      <c r="A139" s="75"/>
      <c r="B139" s="76"/>
      <c r="C139" s="82"/>
      <c r="D139" s="70">
        <v>0.2</v>
      </c>
      <c r="E139" s="71">
        <v>0</v>
      </c>
      <c r="F139" s="72">
        <v>0</v>
      </c>
      <c r="G139" s="73">
        <v>0</v>
      </c>
      <c r="H139" s="74">
        <v>0</v>
      </c>
    </row>
    <row r="140" spans="1:8" ht="15.75" thickBot="1">
      <c r="A140" s="75"/>
      <c r="B140" s="76"/>
      <c r="C140" s="82"/>
      <c r="D140" s="70">
        <v>0.2</v>
      </c>
      <c r="E140" s="71">
        <v>0</v>
      </c>
      <c r="F140" s="72">
        <v>0</v>
      </c>
      <c r="G140" s="73">
        <v>0</v>
      </c>
      <c r="H140" s="74">
        <v>0</v>
      </c>
    </row>
    <row r="141" spans="1:8" ht="15.75" thickBot="1">
      <c r="A141" s="75"/>
      <c r="B141" s="76"/>
      <c r="C141" s="82"/>
      <c r="D141" s="70">
        <v>0.2</v>
      </c>
      <c r="E141" s="71">
        <v>0</v>
      </c>
      <c r="F141" s="72">
        <v>0</v>
      </c>
      <c r="G141" s="73">
        <v>0</v>
      </c>
      <c r="H141" s="74">
        <v>0</v>
      </c>
    </row>
    <row r="142" spans="1:8" ht="15.75" thickBot="1">
      <c r="A142" s="75"/>
      <c r="B142" s="76"/>
      <c r="C142" s="82"/>
      <c r="D142" s="70">
        <v>0.2</v>
      </c>
      <c r="E142" s="71">
        <v>0</v>
      </c>
      <c r="F142" s="72">
        <v>0</v>
      </c>
      <c r="G142" s="73">
        <v>0</v>
      </c>
      <c r="H142" s="74">
        <v>0</v>
      </c>
    </row>
    <row r="143" spans="1:8" ht="15.75" thickBot="1">
      <c r="A143" s="75"/>
      <c r="B143" s="76"/>
      <c r="C143" s="82"/>
      <c r="D143" s="70">
        <v>0.2</v>
      </c>
      <c r="E143" s="71">
        <v>0</v>
      </c>
      <c r="F143" s="72">
        <v>0</v>
      </c>
      <c r="G143" s="73">
        <v>0</v>
      </c>
      <c r="H143" s="74">
        <v>0</v>
      </c>
    </row>
    <row r="144" spans="1:8" ht="15.75" thickBot="1">
      <c r="A144" s="75"/>
      <c r="B144" s="76"/>
      <c r="C144" s="82"/>
      <c r="D144" s="70">
        <v>0.2</v>
      </c>
      <c r="E144" s="71">
        <v>0</v>
      </c>
      <c r="F144" s="72">
        <v>0</v>
      </c>
      <c r="G144" s="73">
        <v>0</v>
      </c>
      <c r="H144" s="74">
        <v>0</v>
      </c>
    </row>
    <row r="145" spans="1:8" ht="15.75" thickBot="1">
      <c r="A145" s="75"/>
      <c r="B145" s="76"/>
      <c r="C145" s="82"/>
      <c r="D145" s="70">
        <v>0.2</v>
      </c>
      <c r="E145" s="71">
        <v>0</v>
      </c>
      <c r="F145" s="72">
        <v>0</v>
      </c>
      <c r="G145" s="73">
        <v>0</v>
      </c>
      <c r="H145" s="74">
        <v>0</v>
      </c>
    </row>
    <row r="146" spans="1:8" ht="15.75" thickBot="1">
      <c r="A146" s="75"/>
      <c r="B146" s="76"/>
      <c r="C146" s="82"/>
      <c r="D146" s="70">
        <v>0.2</v>
      </c>
      <c r="E146" s="71">
        <v>0</v>
      </c>
      <c r="F146" s="72">
        <v>0</v>
      </c>
      <c r="G146" s="73">
        <v>0</v>
      </c>
      <c r="H146" s="74">
        <v>0</v>
      </c>
    </row>
    <row r="147" spans="1:8" ht="15.75" thickBot="1">
      <c r="A147" s="75"/>
      <c r="B147" s="76"/>
      <c r="C147" s="82"/>
      <c r="D147" s="70">
        <v>0.2</v>
      </c>
      <c r="E147" s="71">
        <v>0</v>
      </c>
      <c r="F147" s="72">
        <v>0</v>
      </c>
      <c r="G147" s="73">
        <v>0</v>
      </c>
      <c r="H147" s="74">
        <v>0</v>
      </c>
    </row>
    <row r="148" spans="1:8" ht="15.75" thickBot="1">
      <c r="A148" s="75"/>
      <c r="B148" s="76"/>
      <c r="C148" s="82"/>
      <c r="D148" s="70">
        <v>0.2</v>
      </c>
      <c r="E148" s="71">
        <v>0</v>
      </c>
      <c r="F148" s="72">
        <v>0</v>
      </c>
      <c r="G148" s="73">
        <v>0</v>
      </c>
      <c r="H148" s="74">
        <v>0</v>
      </c>
    </row>
    <row r="149" spans="1:8" ht="15.75" thickBot="1">
      <c r="A149" s="75"/>
      <c r="B149" s="76"/>
      <c r="C149" s="82"/>
      <c r="D149" s="70">
        <v>0.2</v>
      </c>
      <c r="E149" s="71">
        <v>0</v>
      </c>
      <c r="F149" s="72">
        <v>0</v>
      </c>
      <c r="G149" s="73">
        <v>0</v>
      </c>
      <c r="H149" s="74">
        <v>0</v>
      </c>
    </row>
    <row r="150" spans="1:8" ht="15.75" thickBot="1">
      <c r="A150" s="75"/>
      <c r="B150" s="76"/>
      <c r="C150" s="82"/>
      <c r="D150" s="70">
        <v>0.2</v>
      </c>
      <c r="E150" s="71">
        <v>0</v>
      </c>
      <c r="F150" s="72">
        <v>0</v>
      </c>
      <c r="G150" s="73">
        <v>0</v>
      </c>
      <c r="H150" s="74">
        <v>0</v>
      </c>
    </row>
    <row r="151" spans="1:8" ht="15.75" thickBot="1">
      <c r="A151" s="75"/>
      <c r="B151" s="76"/>
      <c r="C151" s="82"/>
      <c r="D151" s="70">
        <v>0.2</v>
      </c>
      <c r="E151" s="71">
        <v>0</v>
      </c>
      <c r="F151" s="72">
        <v>0</v>
      </c>
      <c r="G151" s="73">
        <v>0</v>
      </c>
      <c r="H151" s="74">
        <v>0</v>
      </c>
    </row>
    <row r="152" spans="1:8" ht="15.75" thickBot="1">
      <c r="A152" s="75"/>
      <c r="B152" s="76"/>
      <c r="C152" s="82"/>
      <c r="D152" s="70">
        <v>0.2</v>
      </c>
      <c r="E152" s="71">
        <v>0</v>
      </c>
      <c r="F152" s="72">
        <v>0</v>
      </c>
      <c r="G152" s="73">
        <v>0</v>
      </c>
      <c r="H152" s="74">
        <v>0</v>
      </c>
    </row>
    <row r="153" spans="1:8" ht="15.75" thickBot="1">
      <c r="A153" s="75"/>
      <c r="B153" s="76"/>
      <c r="C153" s="82"/>
      <c r="D153" s="70">
        <v>0.2</v>
      </c>
      <c r="E153" s="71">
        <v>0</v>
      </c>
      <c r="F153" s="72">
        <v>0</v>
      </c>
      <c r="G153" s="73">
        <v>0</v>
      </c>
      <c r="H153" s="74">
        <v>0</v>
      </c>
    </row>
    <row r="154" spans="1:8" ht="15.75" thickBot="1">
      <c r="A154" s="75"/>
      <c r="B154" s="76"/>
      <c r="C154" s="82"/>
      <c r="D154" s="70">
        <v>0.2</v>
      </c>
      <c r="E154" s="71">
        <v>0</v>
      </c>
      <c r="F154" s="72">
        <v>0</v>
      </c>
      <c r="G154" s="73">
        <v>0</v>
      </c>
      <c r="H154" s="74">
        <v>0</v>
      </c>
    </row>
    <row r="155" spans="1:8" ht="15.75" thickBot="1">
      <c r="A155" s="75"/>
      <c r="B155" s="76"/>
      <c r="C155" s="82"/>
      <c r="D155" s="70">
        <v>0.2</v>
      </c>
      <c r="E155" s="71">
        <v>0</v>
      </c>
      <c r="F155" s="72">
        <v>0</v>
      </c>
      <c r="G155" s="73">
        <v>0</v>
      </c>
      <c r="H155" s="74">
        <v>0</v>
      </c>
    </row>
    <row r="156" spans="1:8" ht="15.75" thickBot="1">
      <c r="A156" s="75"/>
      <c r="B156" s="76"/>
      <c r="C156" s="82"/>
      <c r="D156" s="70">
        <v>0.2</v>
      </c>
      <c r="E156" s="71">
        <v>0</v>
      </c>
      <c r="F156" s="72">
        <v>0</v>
      </c>
      <c r="G156" s="73">
        <v>0</v>
      </c>
      <c r="H156" s="74">
        <v>0</v>
      </c>
    </row>
    <row r="157" spans="1:8" ht="15.75" thickBot="1">
      <c r="A157" s="75"/>
      <c r="B157" s="76"/>
      <c r="C157" s="82"/>
      <c r="D157" s="70">
        <v>0.2</v>
      </c>
      <c r="E157" s="71">
        <v>0</v>
      </c>
      <c r="F157" s="72">
        <v>0</v>
      </c>
      <c r="G157" s="73">
        <v>0</v>
      </c>
      <c r="H157" s="74">
        <v>0</v>
      </c>
    </row>
    <row r="158" spans="1:8" ht="15.75" thickBot="1">
      <c r="A158" s="75"/>
      <c r="B158" s="76"/>
      <c r="C158" s="82"/>
      <c r="D158" s="70">
        <v>0.2</v>
      </c>
      <c r="E158" s="71">
        <v>0</v>
      </c>
      <c r="F158" s="72">
        <v>0</v>
      </c>
      <c r="G158" s="73">
        <v>0</v>
      </c>
      <c r="H158" s="74">
        <v>0</v>
      </c>
    </row>
    <row r="159" spans="1:8" ht="15.75" thickBot="1">
      <c r="A159" s="75"/>
      <c r="B159" s="76"/>
      <c r="C159" s="82"/>
      <c r="D159" s="70">
        <v>0.2</v>
      </c>
      <c r="E159" s="71">
        <v>0</v>
      </c>
      <c r="F159" s="72">
        <v>0</v>
      </c>
      <c r="G159" s="73">
        <v>0</v>
      </c>
      <c r="H159" s="74">
        <v>0</v>
      </c>
    </row>
    <row r="160" spans="1:8" ht="15.75" thickBot="1">
      <c r="A160" s="75"/>
      <c r="B160" s="76"/>
      <c r="C160" s="82"/>
      <c r="D160" s="70">
        <v>0.2</v>
      </c>
      <c r="E160" s="71">
        <v>0</v>
      </c>
      <c r="F160" s="72">
        <v>0</v>
      </c>
      <c r="G160" s="73">
        <v>0</v>
      </c>
      <c r="H160" s="74">
        <v>0</v>
      </c>
    </row>
    <row r="161" spans="1:8" ht="15.75" thickBot="1">
      <c r="A161" s="75"/>
      <c r="B161" s="76"/>
      <c r="C161" s="82"/>
      <c r="D161" s="70">
        <v>0.2</v>
      </c>
      <c r="E161" s="71">
        <v>0</v>
      </c>
      <c r="F161" s="72">
        <v>0</v>
      </c>
      <c r="G161" s="73">
        <v>0</v>
      </c>
      <c r="H161" s="74">
        <v>0</v>
      </c>
    </row>
    <row r="162" spans="1:8" ht="15.75" thickBot="1">
      <c r="A162" s="75"/>
      <c r="B162" s="76"/>
      <c r="C162" s="82"/>
      <c r="D162" s="70">
        <v>0.2</v>
      </c>
      <c r="E162" s="71">
        <v>0</v>
      </c>
      <c r="F162" s="72">
        <v>0</v>
      </c>
      <c r="G162" s="73">
        <v>0</v>
      </c>
      <c r="H162" s="74">
        <v>0</v>
      </c>
    </row>
    <row r="163" spans="1:8" ht="15.75" thickBot="1">
      <c r="A163" s="75"/>
      <c r="B163" s="76"/>
      <c r="C163" s="82"/>
      <c r="D163" s="70">
        <v>0.2</v>
      </c>
      <c r="E163" s="71">
        <v>0</v>
      </c>
      <c r="F163" s="72">
        <v>0</v>
      </c>
      <c r="G163" s="73">
        <v>0</v>
      </c>
      <c r="H163" s="74">
        <v>0</v>
      </c>
    </row>
    <row r="164" spans="1:8" ht="15.75" thickBot="1">
      <c r="A164" s="75"/>
      <c r="B164" s="76"/>
      <c r="C164" s="82"/>
      <c r="D164" s="70">
        <v>0.2</v>
      </c>
      <c r="E164" s="71">
        <v>0</v>
      </c>
      <c r="F164" s="72">
        <v>0</v>
      </c>
      <c r="G164" s="73">
        <v>0</v>
      </c>
      <c r="H164" s="74">
        <v>0</v>
      </c>
    </row>
    <row r="165" spans="1:8" ht="15.75" thickBot="1">
      <c r="A165" s="75"/>
      <c r="B165" s="76"/>
      <c r="C165" s="82"/>
      <c r="D165" s="70">
        <v>0.2</v>
      </c>
      <c r="E165" s="71">
        <v>0</v>
      </c>
      <c r="F165" s="72">
        <v>0</v>
      </c>
      <c r="G165" s="73">
        <v>0</v>
      </c>
      <c r="H165" s="74">
        <v>0</v>
      </c>
    </row>
    <row r="166" spans="1:8" ht="15.75" thickBot="1">
      <c r="A166" s="75"/>
      <c r="B166" s="76"/>
      <c r="C166" s="82"/>
      <c r="D166" s="70">
        <v>0.2</v>
      </c>
      <c r="E166" s="71">
        <v>0</v>
      </c>
      <c r="F166" s="72">
        <v>0</v>
      </c>
      <c r="G166" s="73">
        <v>0</v>
      </c>
      <c r="H166" s="74">
        <v>0</v>
      </c>
    </row>
    <row r="167" spans="1:8" ht="15.75" thickBot="1">
      <c r="A167" s="75"/>
      <c r="B167" s="76"/>
      <c r="C167" s="82"/>
      <c r="D167" s="70">
        <v>0.2</v>
      </c>
      <c r="E167" s="71">
        <v>0</v>
      </c>
      <c r="F167" s="72">
        <v>0</v>
      </c>
      <c r="G167" s="73">
        <v>0</v>
      </c>
      <c r="H167" s="74">
        <v>0</v>
      </c>
    </row>
    <row r="168" spans="1:8" ht="15.75" thickBot="1">
      <c r="A168" s="75"/>
      <c r="B168" s="76"/>
      <c r="C168" s="82"/>
      <c r="D168" s="70">
        <v>0.2</v>
      </c>
      <c r="E168" s="71">
        <v>0</v>
      </c>
      <c r="F168" s="72">
        <v>0</v>
      </c>
      <c r="G168" s="73">
        <v>0</v>
      </c>
      <c r="H168" s="74">
        <v>0</v>
      </c>
    </row>
    <row r="169" spans="1:8" ht="15.75" thickBot="1">
      <c r="A169" s="75"/>
      <c r="B169" s="76"/>
      <c r="C169" s="82"/>
      <c r="D169" s="70">
        <v>0.2</v>
      </c>
      <c r="E169" s="71">
        <v>0</v>
      </c>
      <c r="F169" s="72">
        <v>0</v>
      </c>
      <c r="G169" s="73">
        <v>0</v>
      </c>
      <c r="H169" s="74">
        <v>0</v>
      </c>
    </row>
    <row r="170" spans="1:8" ht="15.75" thickBot="1">
      <c r="A170" s="75"/>
      <c r="B170" s="76"/>
      <c r="C170" s="82"/>
      <c r="D170" s="70">
        <v>0.2</v>
      </c>
      <c r="E170" s="71">
        <v>0</v>
      </c>
      <c r="F170" s="72">
        <v>0</v>
      </c>
      <c r="G170" s="73">
        <v>0</v>
      </c>
      <c r="H170" s="74">
        <v>0</v>
      </c>
    </row>
    <row r="171" spans="1:8" ht="15.75" thickBot="1">
      <c r="A171" s="75"/>
      <c r="B171" s="76"/>
      <c r="C171" s="82"/>
      <c r="D171" s="70">
        <v>0.2</v>
      </c>
      <c r="E171" s="71">
        <v>0</v>
      </c>
      <c r="F171" s="72">
        <v>0</v>
      </c>
      <c r="G171" s="73">
        <v>0</v>
      </c>
      <c r="H171" s="74">
        <v>0</v>
      </c>
    </row>
    <row r="172" spans="1:8" ht="15.75" thickBot="1">
      <c r="A172" s="75"/>
      <c r="B172" s="76"/>
      <c r="C172" s="82"/>
      <c r="D172" s="70">
        <v>0.2</v>
      </c>
      <c r="E172" s="71">
        <v>0</v>
      </c>
      <c r="F172" s="72">
        <v>0</v>
      </c>
      <c r="G172" s="73">
        <v>0</v>
      </c>
      <c r="H172" s="74">
        <v>0</v>
      </c>
    </row>
    <row r="173" spans="1:8" ht="15.75" thickBot="1">
      <c r="A173" s="75"/>
      <c r="B173" s="76"/>
      <c r="C173" s="82"/>
      <c r="D173" s="70">
        <v>0.2</v>
      </c>
      <c r="E173" s="71">
        <v>0</v>
      </c>
      <c r="F173" s="72">
        <v>0</v>
      </c>
      <c r="G173" s="73">
        <v>0</v>
      </c>
      <c r="H173" s="74">
        <v>0</v>
      </c>
    </row>
    <row r="174" spans="1:8" ht="15.75" thickBot="1">
      <c r="A174" s="75"/>
      <c r="B174" s="76"/>
      <c r="C174" s="82"/>
      <c r="D174" s="70">
        <v>0.2</v>
      </c>
      <c r="E174" s="71">
        <v>0</v>
      </c>
      <c r="F174" s="72">
        <v>0</v>
      </c>
      <c r="G174" s="73">
        <v>0</v>
      </c>
      <c r="H174" s="74">
        <v>0</v>
      </c>
    </row>
    <row r="175" spans="1:8" ht="15.75" thickBot="1">
      <c r="A175" s="75"/>
      <c r="B175" s="76"/>
      <c r="C175" s="82"/>
      <c r="D175" s="70">
        <v>0.2</v>
      </c>
      <c r="E175" s="71">
        <v>0</v>
      </c>
      <c r="F175" s="72">
        <v>0</v>
      </c>
      <c r="G175" s="73">
        <v>0</v>
      </c>
      <c r="H175" s="74">
        <v>0</v>
      </c>
    </row>
    <row r="176" spans="1:8" ht="15.75" thickBot="1">
      <c r="A176" s="75"/>
      <c r="B176" s="76"/>
      <c r="C176" s="82"/>
      <c r="D176" s="70">
        <v>0.2</v>
      </c>
      <c r="E176" s="71">
        <v>0</v>
      </c>
      <c r="F176" s="72">
        <v>0</v>
      </c>
      <c r="G176" s="73">
        <v>0</v>
      </c>
      <c r="H176" s="74">
        <v>0</v>
      </c>
    </row>
    <row r="177" spans="1:8" ht="15.75" thickBot="1">
      <c r="A177" s="75"/>
      <c r="B177" s="76"/>
      <c r="C177" s="82"/>
      <c r="D177" s="70">
        <v>0.2</v>
      </c>
      <c r="E177" s="71">
        <v>0</v>
      </c>
      <c r="F177" s="72">
        <v>0</v>
      </c>
      <c r="G177" s="73">
        <v>0</v>
      </c>
      <c r="H177" s="74">
        <v>0</v>
      </c>
    </row>
    <row r="178" spans="1:8" ht="15.75" thickBot="1">
      <c r="A178" s="75"/>
      <c r="B178" s="76"/>
      <c r="C178" s="82"/>
      <c r="D178" s="70">
        <v>0.2</v>
      </c>
      <c r="E178" s="71">
        <v>0</v>
      </c>
      <c r="F178" s="72">
        <v>0</v>
      </c>
      <c r="G178" s="73">
        <v>0</v>
      </c>
      <c r="H178" s="74">
        <v>0</v>
      </c>
    </row>
    <row r="179" spans="1:8" ht="15.75" thickBot="1">
      <c r="A179" s="75"/>
      <c r="B179" s="76"/>
      <c r="C179" s="82"/>
      <c r="D179" s="70">
        <v>0.2</v>
      </c>
      <c r="E179" s="71">
        <v>0</v>
      </c>
      <c r="F179" s="72">
        <v>0</v>
      </c>
      <c r="G179" s="73">
        <v>0</v>
      </c>
      <c r="H179" s="74">
        <v>0</v>
      </c>
    </row>
    <row r="180" spans="1:8" ht="15.75" thickBot="1">
      <c r="A180" s="75"/>
      <c r="B180" s="76"/>
      <c r="C180" s="82"/>
      <c r="D180" s="70">
        <v>0.2</v>
      </c>
      <c r="E180" s="71">
        <v>0</v>
      </c>
      <c r="F180" s="72">
        <v>0</v>
      </c>
      <c r="G180" s="73">
        <v>0</v>
      </c>
      <c r="H180" s="74">
        <v>0</v>
      </c>
    </row>
    <row r="181" spans="1:8" ht="15.75" thickBot="1">
      <c r="A181" s="75"/>
      <c r="B181" s="76"/>
      <c r="C181" s="82"/>
      <c r="D181" s="70">
        <v>0.2</v>
      </c>
      <c r="E181" s="71">
        <v>0</v>
      </c>
      <c r="F181" s="72">
        <v>0</v>
      </c>
      <c r="G181" s="73">
        <v>0</v>
      </c>
      <c r="H181" s="74">
        <v>0</v>
      </c>
    </row>
    <row r="182" spans="1:8" ht="15.75" thickBot="1">
      <c r="A182" s="75"/>
      <c r="B182" s="76"/>
      <c r="C182" s="82"/>
      <c r="D182" s="70">
        <v>0.2</v>
      </c>
      <c r="E182" s="71">
        <v>0</v>
      </c>
      <c r="F182" s="72">
        <v>0</v>
      </c>
      <c r="G182" s="73">
        <v>0</v>
      </c>
      <c r="H182" s="74">
        <v>0</v>
      </c>
    </row>
    <row r="183" spans="1:8" ht="15.75" thickBot="1">
      <c r="A183" s="75"/>
      <c r="B183" s="76"/>
      <c r="C183" s="82"/>
      <c r="D183" s="70">
        <v>0.2</v>
      </c>
      <c r="E183" s="71">
        <v>0</v>
      </c>
      <c r="F183" s="72">
        <v>0</v>
      </c>
      <c r="G183" s="73">
        <v>0</v>
      </c>
      <c r="H183" s="74">
        <v>0</v>
      </c>
    </row>
    <row r="184" spans="1:8" ht="15.75" thickBot="1">
      <c r="A184" s="75"/>
      <c r="B184" s="76"/>
      <c r="C184" s="82"/>
      <c r="D184" s="70">
        <v>0.2</v>
      </c>
      <c r="E184" s="71">
        <v>0</v>
      </c>
      <c r="F184" s="72">
        <v>0</v>
      </c>
      <c r="G184" s="73">
        <v>0</v>
      </c>
      <c r="H184" s="74">
        <v>0</v>
      </c>
    </row>
    <row r="185" spans="1:8" ht="15.75" thickBot="1">
      <c r="A185" s="75"/>
      <c r="B185" s="76"/>
      <c r="C185" s="82"/>
      <c r="D185" s="70">
        <v>0.2</v>
      </c>
      <c r="E185" s="71">
        <v>0</v>
      </c>
      <c r="F185" s="72">
        <v>0</v>
      </c>
      <c r="G185" s="73">
        <v>0</v>
      </c>
      <c r="H185" s="74">
        <v>0</v>
      </c>
    </row>
    <row r="186" spans="1:8" ht="15.75" thickBot="1">
      <c r="A186" s="75"/>
      <c r="B186" s="76"/>
      <c r="C186" s="82"/>
      <c r="D186" s="70">
        <v>0.2</v>
      </c>
      <c r="E186" s="71">
        <v>0</v>
      </c>
      <c r="F186" s="72">
        <v>0</v>
      </c>
      <c r="G186" s="73">
        <v>0</v>
      </c>
      <c r="H186" s="74">
        <v>0</v>
      </c>
    </row>
    <row r="187" spans="1:8" ht="15.75" thickBot="1">
      <c r="A187" s="75"/>
      <c r="B187" s="76"/>
      <c r="C187" s="82"/>
      <c r="D187" s="70">
        <v>0.2</v>
      </c>
      <c r="E187" s="71">
        <v>0</v>
      </c>
      <c r="F187" s="72">
        <v>0</v>
      </c>
      <c r="G187" s="73">
        <v>0</v>
      </c>
      <c r="H187" s="74">
        <v>0</v>
      </c>
    </row>
    <row r="188" spans="1:8" ht="15.75" thickBot="1">
      <c r="A188" s="75"/>
      <c r="B188" s="76"/>
      <c r="C188" s="82"/>
      <c r="D188" s="70">
        <v>0.2</v>
      </c>
      <c r="E188" s="71">
        <v>0</v>
      </c>
      <c r="F188" s="72">
        <v>0</v>
      </c>
      <c r="G188" s="73">
        <v>0</v>
      </c>
      <c r="H188" s="74">
        <v>0</v>
      </c>
    </row>
    <row r="189" spans="1:8" ht="15.75" thickBot="1">
      <c r="A189" s="75"/>
      <c r="B189" s="76"/>
      <c r="C189" s="82"/>
      <c r="D189" s="70">
        <v>0.2</v>
      </c>
      <c r="E189" s="71">
        <v>0</v>
      </c>
      <c r="F189" s="72">
        <v>0</v>
      </c>
      <c r="G189" s="73">
        <v>0</v>
      </c>
      <c r="H189" s="74">
        <v>0</v>
      </c>
    </row>
    <row r="190" spans="1:8" ht="15.75" thickBot="1">
      <c r="A190" s="75"/>
      <c r="B190" s="76"/>
      <c r="C190" s="82"/>
      <c r="D190" s="70">
        <v>0.2</v>
      </c>
      <c r="E190" s="71">
        <v>0</v>
      </c>
      <c r="F190" s="72">
        <v>0</v>
      </c>
      <c r="G190" s="73">
        <v>0</v>
      </c>
      <c r="H190" s="74">
        <v>0</v>
      </c>
    </row>
    <row r="191" spans="1:8" ht="15.75" thickBot="1">
      <c r="A191" s="75"/>
      <c r="B191" s="76"/>
      <c r="C191" s="82"/>
      <c r="D191" s="70">
        <v>0.2</v>
      </c>
      <c r="E191" s="71">
        <v>0</v>
      </c>
      <c r="F191" s="72">
        <v>0</v>
      </c>
      <c r="G191" s="73">
        <v>0</v>
      </c>
      <c r="H191" s="74">
        <v>0</v>
      </c>
    </row>
    <row r="192" spans="1:8" ht="15.75" thickBot="1">
      <c r="A192" s="75"/>
      <c r="B192" s="76"/>
      <c r="C192" s="82"/>
      <c r="D192" s="70">
        <v>0.2</v>
      </c>
      <c r="E192" s="71">
        <v>0</v>
      </c>
      <c r="F192" s="72">
        <v>0</v>
      </c>
      <c r="G192" s="73">
        <v>0</v>
      </c>
      <c r="H192" s="74">
        <v>0</v>
      </c>
    </row>
    <row r="193" spans="1:8" ht="15.75" thickBot="1">
      <c r="A193" s="75"/>
      <c r="B193" s="76"/>
      <c r="C193" s="82"/>
      <c r="D193" s="70">
        <v>0.2</v>
      </c>
      <c r="E193" s="71">
        <v>0</v>
      </c>
      <c r="F193" s="72">
        <v>0</v>
      </c>
      <c r="G193" s="73">
        <v>0</v>
      </c>
      <c r="H193" s="74">
        <v>0</v>
      </c>
    </row>
    <row r="194" spans="1:8" ht="15.75" thickBot="1">
      <c r="A194" s="75"/>
      <c r="B194" s="76"/>
      <c r="C194" s="82"/>
      <c r="D194" s="70">
        <v>0.2</v>
      </c>
      <c r="E194" s="71">
        <v>0</v>
      </c>
      <c r="F194" s="72">
        <v>0</v>
      </c>
      <c r="G194" s="73">
        <v>0</v>
      </c>
      <c r="H194" s="74">
        <v>0</v>
      </c>
    </row>
    <row r="195" spans="1:8" ht="15.75" thickBot="1">
      <c r="A195" s="75"/>
      <c r="B195" s="76"/>
      <c r="C195" s="82"/>
      <c r="D195" s="70">
        <v>0.2</v>
      </c>
      <c r="E195" s="71">
        <v>0</v>
      </c>
      <c r="F195" s="72">
        <v>0</v>
      </c>
      <c r="G195" s="73">
        <v>0</v>
      </c>
      <c r="H195" s="74">
        <v>0</v>
      </c>
    </row>
    <row r="196" spans="1:8" ht="15.75" thickBot="1">
      <c r="A196" s="75"/>
      <c r="B196" s="76"/>
      <c r="C196" s="82"/>
      <c r="D196" s="70">
        <v>0.2</v>
      </c>
      <c r="E196" s="71">
        <v>0</v>
      </c>
      <c r="F196" s="72">
        <v>0</v>
      </c>
      <c r="G196" s="73">
        <v>0</v>
      </c>
      <c r="H196" s="74">
        <v>0</v>
      </c>
    </row>
    <row r="197" spans="1:8" ht="15.75" thickBot="1">
      <c r="A197" s="75"/>
      <c r="B197" s="76"/>
      <c r="C197" s="82"/>
      <c r="D197" s="70">
        <v>0.2</v>
      </c>
      <c r="E197" s="71">
        <v>0</v>
      </c>
      <c r="F197" s="72">
        <v>0</v>
      </c>
      <c r="G197" s="73">
        <v>0</v>
      </c>
      <c r="H197" s="74">
        <v>0</v>
      </c>
    </row>
    <row r="198" spans="1:8" ht="15.75" thickBot="1">
      <c r="A198" s="75"/>
      <c r="B198" s="76"/>
      <c r="C198" s="82"/>
      <c r="D198" s="70">
        <v>0.2</v>
      </c>
      <c r="E198" s="71">
        <v>0</v>
      </c>
      <c r="F198" s="72">
        <v>0</v>
      </c>
      <c r="G198" s="73">
        <v>0</v>
      </c>
      <c r="H198" s="74">
        <v>0</v>
      </c>
    </row>
  </sheetData>
  <sortState ref="C1:C198">
    <sortCondition ref="C1"/>
  </sortState>
  <hyperlinks>
    <hyperlink ref="D93" r:id="rId1" display="javascript:void(0);"/>
    <hyperlink ref="B94" r:id="rId2" tooltip="Enabled" display="javascript:;"/>
    <hyperlink ref="D94" r:id="rId3" display="javascript:void(0);"/>
    <hyperlink ref="B95" r:id="rId4" tooltip="Enabled" display="javascript:;"/>
    <hyperlink ref="D95" r:id="rId5" display="javascript:void(0);"/>
    <hyperlink ref="B96" r:id="rId6" tooltip="Enabled" display="javascript:;"/>
    <hyperlink ref="D96" r:id="rId7" display="javascript:void(0);"/>
    <hyperlink ref="B97" r:id="rId8" tooltip="Enabled" display="javascript:;"/>
    <hyperlink ref="D97" r:id="rId9" display="javascript:void(0);"/>
    <hyperlink ref="B98" r:id="rId10" tooltip="Enabled" display="javascript:;"/>
    <hyperlink ref="D98" r:id="rId11" display="javascript:void(0);"/>
    <hyperlink ref="B99" r:id="rId12" tooltip="Enabled" display="javascript:;"/>
    <hyperlink ref="D99" r:id="rId13" display="javascript:void(0);"/>
    <hyperlink ref="B100" r:id="rId14" tooltip="Enabled" display="javascript:;"/>
    <hyperlink ref="D100" r:id="rId15" display="javascript:void(0);"/>
    <hyperlink ref="B101" r:id="rId16" tooltip="Enabled" display="javascript:;"/>
    <hyperlink ref="D101" r:id="rId17" display="javascript:void(0);"/>
    <hyperlink ref="B102" r:id="rId18" tooltip="Enabled" display="javascript:;"/>
    <hyperlink ref="D102" r:id="rId19" display="javascript:void(0);"/>
    <hyperlink ref="B103" r:id="rId20" tooltip="Enabled" display="javascript:;"/>
    <hyperlink ref="D103" r:id="rId21" display="javascript:void(0);"/>
    <hyperlink ref="B104" r:id="rId22" tooltip="Paused" display="javascript:;"/>
    <hyperlink ref="D104" r:id="rId23" display="javascript:void(0);"/>
    <hyperlink ref="B105" r:id="rId24" tooltip="Enabled" display="javascript:;"/>
    <hyperlink ref="D105" r:id="rId25" display="javascript:void(0);"/>
    <hyperlink ref="B106" r:id="rId26" tooltip="Enabled" display="javascript:;"/>
    <hyperlink ref="D106" r:id="rId27" display="javascript:void(0);"/>
    <hyperlink ref="B107" r:id="rId28" tooltip="Enabled" display="javascript:;"/>
    <hyperlink ref="D107" r:id="rId29" display="javascript:void(0);"/>
    <hyperlink ref="B108" r:id="rId30" tooltip="Enabled" display="javascript:;"/>
    <hyperlink ref="D108" r:id="rId31" display="javascript:void(0);"/>
    <hyperlink ref="B109" r:id="rId32" tooltip="Enabled" display="javascript:;"/>
    <hyperlink ref="D109" r:id="rId33" display="javascript:void(0);"/>
    <hyperlink ref="B110" r:id="rId34" tooltip="Enabled" display="javascript:;"/>
    <hyperlink ref="D110" r:id="rId35" display="javascript:void(0);"/>
    <hyperlink ref="B111" r:id="rId36" tooltip="Enabled" display="javascript:;"/>
    <hyperlink ref="D111" r:id="rId37" display="javascript:void(0);"/>
    <hyperlink ref="B112" r:id="rId38" tooltip="Enabled" display="javascript:;"/>
    <hyperlink ref="D112" r:id="rId39" display="javascript:void(0);"/>
    <hyperlink ref="B113" r:id="rId40" tooltip="Enabled" display="javascript:;"/>
    <hyperlink ref="D113" r:id="rId41" display="javascript:void(0);"/>
    <hyperlink ref="B114" r:id="rId42" tooltip="Enabled" display="javascript:;"/>
    <hyperlink ref="D114" r:id="rId43" display="javascript:void(0);"/>
    <hyperlink ref="B115" r:id="rId44" tooltip="Enabled" display="javascript:;"/>
    <hyperlink ref="D115" r:id="rId45" display="javascript:void(0);"/>
    <hyperlink ref="B116" r:id="rId46" tooltip="Enabled" display="javascript:;"/>
    <hyperlink ref="D116" r:id="rId47" display="javascript:void(0);"/>
    <hyperlink ref="B117" r:id="rId48" tooltip="Enabled" display="javascript:;"/>
    <hyperlink ref="D117" r:id="rId49" display="javascript:void(0);"/>
    <hyperlink ref="B118" r:id="rId50" tooltip="Enabled" display="javascript:;"/>
    <hyperlink ref="D118" r:id="rId51" display="javascript:void(0);"/>
    <hyperlink ref="B119" r:id="rId52" tooltip="Enabled" display="javascript:;"/>
    <hyperlink ref="D119" r:id="rId53" display="javascript:void(0);"/>
    <hyperlink ref="B120" r:id="rId54" tooltip="Enabled" display="javascript:;"/>
    <hyperlink ref="D120" r:id="rId55" display="javascript:void(0);"/>
    <hyperlink ref="B121" r:id="rId56" tooltip="Enabled" display="javascript:;"/>
    <hyperlink ref="D121" r:id="rId57" display="javascript:void(0);"/>
    <hyperlink ref="B122" r:id="rId58" tooltip="Enabled" display="javascript:;"/>
    <hyperlink ref="D122" r:id="rId59" display="javascript:void(0);"/>
    <hyperlink ref="B123" r:id="rId60" tooltip="Enabled" display="javascript:;"/>
    <hyperlink ref="D123" r:id="rId61" display="javascript:void(0);"/>
    <hyperlink ref="B124" r:id="rId62" tooltip="Enabled" display="javascript:;"/>
    <hyperlink ref="D124" r:id="rId63" display="javascript:void(0);"/>
    <hyperlink ref="B125" r:id="rId64" tooltip="Enabled" display="javascript:;"/>
    <hyperlink ref="D125" r:id="rId65" display="javascript:void(0);"/>
    <hyperlink ref="B126" r:id="rId66" tooltip="Enabled" display="javascript:;"/>
    <hyperlink ref="D126" r:id="rId67" display="javascript:void(0);"/>
    <hyperlink ref="B127" r:id="rId68" tooltip="Enabled" display="javascript:;"/>
    <hyperlink ref="D127" r:id="rId69" display="javascript:void(0);"/>
    <hyperlink ref="B128" r:id="rId70" tooltip="Enabled" display="javascript:;"/>
    <hyperlink ref="D128" r:id="rId71" display="javascript:void(0);"/>
    <hyperlink ref="B129" r:id="rId72" tooltip="Enabled" display="javascript:;"/>
    <hyperlink ref="D129" r:id="rId73" display="javascript:void(0);"/>
    <hyperlink ref="B130" r:id="rId74" tooltip="Enabled" display="javascript:;"/>
    <hyperlink ref="D130" r:id="rId75" display="javascript:void(0);"/>
    <hyperlink ref="B131" r:id="rId76" tooltip="Enabled" display="javascript:;"/>
    <hyperlink ref="D131" r:id="rId77" display="javascript:void(0);"/>
    <hyperlink ref="B132" r:id="rId78" tooltip="Enabled" display="javascript:;"/>
    <hyperlink ref="D132" r:id="rId79" display="javascript:void(0);"/>
    <hyperlink ref="B133" r:id="rId80" tooltip="Enabled" display="javascript:;"/>
    <hyperlink ref="D133" r:id="rId81" display="javascript:void(0);"/>
    <hyperlink ref="B134" r:id="rId82" tooltip="Enabled" display="javascript:;"/>
    <hyperlink ref="D134" r:id="rId83" display="javascript:void(0);"/>
    <hyperlink ref="B135" r:id="rId84" tooltip="Enabled" display="javascript:;"/>
    <hyperlink ref="D135" r:id="rId85" display="javascript:void(0);"/>
    <hyperlink ref="B136" r:id="rId86" tooltip="Enabled" display="javascript:;"/>
    <hyperlink ref="D136" r:id="rId87" display="javascript:void(0);"/>
    <hyperlink ref="B137" r:id="rId88" tooltip="Enabled" display="javascript:;"/>
    <hyperlink ref="D137" r:id="rId89" display="javascript:void(0);"/>
    <hyperlink ref="B138" r:id="rId90" tooltip="Enabled" display="javascript:;"/>
    <hyperlink ref="D138" r:id="rId91" display="javascript:void(0);"/>
    <hyperlink ref="B139" r:id="rId92" tooltip="Enabled" display="javascript:;"/>
    <hyperlink ref="D139" r:id="rId93" display="javascript:void(0);"/>
    <hyperlink ref="B140" r:id="rId94" tooltip="Enabled" display="javascript:;"/>
    <hyperlink ref="D140" r:id="rId95" display="javascript:void(0);"/>
    <hyperlink ref="B141" r:id="rId96" tooltip="Enabled" display="javascript:;"/>
    <hyperlink ref="D141" r:id="rId97" display="javascript:void(0);"/>
    <hyperlink ref="B142" r:id="rId98" tooltip="Enabled" display="javascript:;"/>
    <hyperlink ref="D142" r:id="rId99" display="javascript:void(0);"/>
    <hyperlink ref="B143" r:id="rId100" tooltip="Enabled" display="javascript:;"/>
    <hyperlink ref="D143" r:id="rId101" display="javascript:void(0);"/>
    <hyperlink ref="B144" r:id="rId102" tooltip="Enabled" display="javascript:;"/>
    <hyperlink ref="D144" r:id="rId103" display="javascript:void(0);"/>
    <hyperlink ref="B145" r:id="rId104" tooltip="Enabled" display="javascript:;"/>
    <hyperlink ref="D145" r:id="rId105" display="javascript:void(0);"/>
    <hyperlink ref="B146" r:id="rId106" tooltip="Enabled" display="javascript:;"/>
    <hyperlink ref="D146" r:id="rId107" display="javascript:void(0);"/>
    <hyperlink ref="B147" r:id="rId108" tooltip="Enabled" display="javascript:;"/>
    <hyperlink ref="D147" r:id="rId109" display="javascript:void(0);"/>
    <hyperlink ref="B148" r:id="rId110" tooltip="Enabled" display="javascript:;"/>
    <hyperlink ref="D148" r:id="rId111" display="javascript:void(0);"/>
    <hyperlink ref="B149" r:id="rId112" tooltip="Enabled" display="javascript:;"/>
    <hyperlink ref="D149" r:id="rId113" display="javascript:void(0);"/>
    <hyperlink ref="B150" r:id="rId114" tooltip="Enabled" display="javascript:;"/>
    <hyperlink ref="D150" r:id="rId115" display="javascript:void(0);"/>
    <hyperlink ref="B151" r:id="rId116" tooltip="Enabled" display="javascript:;"/>
    <hyperlink ref="D151" r:id="rId117" display="javascript:void(0);"/>
    <hyperlink ref="B152" r:id="rId118" tooltip="Enabled" display="javascript:;"/>
    <hyperlink ref="D152" r:id="rId119" display="javascript:void(0);"/>
    <hyperlink ref="B153" r:id="rId120" tooltip="Enabled" display="javascript:;"/>
    <hyperlink ref="D153" r:id="rId121" display="javascript:void(0);"/>
    <hyperlink ref="B154" r:id="rId122" tooltip="Enabled" display="javascript:;"/>
    <hyperlink ref="D154" r:id="rId123" display="javascript:void(0);"/>
    <hyperlink ref="B155" r:id="rId124" tooltip="Enabled" display="javascript:;"/>
    <hyperlink ref="D155" r:id="rId125" display="javascript:void(0);"/>
    <hyperlink ref="B156" r:id="rId126" tooltip="Enabled" display="javascript:;"/>
    <hyperlink ref="D156" r:id="rId127" display="javascript:void(0);"/>
    <hyperlink ref="B157" r:id="rId128" tooltip="Enabled" display="javascript:;"/>
    <hyperlink ref="D157" r:id="rId129" display="javascript:void(0);"/>
    <hyperlink ref="B158" r:id="rId130" tooltip="Enabled" display="javascript:;"/>
    <hyperlink ref="D158" r:id="rId131" display="javascript:void(0);"/>
    <hyperlink ref="B159" r:id="rId132" tooltip="Enabled" display="javascript:;"/>
    <hyperlink ref="D159" r:id="rId133" display="javascript:void(0);"/>
    <hyperlink ref="B160" r:id="rId134" tooltip="Enabled" display="javascript:;"/>
    <hyperlink ref="D160" r:id="rId135" display="javascript:void(0);"/>
    <hyperlink ref="B161" r:id="rId136" tooltip="Enabled" display="javascript:;"/>
    <hyperlink ref="D161" r:id="rId137" display="javascript:void(0);"/>
    <hyperlink ref="B162" r:id="rId138" tooltip="Enabled" display="javascript:;"/>
    <hyperlink ref="D162" r:id="rId139" display="javascript:void(0);"/>
    <hyperlink ref="B163" r:id="rId140" tooltip="Enabled" display="javascript:;"/>
    <hyperlink ref="D163" r:id="rId141" display="javascript:void(0);"/>
    <hyperlink ref="B164" r:id="rId142" tooltip="Enabled" display="javascript:;"/>
    <hyperlink ref="D164" r:id="rId143" display="javascript:void(0);"/>
    <hyperlink ref="B165" r:id="rId144" tooltip="Enabled" display="javascript:;"/>
    <hyperlink ref="D165" r:id="rId145" display="javascript:void(0);"/>
    <hyperlink ref="B166" r:id="rId146" tooltip="Enabled" display="javascript:;"/>
    <hyperlink ref="D166" r:id="rId147" display="javascript:void(0);"/>
    <hyperlink ref="B167" r:id="rId148" tooltip="Enabled" display="javascript:;"/>
    <hyperlink ref="D167" r:id="rId149" display="javascript:void(0);"/>
    <hyperlink ref="B168" r:id="rId150" tooltip="Enabled" display="javascript:;"/>
    <hyperlink ref="D168" r:id="rId151" display="javascript:void(0);"/>
    <hyperlink ref="B169" r:id="rId152" tooltip="Enabled" display="javascript:;"/>
    <hyperlink ref="D169" r:id="rId153" display="javascript:void(0);"/>
    <hyperlink ref="B170" r:id="rId154" tooltip="Enabled" display="javascript:;"/>
    <hyperlink ref="D170" r:id="rId155" display="javascript:void(0);"/>
    <hyperlink ref="B171" r:id="rId156" tooltip="Enabled" display="javascript:;"/>
    <hyperlink ref="D171" r:id="rId157" display="javascript:void(0);"/>
    <hyperlink ref="B172" r:id="rId158" tooltip="Enabled" display="javascript:;"/>
    <hyperlink ref="D172" r:id="rId159" display="javascript:void(0);"/>
    <hyperlink ref="B173" r:id="rId160" tooltip="Enabled" display="javascript:;"/>
    <hyperlink ref="D173" r:id="rId161" display="javascript:void(0);"/>
    <hyperlink ref="B174" r:id="rId162" tooltip="Enabled" display="javascript:;"/>
    <hyperlink ref="D174" r:id="rId163" display="javascript:void(0);"/>
    <hyperlink ref="B175" r:id="rId164" tooltip="Enabled" display="javascript:;"/>
    <hyperlink ref="D175" r:id="rId165" display="javascript:void(0);"/>
    <hyperlink ref="B176" r:id="rId166" tooltip="Enabled" display="javascript:;"/>
    <hyperlink ref="D176" r:id="rId167" display="javascript:void(0);"/>
    <hyperlink ref="B177" r:id="rId168" tooltip="Enabled" display="javascript:;"/>
    <hyperlink ref="D177" r:id="rId169" display="javascript:void(0);"/>
    <hyperlink ref="B178" r:id="rId170" tooltip="Enabled" display="javascript:;"/>
    <hyperlink ref="D178" r:id="rId171" display="javascript:void(0);"/>
    <hyperlink ref="B179" r:id="rId172" tooltip="Enabled" display="javascript:;"/>
    <hyperlink ref="D179" r:id="rId173" display="javascript:void(0);"/>
    <hyperlink ref="B180" r:id="rId174" tooltip="Enabled" display="javascript:;"/>
    <hyperlink ref="D180" r:id="rId175" display="javascript:void(0);"/>
    <hyperlink ref="B181" r:id="rId176" tooltip="Enabled" display="javascript:;"/>
    <hyperlink ref="D181" r:id="rId177" display="javascript:void(0);"/>
    <hyperlink ref="B182" r:id="rId178" tooltip="Enabled" display="javascript:;"/>
    <hyperlink ref="D182" r:id="rId179" display="javascript:void(0);"/>
    <hyperlink ref="B183" r:id="rId180" tooltip="Enabled" display="javascript:;"/>
    <hyperlink ref="D183" r:id="rId181" display="javascript:void(0);"/>
    <hyperlink ref="B184" r:id="rId182" tooltip="Enabled" display="javascript:;"/>
    <hyperlink ref="D184" r:id="rId183" display="javascript:void(0);"/>
    <hyperlink ref="B185" r:id="rId184" tooltip="Enabled" display="javascript:;"/>
    <hyperlink ref="D185" r:id="rId185" display="javascript:void(0);"/>
    <hyperlink ref="B186" r:id="rId186" tooltip="Enabled" display="javascript:;"/>
    <hyperlink ref="D186" r:id="rId187" display="javascript:void(0);"/>
    <hyperlink ref="B187" r:id="rId188" tooltip="Enabled" display="javascript:;"/>
    <hyperlink ref="D187" r:id="rId189" display="javascript:void(0);"/>
    <hyperlink ref="B188" r:id="rId190" tooltip="Enabled" display="javascript:;"/>
    <hyperlink ref="D188" r:id="rId191" display="javascript:void(0);"/>
    <hyperlink ref="B189" r:id="rId192" tooltip="Enabled" display="javascript:;"/>
    <hyperlink ref="D189" r:id="rId193" display="javascript:void(0);"/>
    <hyperlink ref="B190" r:id="rId194" tooltip="Enabled" display="javascript:;"/>
    <hyperlink ref="D190" r:id="rId195" display="javascript:void(0);"/>
    <hyperlink ref="B191" r:id="rId196" tooltip="Enabled" display="javascript:;"/>
    <hyperlink ref="D191" r:id="rId197" display="javascript:void(0);"/>
    <hyperlink ref="B192" r:id="rId198" tooltip="Enabled" display="javascript:;"/>
    <hyperlink ref="D192" r:id="rId199" display="javascript:void(0);"/>
    <hyperlink ref="B193" r:id="rId200" tooltip="Enabled" display="javascript:;"/>
    <hyperlink ref="D193" r:id="rId201" display="javascript:void(0);"/>
    <hyperlink ref="B194" r:id="rId202" tooltip="Enabled" display="javascript:;"/>
    <hyperlink ref="D194" r:id="rId203" display="javascript:void(0);"/>
    <hyperlink ref="B195" r:id="rId204" tooltip="Enabled" display="javascript:;"/>
    <hyperlink ref="D195" r:id="rId205" display="javascript:void(0);"/>
    <hyperlink ref="B196" r:id="rId206" tooltip="Enabled" display="javascript:;"/>
    <hyperlink ref="D196" r:id="rId207" display="javascript:void(0);"/>
    <hyperlink ref="B197" r:id="rId208" tooltip="Enabled" display="javascript:;"/>
    <hyperlink ref="D197" r:id="rId209" display="javascript:void(0);"/>
    <hyperlink ref="B198" r:id="rId210" tooltip="Enabled" display="javascript:;"/>
    <hyperlink ref="D198" r:id="rId211" display="javascript:void(0);"/>
  </hyperlinks>
  <pageMargins left="0.7" right="0.7" top="0.75" bottom="0.75" header="0.3" footer="0.3"/>
  <pageSetup orientation="portrait" r:id="rId212"/>
  <legacyDrawing r:id="rId213"/>
  <controls>
    <control shapeId="4127" r:id="rId214" name="Control 31"/>
    <control shapeId="4128" r:id="rId215" name="Control 32"/>
    <control shapeId="4129" r:id="rId216" name="Control 33"/>
    <control shapeId="4130" r:id="rId217" name="Control 34"/>
    <control shapeId="4131" r:id="rId218" name="Control 35"/>
    <control shapeId="4132" r:id="rId219" name="Control 36"/>
    <control shapeId="4133" r:id="rId220" name="Control 37"/>
    <control shapeId="4134" r:id="rId221" name="Control 38"/>
    <control shapeId="4135" r:id="rId222" name="Control 39"/>
    <control shapeId="4136" r:id="rId223" name="Control 40"/>
    <control shapeId="4137" r:id="rId224" name="Control 41"/>
    <control shapeId="4138" r:id="rId225" name="Control 42"/>
    <control shapeId="4139" r:id="rId226" name="Control 43"/>
    <control shapeId="4140" r:id="rId227" name="Control 44"/>
    <control shapeId="4141" r:id="rId228" name="Control 45"/>
    <control shapeId="4142" r:id="rId229" name="Control 46"/>
    <control shapeId="4143" r:id="rId230" name="Control 47"/>
    <control shapeId="4144" r:id="rId231" name="Control 48"/>
    <control shapeId="4145" r:id="rId232" name="Control 49"/>
    <control shapeId="4146" r:id="rId233" name="Control 50"/>
    <control shapeId="4147" r:id="rId234" name="Control 51"/>
    <control shapeId="4148" r:id="rId235" name="Control 52"/>
    <control shapeId="4149" r:id="rId236" name="Control 53"/>
    <control shapeId="4150" r:id="rId237" name="Control 54"/>
    <control shapeId="4151" r:id="rId238" name="Control 55"/>
    <control shapeId="4152" r:id="rId239" name="Control 56"/>
    <control shapeId="4153" r:id="rId240" name="Control 57"/>
    <control shapeId="4154" r:id="rId241" name="Control 58"/>
    <control shapeId="4155" r:id="rId242" name="Control 59"/>
    <control shapeId="4156" r:id="rId243" name="Control 60"/>
    <control shapeId="4157" r:id="rId244" name="Control 61"/>
    <control shapeId="4158" r:id="rId245" name="Control 62"/>
    <control shapeId="4159" r:id="rId246" name="Control 63"/>
    <control shapeId="4160" r:id="rId247" name="Control 64"/>
    <control shapeId="4161" r:id="rId248" name="Control 65"/>
    <control shapeId="4162" r:id="rId249" name="Control 66"/>
    <control shapeId="4163" r:id="rId250" name="Control 67"/>
    <control shapeId="4164" r:id="rId251" name="Control 68"/>
    <control shapeId="4165" r:id="rId252" name="Control 69"/>
    <control shapeId="4166" r:id="rId253" name="Control 70"/>
    <control shapeId="4167" r:id="rId254" name="Control 71"/>
    <control shapeId="4168" r:id="rId255" name="Control 72"/>
    <control shapeId="4169" r:id="rId256" name="Control 73"/>
    <control shapeId="4170" r:id="rId257" name="Control 74"/>
    <control shapeId="4171" r:id="rId258" name="Control 75"/>
    <control shapeId="4172" r:id="rId259" name="Control 76"/>
    <control shapeId="4173" r:id="rId260" name="Control 77"/>
    <control shapeId="4174" r:id="rId261" name="Control 78"/>
    <control shapeId="4175" r:id="rId262" name="Control 79"/>
    <control shapeId="4176" r:id="rId263" name="Control 80"/>
    <control shapeId="4177" r:id="rId264" name="Control 81"/>
    <control shapeId="4178" r:id="rId265" name="Control 82"/>
    <control shapeId="4179" r:id="rId266" name="Control 83"/>
    <control shapeId="4180" r:id="rId267" name="Control 84"/>
    <control shapeId="4181" r:id="rId268" name="Control 85"/>
    <control shapeId="4182" r:id="rId269" name="Control 86"/>
    <control shapeId="4183" r:id="rId270" name="Control 87"/>
    <control shapeId="4184" r:id="rId271" name="Control 88"/>
    <control shapeId="4185" r:id="rId272" name="Control 89"/>
    <control shapeId="4186" r:id="rId273" name="Control 90"/>
    <control shapeId="4187" r:id="rId274" name="Control 91"/>
    <control shapeId="4188" r:id="rId275" name="Control 92"/>
    <control shapeId="4189" r:id="rId276" name="Control 93"/>
    <control shapeId="4190" r:id="rId277" name="Control 94"/>
    <control shapeId="4191" r:id="rId278" name="Control 95"/>
    <control shapeId="4192" r:id="rId279" name="Control 96"/>
    <control shapeId="4193" r:id="rId280" name="Control 97"/>
    <control shapeId="4194" r:id="rId281" name="Control 98"/>
    <control shapeId="4195" r:id="rId282" name="Control 99"/>
    <control shapeId="4196" r:id="rId283" name="Control 100"/>
    <control shapeId="4197" r:id="rId284" name="Control 101"/>
    <control shapeId="4198" r:id="rId285" name="Control 102"/>
    <control shapeId="4199" r:id="rId286" name="Control 103"/>
    <control shapeId="4200" r:id="rId287" name="Control 104"/>
    <control shapeId="4201" r:id="rId288" name="Control 105"/>
    <control shapeId="4202" r:id="rId289" name="Control 106"/>
    <control shapeId="4203" r:id="rId290" name="Control 107"/>
    <control shapeId="4204" r:id="rId291" name="Control 108"/>
    <control shapeId="4205" r:id="rId292" name="Control 109"/>
    <control shapeId="4206" r:id="rId293" name="Control 110"/>
    <control shapeId="4207" r:id="rId294" name="Control 111"/>
    <control shapeId="4208" r:id="rId295" name="Control 112"/>
    <control shapeId="4209" r:id="rId296" name="Control 113"/>
    <control shapeId="4210" r:id="rId297" name="Control 114"/>
    <control shapeId="4211" r:id="rId298" name="Control 115"/>
    <control shapeId="4212" r:id="rId299" name="Control 116"/>
    <control shapeId="4213" r:id="rId300" name="Control 117"/>
    <control shapeId="4214" r:id="rId301" name="Control 118"/>
    <control shapeId="4215" r:id="rId302" name="Control 119"/>
    <control shapeId="4216" r:id="rId303" name="Control 120"/>
    <control shapeId="4217" r:id="rId304" name="Control 121"/>
    <control shapeId="4218" r:id="rId305" name="Control 122"/>
    <control shapeId="4219" r:id="rId306" name="Control 123"/>
    <control shapeId="4220" r:id="rId307" name="Control 124"/>
    <control shapeId="4221" r:id="rId308" name="Control 125"/>
    <control shapeId="4222" r:id="rId309" name="Control 126"/>
    <control shapeId="4223" r:id="rId310" name="Control 127"/>
    <control shapeId="4224" r:id="rId311" name="Control 128"/>
    <control shapeId="4225" r:id="rId312" name="Control 129"/>
    <control shapeId="4226" r:id="rId313" name="Control 130"/>
    <control shapeId="4227" r:id="rId314" name="Control 131"/>
    <control shapeId="4228" r:id="rId315" name="Control 132"/>
    <control shapeId="4229" r:id="rId316" name="Control 133"/>
    <control shapeId="4230" r:id="rId317" name="Control 134"/>
    <control shapeId="4231" r:id="rId318" name="Control 135"/>
  </controls>
</worksheet>
</file>

<file path=xl/worksheets/sheet6.xml><?xml version="1.0" encoding="utf-8"?>
<worksheet xmlns="http://schemas.openxmlformats.org/spreadsheetml/2006/main" xmlns:r="http://schemas.openxmlformats.org/officeDocument/2006/relationships">
  <dimension ref="A1:G198"/>
  <sheetViews>
    <sheetView topLeftCell="A112" workbookViewId="0">
      <selection activeCell="G112" sqref="G1:G1048576"/>
    </sheetView>
  </sheetViews>
  <sheetFormatPr defaultRowHeight="15"/>
  <sheetData>
    <row r="1" spans="1:7" ht="24">
      <c r="A1" s="83" t="s">
        <v>174</v>
      </c>
      <c r="B1" t="str">
        <f>CONCATENATE($C$1,A1,$C$1)</f>
        <v>"arab language"</v>
      </c>
      <c r="C1" t="s">
        <v>284</v>
      </c>
      <c r="G1" t="s">
        <v>74</v>
      </c>
    </row>
    <row r="2" spans="1:7" ht="24">
      <c r="A2" s="83" t="s">
        <v>185</v>
      </c>
      <c r="B2" t="str">
        <f t="shared" ref="B2:B65" si="0">CONCATENATE($C$1,A2,$C$1)</f>
        <v>"arabic for beginners"</v>
      </c>
      <c r="G2" t="s">
        <v>85</v>
      </c>
    </row>
    <row r="3" spans="1:7" ht="24">
      <c r="A3" s="83" t="s">
        <v>195</v>
      </c>
      <c r="B3" t="str">
        <f t="shared" si="0"/>
        <v>"arabic for dummies"</v>
      </c>
      <c r="G3" t="s">
        <v>95</v>
      </c>
    </row>
    <row r="4" spans="1:7" ht="24">
      <c r="A4" s="83" t="s">
        <v>188</v>
      </c>
      <c r="B4" t="str">
        <f t="shared" si="0"/>
        <v>"arabic grammar"</v>
      </c>
      <c r="G4" t="s">
        <v>88</v>
      </c>
    </row>
    <row r="5" spans="1:7" ht="24">
      <c r="A5" s="83" t="s">
        <v>179</v>
      </c>
      <c r="B5" t="str">
        <f t="shared" si="0"/>
        <v>"arabic language"</v>
      </c>
      <c r="G5" t="s">
        <v>79</v>
      </c>
    </row>
    <row r="6" spans="1:7" ht="36">
      <c r="A6" s="83" t="s">
        <v>187</v>
      </c>
      <c r="B6" t="str">
        <f t="shared" si="0"/>
        <v>"arabic language course"</v>
      </c>
      <c r="G6" t="s">
        <v>87</v>
      </c>
    </row>
    <row r="7" spans="1:7" ht="36">
      <c r="A7" s="83" t="s">
        <v>181</v>
      </c>
      <c r="B7" t="str">
        <f t="shared" si="0"/>
        <v>"arabic language learning"</v>
      </c>
      <c r="G7" t="s">
        <v>81</v>
      </c>
    </row>
    <row r="8" spans="1:7" ht="36">
      <c r="A8" s="83" t="s">
        <v>258</v>
      </c>
      <c r="B8" t="str">
        <f t="shared" si="0"/>
        <v>"arabic learning for kids"</v>
      </c>
      <c r="G8" t="s">
        <v>158</v>
      </c>
    </row>
    <row r="9" spans="1:7" ht="24">
      <c r="A9" s="83" t="s">
        <v>202</v>
      </c>
      <c r="B9" t="str">
        <f t="shared" si="0"/>
        <v>"arabic lessons"</v>
      </c>
      <c r="G9" t="s">
        <v>102</v>
      </c>
    </row>
    <row r="10" spans="1:7" ht="36">
      <c r="A10" s="83" t="s">
        <v>180</v>
      </c>
      <c r="B10" t="str">
        <f t="shared" si="0"/>
        <v>"arabic pronunciation"</v>
      </c>
      <c r="G10" t="s">
        <v>80</v>
      </c>
    </row>
    <row r="11" spans="1:7" ht="36">
      <c r="A11" s="83" t="s">
        <v>192</v>
      </c>
      <c r="B11" t="str">
        <f t="shared" si="0"/>
        <v>"arabic vocabulary"</v>
      </c>
      <c r="G11" t="s">
        <v>92</v>
      </c>
    </row>
    <row r="12" spans="1:7" ht="24">
      <c r="A12" s="83" t="s">
        <v>173</v>
      </c>
      <c r="B12" t="str">
        <f t="shared" si="0"/>
        <v>"arabic words"</v>
      </c>
      <c r="G12" t="s">
        <v>73</v>
      </c>
    </row>
    <row r="13" spans="1:7" ht="24">
      <c r="A13" s="83" t="s">
        <v>193</v>
      </c>
      <c r="B13" t="str">
        <f t="shared" si="0"/>
        <v>"basic arabic"</v>
      </c>
      <c r="G13" t="s">
        <v>93</v>
      </c>
    </row>
    <row r="14" spans="1:7" ht="36">
      <c r="A14" s="83" t="s">
        <v>230</v>
      </c>
      <c r="B14" t="str">
        <f t="shared" si="0"/>
        <v>"best way to learn arabic"</v>
      </c>
      <c r="G14" t="s">
        <v>130</v>
      </c>
    </row>
    <row r="15" spans="1:7" ht="36">
      <c r="A15" s="83" t="s">
        <v>247</v>
      </c>
      <c r="B15" t="str">
        <f t="shared" si="0"/>
        <v>"books to learn arabic"</v>
      </c>
      <c r="G15" t="s">
        <v>147</v>
      </c>
    </row>
    <row r="16" spans="1:7" ht="48">
      <c r="A16" s="83" t="s">
        <v>231</v>
      </c>
      <c r="B16" t="str">
        <f t="shared" si="0"/>
        <v>"easiest way to learn arabic"</v>
      </c>
      <c r="G16" t="s">
        <v>131</v>
      </c>
    </row>
    <row r="17" spans="1:7" ht="36">
      <c r="A17" s="83" t="s">
        <v>218</v>
      </c>
      <c r="B17" t="str">
        <f t="shared" si="0"/>
        <v>"easy way to learn arabic"</v>
      </c>
      <c r="G17" t="s">
        <v>118</v>
      </c>
    </row>
    <row r="18" spans="1:7" ht="48">
      <c r="A18" s="83" t="s">
        <v>239</v>
      </c>
      <c r="B18" t="str">
        <f t="shared" si="0"/>
        <v>"fastest way to learn arabic"</v>
      </c>
      <c r="G18" t="s">
        <v>139</v>
      </c>
    </row>
    <row r="19" spans="1:7" ht="36">
      <c r="A19" s="83" t="s">
        <v>229</v>
      </c>
      <c r="B19" t="str">
        <f t="shared" si="0"/>
        <v>"how can i learn arabic"</v>
      </c>
      <c r="G19" t="s">
        <v>129</v>
      </c>
    </row>
    <row r="20" spans="1:7" ht="36">
      <c r="A20" s="83" t="s">
        <v>203</v>
      </c>
      <c r="B20" t="str">
        <f t="shared" si="0"/>
        <v>"how to learn arabic"</v>
      </c>
      <c r="G20" t="s">
        <v>103</v>
      </c>
    </row>
    <row r="21" spans="1:7" ht="48">
      <c r="A21" s="83" t="s">
        <v>257</v>
      </c>
      <c r="B21" t="str">
        <f t="shared" si="0"/>
        <v>"how to learn arabic easily"</v>
      </c>
      <c r="G21" t="s">
        <v>157</v>
      </c>
    </row>
    <row r="22" spans="1:7" ht="36">
      <c r="A22" s="83" t="s">
        <v>232</v>
      </c>
      <c r="B22" t="str">
        <f t="shared" si="0"/>
        <v>"how to learn arabic fast"</v>
      </c>
      <c r="G22" t="s">
        <v>132</v>
      </c>
    </row>
    <row r="23" spans="1:7" ht="48">
      <c r="A23" s="83" t="s">
        <v>221</v>
      </c>
      <c r="B23" t="str">
        <f t="shared" si="0"/>
        <v>"how to learn arabic language"</v>
      </c>
      <c r="G23" t="s">
        <v>121</v>
      </c>
    </row>
    <row r="24" spans="1:7" ht="48">
      <c r="A24" s="83" t="s">
        <v>228</v>
      </c>
      <c r="B24" t="str">
        <f t="shared" si="0"/>
        <v>"how to learn arabic online"</v>
      </c>
      <c r="G24" t="s">
        <v>128</v>
      </c>
    </row>
    <row r="25" spans="1:7" ht="48">
      <c r="A25" s="83" t="s">
        <v>262</v>
      </c>
      <c r="B25" t="str">
        <f t="shared" si="0"/>
        <v>"how to learn arabic quickly"</v>
      </c>
      <c r="G25" t="s">
        <v>162</v>
      </c>
    </row>
    <row r="26" spans="1:7" ht="48">
      <c r="A26" s="83" t="s">
        <v>256</v>
      </c>
      <c r="B26" t="str">
        <f t="shared" si="0"/>
        <v>"how to learn arabic speaking"</v>
      </c>
      <c r="G26" t="s">
        <v>156</v>
      </c>
    </row>
    <row r="27" spans="1:7" ht="48">
      <c r="A27" s="83" t="s">
        <v>266</v>
      </c>
      <c r="B27" t="str">
        <f t="shared" si="0"/>
        <v>"how to learn lebanese arabic"</v>
      </c>
      <c r="G27" t="s">
        <v>166</v>
      </c>
    </row>
    <row r="28" spans="1:7" ht="36">
      <c r="A28" s="83" t="s">
        <v>177</v>
      </c>
      <c r="B28" t="str">
        <f t="shared" si="0"/>
        <v>"how to speak arabic"</v>
      </c>
      <c r="G28" t="s">
        <v>77</v>
      </c>
    </row>
    <row r="29" spans="1:7" ht="36">
      <c r="A29" s="83" t="s">
        <v>222</v>
      </c>
      <c r="B29" t="str">
        <f t="shared" si="0"/>
        <v>"i want to learn arabic"</v>
      </c>
      <c r="G29" t="s">
        <v>122</v>
      </c>
    </row>
    <row r="30" spans="1:7" ht="48">
      <c r="A30" s="83" t="s">
        <v>255</v>
      </c>
      <c r="B30" t="str">
        <f t="shared" si="0"/>
        <v>"i want to learn arabic language"</v>
      </c>
      <c r="G30" t="s">
        <v>155</v>
      </c>
    </row>
    <row r="31" spans="1:7">
      <c r="A31" s="83" t="s">
        <v>200</v>
      </c>
      <c r="B31" t="str">
        <f t="shared" si="0"/>
        <v>"learn arab"</v>
      </c>
      <c r="G31" t="s">
        <v>100</v>
      </c>
    </row>
    <row r="32" spans="1:7" ht="24">
      <c r="A32" s="83" t="s">
        <v>176</v>
      </c>
      <c r="B32" t="str">
        <f t="shared" si="0"/>
        <v>"learn arabic"</v>
      </c>
      <c r="G32" t="s">
        <v>76</v>
      </c>
    </row>
    <row r="33" spans="1:7" ht="36">
      <c r="A33" s="83" t="s">
        <v>219</v>
      </c>
      <c r="B33" t="str">
        <f t="shared" si="0"/>
        <v>"learn arabic alphabet"</v>
      </c>
      <c r="G33" t="s">
        <v>119</v>
      </c>
    </row>
    <row r="34" spans="1:7" ht="36">
      <c r="A34" s="83" t="s">
        <v>240</v>
      </c>
      <c r="B34" t="str">
        <f t="shared" si="0"/>
        <v>"learn arabic book"</v>
      </c>
      <c r="G34" t="s">
        <v>140</v>
      </c>
    </row>
    <row r="35" spans="1:7" ht="36">
      <c r="A35" s="83" t="s">
        <v>236</v>
      </c>
      <c r="B35" t="str">
        <f t="shared" si="0"/>
        <v>"learn arabic books"</v>
      </c>
      <c r="G35" t="s">
        <v>136</v>
      </c>
    </row>
    <row r="36" spans="1:7" ht="24">
      <c r="A36" s="83" t="s">
        <v>211</v>
      </c>
      <c r="B36" t="str">
        <f t="shared" si="0"/>
        <v>"learn arabic cd"</v>
      </c>
      <c r="G36" t="s">
        <v>111</v>
      </c>
    </row>
    <row r="37" spans="1:7" ht="36">
      <c r="A37" s="83" t="s">
        <v>263</v>
      </c>
      <c r="B37" t="str">
        <f t="shared" si="0"/>
        <v>"learn arabic direct"</v>
      </c>
      <c r="G37" t="s">
        <v>163</v>
      </c>
    </row>
    <row r="38" spans="1:7" ht="24">
      <c r="A38" s="83" t="s">
        <v>198</v>
      </c>
      <c r="B38" t="str">
        <f t="shared" si="0"/>
        <v>"learn arabic fast"</v>
      </c>
      <c r="G38" t="s">
        <v>98</v>
      </c>
    </row>
    <row r="39" spans="1:7" ht="36">
      <c r="A39" s="83" t="s">
        <v>206</v>
      </c>
      <c r="B39" t="str">
        <f t="shared" si="0"/>
        <v>"learn arabic for free"</v>
      </c>
      <c r="G39" t="s">
        <v>106</v>
      </c>
    </row>
    <row r="40" spans="1:7" ht="36">
      <c r="A40" s="83" t="s">
        <v>233</v>
      </c>
      <c r="B40" t="str">
        <f t="shared" si="0"/>
        <v>"learn arabic for kids"</v>
      </c>
      <c r="G40" t="s">
        <v>133</v>
      </c>
    </row>
    <row r="41" spans="1:7" ht="36">
      <c r="A41" s="83" t="s">
        <v>205</v>
      </c>
      <c r="B41" t="str">
        <f t="shared" si="0"/>
        <v>"learn arabic free"</v>
      </c>
      <c r="G41" t="s">
        <v>105</v>
      </c>
    </row>
    <row r="42" spans="1:7" ht="48">
      <c r="A42" s="83" t="s">
        <v>209</v>
      </c>
      <c r="B42" t="str">
        <f t="shared" si="0"/>
        <v>"learn arabic free online"</v>
      </c>
      <c r="G42" t="s">
        <v>109</v>
      </c>
    </row>
    <row r="43" spans="1:7" ht="36">
      <c r="A43" s="83" t="s">
        <v>226</v>
      </c>
      <c r="B43" t="str">
        <f t="shared" si="0"/>
        <v>"learn arabic grammar"</v>
      </c>
      <c r="G43" t="s">
        <v>126</v>
      </c>
    </row>
    <row r="44" spans="1:7" ht="36">
      <c r="A44" s="83" t="s">
        <v>250</v>
      </c>
      <c r="B44" t="str">
        <f t="shared" si="0"/>
        <v>"learn arabic in english"</v>
      </c>
      <c r="G44" t="s">
        <v>150</v>
      </c>
    </row>
    <row r="45" spans="1:7" ht="36">
      <c r="A45" s="83" t="s">
        <v>190</v>
      </c>
      <c r="B45" t="str">
        <f t="shared" si="0"/>
        <v>"learn arabic language"</v>
      </c>
      <c r="G45" t="s">
        <v>90</v>
      </c>
    </row>
    <row r="46" spans="1:7" ht="48">
      <c r="A46" s="83" t="s">
        <v>225</v>
      </c>
      <c r="B46" t="str">
        <f t="shared" si="0"/>
        <v>"learn arabic language online"</v>
      </c>
      <c r="G46" t="s">
        <v>125</v>
      </c>
    </row>
    <row r="47" spans="1:7" ht="36">
      <c r="A47" s="83" t="s">
        <v>245</v>
      </c>
      <c r="B47" t="str">
        <f t="shared" si="0"/>
        <v>"learn arabic letters"</v>
      </c>
      <c r="G47" t="s">
        <v>145</v>
      </c>
    </row>
    <row r="48" spans="1:7" ht="36">
      <c r="A48" s="83" t="s">
        <v>237</v>
      </c>
      <c r="B48" t="str">
        <f t="shared" si="0"/>
        <v>"learn arabic london"</v>
      </c>
      <c r="G48" t="s">
        <v>137</v>
      </c>
    </row>
    <row r="49" spans="1:7" ht="24">
      <c r="A49" s="83" t="s">
        <v>235</v>
      </c>
      <c r="B49" t="str">
        <f t="shared" si="0"/>
        <v>"learn arabic nyc"</v>
      </c>
      <c r="G49" t="s">
        <v>135</v>
      </c>
    </row>
    <row r="50" spans="1:7" ht="36">
      <c r="A50" s="83" t="s">
        <v>204</v>
      </c>
      <c r="B50" t="str">
        <f t="shared" si="0"/>
        <v>"learn arabic on line"</v>
      </c>
      <c r="G50" t="s">
        <v>104</v>
      </c>
    </row>
    <row r="51" spans="1:7" ht="36">
      <c r="A51" s="83" t="s">
        <v>191</v>
      </c>
      <c r="B51" t="str">
        <f t="shared" si="0"/>
        <v>"learn arabic online"</v>
      </c>
      <c r="G51" t="s">
        <v>91</v>
      </c>
    </row>
    <row r="52" spans="1:7" ht="48">
      <c r="A52" s="83" t="s">
        <v>241</v>
      </c>
      <c r="B52" t="str">
        <f t="shared" si="0"/>
        <v>"learn arabic online for free"</v>
      </c>
      <c r="G52" t="s">
        <v>141</v>
      </c>
    </row>
    <row r="53" spans="1:7" ht="48">
      <c r="A53" s="83" t="s">
        <v>260</v>
      </c>
      <c r="B53" t="str">
        <f t="shared" si="0"/>
        <v>"learn arabic online for kids"</v>
      </c>
      <c r="G53" t="s">
        <v>160</v>
      </c>
    </row>
    <row r="54" spans="1:7" ht="48">
      <c r="A54" s="83" t="s">
        <v>208</v>
      </c>
      <c r="B54" t="str">
        <f t="shared" si="0"/>
        <v>"learn arabic online free"</v>
      </c>
      <c r="G54" t="s">
        <v>108</v>
      </c>
    </row>
    <row r="55" spans="1:7" ht="60">
      <c r="A55" s="83" t="s">
        <v>264</v>
      </c>
      <c r="B55" t="str">
        <f t="shared" si="0"/>
        <v>"learn arabic online free for kids"</v>
      </c>
      <c r="G55" t="s">
        <v>164</v>
      </c>
    </row>
    <row r="56" spans="1:7" ht="60">
      <c r="A56" s="83" t="s">
        <v>265</v>
      </c>
      <c r="B56" t="str">
        <f t="shared" si="0"/>
        <v>"learn arabic online free with audio"</v>
      </c>
      <c r="G56" t="s">
        <v>165</v>
      </c>
    </row>
    <row r="57" spans="1:7" ht="36">
      <c r="A57" s="83" t="s">
        <v>234</v>
      </c>
      <c r="B57" t="str">
        <f t="shared" si="0"/>
        <v>"learn arabic phrases"</v>
      </c>
      <c r="G57" t="s">
        <v>134</v>
      </c>
    </row>
    <row r="58" spans="1:7" ht="36">
      <c r="A58" s="83" t="s">
        <v>249</v>
      </c>
      <c r="B58" t="str">
        <f t="shared" si="0"/>
        <v>"learn arabic speaking"</v>
      </c>
      <c r="G58" t="s">
        <v>149</v>
      </c>
    </row>
    <row r="59" spans="1:7" ht="48">
      <c r="A59" s="83" t="s">
        <v>243</v>
      </c>
      <c r="B59" t="str">
        <f t="shared" si="0"/>
        <v>"learn arabic through english"</v>
      </c>
      <c r="G59" t="s">
        <v>143</v>
      </c>
    </row>
    <row r="60" spans="1:7" ht="36">
      <c r="A60" s="83" t="s">
        <v>215</v>
      </c>
      <c r="B60" t="str">
        <f t="shared" si="0"/>
        <v>"learn arabic words"</v>
      </c>
      <c r="G60" t="s">
        <v>115</v>
      </c>
    </row>
    <row r="61" spans="1:7" ht="36">
      <c r="A61" s="83" t="s">
        <v>197</v>
      </c>
      <c r="B61" t="str">
        <f t="shared" si="0"/>
        <v>"learn basic arabic"</v>
      </c>
      <c r="G61" t="s">
        <v>97</v>
      </c>
    </row>
    <row r="62" spans="1:7" ht="36">
      <c r="A62" s="83" t="s">
        <v>214</v>
      </c>
      <c r="B62" t="str">
        <f t="shared" si="0"/>
        <v>"learn how to read arabic"</v>
      </c>
      <c r="G62" t="s">
        <v>114</v>
      </c>
    </row>
    <row r="63" spans="1:7" ht="36">
      <c r="A63" s="83" t="s">
        <v>178</v>
      </c>
      <c r="B63" t="str">
        <f t="shared" si="0"/>
        <v>"learn how to speak arabic"</v>
      </c>
      <c r="G63" t="s">
        <v>78</v>
      </c>
    </row>
    <row r="64" spans="1:7" ht="24">
      <c r="A64" s="83" t="s">
        <v>213</v>
      </c>
      <c r="B64" t="str">
        <f t="shared" si="0"/>
        <v>"learn lebanese"</v>
      </c>
      <c r="G64" t="s">
        <v>113</v>
      </c>
    </row>
    <row r="65" spans="1:7" ht="36">
      <c r="A65" s="83" t="s">
        <v>246</v>
      </c>
      <c r="B65" t="str">
        <f t="shared" si="0"/>
        <v>"learn lebanese arabic"</v>
      </c>
      <c r="G65" t="s">
        <v>146</v>
      </c>
    </row>
    <row r="66" spans="1:7" ht="48">
      <c r="A66" s="83" t="s">
        <v>280</v>
      </c>
      <c r="B66" t="str">
        <f t="shared" ref="B66:B129" si="1">CONCATENATE($C$1,A66,$C$1)</f>
        <v>"learn lebanese arabic lesson 1"</v>
      </c>
      <c r="G66" t="s">
        <v>275</v>
      </c>
    </row>
    <row r="67" spans="1:7" ht="36">
      <c r="A67" s="83" t="s">
        <v>268</v>
      </c>
      <c r="B67" t="str">
        <f t="shared" si="1"/>
        <v>"learn lebanese dialect"</v>
      </c>
      <c r="G67" t="s">
        <v>168</v>
      </c>
    </row>
    <row r="68" spans="1:7" ht="36">
      <c r="A68" s="83" t="s">
        <v>238</v>
      </c>
      <c r="B68" t="str">
        <f t="shared" si="1"/>
        <v>"learn lebanese language"</v>
      </c>
      <c r="G68" t="s">
        <v>138</v>
      </c>
    </row>
    <row r="69" spans="1:7" ht="36">
      <c r="A69" s="83" t="s">
        <v>223</v>
      </c>
      <c r="B69" t="str">
        <f t="shared" si="1"/>
        <v>"learn moroccan arabic"</v>
      </c>
      <c r="G69" t="s">
        <v>123</v>
      </c>
    </row>
    <row r="70" spans="1:7" ht="36">
      <c r="A70" s="83" t="s">
        <v>196</v>
      </c>
      <c r="B70" t="str">
        <f t="shared" si="1"/>
        <v>"learn speak arabic"</v>
      </c>
      <c r="G70" t="s">
        <v>96</v>
      </c>
    </row>
    <row r="71" spans="1:7" ht="36">
      <c r="A71" s="83" t="s">
        <v>224</v>
      </c>
      <c r="B71" t="str">
        <f t="shared" si="1"/>
        <v>"learn the arabic alphabet"</v>
      </c>
      <c r="G71" t="s">
        <v>124</v>
      </c>
    </row>
    <row r="72" spans="1:7" ht="24">
      <c r="A72" s="83" t="s">
        <v>252</v>
      </c>
      <c r="B72" t="str">
        <f t="shared" si="1"/>
        <v>"learn to arabic"</v>
      </c>
      <c r="G72" t="s">
        <v>152</v>
      </c>
    </row>
    <row r="73" spans="1:7" ht="36">
      <c r="A73" s="83" t="s">
        <v>207</v>
      </c>
      <c r="B73" t="str">
        <f t="shared" si="1"/>
        <v>"learn to read arabic"</v>
      </c>
      <c r="G73" t="s">
        <v>107</v>
      </c>
    </row>
    <row r="74" spans="1:7" ht="36">
      <c r="A74" s="83" t="s">
        <v>186</v>
      </c>
      <c r="B74" t="str">
        <f t="shared" si="1"/>
        <v>"learn to speak arabic"</v>
      </c>
      <c r="G74" t="s">
        <v>86</v>
      </c>
    </row>
    <row r="75" spans="1:7" ht="48">
      <c r="A75" s="83" t="s">
        <v>216</v>
      </c>
      <c r="B75" t="str">
        <f t="shared" si="1"/>
        <v>"learn to speak arabic free"</v>
      </c>
      <c r="G75" t="s">
        <v>116</v>
      </c>
    </row>
    <row r="76" spans="1:7" ht="36">
      <c r="A76" s="83" t="s">
        <v>210</v>
      </c>
      <c r="B76" t="str">
        <f t="shared" si="1"/>
        <v>"learn to write arabic"</v>
      </c>
      <c r="G76" t="s">
        <v>110</v>
      </c>
    </row>
    <row r="77" spans="1:7" ht="24">
      <c r="A77" s="83" t="s">
        <v>183</v>
      </c>
      <c r="B77" t="str">
        <f t="shared" si="1"/>
        <v>"learning arabic"</v>
      </c>
      <c r="G77" t="s">
        <v>83</v>
      </c>
    </row>
    <row r="78" spans="1:7" ht="36">
      <c r="A78" s="83" t="s">
        <v>253</v>
      </c>
      <c r="B78" t="str">
        <f t="shared" si="1"/>
        <v>"learning arabic for beginners"</v>
      </c>
      <c r="G78" t="s">
        <v>153</v>
      </c>
    </row>
    <row r="79" spans="1:7" ht="36">
      <c r="A79" s="83" t="s">
        <v>242</v>
      </c>
      <c r="B79" t="str">
        <f t="shared" si="1"/>
        <v>"learning arabic for kids"</v>
      </c>
      <c r="G79" t="s">
        <v>142</v>
      </c>
    </row>
    <row r="80" spans="1:7" ht="36">
      <c r="A80" s="83" t="s">
        <v>251</v>
      </c>
      <c r="B80" t="str">
        <f t="shared" si="1"/>
        <v>"learning arabic in london"</v>
      </c>
      <c r="G80" t="s">
        <v>151</v>
      </c>
    </row>
    <row r="81" spans="1:7" ht="36">
      <c r="A81" s="83" t="s">
        <v>184</v>
      </c>
      <c r="B81" t="str">
        <f t="shared" si="1"/>
        <v>"learning arabic language"</v>
      </c>
      <c r="G81" t="s">
        <v>84</v>
      </c>
    </row>
    <row r="82" spans="1:7" ht="36">
      <c r="A82" s="83" t="s">
        <v>189</v>
      </c>
      <c r="B82" t="str">
        <f t="shared" si="1"/>
        <v>"learning arabic online"</v>
      </c>
      <c r="G82" t="s">
        <v>89</v>
      </c>
    </row>
    <row r="83" spans="1:7" ht="36">
      <c r="A83" s="83" t="s">
        <v>220</v>
      </c>
      <c r="B83" t="str">
        <f t="shared" si="1"/>
        <v>"learning arabic words"</v>
      </c>
      <c r="G83" t="s">
        <v>120</v>
      </c>
    </row>
    <row r="84" spans="1:7" ht="36">
      <c r="A84" s="83" t="s">
        <v>248</v>
      </c>
      <c r="B84" t="str">
        <f t="shared" si="1"/>
        <v>"learning lebanese arabic"</v>
      </c>
      <c r="G84" t="s">
        <v>148</v>
      </c>
    </row>
    <row r="85" spans="1:7" ht="36">
      <c r="A85" s="83" t="s">
        <v>217</v>
      </c>
      <c r="B85" t="str">
        <f t="shared" si="1"/>
        <v>"learning the arabic language"</v>
      </c>
      <c r="G85" t="s">
        <v>117</v>
      </c>
    </row>
    <row r="86" spans="1:7" ht="36">
      <c r="A86" s="83" t="s">
        <v>182</v>
      </c>
      <c r="B86" t="str">
        <f t="shared" si="1"/>
        <v>"learning to speak arabic"</v>
      </c>
      <c r="G86" t="s">
        <v>82</v>
      </c>
    </row>
    <row r="87" spans="1:7" ht="24">
      <c r="A87" s="84" t="s">
        <v>254</v>
      </c>
      <c r="B87" t="str">
        <f t="shared" si="1"/>
        <v>"lebanese arab"</v>
      </c>
      <c r="G87" t="s">
        <v>154</v>
      </c>
    </row>
    <row r="88" spans="1:7" ht="24">
      <c r="A88" s="83" t="s">
        <v>212</v>
      </c>
      <c r="B88" t="str">
        <f t="shared" si="1"/>
        <v>"lebanese arabic"</v>
      </c>
      <c r="G88" t="s">
        <v>112</v>
      </c>
    </row>
    <row r="89" spans="1:7" ht="36">
      <c r="A89" s="83" t="s">
        <v>281</v>
      </c>
      <c r="B89" t="str">
        <f t="shared" si="1"/>
        <v>"lebanese arabic accent"</v>
      </c>
      <c r="G89" t="s">
        <v>276</v>
      </c>
    </row>
    <row r="90" spans="1:7" ht="48">
      <c r="A90" s="83" t="s">
        <v>282</v>
      </c>
      <c r="B90" t="str">
        <f t="shared" si="1"/>
        <v>"lebanese arabic conversation"</v>
      </c>
      <c r="G90" t="s">
        <v>277</v>
      </c>
    </row>
    <row r="91" spans="1:7" ht="36">
      <c r="A91" s="83" t="s">
        <v>269</v>
      </c>
      <c r="B91" t="str">
        <f t="shared" si="1"/>
        <v>"lebanese arabic dictionary"</v>
      </c>
      <c r="G91" t="s">
        <v>169</v>
      </c>
    </row>
    <row r="92" spans="1:7" ht="36">
      <c r="A92" s="83" t="s">
        <v>272</v>
      </c>
      <c r="B92" t="str">
        <f t="shared" si="1"/>
        <v>"lebanese arabic language"</v>
      </c>
      <c r="G92" t="s">
        <v>172</v>
      </c>
    </row>
    <row r="93" spans="1:7" ht="36.75" thickBot="1">
      <c r="A93" s="69" t="s">
        <v>267</v>
      </c>
      <c r="B93" t="str">
        <f t="shared" si="1"/>
        <v>"lebanese arabic lesson"</v>
      </c>
      <c r="G93" t="s">
        <v>167</v>
      </c>
    </row>
    <row r="94" spans="1:7" ht="48.75" thickBot="1">
      <c r="A94" s="69" t="s">
        <v>279</v>
      </c>
      <c r="B94" t="str">
        <f t="shared" si="1"/>
        <v>"lebanese arabic phrasebook"</v>
      </c>
      <c r="G94" t="s">
        <v>274</v>
      </c>
    </row>
    <row r="95" spans="1:7" ht="36.75" thickBot="1">
      <c r="A95" s="69" t="s">
        <v>259</v>
      </c>
      <c r="B95" t="str">
        <f t="shared" si="1"/>
        <v>"lebanese arabic phrases"</v>
      </c>
      <c r="G95" t="s">
        <v>159</v>
      </c>
    </row>
    <row r="96" spans="1:7" ht="48.75" thickBot="1">
      <c r="A96" s="69" t="s">
        <v>261</v>
      </c>
      <c r="B96" t="str">
        <f t="shared" si="1"/>
        <v>"lebanese arabic translation"</v>
      </c>
      <c r="G96" t="s">
        <v>161</v>
      </c>
    </row>
    <row r="97" spans="1:7" ht="36.75" thickBot="1">
      <c r="A97" s="69" t="s">
        <v>270</v>
      </c>
      <c r="B97" t="str">
        <f t="shared" si="1"/>
        <v>"lebanese arabic translator"</v>
      </c>
      <c r="G97" t="s">
        <v>170</v>
      </c>
    </row>
    <row r="98" spans="1:7" ht="36.75" thickBot="1">
      <c r="A98" s="69" t="s">
        <v>271</v>
      </c>
      <c r="B98" t="str">
        <f t="shared" si="1"/>
        <v>"lebanese arabic words"</v>
      </c>
      <c r="G98" t="s">
        <v>171</v>
      </c>
    </row>
    <row r="99" spans="1:7" ht="36.75" thickBot="1">
      <c r="A99" s="69" t="s">
        <v>244</v>
      </c>
      <c r="B99" t="str">
        <f t="shared" si="1"/>
        <v>"should i learn arabic"</v>
      </c>
      <c r="G99" t="s">
        <v>144</v>
      </c>
    </row>
    <row r="100" spans="1:7" ht="24.75" thickBot="1">
      <c r="A100" s="69" t="s">
        <v>175</v>
      </c>
      <c r="B100" t="str">
        <f t="shared" si="1"/>
        <v>"speaking arabic"</v>
      </c>
      <c r="G100" t="s">
        <v>75</v>
      </c>
    </row>
    <row r="101" spans="1:7" ht="24.75" thickBot="1">
      <c r="A101" s="69" t="s">
        <v>201</v>
      </c>
      <c r="B101" t="str">
        <f t="shared" si="1"/>
        <v>"spoken arabic"</v>
      </c>
      <c r="G101" t="s">
        <v>101</v>
      </c>
    </row>
    <row r="102" spans="1:7" ht="24.75" thickBot="1">
      <c r="A102" s="69" t="s">
        <v>199</v>
      </c>
      <c r="B102" t="str">
        <f t="shared" si="1"/>
        <v>"study arabic"</v>
      </c>
      <c r="G102" t="s">
        <v>99</v>
      </c>
    </row>
    <row r="103" spans="1:7" ht="36.75" thickBot="1">
      <c r="A103" s="69" t="s">
        <v>194</v>
      </c>
      <c r="B103" t="str">
        <f t="shared" si="1"/>
        <v>"teach yourself arabic"</v>
      </c>
      <c r="G103" t="s">
        <v>94</v>
      </c>
    </row>
    <row r="104" spans="1:7" ht="24.75" thickBot="1">
      <c r="A104" s="69" t="s">
        <v>227</v>
      </c>
      <c r="B104" t="str">
        <f t="shared" si="1"/>
        <v>"to learn arabic"</v>
      </c>
      <c r="G104" t="s">
        <v>127</v>
      </c>
    </row>
    <row r="105" spans="1:7" ht="36.75" thickBot="1">
      <c r="A105" s="69" t="s">
        <v>278</v>
      </c>
      <c r="B105" t="str">
        <f t="shared" si="1"/>
        <v>"tools to learn arabic"</v>
      </c>
      <c r="G105" t="s">
        <v>273</v>
      </c>
    </row>
    <row r="106" spans="1:7" ht="36">
      <c r="A106" s="85" t="s">
        <v>190</v>
      </c>
      <c r="B106" t="str">
        <f t="shared" si="1"/>
        <v>"learn arabic language"</v>
      </c>
      <c r="G106" t="s">
        <v>324</v>
      </c>
    </row>
    <row r="107" spans="1:7" ht="36">
      <c r="A107" s="85" t="s">
        <v>184</v>
      </c>
      <c r="B107" t="str">
        <f t="shared" si="1"/>
        <v>"learning arabic language"</v>
      </c>
      <c r="G107" t="s">
        <v>325</v>
      </c>
    </row>
    <row r="108" spans="1:7" ht="48">
      <c r="A108" s="85" t="s">
        <v>221</v>
      </c>
      <c r="B108" t="str">
        <f t="shared" si="1"/>
        <v>"how to learn arabic language"</v>
      </c>
      <c r="G108" t="s">
        <v>326</v>
      </c>
    </row>
    <row r="109" spans="1:7" ht="36">
      <c r="A109" s="85" t="s">
        <v>286</v>
      </c>
      <c r="B109" t="str">
        <f t="shared" si="1"/>
        <v>"arabic language classes"</v>
      </c>
      <c r="G109" t="s">
        <v>327</v>
      </c>
    </row>
    <row r="110" spans="1:7" ht="48">
      <c r="A110" s="85" t="s">
        <v>287</v>
      </c>
      <c r="B110" t="str">
        <f t="shared" si="1"/>
        <v>"arabic language translation"</v>
      </c>
      <c r="G110" t="s">
        <v>328</v>
      </c>
    </row>
    <row r="111" spans="1:7" ht="24">
      <c r="A111" s="85" t="s">
        <v>288</v>
      </c>
      <c r="B111" t="str">
        <f t="shared" si="1"/>
        <v>"the arabic language"</v>
      </c>
      <c r="G111" t="s">
        <v>329</v>
      </c>
    </row>
    <row r="112" spans="1:7" ht="36">
      <c r="A112" s="85" t="s">
        <v>289</v>
      </c>
      <c r="B112" t="str">
        <f t="shared" si="1"/>
        <v>"arabic language lessons"</v>
      </c>
      <c r="G112" t="s">
        <v>330</v>
      </c>
    </row>
    <row r="113" spans="1:7" ht="36">
      <c r="A113" s="85" t="s">
        <v>290</v>
      </c>
      <c r="B113" t="str">
        <f t="shared" si="1"/>
        <v>"arabic languages"</v>
      </c>
      <c r="G113" t="s">
        <v>331</v>
      </c>
    </row>
    <row r="114" spans="1:7" ht="24">
      <c r="A114" s="85" t="s">
        <v>183</v>
      </c>
      <c r="B114" t="str">
        <f t="shared" si="1"/>
        <v>"learning arabic"</v>
      </c>
      <c r="G114" t="s">
        <v>332</v>
      </c>
    </row>
    <row r="115" spans="1:7" ht="36">
      <c r="A115" s="85" t="s">
        <v>291</v>
      </c>
      <c r="B115" t="str">
        <f t="shared" si="1"/>
        <v>"arabic language school"</v>
      </c>
      <c r="G115" t="s">
        <v>333</v>
      </c>
    </row>
    <row r="116" spans="1:7" ht="24">
      <c r="A116" s="85" t="s">
        <v>176</v>
      </c>
      <c r="B116" t="str">
        <f t="shared" si="1"/>
        <v>"learn arabic"</v>
      </c>
      <c r="G116" t="s">
        <v>334</v>
      </c>
    </row>
    <row r="117" spans="1:7" ht="24">
      <c r="A117" s="85" t="s">
        <v>292</v>
      </c>
      <c r="B117" t="str">
        <f t="shared" si="1"/>
        <v>"arabic classes"</v>
      </c>
      <c r="G117" t="s">
        <v>335</v>
      </c>
    </row>
    <row r="118" spans="1:7" ht="36">
      <c r="A118" s="85" t="s">
        <v>293</v>
      </c>
      <c r="B118" t="str">
        <f t="shared" si="1"/>
        <v>"arabic language software"</v>
      </c>
      <c r="G118" t="s">
        <v>336</v>
      </c>
    </row>
    <row r="119" spans="1:7" ht="36">
      <c r="A119" s="85" t="s">
        <v>294</v>
      </c>
      <c r="B119" t="str">
        <f t="shared" si="1"/>
        <v>"arabic language study"</v>
      </c>
      <c r="G119" t="s">
        <v>337</v>
      </c>
    </row>
    <row r="120" spans="1:7" ht="48">
      <c r="A120" s="85" t="s">
        <v>225</v>
      </c>
      <c r="B120" t="str">
        <f t="shared" si="1"/>
        <v>"learn arabic language online"</v>
      </c>
      <c r="G120" t="s">
        <v>338</v>
      </c>
    </row>
    <row r="121" spans="1:7" ht="36">
      <c r="A121" s="85" t="s">
        <v>203</v>
      </c>
      <c r="B121" t="str">
        <f t="shared" si="1"/>
        <v>"how to learn arabic"</v>
      </c>
      <c r="G121" t="s">
        <v>339</v>
      </c>
    </row>
    <row r="122" spans="1:7" ht="36">
      <c r="A122" s="85" t="s">
        <v>295</v>
      </c>
      <c r="B122" t="str">
        <f t="shared" si="1"/>
        <v>"arabic language learn"</v>
      </c>
      <c r="G122" t="s">
        <v>340</v>
      </c>
    </row>
    <row r="123" spans="1:7" ht="36">
      <c r="A123" s="85" t="s">
        <v>191</v>
      </c>
      <c r="B123" t="str">
        <f t="shared" si="1"/>
        <v>"learn arabic online"</v>
      </c>
      <c r="G123" t="s">
        <v>341</v>
      </c>
    </row>
    <row r="124" spans="1:7" ht="36">
      <c r="A124" s="85" t="s">
        <v>296</v>
      </c>
      <c r="B124" t="str">
        <f t="shared" si="1"/>
        <v>"arabic language institute"</v>
      </c>
      <c r="G124" t="s">
        <v>342</v>
      </c>
    </row>
    <row r="125" spans="1:7" ht="24">
      <c r="A125" s="85" t="s">
        <v>297</v>
      </c>
      <c r="B125" t="str">
        <f t="shared" si="1"/>
        <v>"arabic learning"</v>
      </c>
      <c r="G125" t="s">
        <v>343</v>
      </c>
    </row>
    <row r="126" spans="1:7" ht="36">
      <c r="A126" s="85" t="s">
        <v>298</v>
      </c>
      <c r="B126" t="str">
        <f t="shared" si="1"/>
        <v>"arabic language online"</v>
      </c>
      <c r="G126" t="s">
        <v>344</v>
      </c>
    </row>
    <row r="127" spans="1:7" ht="36">
      <c r="A127" s="85" t="s">
        <v>186</v>
      </c>
      <c r="B127" t="str">
        <f t="shared" si="1"/>
        <v>"learn to speak arabic"</v>
      </c>
      <c r="G127" t="s">
        <v>345</v>
      </c>
    </row>
    <row r="128" spans="1:7" ht="24">
      <c r="A128" s="85" t="s">
        <v>299</v>
      </c>
      <c r="B128" t="str">
        <f t="shared" si="1"/>
        <v>"arabic letters"</v>
      </c>
      <c r="G128" t="s">
        <v>346</v>
      </c>
    </row>
    <row r="129" spans="1:7" ht="36">
      <c r="A129" s="85" t="s">
        <v>177</v>
      </c>
      <c r="B129" t="str">
        <f t="shared" si="1"/>
        <v>"how to speak arabic"</v>
      </c>
      <c r="G129" t="s">
        <v>347</v>
      </c>
    </row>
    <row r="130" spans="1:7" ht="36">
      <c r="A130" s="85" t="s">
        <v>300</v>
      </c>
      <c r="B130" t="str">
        <f t="shared" ref="B130:B169" si="2">CONCATENATE($C$1,A130,$C$1)</f>
        <v>"arabic language lesson"</v>
      </c>
      <c r="G130" t="s">
        <v>348</v>
      </c>
    </row>
    <row r="131" spans="1:7" ht="24">
      <c r="A131" s="85" t="s">
        <v>173</v>
      </c>
      <c r="B131" t="str">
        <f t="shared" si="2"/>
        <v>"arabic words"</v>
      </c>
      <c r="G131" t="s">
        <v>349</v>
      </c>
    </row>
    <row r="132" spans="1:7" ht="36">
      <c r="A132" s="85" t="s">
        <v>301</v>
      </c>
      <c r="B132" t="str">
        <f t="shared" si="2"/>
        <v>"arabic language family"</v>
      </c>
      <c r="G132" t="s">
        <v>350</v>
      </c>
    </row>
    <row r="133" spans="1:7" ht="24">
      <c r="A133" s="85" t="s">
        <v>302</v>
      </c>
      <c r="B133" t="str">
        <f t="shared" si="2"/>
        <v>"arabic lesson"</v>
      </c>
      <c r="G133" t="s">
        <v>351</v>
      </c>
    </row>
    <row r="134" spans="1:7" ht="36">
      <c r="A134" s="85" t="s">
        <v>192</v>
      </c>
      <c r="B134" t="str">
        <f t="shared" si="2"/>
        <v>"arabic vocabulary"</v>
      </c>
      <c r="G134" t="s">
        <v>352</v>
      </c>
    </row>
    <row r="135" spans="1:7" ht="36">
      <c r="A135" s="85" t="s">
        <v>303</v>
      </c>
      <c r="B135" t="str">
        <f t="shared" si="2"/>
        <v>"arabic language programs"</v>
      </c>
      <c r="G135" t="s">
        <v>353</v>
      </c>
    </row>
    <row r="136" spans="1:7" ht="36">
      <c r="A136" s="85" t="s">
        <v>304</v>
      </c>
      <c r="B136" t="str">
        <f t="shared" si="2"/>
        <v>"arabic language training"</v>
      </c>
      <c r="G136" t="s">
        <v>354</v>
      </c>
    </row>
    <row r="137" spans="1:7" ht="24">
      <c r="A137" s="85" t="s">
        <v>305</v>
      </c>
      <c r="B137" t="str">
        <f t="shared" si="2"/>
        <v>"arabic course"</v>
      </c>
      <c r="G137" t="s">
        <v>355</v>
      </c>
    </row>
    <row r="138" spans="1:7" ht="24">
      <c r="A138" s="85" t="s">
        <v>306</v>
      </c>
      <c r="B138" t="str">
        <f t="shared" si="2"/>
        <v>"speak arabic"</v>
      </c>
      <c r="G138" t="s">
        <v>356</v>
      </c>
    </row>
    <row r="139" spans="1:7" ht="48">
      <c r="A139" s="85" t="s">
        <v>307</v>
      </c>
      <c r="B139" t="str">
        <f t="shared" si="2"/>
        <v>"arabic language learning software"</v>
      </c>
      <c r="G139" t="s">
        <v>357</v>
      </c>
    </row>
    <row r="140" spans="1:7" ht="36">
      <c r="A140" s="85" t="s">
        <v>308</v>
      </c>
      <c r="B140" t="str">
        <f t="shared" si="2"/>
        <v>"arabic language schools"</v>
      </c>
      <c r="G140" t="s">
        <v>358</v>
      </c>
    </row>
    <row r="141" spans="1:7" ht="36">
      <c r="A141" s="85" t="s">
        <v>309</v>
      </c>
      <c r="B141" t="str">
        <f t="shared" si="2"/>
        <v>"study arabic language"</v>
      </c>
      <c r="G141" t="s">
        <v>359</v>
      </c>
    </row>
    <row r="142" spans="1:7" ht="36">
      <c r="A142" s="85" t="s">
        <v>230</v>
      </c>
      <c r="B142" t="str">
        <f t="shared" si="2"/>
        <v>"best way to learn arabic"</v>
      </c>
      <c r="G142" t="s">
        <v>360</v>
      </c>
    </row>
    <row r="143" spans="1:7" ht="36">
      <c r="A143" s="85" t="s">
        <v>310</v>
      </c>
      <c r="B143" t="str">
        <f t="shared" si="2"/>
        <v>"how to read arabic"</v>
      </c>
      <c r="G143" t="s">
        <v>361</v>
      </c>
    </row>
    <row r="144" spans="1:7" ht="36">
      <c r="A144" s="85" t="s">
        <v>215</v>
      </c>
      <c r="B144" t="str">
        <f t="shared" si="2"/>
        <v>"learn arabic words"</v>
      </c>
    </row>
    <row r="145" spans="1:2" ht="36">
      <c r="A145" s="85" t="s">
        <v>189</v>
      </c>
      <c r="B145" t="str">
        <f t="shared" si="2"/>
        <v>"learning arabic online"</v>
      </c>
    </row>
    <row r="146" spans="1:2" ht="48">
      <c r="A146" s="85" t="s">
        <v>311</v>
      </c>
      <c r="B146" t="str">
        <f t="shared" si="2"/>
        <v>"how to speak arabic language"</v>
      </c>
    </row>
    <row r="147" spans="1:2" ht="36">
      <c r="A147" s="85" t="s">
        <v>312</v>
      </c>
      <c r="B147" t="str">
        <f t="shared" si="2"/>
        <v>"arabic sentences"</v>
      </c>
    </row>
    <row r="148" spans="1:2" ht="36">
      <c r="A148" s="85" t="s">
        <v>232</v>
      </c>
      <c r="B148" t="str">
        <f t="shared" si="2"/>
        <v>"how to learn arabic fast"</v>
      </c>
    </row>
    <row r="149" spans="1:2" ht="36">
      <c r="A149" s="85" t="s">
        <v>222</v>
      </c>
      <c r="B149" t="str">
        <f t="shared" si="2"/>
        <v>"i want to learn arabic"</v>
      </c>
    </row>
    <row r="150" spans="1:2" ht="48">
      <c r="A150" s="85" t="s">
        <v>313</v>
      </c>
      <c r="B150" t="str">
        <f t="shared" si="2"/>
        <v>"arabic language for beginners"</v>
      </c>
    </row>
    <row r="151" spans="1:2" ht="24">
      <c r="A151" s="85" t="s">
        <v>199</v>
      </c>
      <c r="B151" t="str">
        <f t="shared" si="2"/>
        <v>"study arabic"</v>
      </c>
    </row>
    <row r="152" spans="1:2" ht="24">
      <c r="A152" s="85" t="s">
        <v>314</v>
      </c>
      <c r="B152" t="str">
        <f t="shared" si="2"/>
        <v>"language arabic"</v>
      </c>
    </row>
    <row r="153" spans="1:2" ht="24">
      <c r="A153" s="85" t="s">
        <v>212</v>
      </c>
      <c r="B153" t="str">
        <f t="shared" si="2"/>
        <v>"lebanese arabic"</v>
      </c>
    </row>
    <row r="154" spans="1:2" ht="36">
      <c r="A154" s="85" t="s">
        <v>248</v>
      </c>
      <c r="B154" t="str">
        <f t="shared" si="2"/>
        <v>"learning lebanese arabic"</v>
      </c>
    </row>
    <row r="155" spans="1:2" ht="24">
      <c r="A155" s="85" t="s">
        <v>202</v>
      </c>
      <c r="B155" t="str">
        <f t="shared" si="2"/>
        <v>"arabic lessons"</v>
      </c>
    </row>
    <row r="156" spans="1:2" ht="36">
      <c r="A156" s="85" t="s">
        <v>315</v>
      </c>
      <c r="B156" t="str">
        <f t="shared" si="2"/>
        <v>"arabic lessons online"</v>
      </c>
    </row>
    <row r="157" spans="1:2" ht="24">
      <c r="A157" s="85" t="s">
        <v>316</v>
      </c>
      <c r="B157" t="str">
        <f t="shared" si="2"/>
        <v>"arabic lesson 1"</v>
      </c>
    </row>
    <row r="158" spans="1:2" ht="24">
      <c r="A158" s="85" t="s">
        <v>317</v>
      </c>
      <c r="B158" t="str">
        <f t="shared" si="2"/>
        <v>"lebanese language"</v>
      </c>
    </row>
    <row r="159" spans="1:2" ht="48">
      <c r="A159" s="85" t="s">
        <v>318</v>
      </c>
      <c r="B159" t="str">
        <f t="shared" si="2"/>
        <v>"learn lebanese arabic online"</v>
      </c>
    </row>
    <row r="160" spans="1:2" ht="36">
      <c r="A160" s="85" t="s">
        <v>187</v>
      </c>
      <c r="B160" t="str">
        <f t="shared" si="2"/>
        <v>"arabic language course"</v>
      </c>
    </row>
    <row r="161" spans="1:2" ht="48">
      <c r="A161" s="85" t="s">
        <v>319</v>
      </c>
      <c r="B161" t="str">
        <f t="shared" si="2"/>
        <v>"arabic lessons for beginners"</v>
      </c>
    </row>
    <row r="162" spans="1:2" ht="48">
      <c r="A162" s="85" t="s">
        <v>266</v>
      </c>
      <c r="B162" t="str">
        <f t="shared" si="2"/>
        <v>"how to learn lebanese arabic"</v>
      </c>
    </row>
    <row r="163" spans="1:2" ht="24">
      <c r="A163" s="85" t="s">
        <v>179</v>
      </c>
      <c r="B163" t="str">
        <f t="shared" si="2"/>
        <v>"arabic language"</v>
      </c>
    </row>
    <row r="164" spans="1:2" ht="24">
      <c r="A164" s="85" t="s">
        <v>320</v>
      </c>
      <c r="B164" t="str">
        <f t="shared" si="2"/>
        <v>"learning lebanese"</v>
      </c>
    </row>
    <row r="165" spans="1:2" ht="36">
      <c r="A165" s="85" t="s">
        <v>321</v>
      </c>
      <c r="B165" t="str">
        <f t="shared" si="2"/>
        <v>"online arabic lessons"</v>
      </c>
    </row>
    <row r="166" spans="1:2" ht="24">
      <c r="A166" s="85" t="s">
        <v>185</v>
      </c>
      <c r="B166" t="str">
        <f t="shared" si="2"/>
        <v>"arabic for beginners"</v>
      </c>
    </row>
    <row r="167" spans="1:2" ht="36">
      <c r="A167" s="85" t="s">
        <v>253</v>
      </c>
      <c r="B167" t="str">
        <f t="shared" si="2"/>
        <v>"learning arabic for beginners"</v>
      </c>
    </row>
    <row r="168" spans="1:2" ht="36">
      <c r="A168" s="85" t="s">
        <v>322</v>
      </c>
      <c r="B168" t="str">
        <f t="shared" si="2"/>
        <v>"learn arabic lesson 1"</v>
      </c>
    </row>
    <row r="169" spans="1:2" ht="36">
      <c r="A169" s="85" t="s">
        <v>323</v>
      </c>
      <c r="B169" t="str">
        <f t="shared" si="2"/>
        <v>"how to learn lebanese"</v>
      </c>
    </row>
    <row r="170" spans="1:2" ht="15.75" thickBot="1">
      <c r="A170" s="82"/>
    </row>
    <row r="171" spans="1:2" ht="15.75" thickBot="1">
      <c r="A171" s="82"/>
    </row>
    <row r="172" spans="1:2" ht="15.75" thickBot="1">
      <c r="A172" s="82"/>
    </row>
    <row r="173" spans="1:2" ht="15.75" thickBot="1">
      <c r="A173" s="82"/>
    </row>
    <row r="174" spans="1:2" ht="15.75" thickBot="1">
      <c r="A174" s="82"/>
    </row>
    <row r="175" spans="1:2" ht="15.75" thickBot="1">
      <c r="A175" s="82"/>
    </row>
    <row r="176" spans="1:2" ht="15.75" thickBot="1">
      <c r="A176" s="82"/>
    </row>
    <row r="177" spans="1:1" ht="15.75" thickBot="1">
      <c r="A177" s="82"/>
    </row>
    <row r="178" spans="1:1" ht="15.75" thickBot="1">
      <c r="A178" s="82"/>
    </row>
    <row r="179" spans="1:1" ht="15.75" thickBot="1">
      <c r="A179" s="82"/>
    </row>
    <row r="180" spans="1:1" ht="15.75" thickBot="1">
      <c r="A180" s="82"/>
    </row>
    <row r="181" spans="1:1" ht="15.75" thickBot="1">
      <c r="A181" s="82"/>
    </row>
    <row r="182" spans="1:1" ht="15.75" thickBot="1">
      <c r="A182" s="82"/>
    </row>
    <row r="183" spans="1:1" ht="15.75" thickBot="1">
      <c r="A183" s="82"/>
    </row>
    <row r="184" spans="1:1" ht="15.75" thickBot="1">
      <c r="A184" s="82"/>
    </row>
    <row r="185" spans="1:1" ht="15.75" thickBot="1">
      <c r="A185" s="82"/>
    </row>
    <row r="186" spans="1:1" ht="15.75" thickBot="1">
      <c r="A186" s="82"/>
    </row>
    <row r="187" spans="1:1" ht="15.75" thickBot="1">
      <c r="A187" s="82"/>
    </row>
    <row r="188" spans="1:1" ht="15.75" thickBot="1">
      <c r="A188" s="82"/>
    </row>
    <row r="189" spans="1:1" ht="15.75" thickBot="1">
      <c r="A189" s="82"/>
    </row>
    <row r="190" spans="1:1" ht="15.75" thickBot="1">
      <c r="A190" s="82"/>
    </row>
    <row r="191" spans="1:1" ht="15.75" thickBot="1">
      <c r="A191" s="82"/>
    </row>
    <row r="192" spans="1:1" ht="15.75" thickBot="1">
      <c r="A192" s="82"/>
    </row>
    <row r="193" spans="1:1" ht="15.75" thickBot="1">
      <c r="A193" s="82"/>
    </row>
    <row r="194" spans="1:1" ht="15.75" thickBot="1">
      <c r="A194" s="82"/>
    </row>
    <row r="195" spans="1:1" ht="15.75" thickBot="1">
      <c r="A195" s="82"/>
    </row>
    <row r="196" spans="1:1" ht="15.75" thickBot="1">
      <c r="A196" s="82"/>
    </row>
    <row r="197" spans="1:1" ht="15.75" thickBot="1">
      <c r="A197" s="82"/>
    </row>
    <row r="198" spans="1:1" ht="15.75" thickBot="1">
      <c r="A198" s="82"/>
    </row>
  </sheetData>
  <sortState ref="A1:A198">
    <sortCondition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4"/>
  <sheetViews>
    <sheetView topLeftCell="A58" workbookViewId="0">
      <selection sqref="A1:A64"/>
    </sheetView>
  </sheetViews>
  <sheetFormatPr defaultRowHeight="15"/>
  <sheetData>
    <row r="1" spans="1:2" ht="36">
      <c r="A1" s="85" t="s">
        <v>190</v>
      </c>
      <c r="B1" s="86" t="s">
        <v>285</v>
      </c>
    </row>
    <row r="2" spans="1:2" ht="36">
      <c r="A2" s="85" t="s">
        <v>184</v>
      </c>
      <c r="B2" s="86" t="s">
        <v>285</v>
      </c>
    </row>
    <row r="3" spans="1:2" ht="48">
      <c r="A3" s="85" t="s">
        <v>221</v>
      </c>
      <c r="B3" s="86" t="s">
        <v>285</v>
      </c>
    </row>
    <row r="4" spans="1:2" ht="36">
      <c r="A4" s="85" t="s">
        <v>286</v>
      </c>
      <c r="B4" s="86" t="s">
        <v>285</v>
      </c>
    </row>
    <row r="5" spans="1:2" ht="48">
      <c r="A5" s="85" t="s">
        <v>287</v>
      </c>
      <c r="B5" s="86" t="s">
        <v>285</v>
      </c>
    </row>
    <row r="6" spans="1:2" ht="24">
      <c r="A6" s="85" t="s">
        <v>288</v>
      </c>
      <c r="B6" s="86" t="s">
        <v>285</v>
      </c>
    </row>
    <row r="7" spans="1:2" ht="36">
      <c r="A7" s="85" t="s">
        <v>289</v>
      </c>
      <c r="B7" s="86" t="s">
        <v>285</v>
      </c>
    </row>
    <row r="8" spans="1:2" ht="36">
      <c r="A8" s="85" t="s">
        <v>290</v>
      </c>
      <c r="B8" s="86" t="s">
        <v>285</v>
      </c>
    </row>
    <row r="9" spans="1:2" ht="24">
      <c r="A9" s="85" t="s">
        <v>183</v>
      </c>
      <c r="B9" s="86" t="s">
        <v>285</v>
      </c>
    </row>
    <row r="10" spans="1:2" ht="36">
      <c r="A10" s="85" t="s">
        <v>291</v>
      </c>
      <c r="B10" s="86" t="s">
        <v>285</v>
      </c>
    </row>
    <row r="11" spans="1:2" ht="24">
      <c r="A11" s="85" t="s">
        <v>176</v>
      </c>
      <c r="B11" s="86" t="s">
        <v>285</v>
      </c>
    </row>
    <row r="12" spans="1:2" ht="24">
      <c r="A12" s="85" t="s">
        <v>292</v>
      </c>
      <c r="B12" s="86" t="s">
        <v>285</v>
      </c>
    </row>
    <row r="13" spans="1:2" ht="36">
      <c r="A13" s="85" t="s">
        <v>293</v>
      </c>
      <c r="B13" s="86" t="s">
        <v>285</v>
      </c>
    </row>
    <row r="14" spans="1:2" ht="36">
      <c r="A14" s="85" t="s">
        <v>294</v>
      </c>
      <c r="B14" s="86" t="s">
        <v>285</v>
      </c>
    </row>
    <row r="15" spans="1:2" ht="48">
      <c r="A15" s="85" t="s">
        <v>225</v>
      </c>
      <c r="B15" s="86" t="s">
        <v>285</v>
      </c>
    </row>
    <row r="16" spans="1:2" ht="36">
      <c r="A16" s="85" t="s">
        <v>203</v>
      </c>
      <c r="B16" s="86" t="s">
        <v>285</v>
      </c>
    </row>
    <row r="17" spans="1:2" ht="36">
      <c r="A17" s="85" t="s">
        <v>295</v>
      </c>
      <c r="B17" s="86" t="s">
        <v>285</v>
      </c>
    </row>
    <row r="18" spans="1:2" ht="36">
      <c r="A18" s="85" t="s">
        <v>191</v>
      </c>
      <c r="B18" s="86" t="s">
        <v>285</v>
      </c>
    </row>
    <row r="19" spans="1:2" ht="36">
      <c r="A19" s="85" t="s">
        <v>296</v>
      </c>
      <c r="B19" s="86" t="s">
        <v>285</v>
      </c>
    </row>
    <row r="20" spans="1:2" ht="24">
      <c r="A20" s="85" t="s">
        <v>297</v>
      </c>
      <c r="B20" s="86" t="s">
        <v>285</v>
      </c>
    </row>
    <row r="21" spans="1:2" ht="36">
      <c r="A21" s="85" t="s">
        <v>298</v>
      </c>
      <c r="B21" s="86" t="s">
        <v>285</v>
      </c>
    </row>
    <row r="22" spans="1:2" ht="36">
      <c r="A22" s="85" t="s">
        <v>186</v>
      </c>
      <c r="B22" s="86" t="s">
        <v>285</v>
      </c>
    </row>
    <row r="23" spans="1:2" ht="24">
      <c r="A23" s="85" t="s">
        <v>299</v>
      </c>
      <c r="B23" s="86" t="s">
        <v>285</v>
      </c>
    </row>
    <row r="24" spans="1:2" ht="36">
      <c r="A24" s="85" t="s">
        <v>177</v>
      </c>
      <c r="B24" s="86" t="s">
        <v>285</v>
      </c>
    </row>
    <row r="25" spans="1:2" ht="36">
      <c r="A25" s="85" t="s">
        <v>300</v>
      </c>
      <c r="B25" s="86" t="s">
        <v>285</v>
      </c>
    </row>
    <row r="26" spans="1:2" ht="24">
      <c r="A26" s="85" t="s">
        <v>173</v>
      </c>
      <c r="B26" s="86" t="s">
        <v>285</v>
      </c>
    </row>
    <row r="27" spans="1:2" ht="36">
      <c r="A27" s="85" t="s">
        <v>301</v>
      </c>
      <c r="B27" s="86" t="s">
        <v>285</v>
      </c>
    </row>
    <row r="28" spans="1:2" ht="24">
      <c r="A28" s="85" t="s">
        <v>302</v>
      </c>
      <c r="B28" s="86" t="s">
        <v>285</v>
      </c>
    </row>
    <row r="29" spans="1:2" ht="36">
      <c r="A29" s="85" t="s">
        <v>192</v>
      </c>
      <c r="B29" s="86" t="s">
        <v>285</v>
      </c>
    </row>
    <row r="30" spans="1:2" ht="36">
      <c r="A30" s="85" t="s">
        <v>303</v>
      </c>
      <c r="B30" s="86" t="s">
        <v>285</v>
      </c>
    </row>
    <row r="31" spans="1:2" ht="36">
      <c r="A31" s="85" t="s">
        <v>304</v>
      </c>
      <c r="B31" s="86" t="s">
        <v>285</v>
      </c>
    </row>
    <row r="32" spans="1:2" ht="24">
      <c r="A32" s="85" t="s">
        <v>305</v>
      </c>
      <c r="B32" s="86" t="s">
        <v>285</v>
      </c>
    </row>
    <row r="33" spans="1:2" ht="24">
      <c r="A33" s="85" t="s">
        <v>306</v>
      </c>
      <c r="B33" s="86" t="s">
        <v>285</v>
      </c>
    </row>
    <row r="34" spans="1:2" ht="48">
      <c r="A34" s="85" t="s">
        <v>307</v>
      </c>
      <c r="B34" s="86" t="s">
        <v>285</v>
      </c>
    </row>
    <row r="35" spans="1:2" ht="36">
      <c r="A35" s="85" t="s">
        <v>308</v>
      </c>
      <c r="B35" s="86" t="s">
        <v>285</v>
      </c>
    </row>
    <row r="36" spans="1:2" ht="36">
      <c r="A36" s="85" t="s">
        <v>309</v>
      </c>
      <c r="B36" s="86" t="s">
        <v>285</v>
      </c>
    </row>
    <row r="37" spans="1:2" ht="36">
      <c r="A37" s="85" t="s">
        <v>230</v>
      </c>
      <c r="B37" s="86" t="s">
        <v>285</v>
      </c>
    </row>
    <row r="38" spans="1:2" ht="36">
      <c r="A38" s="85" t="s">
        <v>310</v>
      </c>
      <c r="B38" s="86" t="s">
        <v>285</v>
      </c>
    </row>
    <row r="39" spans="1:2" ht="36">
      <c r="A39" s="85" t="s">
        <v>215</v>
      </c>
      <c r="B39" s="86" t="s">
        <v>285</v>
      </c>
    </row>
    <row r="40" spans="1:2" ht="36">
      <c r="A40" s="85" t="s">
        <v>189</v>
      </c>
      <c r="B40" s="86" t="s">
        <v>285</v>
      </c>
    </row>
    <row r="41" spans="1:2" ht="48">
      <c r="A41" s="85" t="s">
        <v>311</v>
      </c>
      <c r="B41" s="86" t="s">
        <v>285</v>
      </c>
    </row>
    <row r="42" spans="1:2" ht="36">
      <c r="A42" s="85" t="s">
        <v>312</v>
      </c>
      <c r="B42" s="86" t="s">
        <v>285</v>
      </c>
    </row>
    <row r="43" spans="1:2" ht="36">
      <c r="A43" s="85" t="s">
        <v>232</v>
      </c>
      <c r="B43" s="86" t="s">
        <v>285</v>
      </c>
    </row>
    <row r="44" spans="1:2" ht="36">
      <c r="A44" s="85" t="s">
        <v>222</v>
      </c>
      <c r="B44" s="86" t="s">
        <v>285</v>
      </c>
    </row>
    <row r="45" spans="1:2" ht="48">
      <c r="A45" s="85" t="s">
        <v>313</v>
      </c>
      <c r="B45" s="86" t="s">
        <v>285</v>
      </c>
    </row>
    <row r="46" spans="1:2" ht="24">
      <c r="A46" s="85" t="s">
        <v>199</v>
      </c>
      <c r="B46" s="86" t="s">
        <v>285</v>
      </c>
    </row>
    <row r="47" spans="1:2" ht="24">
      <c r="A47" s="85" t="s">
        <v>314</v>
      </c>
      <c r="B47" s="86" t="s">
        <v>285</v>
      </c>
    </row>
    <row r="48" spans="1:2" ht="24">
      <c r="A48" s="85" t="s">
        <v>212</v>
      </c>
      <c r="B48" s="86" t="s">
        <v>285</v>
      </c>
    </row>
    <row r="49" spans="1:2" ht="36">
      <c r="A49" s="85" t="s">
        <v>248</v>
      </c>
      <c r="B49" s="86" t="s">
        <v>285</v>
      </c>
    </row>
    <row r="50" spans="1:2" ht="24">
      <c r="A50" s="85" t="s">
        <v>202</v>
      </c>
      <c r="B50" s="86" t="s">
        <v>285</v>
      </c>
    </row>
    <row r="51" spans="1:2" ht="36">
      <c r="A51" s="85" t="s">
        <v>315</v>
      </c>
      <c r="B51" s="86" t="s">
        <v>285</v>
      </c>
    </row>
    <row r="52" spans="1:2" ht="24">
      <c r="A52" s="85" t="s">
        <v>316</v>
      </c>
      <c r="B52" s="86" t="s">
        <v>285</v>
      </c>
    </row>
    <row r="53" spans="1:2" ht="24">
      <c r="A53" s="85" t="s">
        <v>317</v>
      </c>
      <c r="B53" s="86" t="s">
        <v>285</v>
      </c>
    </row>
    <row r="54" spans="1:2" ht="48">
      <c r="A54" s="85" t="s">
        <v>318</v>
      </c>
      <c r="B54" s="86" t="s">
        <v>285</v>
      </c>
    </row>
    <row r="55" spans="1:2" ht="36">
      <c r="A55" s="85" t="s">
        <v>187</v>
      </c>
      <c r="B55" s="86" t="s">
        <v>285</v>
      </c>
    </row>
    <row r="56" spans="1:2" ht="48">
      <c r="A56" s="85" t="s">
        <v>319</v>
      </c>
      <c r="B56" s="86" t="s">
        <v>285</v>
      </c>
    </row>
    <row r="57" spans="1:2" ht="48">
      <c r="A57" s="85" t="s">
        <v>266</v>
      </c>
      <c r="B57" s="86" t="s">
        <v>285</v>
      </c>
    </row>
    <row r="58" spans="1:2" ht="24">
      <c r="A58" s="85" t="s">
        <v>179</v>
      </c>
      <c r="B58" s="86" t="s">
        <v>285</v>
      </c>
    </row>
    <row r="59" spans="1:2" ht="24">
      <c r="A59" s="85" t="s">
        <v>320</v>
      </c>
      <c r="B59" s="86" t="s">
        <v>285</v>
      </c>
    </row>
    <row r="60" spans="1:2" ht="36">
      <c r="A60" s="85" t="s">
        <v>321</v>
      </c>
      <c r="B60" s="86" t="s">
        <v>285</v>
      </c>
    </row>
    <row r="61" spans="1:2" ht="24">
      <c r="A61" s="85" t="s">
        <v>185</v>
      </c>
      <c r="B61" s="86" t="s">
        <v>285</v>
      </c>
    </row>
    <row r="62" spans="1:2" ht="36">
      <c r="A62" s="85" t="s">
        <v>253</v>
      </c>
      <c r="B62" s="86" t="s">
        <v>285</v>
      </c>
    </row>
    <row r="63" spans="1:2" ht="36">
      <c r="A63" s="85" t="s">
        <v>322</v>
      </c>
      <c r="B63" s="86" t="s">
        <v>285</v>
      </c>
    </row>
    <row r="64" spans="1:2" ht="36">
      <c r="A64" s="85" t="s">
        <v>323</v>
      </c>
      <c r="B64" s="86" t="s">
        <v>285</v>
      </c>
    </row>
  </sheetData>
  <hyperlinks>
    <hyperlink ref="B1" r:id="rId1" display="javascript:void(0);"/>
    <hyperlink ref="B2" r:id="rId2" display="javascript:void(0);"/>
    <hyperlink ref="B3" r:id="rId3" display="javascript:void(0);"/>
    <hyperlink ref="B4" r:id="rId4" display="javascript:void(0);"/>
    <hyperlink ref="B5" r:id="rId5" display="javascript:void(0);"/>
    <hyperlink ref="B6" r:id="rId6" display="javascript:void(0);"/>
    <hyperlink ref="B7" r:id="rId7" display="javascript:void(0);"/>
    <hyperlink ref="B8" r:id="rId8" display="javascript:void(0);"/>
    <hyperlink ref="B9" r:id="rId9" display="javascript:void(0);"/>
    <hyperlink ref="B10" r:id="rId10" display="javascript:void(0);"/>
    <hyperlink ref="B11" r:id="rId11" display="javascript:void(0);"/>
    <hyperlink ref="B12" r:id="rId12" display="javascript:void(0);"/>
    <hyperlink ref="B13" r:id="rId13" display="javascript:void(0);"/>
    <hyperlink ref="B14" r:id="rId14" display="javascript:void(0);"/>
    <hyperlink ref="B15" r:id="rId15" display="javascript:void(0);"/>
    <hyperlink ref="B16" r:id="rId16" display="javascript:void(0);"/>
    <hyperlink ref="B17" r:id="rId17" display="javascript:void(0);"/>
    <hyperlink ref="B18" r:id="rId18" display="javascript:void(0);"/>
    <hyperlink ref="B19" r:id="rId19" display="javascript:void(0);"/>
    <hyperlink ref="B20" r:id="rId20" display="javascript:void(0);"/>
    <hyperlink ref="B21" r:id="rId21" display="javascript:void(0);"/>
    <hyperlink ref="B22" r:id="rId22" display="javascript:void(0);"/>
    <hyperlink ref="B23" r:id="rId23" display="javascript:void(0);"/>
    <hyperlink ref="B24" r:id="rId24" display="javascript:void(0);"/>
    <hyperlink ref="B25" r:id="rId25" display="javascript:void(0);"/>
    <hyperlink ref="B26" r:id="rId26" display="javascript:void(0);"/>
    <hyperlink ref="B27" r:id="rId27" display="javascript:void(0);"/>
    <hyperlink ref="B28" r:id="rId28" display="javascript:void(0);"/>
    <hyperlink ref="B29" r:id="rId29" display="javascript:void(0);"/>
    <hyperlink ref="B30" r:id="rId30" display="javascript:void(0);"/>
    <hyperlink ref="B31" r:id="rId31" display="javascript:void(0);"/>
    <hyperlink ref="B32" r:id="rId32" display="javascript:void(0);"/>
    <hyperlink ref="B33" r:id="rId33" display="javascript:void(0);"/>
    <hyperlink ref="B34" r:id="rId34" display="javascript:void(0);"/>
    <hyperlink ref="B35" r:id="rId35" display="javascript:void(0);"/>
    <hyperlink ref="B36" r:id="rId36" display="javascript:void(0);"/>
    <hyperlink ref="B37" r:id="rId37" display="javascript:void(0);"/>
    <hyperlink ref="B38" r:id="rId38" display="javascript:void(0);"/>
    <hyperlink ref="B39" r:id="rId39" display="javascript:void(0);"/>
    <hyperlink ref="B40" r:id="rId40" display="javascript:void(0);"/>
    <hyperlink ref="B41" r:id="rId41" display="javascript:void(0);"/>
    <hyperlink ref="B42" r:id="rId42" display="javascript:void(0);"/>
    <hyperlink ref="B43" r:id="rId43" display="javascript:void(0);"/>
    <hyperlink ref="B44" r:id="rId44" display="javascript:void(0);"/>
    <hyperlink ref="B45" r:id="rId45" display="javascript:void(0);"/>
    <hyperlink ref="B46" r:id="rId46" display="javascript:void(0);"/>
    <hyperlink ref="B47" r:id="rId47" display="javascript:void(0);"/>
    <hyperlink ref="B48" r:id="rId48" display="javascript:void(0);"/>
    <hyperlink ref="B49" r:id="rId49" display="javascript:void(0);"/>
    <hyperlink ref="B50" r:id="rId50" display="javascript:void(0);"/>
    <hyperlink ref="B51" r:id="rId51" display="javascript:void(0);"/>
    <hyperlink ref="B52" r:id="rId52" display="javascript:void(0);"/>
    <hyperlink ref="B53" r:id="rId53" display="javascript:void(0);"/>
    <hyperlink ref="B54" r:id="rId54" display="javascript:void(0);"/>
    <hyperlink ref="B55" r:id="rId55" display="javascript:void(0);"/>
    <hyperlink ref="B56" r:id="rId56" display="javascript:void(0);"/>
    <hyperlink ref="B57" r:id="rId57" display="javascript:void(0);"/>
    <hyperlink ref="B58" r:id="rId58" display="javascript:void(0);"/>
    <hyperlink ref="B59" r:id="rId59" display="javascript:void(0);"/>
    <hyperlink ref="B60" r:id="rId60" display="javascript:void(0);"/>
    <hyperlink ref="B61" r:id="rId61" display="javascript:void(0);"/>
    <hyperlink ref="B62" r:id="rId62" display="javascript:void(0);"/>
    <hyperlink ref="B63" r:id="rId63" display="javascript:void(0);"/>
    <hyperlink ref="B64" r:id="rId64" display="javascript:void(0);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Sheet6</vt:lpstr>
      <vt:lpstr>Sheet8</vt:lpstr>
      <vt:lpstr>Sheet9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</dc:creator>
  <cp:lastModifiedBy>Naim</cp:lastModifiedBy>
  <dcterms:created xsi:type="dcterms:W3CDTF">2014-10-24T14:37:31Z</dcterms:created>
  <dcterms:modified xsi:type="dcterms:W3CDTF">2015-01-13T15:57:09Z</dcterms:modified>
</cp:coreProperties>
</file>