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2\"/>
    </mc:Choice>
  </mc:AlternateContent>
  <bookViews>
    <workbookView xWindow="240" yWindow="105" windowWidth="7815" windowHeight="9285" activeTab="3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52511"/>
</workbook>
</file>

<file path=xl/calcChain.xml><?xml version="1.0" encoding="utf-8"?>
<calcChain xmlns="http://schemas.openxmlformats.org/spreadsheetml/2006/main">
  <c r="G52" i="5" l="1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</calcChain>
</file>

<file path=xl/sharedStrings.xml><?xml version="1.0" encoding="utf-8"?>
<sst xmlns="http://schemas.openxmlformats.org/spreadsheetml/2006/main" count="1929" uniqueCount="1102">
  <si>
    <t xml:space="preserve">Hello how are you </t>
  </si>
  <si>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</si>
  <si>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</si>
  <si>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</si>
  <si>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</si>
  <si>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</si>
  <si>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</si>
  <si>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</si>
  <si>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</si>
  <si>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</si>
  <si>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</si>
  <si>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</si>
  <si>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</si>
  <si>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</si>
  <si>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</si>
  <si>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</si>
  <si>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</si>
  <si>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</si>
  <si>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</si>
  <si>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</si>
  <si>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</si>
  <si>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</si>
  <si>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</si>
  <si>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</si>
  <si>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</si>
  <si>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</si>
  <si>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</si>
  <si>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</si>
  <si>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</si>
  <si>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</si>
  <si>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</si>
  <si>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</si>
  <si>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</si>
  <si>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</si>
  <si>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</si>
  <si>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</si>
  <si>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</si>
  <si>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</si>
  <si>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</si>
  <si>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</si>
  <si>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</si>
  <si>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</si>
  <si>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</si>
  <si>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</si>
  <si>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</si>
  <si>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</si>
  <si>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</si>
  <si>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</si>
  <si>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</si>
  <si>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</si>
  <si>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</si>
  <si>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</si>
  <si>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</si>
  <si>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</si>
  <si>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</si>
  <si>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</si>
  <si>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</si>
  <si>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</si>
  <si>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</si>
  <si>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</si>
  <si>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</si>
  <si>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</si>
  <si>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</si>
  <si>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</si>
  <si>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</si>
  <si>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</si>
  <si>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</si>
  <si>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</si>
  <si>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</si>
  <si>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</si>
  <si>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</si>
  <si>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</si>
  <si>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</si>
  <si>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</si>
  <si>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</si>
  <si>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</si>
  <si>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</si>
  <si>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</si>
  <si>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</si>
  <si>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</si>
  <si>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</si>
  <si>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</si>
  <si>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</si>
  <si>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</si>
  <si>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</si>
  <si>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</si>
  <si>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</si>
  <si>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</si>
  <si>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</si>
  <si>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</si>
  <si>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</si>
  <si>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</si>
  <si>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</si>
  <si>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</si>
  <si>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</si>
  <si>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</si>
  <si>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</si>
  <si>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</si>
  <si>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</si>
  <si>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</si>
  <si>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</si>
  <si>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</si>
  <si>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</si>
  <si>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</si>
  <si>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</si>
  <si>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</si>
  <si>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</si>
  <si>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</si>
  <si>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</si>
  <si>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</si>
  <si>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</si>
  <si>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</si>
  <si>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</si>
  <si>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</si>
  <si>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</si>
  <si>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</si>
  <si>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marHaba keefik/keefak/keefkoun?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</si>
  <si>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</si>
  <si>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</si>
  <si>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</si>
  <si>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</si>
  <si>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</si>
  <si>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</si>
  <si>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</si>
  <si>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</si>
  <si>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</si>
  <si>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</si>
  <si>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</si>
  <si>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</si>
  <si>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</si>
  <si>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</si>
  <si>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</si>
  <si>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</si>
  <si>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</si>
  <si>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</si>
  <si>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</si>
  <si>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</si>
  <si>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</si>
  <si>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</si>
  <si>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</si>
  <si>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</si>
  <si>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</si>
  <si>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</si>
  <si>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</si>
  <si>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</si>
  <si>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</si>
  <si>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</si>
  <si>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</si>
  <si>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</si>
  <si>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</si>
  <si>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</si>
  <si>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</si>
  <si>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</si>
  <si>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</si>
  <si>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</si>
  <si>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</si>
  <si>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</si>
  <si>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</si>
  <si>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</si>
  <si>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</si>
  <si>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</si>
  <si>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</si>
  <si>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</si>
  <si>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</si>
  <si>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</si>
  <si>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</si>
  <si>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</si>
  <si>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</si>
  <si>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</si>
  <si>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</si>
  <si>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</si>
  <si>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</si>
  <si>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</si>
  <si>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</si>
  <si>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</si>
  <si>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</si>
  <si>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</si>
  <si>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</si>
  <si>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</si>
  <si>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</si>
  <si>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</si>
  <si>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</si>
  <si>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</si>
  <si>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</si>
  <si>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</si>
  <si>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</si>
  <si>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</si>
  <si>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</si>
  <si>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</si>
  <si>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</si>
  <si>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</si>
  <si>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</si>
  <si>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</si>
  <si>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</si>
  <si>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</si>
  <si>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</si>
  <si>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</si>
  <si>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</si>
  <si>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</si>
  <si>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</si>
  <si>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</si>
  <si>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</si>
  <si>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</si>
  <si>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</si>
  <si>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</si>
  <si>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</si>
  <si>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</si>
  <si>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</si>
  <si>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</si>
  <si>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</si>
  <si>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</si>
  <si>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</si>
  <si>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</si>
  <si>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</si>
  <si>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</si>
  <si>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</si>
  <si>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</si>
  <si>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</si>
  <si>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</si>
  <si>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</si>
  <si>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</si>
  <si>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</si>
  <si>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</si>
  <si>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</si>
  <si>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</si>
  <si>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</si>
  <si>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</si>
  <si>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</si>
  <si>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</si>
  <si>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</si>
  <si>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</si>
  <si>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</si>
  <si>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</si>
  <si>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</si>
  <si>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</si>
  <si>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</si>
  <si>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</si>
  <si>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</si>
  <si>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</si>
  <si>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</si>
  <si>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</si>
  <si>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</si>
  <si>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</si>
  <si>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</si>
  <si>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</si>
  <si>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</si>
  <si>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</si>
  <si>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</si>
  <si>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</si>
  <si>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</si>
  <si>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</si>
  <si>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</si>
  <si>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</si>
  <si>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</si>
  <si>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</si>
  <si>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</si>
  <si>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</si>
  <si>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</si>
  <si>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</si>
  <si>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</si>
  <si>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</si>
  <si>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</si>
  <si>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</si>
  <si>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</si>
  <si>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</si>
  <si>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</si>
  <si>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</si>
  <si>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</si>
  <si>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</si>
  <si>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</si>
  <si>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</si>
  <si>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</si>
  <si>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</si>
  <si>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</si>
  <si>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</si>
  <si>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</si>
  <si>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</si>
  <si>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</si>
  <si>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</si>
  <si>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</si>
  <si>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</si>
  <si>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</si>
  <si>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</si>
  <si>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</si>
  <si>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</si>
  <si>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</si>
  <si>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</si>
  <si>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</si>
  <si>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</si>
  <si>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</si>
  <si>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</si>
  <si>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</si>
  <si>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</si>
  <si>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</si>
  <si>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</si>
  <si>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</si>
  <si>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</si>
  <si>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</si>
  <si>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</si>
  <si>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</si>
  <si>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</si>
  <si>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</si>
  <si>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</si>
  <si>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</si>
  <si>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</si>
  <si>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</si>
  <si>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</si>
  <si>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</si>
  <si>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</si>
  <si>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</si>
  <si>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</si>
  <si>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</si>
  <si>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</si>
  <si>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</si>
  <si>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</si>
  <si>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</si>
  <si>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</si>
  <si>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</si>
  <si>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</si>
  <si>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مَرحبا كيفِك/كيفَك/ كيفكُن؟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</si>
  <si>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</si>
  <si>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</si>
  <si>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</si>
  <si>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</si>
  <si>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</si>
  <si>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</si>
  <si>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</si>
  <si>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</si>
  <si>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</si>
  <si>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</si>
  <si>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</si>
  <si>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</si>
  <si>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</si>
  <si>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</si>
  <si>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</si>
  <si>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</si>
  <si>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</si>
  <si>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</si>
  <si>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</si>
  <si>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</si>
  <si>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</si>
  <si>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</si>
  <si>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</si>
  <si>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</si>
  <si>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</si>
  <si>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</si>
  <si>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</si>
  <si>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</si>
  <si>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</si>
  <si>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</si>
  <si>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</si>
  <si>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</si>
  <si>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</si>
  <si>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</si>
  <si>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</si>
  <si>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</si>
  <si>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</si>
  <si>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</si>
  <si>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</si>
  <si>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</si>
  <si>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</si>
  <si>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</si>
  <si>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</si>
  <si>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</si>
  <si>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</si>
  <si>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</si>
  <si>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</si>
  <si>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</si>
  <si>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</si>
  <si>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</si>
  <si>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</si>
  <si>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</si>
  <si>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</si>
  <si>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</si>
  <si>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</si>
  <si>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</si>
  <si>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</si>
  <si>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</si>
  <si>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</si>
  <si>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</si>
  <si>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</si>
  <si>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</si>
  <si>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</si>
  <si>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</si>
  <si>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</si>
  <si>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</si>
  <si>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</si>
  <si>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</si>
  <si>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</si>
  <si>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</si>
  <si>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</si>
  <si>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</si>
  <si>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</si>
  <si>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</si>
  <si>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</si>
  <si>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</si>
  <si>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</si>
  <si>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</si>
  <si>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</si>
  <si>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</si>
  <si>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</si>
  <si>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</si>
  <si>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</si>
  <si>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</si>
  <si>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</si>
  <si>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</si>
  <si>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</si>
  <si>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</si>
  <si>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</si>
  <si>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</si>
  <si>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</si>
  <si>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</si>
  <si>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</si>
  <si>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</si>
  <si>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</si>
  <si>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</si>
  <si>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</si>
  <si>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</si>
  <si>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</si>
  <si>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</si>
  <si>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</si>
  <si>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</si>
  <si>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</si>
  <si>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</si>
  <si>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</si>
  <si>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</si>
  <si>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</si>
  <si>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</si>
  <si>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</si>
  <si>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</si>
  <si>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</si>
  <si>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</si>
  <si>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</si>
  <si>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</si>
  <si>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</si>
  <si>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</si>
  <si>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</si>
  <si>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</si>
  <si>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</si>
  <si>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</si>
  <si>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</si>
  <si>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</si>
  <si>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</si>
  <si>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</si>
  <si>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</si>
  <si>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</si>
  <si>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</si>
  <si>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</si>
  <si>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</si>
  <si>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</si>
  <si>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</si>
  <si>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</si>
  <si>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</si>
  <si>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</si>
  <si>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</si>
  <si>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</si>
  <si>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</si>
  <si>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</si>
  <si>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</si>
  <si>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</si>
  <si>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</si>
  <si>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</si>
  <si>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</si>
  <si>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</si>
  <si>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</si>
  <si>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</si>
  <si>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</si>
  <si>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</si>
  <si>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</si>
  <si>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</si>
  <si>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</si>
  <si>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</si>
  <si>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</si>
  <si>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</si>
  <si>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</si>
  <si>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</si>
  <si>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</si>
  <si>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</si>
  <si>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</si>
  <si>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</si>
  <si>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</si>
  <si>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</si>
  <si>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</si>
  <si>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</si>
  <si>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</si>
  <si>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</si>
  <si>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</si>
  <si>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</si>
  <si>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</si>
  <si>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</si>
  <si>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</si>
  <si>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</si>
  <si>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</si>
  <si>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</si>
  <si>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</si>
  <si>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</si>
  <si>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</si>
  <si>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</si>
  <si>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</si>
  <si>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</si>
  <si>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</si>
  <si>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</si>
  <si>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</si>
  <si>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</si>
  <si>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</si>
  <si>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</si>
  <si>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</si>
  <si>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</si>
  <si>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</si>
  <si>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</si>
  <si>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</si>
  <si>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</si>
  <si>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</si>
  <si>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</si>
  <si>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</si>
  <si>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</si>
  <si>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</si>
  <si>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</si>
  <si>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</si>
  <si>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</si>
  <si>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</si>
  <si>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</si>
  <si>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</si>
  <si>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</si>
  <si>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</si>
  <si>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</si>
  <si>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</si>
  <si>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</si>
  <si>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</si>
  <si>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</si>
  <si>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</si>
  <si>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</si>
  <si>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</si>
  <si>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</si>
  <si>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</si>
  <si>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</si>
  <si>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</si>
  <si>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</si>
  <si>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</si>
  <si>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</si>
  <si>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</si>
  <si>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</si>
  <si>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</si>
  <si>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</si>
  <si>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</si>
  <si>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</si>
  <si>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</si>
  <si>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</si>
  <si>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</si>
  <si>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</si>
  <si>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</si>
  <si>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</si>
  <si>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</si>
  <si>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</si>
  <si>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</si>
  <si>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</si>
  <si>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</si>
  <si>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</si>
  <si>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</si>
  <si>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</si>
  <si>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</si>
  <si>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</si>
  <si>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</si>
  <si>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</si>
  <si>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</si>
  <si>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</si>
  <si>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</si>
  <si>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</si>
  <si>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</si>
  <si>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</si>
  <si>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</si>
  <si>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</si>
  <si>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</si>
  <si>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</si>
  <si>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</si>
  <si>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</si>
  <si>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</si>
  <si>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</si>
  <si>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</si>
  <si>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</si>
  <si>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</si>
  <si>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</si>
  <si>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</si>
  <si>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</si>
  <si>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</si>
  <si>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</si>
  <si>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</si>
  <si>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</si>
  <si>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</si>
  <si>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</si>
  <si>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</si>
  <si>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</si>
  <si>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</si>
  <si>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</si>
  <si>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</si>
  <si>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</si>
  <si>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</si>
  <si>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</si>
  <si>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</si>
  <si>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</si>
  <si>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</si>
  <si>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</si>
  <si>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</si>
  <si>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</si>
  <si>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</si>
  <si>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</si>
  <si>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</si>
  <si>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</si>
  <si>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</si>
  <si>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</si>
  <si>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</si>
  <si>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</si>
  <si>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</si>
  <si>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</si>
  <si>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</si>
  <si>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</si>
  <si>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</si>
  <si>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</si>
  <si>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</si>
  <si>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</si>
  <si>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</si>
  <si>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</si>
  <si>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</si>
  <si>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</si>
  <si>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</si>
  <si>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</si>
  <si>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</si>
  <si>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</si>
  <si>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</si>
  <si>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</si>
  <si>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</si>
  <si>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</si>
  <si>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</si>
  <si>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</si>
  <si>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</si>
  <si>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</si>
  <si>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</si>
  <si>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</si>
  <si>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</si>
  <si>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</si>
  <si>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</si>
  <si>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</si>
  <si>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</si>
  <si>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</si>
  <si>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</si>
  <si>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</si>
  <si>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</si>
  <si>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</si>
  <si>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</si>
  <si>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</si>
  <si>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</si>
  <si>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</si>
  <si>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</si>
  <si>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</si>
  <si>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</si>
  <si>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</si>
  <si>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</si>
  <si>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</si>
  <si>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</si>
  <si>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</si>
  <si>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</si>
  <si>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</si>
  <si>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</si>
  <si>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</si>
  <si>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</si>
  <si>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</si>
  <si>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</si>
  <si>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</si>
  <si>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</si>
  <si>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</si>
  <si>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</si>
  <si>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</si>
  <si>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</si>
  <si>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</si>
  <si>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</si>
  <si>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</si>
  <si>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</si>
  <si>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</si>
  <si>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</si>
  <si>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</si>
  <si>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</si>
  <si>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</si>
  <si>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</si>
  <si>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</si>
  <si>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</si>
  <si>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</si>
  <si>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</si>
  <si>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</si>
  <si>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</si>
  <si>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</si>
  <si>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</si>
  <si>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</si>
  <si>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</si>
  <si>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</si>
  <si>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</si>
  <si>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</si>
  <si>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</si>
  <si>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</si>
  <si>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</si>
  <si>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</si>
  <si>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</si>
  <si>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</si>
  <si>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</si>
  <si>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</si>
  <si>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</si>
  <si>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</si>
  <si>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</si>
  <si>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</si>
  <si>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</si>
  <si>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</si>
  <si>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</si>
  <si>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</si>
  <si>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</si>
  <si>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</si>
  <si>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</si>
  <si>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</si>
  <si>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</si>
  <si>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</si>
  <si>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</si>
  <si>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</si>
  <si>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</si>
  <si>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</si>
  <si>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</si>
  <si>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</si>
  <si>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</si>
  <si>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</si>
  <si>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</si>
  <si>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</si>
  <si>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</si>
  <si>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</si>
  <si>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</si>
  <si>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</si>
  <si>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</si>
  <si>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</si>
  <si>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</si>
  <si>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</si>
  <si>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</si>
  <si>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</si>
  <si>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</si>
  <si>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</si>
  <si>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</si>
  <si>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</si>
  <si>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</si>
  <si>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</si>
  <si>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</si>
  <si>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</si>
  <si>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</si>
  <si>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</si>
  <si>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3asmit Lebnen, Beirut</t>
  </si>
  <si>
    <t>عاصمِة لبنان, بيروت</t>
  </si>
  <si>
    <t>State</t>
  </si>
  <si>
    <t>dawleh/wileyeh</t>
  </si>
  <si>
    <t>دَولة/ ولاية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</si>
  <si>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</si>
  <si>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</si>
  <si>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</si>
  <si>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</si>
  <si>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</si>
  <si>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</si>
  <si>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</si>
  <si>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</si>
  <si>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</si>
  <si>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</si>
  <si>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</si>
  <si>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جُمهوريّة</t>
  </si>
  <si>
    <t>Kingdom</t>
  </si>
  <si>
    <t>mamlakeh</t>
  </si>
  <si>
    <t>مَملَكِة</t>
  </si>
  <si>
    <t>Republic of Lebanon</t>
  </si>
  <si>
    <t>joumhouriyet Lebnen/el joumhouriyeh el Lebneniyeh</t>
  </si>
  <si>
    <t>جُمهوريّة لبنان/ الجُمهوريّة اللبنانيّة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</si>
  <si>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</si>
  <si>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</si>
  <si>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</si>
  <si>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</si>
  <si>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</si>
  <si>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</si>
  <si>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</si>
  <si>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</si>
  <si>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</si>
  <si>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</si>
  <si>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</si>
  <si>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</si>
  <si>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</si>
  <si>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</si>
  <si>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</si>
  <si>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</si>
  <si>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</si>
  <si>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</si>
  <si>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</si>
  <si>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</si>
  <si>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</si>
  <si>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el oumam el meteHdeh</t>
  </si>
  <si>
    <t>أُمّة</t>
  </si>
  <si>
    <t>الأُمَم المتِّحْدة</t>
  </si>
  <si>
    <t>Party</t>
  </si>
  <si>
    <t>Parties</t>
  </si>
  <si>
    <t>Hezeb</t>
  </si>
  <si>
    <t>aHzeib</t>
  </si>
  <si>
    <t>حِزب</t>
  </si>
  <si>
    <t>أحزاب</t>
  </si>
  <si>
    <t>Elections</t>
  </si>
  <si>
    <t>intikhabeit</t>
  </si>
  <si>
    <t>إنتخابات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</si>
  <si>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</si>
  <si>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</si>
  <si>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</si>
  <si>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</si>
  <si>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</si>
  <si>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</si>
  <si>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</si>
  <si>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fi Hezbein aseisiyyeh bil wileyeit el meteHdeh</t>
  </si>
  <si>
    <t>في حزبين أساسيّة بالولايات المتِّحْدة</t>
  </si>
  <si>
    <t>Fi azmit nifeiyeit bi Lebnen, wl Hkoumeh baeed ma le'yit Hal</t>
  </si>
  <si>
    <t>في أزمِة نفِايات بِلبنان، والحكومِة بَعد ما لقيت حَلّ</t>
  </si>
  <si>
    <t>Baladiyyeh/ baladiyyet</t>
  </si>
  <si>
    <t>بَلَدِيّة/ بَلَدِيّات</t>
  </si>
  <si>
    <t>Kel baladiyyeh, mas'ouleh aan fareiz el nifeiyeit</t>
  </si>
  <si>
    <t>كِلّ بَلَدِيّة، مَسؤولِة عَن فَرز النِفايات</t>
  </si>
  <si>
    <t>Peace</t>
  </si>
  <si>
    <t>Protest</t>
  </si>
  <si>
    <t>Protests</t>
  </si>
  <si>
    <t xml:space="preserve"> saleim</t>
  </si>
  <si>
    <t xml:space="preserve"> سَلام</t>
  </si>
  <si>
    <t xml:space="preserve"> selmiyyeh</t>
  </si>
  <si>
    <t xml:space="preserve"> سِلميّة</t>
  </si>
  <si>
    <t xml:space="preserve"> mouzahara</t>
  </si>
  <si>
    <t xml:space="preserve"> مُظاهَرَة</t>
  </si>
  <si>
    <t xml:space="preserve"> mouzaharat</t>
  </si>
  <si>
    <t xml:space="preserve"> مُظاهَرات</t>
  </si>
  <si>
    <t>Peaceful</t>
  </si>
  <si>
    <t xml:space="preserve">Fi mouzaharat selmiyyeh moustamerra bil aasmeh el Lebneniyeh, aam bettalib bi esti'alit wazir el bi'a </t>
  </si>
  <si>
    <t>في مُظاهرات سِلميّة مُستمرّة بالعاصمة اللبنانية، عَم بطالِب بإستقالة وَزير البيئة</t>
  </si>
  <si>
    <t>El yom, khamsin chakheis meito natijit enfijar</t>
  </si>
  <si>
    <t>اليَوم، خَمسين شَخص ماتوا نَتيجِة إنفجار</t>
  </si>
  <si>
    <t xml:space="preserve">Bil alfein w tleta3sh, majlis el nouwweib aaddalo el doustour, ta ye'daro ymaddeido la nafsoun 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</si>
  <si>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</si>
  <si>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</si>
  <si>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</si>
  <si>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</si>
  <si>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</si>
  <si>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</si>
  <si>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</si>
  <si>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</si>
  <si>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</si>
  <si>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</si>
  <si>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</si>
  <si>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 xml:space="preserve"> mwaffa'/ mwaffa'a/ mwaffa'in</t>
  </si>
  <si>
    <t>موَفَق/ موَفَقَة/ موَفَقين</t>
  </si>
  <si>
    <t>Go with peace</t>
  </si>
  <si>
    <t xml:space="preserve"> maa el salemeh</t>
  </si>
  <si>
    <t>مَع السَلامة</t>
  </si>
  <si>
    <t>Stay</t>
  </si>
  <si>
    <t xml:space="preserve"> khallik/ khallikeh/ khallikon</t>
  </si>
  <si>
    <t>خَلّيك/ خَلّيكي/ خَلّيكُن</t>
  </si>
  <si>
    <t>stay a little more</t>
  </si>
  <si>
    <t>khallik (b'aa)  baad chway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</si>
  <si>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</si>
  <si>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</si>
  <si>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</si>
  <si>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</si>
  <si>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</si>
  <si>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 xml:space="preserve"> teb'a toll/ teb'eh tolli/ teb'o tollo 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</si>
  <si>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</si>
  <si>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</si>
  <si>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</si>
  <si>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</si>
  <si>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</si>
  <si>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 xml:space="preserve"> iida/ idiya/ idouwa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</si>
  <si>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</si>
  <si>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</si>
  <si>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</si>
  <si>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</si>
  <si>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</si>
  <si>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</si>
  <si>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</si>
  <si>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</si>
  <si>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 xml:space="preserve"> saiideh/ tosbah aa kheir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</si>
  <si>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</si>
  <si>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</si>
  <si>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</si>
  <si>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</si>
  <si>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</si>
  <si>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</si>
  <si>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</si>
  <si>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</si>
  <si>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</si>
  <si>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</si>
  <si>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</si>
  <si>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</si>
  <si>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</si>
  <si>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</si>
  <si>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</si>
  <si>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</si>
  <si>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</si>
  <si>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</si>
  <si>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</si>
  <si>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</si>
  <si>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</si>
  <si>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</si>
  <si>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</si>
  <si>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</si>
  <si>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</si>
  <si>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</si>
  <si>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</si>
  <si>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</si>
  <si>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</si>
  <si>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</si>
  <si>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</si>
  <si>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wejj</t>
  </si>
  <si>
    <t xml:space="preserve"> وِجّ</t>
  </si>
  <si>
    <t>eyebrows</t>
  </si>
  <si>
    <t xml:space="preserve"> hwejib</t>
  </si>
  <si>
    <t xml:space="preserve"> حواجِب</t>
  </si>
  <si>
    <t>nose</t>
  </si>
  <si>
    <t xml:space="preserve"> menkhar/mankhour</t>
  </si>
  <si>
    <t xml:space="preserve"> مِنخار/مَنخور</t>
  </si>
  <si>
    <t>eye</t>
  </si>
  <si>
    <t xml:space="preserve"> aayn</t>
  </si>
  <si>
    <t xml:space="preserve"> عَين</t>
  </si>
  <si>
    <t>eyes</t>
  </si>
  <si>
    <t xml:space="preserve"> ayoun</t>
  </si>
  <si>
    <t xml:space="preserve"> عيون</t>
  </si>
  <si>
    <t>eyelashes</t>
  </si>
  <si>
    <t xml:space="preserve"> rmouch</t>
  </si>
  <si>
    <t xml:space="preserve"> رموش</t>
  </si>
  <si>
    <t>mouth</t>
  </si>
  <si>
    <t xml:space="preserve"> temm</t>
  </si>
  <si>
    <t xml:space="preserve"> تِمّ</t>
  </si>
  <si>
    <t>cheek</t>
  </si>
  <si>
    <t xml:space="preserve"> khadd</t>
  </si>
  <si>
    <t xml:space="preserve"> خدّ</t>
  </si>
  <si>
    <t>cheeks</t>
  </si>
  <si>
    <t xml:space="preserve"> khdoud</t>
  </si>
  <si>
    <t xml:space="preserve"> خدود</t>
  </si>
  <si>
    <t>hair</t>
  </si>
  <si>
    <t xml:space="preserve"> chaeer</t>
  </si>
  <si>
    <t xml:space="preserve"> شَعر</t>
  </si>
  <si>
    <t>heyde el benet CHAARA TAWIL</t>
  </si>
  <si>
    <t>heyda el sabeh CHAARO ASIR</t>
  </si>
  <si>
    <t>neck</t>
  </si>
  <si>
    <t xml:space="preserve"> ra'beh</t>
  </si>
  <si>
    <t xml:space="preserve"> رَقبة</t>
  </si>
  <si>
    <t>chest/breast</t>
  </si>
  <si>
    <t xml:space="preserve"> soder</t>
  </si>
  <si>
    <t xml:space="preserve"> صُدر</t>
  </si>
  <si>
    <t>shoulders</t>
  </si>
  <si>
    <t xml:space="preserve"> kteif</t>
  </si>
  <si>
    <t xml:space="preserve"> كتاف</t>
  </si>
  <si>
    <t>arm</t>
  </si>
  <si>
    <t xml:space="preserve"> 'id</t>
  </si>
  <si>
    <t xml:space="preserve"> إيد</t>
  </si>
  <si>
    <t>stomach</t>
  </si>
  <si>
    <t xml:space="preserve"> meedeh</t>
  </si>
  <si>
    <t xml:space="preserve"> مِعدة</t>
  </si>
  <si>
    <t>belly</t>
  </si>
  <si>
    <t xml:space="preserve"> baten</t>
  </si>
  <si>
    <t xml:space="preserve"> بَطن</t>
  </si>
  <si>
    <t>hips</t>
  </si>
  <si>
    <t xml:space="preserve"> wrak</t>
  </si>
  <si>
    <t xml:space="preserve"> وراك</t>
  </si>
  <si>
    <t>waist</t>
  </si>
  <si>
    <t xml:space="preserve"> khaseir</t>
  </si>
  <si>
    <t xml:space="preserve"> خَصر</t>
  </si>
  <si>
    <t>leg</t>
  </si>
  <si>
    <t xml:space="preserve"> 'ejer</t>
  </si>
  <si>
    <t xml:space="preserve"> إجر</t>
  </si>
  <si>
    <t>legs</t>
  </si>
  <si>
    <t xml:space="preserve"> 'ejrein</t>
  </si>
  <si>
    <t xml:space="preserve"> إجرين</t>
  </si>
  <si>
    <t>knee</t>
  </si>
  <si>
    <t xml:space="preserve"> rekbeh</t>
  </si>
  <si>
    <t xml:space="preserve"> رِكبة</t>
  </si>
  <si>
    <t>go down on your knees</t>
  </si>
  <si>
    <t xml:space="preserve"> rkaa aala 'ejreik (for a man)</t>
  </si>
  <si>
    <t>fingers</t>
  </si>
  <si>
    <t xml:space="preserve"> 'asabee</t>
  </si>
  <si>
    <t xml:space="preserve"> أصابع</t>
  </si>
  <si>
    <t>toes</t>
  </si>
  <si>
    <t xml:space="preserve"> 'asabee el ejrein</t>
  </si>
  <si>
    <t xml:space="preserve"> أصابع الإجرين</t>
  </si>
  <si>
    <t>head</t>
  </si>
  <si>
    <t xml:space="preserve"> ras</t>
  </si>
  <si>
    <t xml:space="preserve"> راس</t>
  </si>
  <si>
    <t>i have a headache</t>
  </si>
  <si>
    <t xml:space="preserve"> raseh aam youjaaneh</t>
  </si>
  <si>
    <t xml:space="preserve"> راسي عم يوجعني</t>
  </si>
  <si>
    <t>ear</t>
  </si>
  <si>
    <t xml:space="preserve"> dayneh</t>
  </si>
  <si>
    <t xml:space="preserve"> دَينه</t>
  </si>
  <si>
    <t>ears</t>
  </si>
  <si>
    <t xml:space="preserve"> dinein</t>
  </si>
  <si>
    <t xml:space="preserve"> دينَين</t>
  </si>
  <si>
    <t>mole</t>
  </si>
  <si>
    <t xml:space="preserve"> chemiyeh</t>
  </si>
  <si>
    <t xml:space="preserve"> شاميّة</t>
  </si>
  <si>
    <t>tooth</t>
  </si>
  <si>
    <t xml:space="preserve"> seinn</t>
  </si>
  <si>
    <t xml:space="preserve"> سِنّ</t>
  </si>
  <si>
    <t>teeth</t>
  </si>
  <si>
    <t xml:space="preserve"> snein</t>
  </si>
  <si>
    <t xml:space="preserve"> سنان</t>
  </si>
  <si>
    <t xml:space="preserve"> lsein</t>
  </si>
  <si>
    <t xml:space="preserve"> لسان</t>
  </si>
  <si>
    <t>lip</t>
  </si>
  <si>
    <t xml:space="preserve"> cheiffeh</t>
  </si>
  <si>
    <t xml:space="preserve"> شِفّه</t>
  </si>
  <si>
    <t>tongue</t>
  </si>
  <si>
    <t>lips</t>
  </si>
  <si>
    <t xml:space="preserve"> chfeif</t>
  </si>
  <si>
    <t xml:space="preserve"> شفاف</t>
  </si>
  <si>
    <t>this girl is so skinny</t>
  </si>
  <si>
    <t xml:space="preserve"> heydeh el benet ktir diifeh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</si>
  <si>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</si>
  <si>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</si>
  <si>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</si>
  <si>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</si>
  <si>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</si>
  <si>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 xml:space="preserve"> arbaa w eechrin chbat</t>
  </si>
  <si>
    <t>أربعَة و عشرين ْشباط</t>
  </si>
  <si>
    <t>home</t>
  </si>
  <si>
    <t xml:space="preserve"> beit</t>
  </si>
  <si>
    <t xml:space="preserve"> بَيْت</t>
  </si>
  <si>
    <t>building</t>
  </si>
  <si>
    <t xml:space="preserve"> bineyeh</t>
  </si>
  <si>
    <t xml:space="preserve"> بناية</t>
  </si>
  <si>
    <t>Floor</t>
  </si>
  <si>
    <t xml:space="preserve"> tabe'/ tawabe'</t>
  </si>
  <si>
    <t xml:space="preserve"> طابقِ/ طَوابِق</t>
  </si>
  <si>
    <t>bi ayya tabe' enta aayech?</t>
  </si>
  <si>
    <t>bi ayya tabe' enteh aaycheh?</t>
  </si>
  <si>
    <t xml:space="preserve"> بأيّ طاِبق إنتِ عايشي؟</t>
  </si>
  <si>
    <t>bedroom</t>
  </si>
  <si>
    <t xml:space="preserve"> oudit el nom</t>
  </si>
  <si>
    <t xml:space="preserve"> قوضِة النَوْم</t>
  </si>
  <si>
    <t>living room</t>
  </si>
  <si>
    <t xml:space="preserve"> oudit el 'aadeh</t>
  </si>
  <si>
    <t>قوضِة القَعْدِة</t>
  </si>
  <si>
    <t>kitchen</t>
  </si>
  <si>
    <t xml:space="preserve"> matbakh</t>
  </si>
  <si>
    <t xml:space="preserve"> مَطبَخ</t>
  </si>
  <si>
    <t xml:space="preserve">chou aam totbokh? </t>
  </si>
  <si>
    <t xml:space="preserve"> شو عَم تُطبُخ؟</t>
  </si>
  <si>
    <t>chou aam totbkheh?</t>
  </si>
  <si>
    <t xml:space="preserve"> شو عَمُ تُطُبخي؟</t>
  </si>
  <si>
    <t xml:space="preserve"> hemmem</t>
  </si>
  <si>
    <t xml:space="preserve"> حَمّام</t>
  </si>
  <si>
    <t>bed</t>
  </si>
  <si>
    <t xml:space="preserve"> takhet</t>
  </si>
  <si>
    <t xml:space="preserve"> تَخْت</t>
  </si>
  <si>
    <t>closet</t>
  </si>
  <si>
    <t xml:space="preserve"> khzeneh</t>
  </si>
  <si>
    <t xml:space="preserve"> خْزانة</t>
  </si>
  <si>
    <t xml:space="preserve"> tyeib</t>
  </si>
  <si>
    <t xml:space="preserve"> تياب</t>
  </si>
  <si>
    <t>clothes</t>
  </si>
  <si>
    <t>towel</t>
  </si>
  <si>
    <t xml:space="preserve"> manchafeh</t>
  </si>
  <si>
    <t xml:space="preserve"> مَنشَفة</t>
  </si>
  <si>
    <t>soap</t>
  </si>
  <si>
    <t xml:space="preserve"> saboun</t>
  </si>
  <si>
    <t xml:space="preserve"> صابون</t>
  </si>
  <si>
    <t>el sobeh bghassil wejjeh</t>
  </si>
  <si>
    <t xml:space="preserve"> الصُبُح بغَسِّل وِجِّي</t>
  </si>
  <si>
    <t>kam marra btfarcheh sneinak bil nhar?</t>
  </si>
  <si>
    <t>كَم مَرًّة بتفَرشي سنانَك بالنهار؟</t>
  </si>
  <si>
    <t xml:space="preserve"> foren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</si>
  <si>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</si>
  <si>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</si>
  <si>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</si>
  <si>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majla</t>
  </si>
  <si>
    <t xml:space="preserve"> مَجلَى</t>
  </si>
  <si>
    <t>im waching the dishes</t>
  </si>
  <si>
    <t xml:space="preserve"> ana aam bejleh el shoun</t>
  </si>
  <si>
    <t xml:space="preserve"> أنا عَم بِجلي الصْحون</t>
  </si>
  <si>
    <t>dishe</t>
  </si>
  <si>
    <t xml:space="preserve"> sahein</t>
  </si>
  <si>
    <t xml:space="preserve"> صَحْن</t>
  </si>
  <si>
    <t>fork</t>
  </si>
  <si>
    <t xml:space="preserve"> chawkeh</t>
  </si>
  <si>
    <t xml:space="preserve"> شَوْكِة</t>
  </si>
  <si>
    <t>knife</t>
  </si>
  <si>
    <t xml:space="preserve"> sekkin</t>
  </si>
  <si>
    <t xml:space="preserve"> سِكّين</t>
  </si>
  <si>
    <t>spoon</t>
  </si>
  <si>
    <t xml:space="preserve"> malaa'a</t>
  </si>
  <si>
    <t xml:space="preserve"> مَلْعقة</t>
  </si>
  <si>
    <t>cup</t>
  </si>
  <si>
    <t xml:space="preserve"> kebbeyeh</t>
  </si>
  <si>
    <t xml:space="preserve"> كَبَاية</t>
  </si>
  <si>
    <t>couches</t>
  </si>
  <si>
    <t xml:space="preserve"> kanabeyeh</t>
  </si>
  <si>
    <t xml:space="preserve"> كَنَبايِة</t>
  </si>
  <si>
    <t>table(s)</t>
  </si>
  <si>
    <t>chair(s)</t>
  </si>
  <si>
    <t xml:space="preserve"> tawleh/ tawleit </t>
  </si>
  <si>
    <t>طَاوْلِة/ طاولات</t>
  </si>
  <si>
    <t xml:space="preserve"> kerseh/ karaseh</t>
  </si>
  <si>
    <t xml:space="preserve"> كِرسِي/ كَراسِي</t>
  </si>
  <si>
    <t xml:space="preserve"> بأيّ طابِق إنتَ عايش؟</t>
  </si>
  <si>
    <t>oven/bakery</t>
  </si>
  <si>
    <t xml:space="preserve"> فِرن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</si>
</sst>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0" fontId="12" fillId="0" borderId="0" xfId="1" applyFont="1" applyAlignment="1" applyProtection="1"/>
    <xf numFmtId="0" fontId="1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opLeftCell="A121" zoomScaleNormal="100" workbookViewId="0">
      <selection activeCell="C133" sqref="C133"/>
    </sheetView>
  </sheetViews>
  <sheetFormatPr defaultRowHeight="15.75" x14ac:dyDescent="0.25"/>
  <cols>
    <col min="1" max="1" width="35.42578125" customWidth="1"/>
    <col min="2" max="2" width="34.85546875" customWidth="1"/>
    <col min="3" max="3" width="33.7109375" style="11" customWidth="1"/>
  </cols>
  <sheetData>
    <row r="1" spans="1:4" x14ac:dyDescent="0.25">
      <c r="A1" t="s">
        <v>64</v>
      </c>
      <c r="B1" t="s">
        <v>737</v>
      </c>
      <c r="C1" s="11" t="s">
        <v>318</v>
      </c>
      <c r="D1" t="s">
        <v>65</v>
      </c>
    </row>
    <row r="2" spans="1:4" x14ac:dyDescent="0.25">
      <c r="A2" t="s">
        <v>0</v>
      </c>
      <c r="B2" t="s">
        <v>116</v>
      </c>
      <c r="C2" s="11" t="s">
        <v>319</v>
      </c>
      <c r="D2">
        <v>1</v>
      </c>
    </row>
    <row r="3" spans="1:4" x14ac:dyDescent="0.25">
      <c r="A3" t="s">
        <v>738</v>
      </c>
      <c r="B3" t="s">
        <v>739</v>
      </c>
      <c r="C3" s="11" t="s">
        <v>740</v>
      </c>
      <c r="D3">
        <v>35</v>
      </c>
    </row>
    <row r="4" spans="1:4" x14ac:dyDescent="0.25">
      <c r="A4" t="s">
        <v>743</v>
      </c>
      <c r="B4" t="s">
        <v>742</v>
      </c>
      <c r="C4" s="11" t="s">
        <v>741</v>
      </c>
      <c r="D4">
        <v>35</v>
      </c>
    </row>
    <row r="5" spans="1:4" x14ac:dyDescent="0.25">
      <c r="A5" t="s">
        <v>744</v>
      </c>
      <c r="B5" t="s">
        <v>745</v>
      </c>
      <c r="C5" s="11" t="s">
        <v>746</v>
      </c>
      <c r="D5">
        <v>35</v>
      </c>
    </row>
    <row r="6" spans="1:4" x14ac:dyDescent="0.25">
      <c r="A6" t="s">
        <v>747</v>
      </c>
      <c r="B6" t="s">
        <v>748</v>
      </c>
      <c r="C6" s="11" t="s">
        <v>749</v>
      </c>
      <c r="D6">
        <v>35</v>
      </c>
    </row>
    <row r="7" spans="1:4" x14ac:dyDescent="0.25">
      <c r="A7" t="s">
        <v>750</v>
      </c>
      <c r="B7" t="s">
        <v>751</v>
      </c>
      <c r="C7" s="11" t="s">
        <v>752</v>
      </c>
      <c r="D7">
        <v>35</v>
      </c>
    </row>
    <row r="8" spans="1:4" x14ac:dyDescent="0.25">
      <c r="A8" t="s">
        <v>753</v>
      </c>
      <c r="B8" t="s">
        <v>754</v>
      </c>
      <c r="C8" s="11" t="s">
        <v>755</v>
      </c>
      <c r="D8">
        <v>35</v>
      </c>
    </row>
    <row r="9" spans="1:4" x14ac:dyDescent="0.25">
      <c r="A9" t="s">
        <v>756</v>
      </c>
      <c r="B9" t="s">
        <v>757</v>
      </c>
      <c r="C9" s="11" t="s">
        <v>758</v>
      </c>
      <c r="D9">
        <v>35</v>
      </c>
    </row>
    <row r="10" spans="1:4" x14ac:dyDescent="0.25">
      <c r="A10" t="s">
        <v>759</v>
      </c>
      <c r="B10" t="s">
        <v>760</v>
      </c>
      <c r="C10" s="11" t="s">
        <v>761</v>
      </c>
      <c r="D10">
        <v>35</v>
      </c>
    </row>
    <row r="11" spans="1:4" x14ac:dyDescent="0.25">
      <c r="A11" t="s">
        <v>762</v>
      </c>
      <c r="B11" t="s">
        <v>763</v>
      </c>
      <c r="C11" s="11" t="s">
        <v>764</v>
      </c>
      <c r="D11">
        <v>35</v>
      </c>
    </row>
    <row r="12" spans="1:4" x14ac:dyDescent="0.25">
      <c r="A12" t="s">
        <v>765</v>
      </c>
      <c r="B12" t="s">
        <v>766</v>
      </c>
      <c r="C12" s="11" t="s">
        <v>767</v>
      </c>
      <c r="D12">
        <v>35</v>
      </c>
    </row>
    <row r="13" spans="1:4" x14ac:dyDescent="0.25">
      <c r="A13" t="s">
        <v>768</v>
      </c>
      <c r="B13" t="s">
        <v>769</v>
      </c>
      <c r="C13" s="11" t="s">
        <v>770</v>
      </c>
      <c r="D13">
        <v>35</v>
      </c>
    </row>
    <row r="14" spans="1:4" x14ac:dyDescent="0.25">
      <c r="A14" t="s">
        <v>771</v>
      </c>
      <c r="B14" t="s">
        <v>772</v>
      </c>
      <c r="C14" s="11" t="s">
        <v>773</v>
      </c>
      <c r="D14">
        <v>35</v>
      </c>
    </row>
    <row r="15" spans="1:4" x14ac:dyDescent="0.25">
      <c r="A15" t="s">
        <v>774</v>
      </c>
      <c r="B15" t="s">
        <v>777</v>
      </c>
      <c r="C15" s="11" t="s">
        <v>780</v>
      </c>
      <c r="D15">
        <v>35</v>
      </c>
    </row>
    <row r="16" spans="1:4" x14ac:dyDescent="0.25">
      <c r="A16" t="s">
        <v>775</v>
      </c>
      <c r="B16" t="s">
        <v>778</v>
      </c>
      <c r="C16" s="11" t="s">
        <v>781</v>
      </c>
      <c r="D16">
        <v>35</v>
      </c>
    </row>
    <row r="17" spans="1:4" x14ac:dyDescent="0.25">
      <c r="A17" t="s">
        <v>776</v>
      </c>
      <c r="B17" t="s">
        <v>779</v>
      </c>
      <c r="C17" s="11" t="s">
        <v>782</v>
      </c>
      <c r="D17">
        <v>35</v>
      </c>
    </row>
    <row r="18" spans="1:4" x14ac:dyDescent="0.25">
      <c r="A18" t="s">
        <v>783</v>
      </c>
      <c r="B18" t="s">
        <v>785</v>
      </c>
      <c r="C18" s="11" t="s">
        <v>787</v>
      </c>
      <c r="D18">
        <v>35</v>
      </c>
    </row>
    <row r="19" spans="1:4" x14ac:dyDescent="0.25">
      <c r="A19" t="s">
        <v>784</v>
      </c>
      <c r="B19" t="s">
        <v>786</v>
      </c>
      <c r="C19" s="11" t="s">
        <v>788</v>
      </c>
      <c r="D19">
        <v>35</v>
      </c>
    </row>
    <row r="20" spans="1:4" x14ac:dyDescent="0.25">
      <c r="A20" t="s">
        <v>789</v>
      </c>
      <c r="B20" t="s">
        <v>790</v>
      </c>
      <c r="C20" s="11" t="s">
        <v>793</v>
      </c>
      <c r="D20">
        <v>35</v>
      </c>
    </row>
    <row r="21" spans="1:4" x14ac:dyDescent="0.25">
      <c r="A21" t="s">
        <v>791</v>
      </c>
      <c r="B21" t="s">
        <v>792</v>
      </c>
      <c r="C21" s="11" t="s">
        <v>794</v>
      </c>
      <c r="D21">
        <v>35</v>
      </c>
    </row>
    <row r="22" spans="1:4" x14ac:dyDescent="0.25">
      <c r="A22" t="s">
        <v>795</v>
      </c>
      <c r="B22" t="s">
        <v>797</v>
      </c>
      <c r="C22" s="11" t="s">
        <v>799</v>
      </c>
      <c r="D22">
        <v>35</v>
      </c>
    </row>
    <row r="23" spans="1:4" x14ac:dyDescent="0.25">
      <c r="A23" t="s">
        <v>796</v>
      </c>
      <c r="B23" t="s">
        <v>798</v>
      </c>
      <c r="C23" s="11" t="s">
        <v>800</v>
      </c>
      <c r="D23">
        <v>35</v>
      </c>
    </row>
    <row r="24" spans="1:4" x14ac:dyDescent="0.25">
      <c r="A24" t="s">
        <v>801</v>
      </c>
      <c r="B24" t="s">
        <v>802</v>
      </c>
      <c r="C24" s="11" t="s">
        <v>803</v>
      </c>
      <c r="D24">
        <v>35</v>
      </c>
    </row>
    <row r="25" spans="1:4" x14ac:dyDescent="0.25">
      <c r="A25" t="s">
        <v>804</v>
      </c>
      <c r="B25" t="s">
        <v>805</v>
      </c>
      <c r="C25" s="11" t="s">
        <v>806</v>
      </c>
      <c r="D25">
        <v>35</v>
      </c>
    </row>
    <row r="26" spans="1:4" x14ac:dyDescent="0.25">
      <c r="A26" t="s">
        <v>807</v>
      </c>
      <c r="B26" t="s">
        <v>808</v>
      </c>
      <c r="C26" s="11" t="s">
        <v>809</v>
      </c>
      <c r="D26">
        <v>35</v>
      </c>
    </row>
    <row r="27" spans="1:4" x14ac:dyDescent="0.25">
      <c r="A27" t="s">
        <v>810</v>
      </c>
      <c r="B27" t="s">
        <v>811</v>
      </c>
      <c r="C27" s="11" t="s">
        <v>812</v>
      </c>
      <c r="D27">
        <v>35</v>
      </c>
    </row>
    <row r="28" spans="1:4" x14ac:dyDescent="0.25">
      <c r="A28" t="s">
        <v>836</v>
      </c>
      <c r="B28" t="s">
        <v>813</v>
      </c>
      <c r="C28" s="11" t="s">
        <v>814</v>
      </c>
      <c r="D28">
        <v>36</v>
      </c>
    </row>
    <row r="29" spans="1:4" x14ac:dyDescent="0.25">
      <c r="A29" t="s">
        <v>837</v>
      </c>
      <c r="B29" t="s">
        <v>815</v>
      </c>
      <c r="C29" s="11" t="s">
        <v>816</v>
      </c>
      <c r="D29">
        <v>36</v>
      </c>
    </row>
    <row r="30" spans="1:4" x14ac:dyDescent="0.25">
      <c r="A30" t="s">
        <v>838</v>
      </c>
      <c r="B30" t="s">
        <v>817</v>
      </c>
      <c r="C30" s="11" t="s">
        <v>818</v>
      </c>
      <c r="D30">
        <v>36</v>
      </c>
    </row>
    <row r="31" spans="1:4" x14ac:dyDescent="0.25">
      <c r="A31" t="s">
        <v>819</v>
      </c>
      <c r="B31" t="s">
        <v>822</v>
      </c>
      <c r="C31" s="11" t="s">
        <v>823</v>
      </c>
      <c r="D31">
        <v>36</v>
      </c>
    </row>
    <row r="32" spans="1:4" x14ac:dyDescent="0.25">
      <c r="A32" t="s">
        <v>830</v>
      </c>
      <c r="B32" t="s">
        <v>824</v>
      </c>
      <c r="C32" s="11" t="s">
        <v>825</v>
      </c>
      <c r="D32">
        <v>36</v>
      </c>
    </row>
    <row r="33" spans="1:4" x14ac:dyDescent="0.25">
      <c r="A33" t="s">
        <v>820</v>
      </c>
      <c r="B33" t="s">
        <v>826</v>
      </c>
      <c r="C33" s="11" t="s">
        <v>827</v>
      </c>
      <c r="D33">
        <v>36</v>
      </c>
    </row>
    <row r="34" spans="1:4" x14ac:dyDescent="0.25">
      <c r="A34" t="s">
        <v>821</v>
      </c>
      <c r="B34" t="s">
        <v>828</v>
      </c>
      <c r="C34" s="11" t="s">
        <v>829</v>
      </c>
      <c r="D34">
        <v>36</v>
      </c>
    </row>
    <row r="35" spans="1:4" x14ac:dyDescent="0.25">
      <c r="A35" t="s">
        <v>839</v>
      </c>
      <c r="B35" t="s">
        <v>831</v>
      </c>
      <c r="C35" s="11" t="s">
        <v>832</v>
      </c>
      <c r="D35">
        <v>36</v>
      </c>
    </row>
    <row r="36" spans="1:4" x14ac:dyDescent="0.25">
      <c r="A36" t="s">
        <v>840</v>
      </c>
      <c r="B36" t="s">
        <v>833</v>
      </c>
      <c r="C36" s="11" t="s">
        <v>834</v>
      </c>
      <c r="D36">
        <v>36</v>
      </c>
    </row>
    <row r="37" spans="1:4" x14ac:dyDescent="0.25">
      <c r="A37" t="s">
        <v>845</v>
      </c>
      <c r="B37" t="s">
        <v>835</v>
      </c>
      <c r="C37" s="11" t="s">
        <v>843</v>
      </c>
      <c r="D37">
        <v>36</v>
      </c>
    </row>
    <row r="38" spans="1:4" x14ac:dyDescent="0.25">
      <c r="A38" t="s">
        <v>841</v>
      </c>
      <c r="B38" t="s">
        <v>842</v>
      </c>
      <c r="C38" s="11" t="s">
        <v>844</v>
      </c>
      <c r="D38">
        <v>36</v>
      </c>
    </row>
    <row r="39" spans="1:4" x14ac:dyDescent="0.25">
      <c r="A39" t="s">
        <v>846</v>
      </c>
      <c r="B39" t="s">
        <v>847</v>
      </c>
      <c r="C39" s="11" t="s">
        <v>848</v>
      </c>
      <c r="D39">
        <v>34</v>
      </c>
    </row>
    <row r="40" spans="1:4" x14ac:dyDescent="0.25">
      <c r="A40" t="s">
        <v>849</v>
      </c>
      <c r="B40" t="s">
        <v>850</v>
      </c>
      <c r="C40" s="11" t="s">
        <v>851</v>
      </c>
      <c r="D40">
        <v>34</v>
      </c>
    </row>
    <row r="41" spans="1:4" x14ac:dyDescent="0.25">
      <c r="A41" t="s">
        <v>852</v>
      </c>
      <c r="B41" t="s">
        <v>853</v>
      </c>
      <c r="C41" s="11" t="s">
        <v>854</v>
      </c>
      <c r="D41">
        <v>34</v>
      </c>
    </row>
    <row r="42" spans="1:4" x14ac:dyDescent="0.25">
      <c r="A42" t="s">
        <v>855</v>
      </c>
      <c r="B42" t="s">
        <v>856</v>
      </c>
      <c r="C42" s="11" t="s">
        <v>857</v>
      </c>
      <c r="D42">
        <v>34</v>
      </c>
    </row>
    <row r="43" spans="1:4" x14ac:dyDescent="0.25">
      <c r="A43" t="s">
        <v>858</v>
      </c>
      <c r="B43" t="s">
        <v>859</v>
      </c>
      <c r="C43" s="11" t="s">
        <v>860</v>
      </c>
      <c r="D43">
        <v>34</v>
      </c>
    </row>
    <row r="44" spans="1:4" x14ac:dyDescent="0.25">
      <c r="A44" t="s">
        <v>861</v>
      </c>
      <c r="B44" t="s">
        <v>862</v>
      </c>
      <c r="C44" s="11" t="s">
        <v>863</v>
      </c>
      <c r="D44">
        <v>34</v>
      </c>
    </row>
    <row r="45" spans="1:4" x14ac:dyDescent="0.25">
      <c r="A45" t="s">
        <v>864</v>
      </c>
      <c r="B45" t="s">
        <v>865</v>
      </c>
      <c r="C45" s="11" t="s">
        <v>866</v>
      </c>
      <c r="D45">
        <v>34</v>
      </c>
    </row>
    <row r="46" spans="1:4" x14ac:dyDescent="0.25">
      <c r="A46" t="s">
        <v>867</v>
      </c>
      <c r="B46" t="s">
        <v>868</v>
      </c>
      <c r="C46" s="11" t="s">
        <v>869</v>
      </c>
      <c r="D46">
        <v>34</v>
      </c>
    </row>
    <row r="47" spans="1:4" ht="15" x14ac:dyDescent="0.25">
      <c r="A47" t="s">
        <v>870</v>
      </c>
      <c r="B47" t="s">
        <v>871</v>
      </c>
      <c r="C47" t="s">
        <v>872</v>
      </c>
      <c r="D47">
        <v>34</v>
      </c>
    </row>
    <row r="48" spans="1:4" ht="15" x14ac:dyDescent="0.25">
      <c r="A48" t="s">
        <v>874</v>
      </c>
      <c r="B48" t="s">
        <v>875</v>
      </c>
      <c r="C48" t="s">
        <v>873</v>
      </c>
      <c r="D48">
        <v>34</v>
      </c>
    </row>
    <row r="49" spans="1:4" ht="15" x14ac:dyDescent="0.25">
      <c r="A49" t="s">
        <v>876</v>
      </c>
      <c r="B49" t="s">
        <v>877</v>
      </c>
      <c r="C49" t="s">
        <v>878</v>
      </c>
      <c r="D49">
        <v>34</v>
      </c>
    </row>
    <row r="50" spans="1:4" ht="15" x14ac:dyDescent="0.25">
      <c r="A50" t="s">
        <v>879</v>
      </c>
      <c r="B50" t="s">
        <v>880</v>
      </c>
      <c r="C50" t="s">
        <v>881</v>
      </c>
      <c r="D50">
        <v>34</v>
      </c>
    </row>
    <row r="51" spans="1:4" ht="15" x14ac:dyDescent="0.25">
      <c r="A51" t="s">
        <v>884</v>
      </c>
      <c r="B51" t="s">
        <v>882</v>
      </c>
      <c r="C51" t="s">
        <v>883</v>
      </c>
      <c r="D51">
        <v>34</v>
      </c>
    </row>
    <row r="52" spans="1:4" ht="15" x14ac:dyDescent="0.25">
      <c r="A52" t="s">
        <v>885</v>
      </c>
      <c r="B52" t="s">
        <v>886</v>
      </c>
      <c r="C52" t="s">
        <v>887</v>
      </c>
      <c r="D52">
        <v>34</v>
      </c>
    </row>
    <row r="53" spans="1:4" ht="15" x14ac:dyDescent="0.25">
      <c r="A53" t="s">
        <v>888</v>
      </c>
      <c r="B53" t="s">
        <v>889</v>
      </c>
      <c r="C53" t="s">
        <v>890</v>
      </c>
      <c r="D53">
        <v>34</v>
      </c>
    </row>
    <row r="54" spans="1:4" ht="15" x14ac:dyDescent="0.25">
      <c r="A54" t="s">
        <v>891</v>
      </c>
      <c r="B54" t="s">
        <v>892</v>
      </c>
      <c r="C54" t="s">
        <v>893</v>
      </c>
      <c r="D54">
        <v>34</v>
      </c>
    </row>
    <row r="55" spans="1:4" ht="15" x14ac:dyDescent="0.25">
      <c r="A55" t="s">
        <v>894</v>
      </c>
      <c r="B55" t="s">
        <v>895</v>
      </c>
      <c r="C55" t="s">
        <v>896</v>
      </c>
      <c r="D55">
        <v>34</v>
      </c>
    </row>
    <row r="56" spans="1:4" ht="15" x14ac:dyDescent="0.25">
      <c r="A56" t="s">
        <v>897</v>
      </c>
      <c r="B56" t="s">
        <v>898</v>
      </c>
      <c r="C56" t="s">
        <v>899</v>
      </c>
      <c r="D56">
        <v>34</v>
      </c>
    </row>
    <row r="57" spans="1:4" ht="15" x14ac:dyDescent="0.25">
      <c r="A57" t="s">
        <v>900</v>
      </c>
      <c r="B57" t="s">
        <v>901</v>
      </c>
      <c r="C57" t="s">
        <v>902</v>
      </c>
      <c r="D57">
        <v>34</v>
      </c>
    </row>
    <row r="58" spans="1:4" x14ac:dyDescent="0.25">
      <c r="A58" t="s">
        <v>903</v>
      </c>
      <c r="B58" t="s">
        <v>904</v>
      </c>
      <c r="C58" s="11" t="s">
        <v>905</v>
      </c>
      <c r="D58">
        <v>26</v>
      </c>
    </row>
    <row r="59" spans="1:4" ht="15" x14ac:dyDescent="0.25">
      <c r="B59" t="s">
        <v>906</v>
      </c>
      <c r="C59" t="s">
        <v>907</v>
      </c>
      <c r="D59">
        <v>26</v>
      </c>
    </row>
    <row r="60" spans="1:4" x14ac:dyDescent="0.25">
      <c r="A60" t="s">
        <v>908</v>
      </c>
      <c r="B60" t="s">
        <v>909</v>
      </c>
      <c r="C60" s="11" t="s">
        <v>910</v>
      </c>
      <c r="D60">
        <v>26</v>
      </c>
    </row>
    <row r="61" spans="1:4" x14ac:dyDescent="0.25">
      <c r="A61" t="s">
        <v>911</v>
      </c>
      <c r="B61" t="s">
        <v>912</v>
      </c>
      <c r="C61" s="11" t="s">
        <v>913</v>
      </c>
      <c r="D61">
        <v>26</v>
      </c>
    </row>
    <row r="62" spans="1:4" x14ac:dyDescent="0.25">
      <c r="A62" t="s">
        <v>914</v>
      </c>
      <c r="B62" t="s">
        <v>915</v>
      </c>
      <c r="C62" s="11" t="s">
        <v>916</v>
      </c>
      <c r="D62">
        <v>26</v>
      </c>
    </row>
    <row r="63" spans="1:4" x14ac:dyDescent="0.25">
      <c r="A63" t="s">
        <v>917</v>
      </c>
      <c r="B63" t="s">
        <v>918</v>
      </c>
      <c r="C63" s="11" t="s">
        <v>919</v>
      </c>
      <c r="D63">
        <v>26</v>
      </c>
    </row>
    <row r="64" spans="1:4" x14ac:dyDescent="0.25">
      <c r="A64" t="s">
        <v>920</v>
      </c>
      <c r="B64" t="s">
        <v>921</v>
      </c>
      <c r="C64" s="11" t="s">
        <v>922</v>
      </c>
      <c r="D64">
        <v>26</v>
      </c>
    </row>
    <row r="65" spans="1:4" x14ac:dyDescent="0.25">
      <c r="A65" t="s">
        <v>923</v>
      </c>
      <c r="B65" t="s">
        <v>924</v>
      </c>
      <c r="C65" s="11" t="s">
        <v>925</v>
      </c>
      <c r="D65">
        <v>26</v>
      </c>
    </row>
    <row r="66" spans="1:4" x14ac:dyDescent="0.25">
      <c r="A66" t="s">
        <v>926</v>
      </c>
      <c r="B66" t="s">
        <v>927</v>
      </c>
      <c r="C66" s="11" t="s">
        <v>928</v>
      </c>
      <c r="D66">
        <v>26</v>
      </c>
    </row>
    <row r="67" spans="1:4" x14ac:dyDescent="0.25">
      <c r="A67" t="s">
        <v>929</v>
      </c>
      <c r="B67" t="s">
        <v>930</v>
      </c>
      <c r="C67" s="11" t="s">
        <v>931</v>
      </c>
      <c r="D67">
        <v>26</v>
      </c>
    </row>
    <row r="68" spans="1:4" x14ac:dyDescent="0.25">
      <c r="A68" t="s">
        <v>932</v>
      </c>
      <c r="B68" t="s">
        <v>933</v>
      </c>
      <c r="C68" s="11" t="s">
        <v>934</v>
      </c>
      <c r="D68">
        <v>26</v>
      </c>
    </row>
    <row r="69" spans="1:4" x14ac:dyDescent="0.25">
      <c r="A69" t="s">
        <v>935</v>
      </c>
      <c r="B69" t="s">
        <v>936</v>
      </c>
      <c r="C69" s="11" t="s">
        <v>937</v>
      </c>
      <c r="D69">
        <v>26</v>
      </c>
    </row>
    <row r="70" spans="1:4" x14ac:dyDescent="0.25">
      <c r="B70" t="s">
        <v>938</v>
      </c>
      <c r="D70">
        <v>26</v>
      </c>
    </row>
    <row r="71" spans="1:4" x14ac:dyDescent="0.25">
      <c r="B71" t="s">
        <v>939</v>
      </c>
      <c r="D71">
        <v>26</v>
      </c>
    </row>
    <row r="72" spans="1:4" x14ac:dyDescent="0.25">
      <c r="A72" t="s">
        <v>940</v>
      </c>
      <c r="B72" t="s">
        <v>941</v>
      </c>
      <c r="C72" s="11" t="s">
        <v>942</v>
      </c>
      <c r="D72">
        <v>26</v>
      </c>
    </row>
    <row r="73" spans="1:4" x14ac:dyDescent="0.25">
      <c r="A73" t="s">
        <v>943</v>
      </c>
      <c r="B73" t="s">
        <v>944</v>
      </c>
      <c r="C73" s="11" t="s">
        <v>945</v>
      </c>
      <c r="D73">
        <v>26</v>
      </c>
    </row>
    <row r="74" spans="1:4" x14ac:dyDescent="0.25">
      <c r="A74" t="s">
        <v>946</v>
      </c>
      <c r="B74" t="s">
        <v>947</v>
      </c>
      <c r="C74" s="11" t="s">
        <v>948</v>
      </c>
      <c r="D74">
        <v>26</v>
      </c>
    </row>
    <row r="75" spans="1:4" x14ac:dyDescent="0.25">
      <c r="A75" t="s">
        <v>949</v>
      </c>
      <c r="B75" t="s">
        <v>950</v>
      </c>
      <c r="C75" s="11" t="s">
        <v>951</v>
      </c>
      <c r="D75">
        <v>26</v>
      </c>
    </row>
    <row r="76" spans="1:4" x14ac:dyDescent="0.25">
      <c r="A76" t="s">
        <v>952</v>
      </c>
      <c r="B76" t="s">
        <v>953</v>
      </c>
      <c r="C76" s="11" t="s">
        <v>954</v>
      </c>
      <c r="D76">
        <v>26</v>
      </c>
    </row>
    <row r="77" spans="1:4" x14ac:dyDescent="0.25">
      <c r="A77" t="s">
        <v>955</v>
      </c>
      <c r="B77" t="s">
        <v>956</v>
      </c>
      <c r="C77" s="11" t="s">
        <v>957</v>
      </c>
      <c r="D77">
        <v>26</v>
      </c>
    </row>
    <row r="78" spans="1:4" x14ac:dyDescent="0.25">
      <c r="A78" t="s">
        <v>958</v>
      </c>
      <c r="B78" t="s">
        <v>959</v>
      </c>
      <c r="C78" s="11" t="s">
        <v>960</v>
      </c>
      <c r="D78">
        <v>26</v>
      </c>
    </row>
    <row r="79" spans="1:4" x14ac:dyDescent="0.25">
      <c r="A79" t="s">
        <v>961</v>
      </c>
      <c r="B79" t="s">
        <v>962</v>
      </c>
      <c r="C79" s="11" t="s">
        <v>963</v>
      </c>
      <c r="D79">
        <v>26</v>
      </c>
    </row>
    <row r="80" spans="1:4" x14ac:dyDescent="0.25">
      <c r="A80" t="s">
        <v>964</v>
      </c>
      <c r="B80" t="s">
        <v>965</v>
      </c>
      <c r="C80" s="11" t="s">
        <v>966</v>
      </c>
      <c r="D80">
        <v>26</v>
      </c>
    </row>
    <row r="81" spans="1:4" x14ac:dyDescent="0.25">
      <c r="A81" t="s">
        <v>967</v>
      </c>
      <c r="B81" t="s">
        <v>968</v>
      </c>
      <c r="C81" s="11" t="s">
        <v>969</v>
      </c>
      <c r="D81">
        <v>26</v>
      </c>
    </row>
    <row r="82" spans="1:4" x14ac:dyDescent="0.25">
      <c r="A82" t="s">
        <v>970</v>
      </c>
      <c r="B82" t="s">
        <v>971</v>
      </c>
      <c r="C82" s="11" t="s">
        <v>972</v>
      </c>
      <c r="D82">
        <v>26</v>
      </c>
    </row>
    <row r="83" spans="1:4" x14ac:dyDescent="0.25">
      <c r="A83" t="s">
        <v>973</v>
      </c>
      <c r="B83" t="s">
        <v>974</v>
      </c>
      <c r="D83">
        <v>26</v>
      </c>
    </row>
    <row r="84" spans="1:4" x14ac:dyDescent="0.25">
      <c r="A84" t="s">
        <v>975</v>
      </c>
      <c r="B84" t="s">
        <v>976</v>
      </c>
      <c r="C84" s="11" t="s">
        <v>977</v>
      </c>
      <c r="D84">
        <v>26</v>
      </c>
    </row>
    <row r="85" spans="1:4" x14ac:dyDescent="0.25">
      <c r="A85" t="s">
        <v>978</v>
      </c>
      <c r="B85" t="s">
        <v>979</v>
      </c>
      <c r="C85" s="11" t="s">
        <v>980</v>
      </c>
      <c r="D85">
        <v>26</v>
      </c>
    </row>
    <row r="86" spans="1:4" x14ac:dyDescent="0.25">
      <c r="A86" t="s">
        <v>981</v>
      </c>
      <c r="B86" t="s">
        <v>982</v>
      </c>
      <c r="C86" s="11" t="s">
        <v>983</v>
      </c>
      <c r="D86">
        <v>26</v>
      </c>
    </row>
    <row r="87" spans="1:4" x14ac:dyDescent="0.25">
      <c r="A87" t="s">
        <v>984</v>
      </c>
      <c r="B87" t="s">
        <v>985</v>
      </c>
      <c r="C87" s="11" t="s">
        <v>986</v>
      </c>
      <c r="D87">
        <v>26</v>
      </c>
    </row>
    <row r="88" spans="1:4" x14ac:dyDescent="0.25">
      <c r="A88" t="s">
        <v>987</v>
      </c>
      <c r="B88" t="s">
        <v>988</v>
      </c>
      <c r="C88" s="11" t="s">
        <v>989</v>
      </c>
      <c r="D88">
        <v>26</v>
      </c>
    </row>
    <row r="89" spans="1:4" x14ac:dyDescent="0.25">
      <c r="A89" t="s">
        <v>990</v>
      </c>
      <c r="B89" t="s">
        <v>991</v>
      </c>
      <c r="C89" s="11" t="s">
        <v>992</v>
      </c>
      <c r="D89">
        <v>26</v>
      </c>
    </row>
    <row r="90" spans="1:4" x14ac:dyDescent="0.25">
      <c r="A90" t="s">
        <v>993</v>
      </c>
      <c r="B90" t="s">
        <v>994</v>
      </c>
      <c r="C90" s="11" t="s">
        <v>995</v>
      </c>
      <c r="D90">
        <v>26</v>
      </c>
    </row>
    <row r="91" spans="1:4" x14ac:dyDescent="0.25">
      <c r="A91" t="s">
        <v>996</v>
      </c>
      <c r="B91" t="s">
        <v>997</v>
      </c>
      <c r="C91" s="11" t="s">
        <v>998</v>
      </c>
      <c r="D91">
        <v>26</v>
      </c>
    </row>
    <row r="92" spans="1:4" x14ac:dyDescent="0.25">
      <c r="A92" t="s">
        <v>999</v>
      </c>
      <c r="B92" t="s">
        <v>1000</v>
      </c>
      <c r="C92" s="11" t="s">
        <v>1001</v>
      </c>
      <c r="D92">
        <v>26</v>
      </c>
    </row>
    <row r="93" spans="1:4" x14ac:dyDescent="0.25">
      <c r="A93" t="s">
        <v>1007</v>
      </c>
      <c r="B93" t="s">
        <v>1002</v>
      </c>
      <c r="C93" s="11" t="s">
        <v>1003</v>
      </c>
      <c r="D93">
        <v>26</v>
      </c>
    </row>
    <row r="94" spans="1:4" x14ac:dyDescent="0.25">
      <c r="A94" t="s">
        <v>1004</v>
      </c>
      <c r="B94" t="s">
        <v>1005</v>
      </c>
      <c r="C94" s="11" t="s">
        <v>1006</v>
      </c>
      <c r="D94">
        <v>26</v>
      </c>
    </row>
    <row r="95" spans="1:4" x14ac:dyDescent="0.25">
      <c r="A95" t="s">
        <v>1008</v>
      </c>
      <c r="B95" t="s">
        <v>1009</v>
      </c>
      <c r="C95" s="11" t="s">
        <v>1010</v>
      </c>
      <c r="D95">
        <v>26</v>
      </c>
    </row>
    <row r="96" spans="1:4" ht="15" x14ac:dyDescent="0.25">
      <c r="A96" t="s">
        <v>1011</v>
      </c>
      <c r="B96" t="s">
        <v>1012</v>
      </c>
      <c r="C96" t="s">
        <v>1013</v>
      </c>
      <c r="D96">
        <v>26</v>
      </c>
    </row>
    <row r="97" spans="1:4" ht="15" x14ac:dyDescent="0.25">
      <c r="A97" t="s">
        <v>1014</v>
      </c>
      <c r="B97" t="s">
        <v>1015</v>
      </c>
      <c r="C97" t="s">
        <v>1016</v>
      </c>
      <c r="D97">
        <v>26</v>
      </c>
    </row>
    <row r="98" spans="1:4" ht="15" x14ac:dyDescent="0.25">
      <c r="A98" t="s">
        <v>1017</v>
      </c>
      <c r="B98" t="s">
        <v>1018</v>
      </c>
      <c r="C98" t="s">
        <v>1019</v>
      </c>
      <c r="D98">
        <v>25</v>
      </c>
    </row>
    <row r="99" spans="1:4" x14ac:dyDescent="0.25">
      <c r="A99" t="s">
        <v>1020</v>
      </c>
      <c r="B99" t="s">
        <v>1021</v>
      </c>
      <c r="C99" s="11" t="s">
        <v>1022</v>
      </c>
      <c r="D99">
        <v>25</v>
      </c>
    </row>
    <row r="100" spans="1:4" x14ac:dyDescent="0.25">
      <c r="A100" t="s">
        <v>1023</v>
      </c>
      <c r="B100" t="s">
        <v>1024</v>
      </c>
      <c r="C100" s="11" t="s">
        <v>1025</v>
      </c>
      <c r="D100">
        <v>25</v>
      </c>
    </row>
    <row r="101" spans="1:4" ht="15" x14ac:dyDescent="0.25">
      <c r="A101" t="s">
        <v>1026</v>
      </c>
      <c r="B101" t="s">
        <v>1027</v>
      </c>
      <c r="C101" t="s">
        <v>1028</v>
      </c>
      <c r="D101">
        <v>25</v>
      </c>
    </row>
    <row r="102" spans="1:4" x14ac:dyDescent="0.25">
      <c r="B102" t="s">
        <v>1029</v>
      </c>
      <c r="C102" s="11" t="s">
        <v>1099</v>
      </c>
      <c r="D102">
        <v>25</v>
      </c>
    </row>
    <row r="103" spans="1:4" x14ac:dyDescent="0.25">
      <c r="B103" t="s">
        <v>1030</v>
      </c>
      <c r="C103" s="11" t="s">
        <v>1031</v>
      </c>
      <c r="D103">
        <v>25</v>
      </c>
    </row>
    <row r="104" spans="1:4" x14ac:dyDescent="0.25">
      <c r="A104" t="s">
        <v>1032</v>
      </c>
      <c r="B104" t="s">
        <v>1033</v>
      </c>
      <c r="C104" s="11" t="s">
        <v>1034</v>
      </c>
      <c r="D104">
        <v>25</v>
      </c>
    </row>
    <row r="105" spans="1:4" ht="15" x14ac:dyDescent="0.25">
      <c r="A105" t="s">
        <v>1035</v>
      </c>
      <c r="B105" t="s">
        <v>1036</v>
      </c>
      <c r="C105" t="s">
        <v>1037</v>
      </c>
      <c r="D105">
        <v>25</v>
      </c>
    </row>
    <row r="106" spans="1:4" x14ac:dyDescent="0.25">
      <c r="A106" t="s">
        <v>1038</v>
      </c>
      <c r="B106" t="s">
        <v>1039</v>
      </c>
      <c r="C106" s="11" t="s">
        <v>1040</v>
      </c>
      <c r="D106">
        <v>25</v>
      </c>
    </row>
    <row r="107" spans="1:4" x14ac:dyDescent="0.25">
      <c r="B107" t="s">
        <v>1041</v>
      </c>
      <c r="C107" s="11" t="s">
        <v>1042</v>
      </c>
      <c r="D107">
        <v>25</v>
      </c>
    </row>
    <row r="108" spans="1:4" x14ac:dyDescent="0.25">
      <c r="B108" t="s">
        <v>1043</v>
      </c>
      <c r="C108" s="11" t="s">
        <v>1044</v>
      </c>
      <c r="D108">
        <v>25</v>
      </c>
    </row>
    <row r="109" spans="1:4" x14ac:dyDescent="0.25">
      <c r="A109" t="s">
        <v>495</v>
      </c>
      <c r="B109" t="s">
        <v>1045</v>
      </c>
      <c r="C109" s="11" t="s">
        <v>1046</v>
      </c>
      <c r="D109">
        <v>25</v>
      </c>
    </row>
    <row r="110" spans="1:4" x14ac:dyDescent="0.25">
      <c r="A110" t="s">
        <v>1047</v>
      </c>
      <c r="B110" t="s">
        <v>1048</v>
      </c>
      <c r="C110" s="11" t="s">
        <v>1049</v>
      </c>
      <c r="D110">
        <v>25</v>
      </c>
    </row>
    <row r="111" spans="1:4" x14ac:dyDescent="0.25">
      <c r="A111" t="s">
        <v>1050</v>
      </c>
      <c r="B111" t="s">
        <v>1051</v>
      </c>
      <c r="C111" s="11" t="s">
        <v>1052</v>
      </c>
      <c r="D111">
        <v>25</v>
      </c>
    </row>
    <row r="112" spans="1:4" x14ac:dyDescent="0.25">
      <c r="A112" t="s">
        <v>1055</v>
      </c>
      <c r="B112" t="s">
        <v>1053</v>
      </c>
      <c r="C112" s="11" t="s">
        <v>1054</v>
      </c>
      <c r="D112">
        <v>25</v>
      </c>
    </row>
    <row r="113" spans="1:4" x14ac:dyDescent="0.25">
      <c r="A113" t="s">
        <v>1056</v>
      </c>
      <c r="B113" t="s">
        <v>1057</v>
      </c>
      <c r="C113" s="11" t="s">
        <v>1058</v>
      </c>
      <c r="D113">
        <v>25</v>
      </c>
    </row>
    <row r="114" spans="1:4" x14ac:dyDescent="0.25">
      <c r="A114" t="s">
        <v>1059</v>
      </c>
      <c r="B114" t="s">
        <v>1060</v>
      </c>
      <c r="C114" s="11" t="s">
        <v>1061</v>
      </c>
      <c r="D114">
        <v>25</v>
      </c>
    </row>
    <row r="115" spans="1:4" ht="15" x14ac:dyDescent="0.25">
      <c r="B115" t="s">
        <v>1062</v>
      </c>
      <c r="C115" t="s">
        <v>1063</v>
      </c>
      <c r="D115">
        <v>25</v>
      </c>
    </row>
    <row r="116" spans="1:4" ht="15" x14ac:dyDescent="0.25">
      <c r="B116" t="s">
        <v>1064</v>
      </c>
      <c r="C116" t="s">
        <v>1065</v>
      </c>
      <c r="D116">
        <v>25</v>
      </c>
    </row>
    <row r="117" spans="1:4" x14ac:dyDescent="0.25">
      <c r="A117" t="s">
        <v>1100</v>
      </c>
      <c r="B117" t="s">
        <v>1066</v>
      </c>
      <c r="C117" s="11" t="s">
        <v>1101</v>
      </c>
      <c r="D117">
        <v>25</v>
      </c>
    </row>
    <row r="118" spans="1:4" x14ac:dyDescent="0.25">
      <c r="B118" t="s">
        <v>1067</v>
      </c>
      <c r="C118" s="11" t="s">
        <v>1068</v>
      </c>
      <c r="D118">
        <v>25</v>
      </c>
    </row>
    <row r="119" spans="1:4" x14ac:dyDescent="0.25">
      <c r="A119" t="s">
        <v>1069</v>
      </c>
      <c r="B119" t="s">
        <v>1070</v>
      </c>
      <c r="C119" s="11" t="s">
        <v>1071</v>
      </c>
      <c r="D119">
        <v>25</v>
      </c>
    </row>
    <row r="120" spans="1:4" x14ac:dyDescent="0.25">
      <c r="A120" t="s">
        <v>1072</v>
      </c>
      <c r="B120" t="s">
        <v>1073</v>
      </c>
      <c r="C120" s="11" t="s">
        <v>1074</v>
      </c>
      <c r="D120">
        <v>25</v>
      </c>
    </row>
    <row r="121" spans="1:4" x14ac:dyDescent="0.25">
      <c r="A121" t="s">
        <v>1075</v>
      </c>
      <c r="B121" t="s">
        <v>1076</v>
      </c>
      <c r="C121" s="11" t="s">
        <v>1077</v>
      </c>
      <c r="D121">
        <v>25</v>
      </c>
    </row>
    <row r="122" spans="1:4" x14ac:dyDescent="0.25">
      <c r="A122" t="s">
        <v>1078</v>
      </c>
      <c r="B122" t="s">
        <v>1079</v>
      </c>
      <c r="C122" s="11" t="s">
        <v>1080</v>
      </c>
      <c r="D122">
        <v>25</v>
      </c>
    </row>
    <row r="123" spans="1:4" x14ac:dyDescent="0.25">
      <c r="A123" t="s">
        <v>1081</v>
      </c>
      <c r="B123" t="s">
        <v>1082</v>
      </c>
      <c r="C123" s="11" t="s">
        <v>1083</v>
      </c>
      <c r="D123">
        <v>25</v>
      </c>
    </row>
    <row r="124" spans="1:4" x14ac:dyDescent="0.25">
      <c r="A124" t="s">
        <v>1084</v>
      </c>
      <c r="B124" t="s">
        <v>1085</v>
      </c>
      <c r="C124" s="11" t="s">
        <v>1086</v>
      </c>
      <c r="D124">
        <v>25</v>
      </c>
    </row>
    <row r="125" spans="1:4" x14ac:dyDescent="0.25">
      <c r="A125" t="s">
        <v>1087</v>
      </c>
      <c r="B125" t="s">
        <v>1088</v>
      </c>
      <c r="C125" s="11" t="s">
        <v>1089</v>
      </c>
      <c r="D125">
        <v>25</v>
      </c>
    </row>
    <row r="126" spans="1:4" x14ac:dyDescent="0.25">
      <c r="A126" t="s">
        <v>1090</v>
      </c>
      <c r="B126" t="s">
        <v>1091</v>
      </c>
      <c r="C126" s="11" t="s">
        <v>1092</v>
      </c>
      <c r="D126">
        <v>25</v>
      </c>
    </row>
    <row r="127" spans="1:4" x14ac:dyDescent="0.25">
      <c r="A127" t="s">
        <v>1093</v>
      </c>
      <c r="B127" t="s">
        <v>1095</v>
      </c>
      <c r="C127" s="11" t="s">
        <v>1096</v>
      </c>
      <c r="D127">
        <v>25</v>
      </c>
    </row>
    <row r="128" spans="1:4" x14ac:dyDescent="0.25">
      <c r="A128" t="s">
        <v>1094</v>
      </c>
      <c r="B128" t="s">
        <v>1097</v>
      </c>
      <c r="C128" s="11" t="s">
        <v>1098</v>
      </c>
      <c r="D128">
        <v>25</v>
      </c>
    </row>
  </sheetData>
  <sortState ref="A1:K354">
    <sortCondition ref="D1:D35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A29" sqref="A29:A30"/>
    </sheetView>
  </sheetViews>
  <sheetFormatPr defaultRowHeight="15" x14ac:dyDescent="0.25"/>
  <sheetData>
    <row r="1" spans="1:7" ht="15.75" thickBot="1" x14ac:dyDescent="0.3">
      <c r="A1" s="16" t="s">
        <v>117</v>
      </c>
      <c r="B1" s="18" t="s">
        <v>118</v>
      </c>
      <c r="C1" s="18" t="s">
        <v>119</v>
      </c>
      <c r="D1" s="20" t="s">
        <v>120</v>
      </c>
      <c r="E1" s="21"/>
      <c r="F1" s="22"/>
      <c r="G1" s="16" t="s">
        <v>121</v>
      </c>
    </row>
    <row r="2" spans="1:7" ht="15.75" thickBot="1" x14ac:dyDescent="0.3">
      <c r="A2" s="17"/>
      <c r="B2" s="19"/>
      <c r="C2" s="19"/>
      <c r="D2" s="1" t="s">
        <v>122</v>
      </c>
      <c r="E2" s="1" t="s">
        <v>123</v>
      </c>
      <c r="F2" s="1" t="s">
        <v>124</v>
      </c>
      <c r="G2" s="17"/>
    </row>
    <row r="3" spans="1:7" x14ac:dyDescent="0.25">
      <c r="A3" s="25" t="s">
        <v>125</v>
      </c>
      <c r="B3" s="27" t="s">
        <v>126</v>
      </c>
      <c r="C3" s="2" t="s">
        <v>127</v>
      </c>
      <c r="D3" s="29" t="s">
        <v>129</v>
      </c>
      <c r="E3" s="29" t="s">
        <v>129</v>
      </c>
      <c r="F3" s="29" t="s">
        <v>130</v>
      </c>
      <c r="G3" s="23" t="s">
        <v>130</v>
      </c>
    </row>
    <row r="4" spans="1:7" ht="30.75" thickBot="1" x14ac:dyDescent="0.3">
      <c r="A4" s="26"/>
      <c r="B4" s="28"/>
      <c r="C4" s="3" t="s">
        <v>128</v>
      </c>
      <c r="D4" s="30"/>
      <c r="E4" s="30"/>
      <c r="F4" s="30"/>
      <c r="G4" s="24"/>
    </row>
    <row r="5" spans="1:7" x14ac:dyDescent="0.25">
      <c r="A5" s="25" t="s">
        <v>131</v>
      </c>
      <c r="B5" s="27" t="s">
        <v>132</v>
      </c>
      <c r="C5" s="4" t="s">
        <v>133</v>
      </c>
      <c r="D5" s="29" t="s">
        <v>135</v>
      </c>
      <c r="E5" s="29" t="s">
        <v>136</v>
      </c>
      <c r="F5" s="29" t="s">
        <v>137</v>
      </c>
      <c r="G5" s="23" t="s">
        <v>138</v>
      </c>
    </row>
    <row r="6" spans="1:7" ht="54" thickBot="1" x14ac:dyDescent="0.3">
      <c r="A6" s="26"/>
      <c r="B6" s="28"/>
      <c r="C6" s="5" t="s">
        <v>134</v>
      </c>
      <c r="D6" s="30"/>
      <c r="E6" s="30"/>
      <c r="F6" s="30"/>
      <c r="G6" s="24"/>
    </row>
    <row r="7" spans="1:7" ht="24" thickBot="1" x14ac:dyDescent="0.4">
      <c r="A7" s="6" t="s">
        <v>139</v>
      </c>
      <c r="B7" s="7" t="s">
        <v>140</v>
      </c>
      <c r="C7" s="8" t="s">
        <v>141</v>
      </c>
      <c r="D7" s="9" t="s">
        <v>142</v>
      </c>
      <c r="E7" s="9" t="s">
        <v>143</v>
      </c>
      <c r="F7" s="9" t="s">
        <v>144</v>
      </c>
      <c r="G7" s="8" t="s">
        <v>145</v>
      </c>
    </row>
    <row r="8" spans="1:7" ht="28.5" thickBot="1" x14ac:dyDescent="0.4">
      <c r="A8" s="6" t="s">
        <v>146</v>
      </c>
      <c r="B8" s="7" t="s">
        <v>147</v>
      </c>
      <c r="C8" s="8" t="s">
        <v>148</v>
      </c>
      <c r="D8" s="9" t="s">
        <v>149</v>
      </c>
      <c r="E8" s="9" t="s">
        <v>150</v>
      </c>
      <c r="F8" s="9" t="s">
        <v>151</v>
      </c>
      <c r="G8" s="8" t="s">
        <v>152</v>
      </c>
    </row>
    <row r="9" spans="1:7" ht="30" thickBot="1" x14ac:dyDescent="0.4">
      <c r="A9" s="6" t="s">
        <v>153</v>
      </c>
      <c r="B9" s="7" t="s">
        <v>154</v>
      </c>
      <c r="C9" s="6" t="s">
        <v>155</v>
      </c>
      <c r="D9" s="9" t="s">
        <v>156</v>
      </c>
      <c r="E9" s="9" t="s">
        <v>157</v>
      </c>
      <c r="F9" s="9" t="s">
        <v>158</v>
      </c>
      <c r="G9" s="8" t="s">
        <v>159</v>
      </c>
    </row>
    <row r="10" spans="1:7" ht="24" thickBot="1" x14ac:dyDescent="0.4">
      <c r="A10" s="6" t="s">
        <v>160</v>
      </c>
      <c r="B10" s="7" t="s">
        <v>161</v>
      </c>
      <c r="C10" s="8" t="s">
        <v>162</v>
      </c>
      <c r="D10" s="9" t="s">
        <v>163</v>
      </c>
      <c r="E10" s="9" t="s">
        <v>164</v>
      </c>
      <c r="F10" s="9" t="s">
        <v>165</v>
      </c>
      <c r="G10" s="8" t="s">
        <v>166</v>
      </c>
    </row>
    <row r="11" spans="1:7" ht="28.5" thickBot="1" x14ac:dyDescent="0.4">
      <c r="A11" s="6" t="s">
        <v>167</v>
      </c>
      <c r="B11" s="7" t="s">
        <v>168</v>
      </c>
      <c r="C11" s="8" t="s">
        <v>169</v>
      </c>
      <c r="D11" s="9" t="s">
        <v>170</v>
      </c>
      <c r="E11" s="9" t="s">
        <v>171</v>
      </c>
      <c r="F11" s="9" t="s">
        <v>172</v>
      </c>
      <c r="G11" s="8" t="s">
        <v>173</v>
      </c>
    </row>
    <row r="12" spans="1:7" ht="24" thickBot="1" x14ac:dyDescent="0.4">
      <c r="A12" s="6" t="s">
        <v>174</v>
      </c>
      <c r="B12" s="7" t="s">
        <v>175</v>
      </c>
      <c r="C12" s="8" t="s">
        <v>176</v>
      </c>
      <c r="D12" s="9" t="s">
        <v>177</v>
      </c>
      <c r="E12" s="9" t="s">
        <v>177</v>
      </c>
      <c r="F12" s="9" t="s">
        <v>178</v>
      </c>
      <c r="G12" s="8" t="s">
        <v>178</v>
      </c>
    </row>
    <row r="13" spans="1:7" ht="28.5" thickBot="1" x14ac:dyDescent="0.4">
      <c r="A13" s="6" t="s">
        <v>179</v>
      </c>
      <c r="B13" s="7" t="s">
        <v>180</v>
      </c>
      <c r="C13" s="8" t="s">
        <v>181</v>
      </c>
      <c r="D13" s="9" t="s">
        <v>182</v>
      </c>
      <c r="E13" s="9" t="s">
        <v>182</v>
      </c>
      <c r="F13" s="9" t="s">
        <v>183</v>
      </c>
      <c r="G13" s="8" t="s">
        <v>183</v>
      </c>
    </row>
    <row r="14" spans="1:7" ht="24" thickBot="1" x14ac:dyDescent="0.4">
      <c r="A14" s="6" t="s">
        <v>184</v>
      </c>
      <c r="B14" s="7" t="s">
        <v>185</v>
      </c>
      <c r="C14" s="8" t="s">
        <v>186</v>
      </c>
      <c r="D14" s="9" t="s">
        <v>187</v>
      </c>
      <c r="E14" s="9" t="s">
        <v>187</v>
      </c>
      <c r="F14" s="9" t="s">
        <v>188</v>
      </c>
      <c r="G14" s="8" t="s">
        <v>188</v>
      </c>
    </row>
    <row r="15" spans="1:7" ht="28.5" thickBot="1" x14ac:dyDescent="0.4">
      <c r="A15" s="6" t="s">
        <v>189</v>
      </c>
      <c r="B15" s="7" t="s">
        <v>190</v>
      </c>
      <c r="C15" s="8" t="s">
        <v>191</v>
      </c>
      <c r="D15" s="9" t="s">
        <v>192</v>
      </c>
      <c r="E15" s="9" t="s">
        <v>192</v>
      </c>
      <c r="F15" s="9" t="s">
        <v>193</v>
      </c>
      <c r="G15" s="8" t="s">
        <v>193</v>
      </c>
    </row>
    <row r="16" spans="1:7" ht="24" thickBot="1" x14ac:dyDescent="0.4">
      <c r="A16" s="6" t="s">
        <v>194</v>
      </c>
      <c r="B16" s="7" t="s">
        <v>195</v>
      </c>
      <c r="C16" s="8" t="s">
        <v>196</v>
      </c>
      <c r="D16" s="9" t="s">
        <v>197</v>
      </c>
      <c r="E16" s="9" t="s">
        <v>198</v>
      </c>
      <c r="F16" s="9" t="s">
        <v>199</v>
      </c>
      <c r="G16" s="8" t="s">
        <v>200</v>
      </c>
    </row>
    <row r="17" spans="1:7" ht="28.5" thickBot="1" x14ac:dyDescent="0.4">
      <c r="A17" s="6" t="s">
        <v>201</v>
      </c>
      <c r="B17" s="7" t="s">
        <v>202</v>
      </c>
      <c r="C17" s="8" t="s">
        <v>203</v>
      </c>
      <c r="D17" s="9" t="s">
        <v>204</v>
      </c>
      <c r="E17" s="9" t="s">
        <v>205</v>
      </c>
      <c r="F17" s="9" t="s">
        <v>206</v>
      </c>
      <c r="G17" s="8" t="s">
        <v>207</v>
      </c>
    </row>
    <row r="18" spans="1:7" ht="24" thickBot="1" x14ac:dyDescent="0.4">
      <c r="A18" s="6" t="s">
        <v>208</v>
      </c>
      <c r="B18" s="7" t="s">
        <v>209</v>
      </c>
      <c r="C18" s="8" t="s">
        <v>210</v>
      </c>
      <c r="D18" s="9" t="s">
        <v>211</v>
      </c>
      <c r="E18" s="9" t="s">
        <v>212</v>
      </c>
      <c r="F18" s="9" t="s">
        <v>213</v>
      </c>
      <c r="G18" s="8" t="s">
        <v>214</v>
      </c>
    </row>
    <row r="19" spans="1:7" ht="24" thickBot="1" x14ac:dyDescent="0.4">
      <c r="A19" s="6" t="s">
        <v>215</v>
      </c>
      <c r="B19" s="7" t="s">
        <v>216</v>
      </c>
      <c r="C19" s="8" t="s">
        <v>217</v>
      </c>
      <c r="D19" s="9" t="s">
        <v>218</v>
      </c>
      <c r="E19" s="9" t="s">
        <v>219</v>
      </c>
      <c r="F19" s="9" t="s">
        <v>220</v>
      </c>
      <c r="G19" s="8" t="s">
        <v>221</v>
      </c>
    </row>
    <row r="20" spans="1:7" ht="24" thickBot="1" x14ac:dyDescent="0.4">
      <c r="A20" s="6" t="s">
        <v>222</v>
      </c>
      <c r="B20" s="7" t="s">
        <v>223</v>
      </c>
      <c r="C20" s="8" t="s">
        <v>224</v>
      </c>
      <c r="D20" s="9" t="s">
        <v>225</v>
      </c>
      <c r="E20" s="9" t="s">
        <v>226</v>
      </c>
      <c r="F20" s="9" t="s">
        <v>227</v>
      </c>
      <c r="G20" s="8" t="s">
        <v>228</v>
      </c>
    </row>
    <row r="21" spans="1:7" ht="24" thickBot="1" x14ac:dyDescent="0.4">
      <c r="A21" s="6" t="s">
        <v>229</v>
      </c>
      <c r="B21" s="7" t="s">
        <v>230</v>
      </c>
      <c r="C21" s="6" t="s">
        <v>231</v>
      </c>
      <c r="D21" s="9" t="s">
        <v>232</v>
      </c>
      <c r="E21" s="9" t="s">
        <v>233</v>
      </c>
      <c r="F21" s="9" t="s">
        <v>234</v>
      </c>
      <c r="G21" s="8" t="s">
        <v>235</v>
      </c>
    </row>
    <row r="22" spans="1:7" ht="33" thickBot="1" x14ac:dyDescent="0.4">
      <c r="A22" s="6" t="s">
        <v>236</v>
      </c>
      <c r="B22" s="10" t="s">
        <v>237</v>
      </c>
      <c r="C22" s="8" t="s">
        <v>238</v>
      </c>
      <c r="D22" s="9" t="s">
        <v>239</v>
      </c>
      <c r="E22" s="9" t="s">
        <v>240</v>
      </c>
      <c r="F22" s="9" t="s">
        <v>241</v>
      </c>
      <c r="G22" s="8" t="s">
        <v>242</v>
      </c>
    </row>
    <row r="23" spans="1:7" x14ac:dyDescent="0.25">
      <c r="A23" s="25" t="s">
        <v>243</v>
      </c>
      <c r="B23" s="27" t="s">
        <v>244</v>
      </c>
      <c r="C23" s="4" t="s">
        <v>245</v>
      </c>
      <c r="D23" s="29" t="s">
        <v>247</v>
      </c>
      <c r="E23" s="29" t="s">
        <v>248</v>
      </c>
      <c r="F23" s="29" t="s">
        <v>249</v>
      </c>
      <c r="G23" s="23" t="s">
        <v>250</v>
      </c>
    </row>
    <row r="24" spans="1:7" ht="54" thickBot="1" x14ac:dyDescent="0.3">
      <c r="A24" s="26"/>
      <c r="B24" s="28"/>
      <c r="C24" s="5" t="s">
        <v>246</v>
      </c>
      <c r="D24" s="30"/>
      <c r="E24" s="30"/>
      <c r="F24" s="30"/>
      <c r="G24" s="24"/>
    </row>
    <row r="25" spans="1:7" x14ac:dyDescent="0.25">
      <c r="A25" s="25" t="s">
        <v>251</v>
      </c>
      <c r="B25" s="27" t="s">
        <v>252</v>
      </c>
      <c r="C25" s="4" t="s">
        <v>253</v>
      </c>
      <c r="D25" s="29" t="s">
        <v>255</v>
      </c>
      <c r="E25" s="29" t="s">
        <v>256</v>
      </c>
      <c r="F25" s="29" t="s">
        <v>257</v>
      </c>
      <c r="G25" s="31" t="s">
        <v>258</v>
      </c>
    </row>
    <row r="26" spans="1:7" ht="54" thickBot="1" x14ac:dyDescent="0.3">
      <c r="A26" s="26"/>
      <c r="B26" s="28"/>
      <c r="C26" s="5" t="s">
        <v>254</v>
      </c>
      <c r="D26" s="30"/>
      <c r="E26" s="30"/>
      <c r="F26" s="30"/>
      <c r="G26" s="32"/>
    </row>
    <row r="27" spans="1:7" x14ac:dyDescent="0.25">
      <c r="A27" s="25" t="s">
        <v>259</v>
      </c>
      <c r="B27" s="27" t="s">
        <v>260</v>
      </c>
      <c r="C27" s="4" t="s">
        <v>261</v>
      </c>
      <c r="D27" s="29" t="s">
        <v>262</v>
      </c>
      <c r="E27" s="29" t="s">
        <v>263</v>
      </c>
      <c r="F27" s="29" t="s">
        <v>264</v>
      </c>
      <c r="G27" s="31" t="s">
        <v>265</v>
      </c>
    </row>
    <row r="28" spans="1:7" ht="54" thickBot="1" x14ac:dyDescent="0.3">
      <c r="A28" s="26"/>
      <c r="B28" s="28"/>
      <c r="C28" s="5" t="s">
        <v>246</v>
      </c>
      <c r="D28" s="30"/>
      <c r="E28" s="30"/>
      <c r="F28" s="30"/>
      <c r="G28" s="32"/>
    </row>
    <row r="29" spans="1:7" x14ac:dyDescent="0.25">
      <c r="A29" s="25" t="s">
        <v>266</v>
      </c>
      <c r="B29" s="27" t="s">
        <v>267</v>
      </c>
      <c r="C29" s="4" t="s">
        <v>268</v>
      </c>
      <c r="D29" s="29" t="s">
        <v>269</v>
      </c>
      <c r="E29" s="29" t="s">
        <v>270</v>
      </c>
      <c r="F29" s="29" t="s">
        <v>271</v>
      </c>
      <c r="G29" s="23" t="s">
        <v>272</v>
      </c>
    </row>
    <row r="30" spans="1:7" ht="54" thickBot="1" x14ac:dyDescent="0.3">
      <c r="A30" s="26"/>
      <c r="B30" s="28"/>
      <c r="C30" s="5" t="s">
        <v>246</v>
      </c>
      <c r="D30" s="30"/>
      <c r="E30" s="30"/>
      <c r="F30" s="30"/>
      <c r="G30" s="24"/>
    </row>
    <row r="31" spans="1:7" ht="24" thickBot="1" x14ac:dyDescent="0.4">
      <c r="A31" s="6" t="s">
        <v>273</v>
      </c>
      <c r="B31" s="7" t="s">
        <v>274</v>
      </c>
      <c r="C31" s="8" t="s">
        <v>275</v>
      </c>
      <c r="D31" s="9" t="s">
        <v>276</v>
      </c>
      <c r="E31" s="9" t="s">
        <v>277</v>
      </c>
      <c r="F31" s="9" t="s">
        <v>278</v>
      </c>
      <c r="G31" s="8" t="s">
        <v>279</v>
      </c>
    </row>
    <row r="32" spans="1:7" ht="24" thickBot="1" x14ac:dyDescent="0.4">
      <c r="A32" s="6" t="s">
        <v>280</v>
      </c>
      <c r="B32" s="7" t="s">
        <v>281</v>
      </c>
      <c r="C32" s="8" t="s">
        <v>282</v>
      </c>
      <c r="D32" s="9" t="s">
        <v>283</v>
      </c>
      <c r="E32" s="9" t="s">
        <v>284</v>
      </c>
      <c r="F32" s="9" t="s">
        <v>285</v>
      </c>
      <c r="G32" s="8" t="s">
        <v>286</v>
      </c>
    </row>
    <row r="33" spans="1:7" ht="24" thickBot="1" x14ac:dyDescent="0.4">
      <c r="A33" s="6" t="s">
        <v>287</v>
      </c>
      <c r="B33" s="7" t="s">
        <v>288</v>
      </c>
      <c r="C33" s="8" t="s">
        <v>289</v>
      </c>
      <c r="D33" s="9" t="s">
        <v>290</v>
      </c>
      <c r="E33" s="9" t="s">
        <v>291</v>
      </c>
      <c r="F33" s="9" t="s">
        <v>292</v>
      </c>
      <c r="G33" s="8" t="s">
        <v>293</v>
      </c>
    </row>
    <row r="34" spans="1:7" ht="24" thickBot="1" x14ac:dyDescent="0.4">
      <c r="A34" s="6" t="s">
        <v>294</v>
      </c>
      <c r="B34" s="7" t="s">
        <v>295</v>
      </c>
      <c r="C34" s="8" t="s">
        <v>296</v>
      </c>
      <c r="D34" s="9" t="s">
        <v>297</v>
      </c>
      <c r="E34" s="9" t="s">
        <v>298</v>
      </c>
      <c r="F34" s="9" t="s">
        <v>299</v>
      </c>
      <c r="G34" s="8" t="s">
        <v>300</v>
      </c>
    </row>
    <row r="35" spans="1:7" ht="30" x14ac:dyDescent="0.25">
      <c r="A35" s="25" t="s">
        <v>301</v>
      </c>
      <c r="B35" s="27" t="s">
        <v>302</v>
      </c>
      <c r="C35" s="4" t="s">
        <v>303</v>
      </c>
      <c r="D35" s="29" t="s">
        <v>305</v>
      </c>
      <c r="E35" s="29" t="s">
        <v>305</v>
      </c>
      <c r="F35" s="29" t="s">
        <v>306</v>
      </c>
      <c r="G35" s="23" t="s">
        <v>306</v>
      </c>
    </row>
    <row r="36" spans="1:7" ht="78" thickBot="1" x14ac:dyDescent="0.3">
      <c r="A36" s="26"/>
      <c r="B36" s="28"/>
      <c r="C36" s="5" t="s">
        <v>304</v>
      </c>
      <c r="D36" s="30"/>
      <c r="E36" s="30"/>
      <c r="F36" s="30"/>
      <c r="G36" s="24"/>
    </row>
    <row r="37" spans="1:7" ht="30" x14ac:dyDescent="0.25">
      <c r="A37" s="25" t="s">
        <v>307</v>
      </c>
      <c r="B37" s="27" t="s">
        <v>308</v>
      </c>
      <c r="C37" s="4" t="s">
        <v>309</v>
      </c>
      <c r="D37" s="29" t="s">
        <v>311</v>
      </c>
      <c r="E37" s="29" t="s">
        <v>312</v>
      </c>
      <c r="F37" s="29" t="s">
        <v>313</v>
      </c>
      <c r="G37" s="31" t="s">
        <v>314</v>
      </c>
    </row>
    <row r="38" spans="1:7" ht="78" thickBot="1" x14ac:dyDescent="0.3">
      <c r="A38" s="26"/>
      <c r="B38" s="28"/>
      <c r="C38" s="5" t="s">
        <v>310</v>
      </c>
      <c r="D38" s="30"/>
      <c r="E38" s="30"/>
      <c r="F38" s="30"/>
      <c r="G38" s="32"/>
    </row>
  </sheetData>
  <mergeCells count="53"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A1:A2"/>
    <mergeCell ref="B1:B2"/>
    <mergeCell ref="C1:C2"/>
    <mergeCell ref="D1:F1"/>
    <mergeCell ref="G1:G2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130</v>
      </c>
    </row>
    <row r="2" spans="1:1" x14ac:dyDescent="0.25">
      <c r="A2" t="s">
        <v>138</v>
      </c>
    </row>
    <row r="3" spans="1:1" x14ac:dyDescent="0.25">
      <c r="A3" t="s">
        <v>145</v>
      </c>
    </row>
    <row r="4" spans="1:1" x14ac:dyDescent="0.25">
      <c r="A4" t="s">
        <v>152</v>
      </c>
    </row>
    <row r="5" spans="1:1" x14ac:dyDescent="0.25">
      <c r="A5" t="s">
        <v>159</v>
      </c>
    </row>
    <row r="6" spans="1:1" x14ac:dyDescent="0.25">
      <c r="A6" t="s">
        <v>166</v>
      </c>
    </row>
    <row r="7" spans="1:1" x14ac:dyDescent="0.25">
      <c r="A7" t="s">
        <v>173</v>
      </c>
    </row>
    <row r="8" spans="1:1" x14ac:dyDescent="0.25">
      <c r="A8" t="s">
        <v>178</v>
      </c>
    </row>
    <row r="9" spans="1:1" x14ac:dyDescent="0.25">
      <c r="A9" t="s">
        <v>183</v>
      </c>
    </row>
    <row r="10" spans="1:1" x14ac:dyDescent="0.25">
      <c r="A10" t="s">
        <v>188</v>
      </c>
    </row>
    <row r="11" spans="1:1" x14ac:dyDescent="0.25">
      <c r="A11" t="s">
        <v>193</v>
      </c>
    </row>
    <row r="12" spans="1:1" x14ac:dyDescent="0.25">
      <c r="A12" t="s">
        <v>200</v>
      </c>
    </row>
    <row r="13" spans="1:1" x14ac:dyDescent="0.25">
      <c r="A13" t="s">
        <v>207</v>
      </c>
    </row>
    <row r="14" spans="1:1" x14ac:dyDescent="0.25">
      <c r="A14" t="s">
        <v>214</v>
      </c>
    </row>
    <row r="15" spans="1:1" x14ac:dyDescent="0.25">
      <c r="A15" t="s">
        <v>221</v>
      </c>
    </row>
    <row r="16" spans="1:1" x14ac:dyDescent="0.25">
      <c r="A16" t="s">
        <v>228</v>
      </c>
    </row>
    <row r="17" spans="1:1" x14ac:dyDescent="0.25">
      <c r="A17" t="s">
        <v>235</v>
      </c>
    </row>
    <row r="18" spans="1:1" x14ac:dyDescent="0.25">
      <c r="A18" t="s">
        <v>242</v>
      </c>
    </row>
    <row r="19" spans="1:1" x14ac:dyDescent="0.25">
      <c r="A19" t="s">
        <v>250</v>
      </c>
    </row>
    <row r="20" spans="1:1" x14ac:dyDescent="0.25">
      <c r="A20" t="s">
        <v>315</v>
      </c>
    </row>
    <row r="21" spans="1:1" x14ac:dyDescent="0.25">
      <c r="A21" t="s">
        <v>316</v>
      </c>
    </row>
    <row r="22" spans="1:1" x14ac:dyDescent="0.25">
      <c r="A22" t="s">
        <v>272</v>
      </c>
    </row>
    <row r="23" spans="1:1" x14ac:dyDescent="0.25">
      <c r="A23" t="s">
        <v>279</v>
      </c>
    </row>
    <row r="24" spans="1:1" x14ac:dyDescent="0.25">
      <c r="A24" t="s">
        <v>286</v>
      </c>
    </row>
    <row r="25" spans="1:1" x14ac:dyDescent="0.25">
      <c r="A25" t="s">
        <v>293</v>
      </c>
    </row>
    <row r="26" spans="1:1" x14ac:dyDescent="0.25">
      <c r="A26" t="s">
        <v>300</v>
      </c>
    </row>
    <row r="27" spans="1:1" x14ac:dyDescent="0.25">
      <c r="A27" t="s">
        <v>306</v>
      </c>
    </row>
    <row r="28" spans="1:1" x14ac:dyDescent="0.25">
      <c r="A28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tabSelected="1" workbookViewId="0">
      <selection activeCell="G699" sqref="G699"/>
    </sheetView>
  </sheetViews>
  <sheetFormatPr defaultRowHeight="15" x14ac:dyDescent="0.25"/>
  <cols>
    <col min="1" max="1" width="19.85546875" style="15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4" t="str">
        <f>HYPERLINK("https://www.youtube.com/watch?v=e_dFFaECK5E","Video Lesson 4")</f>
        <v>Video Lesson 4</v>
      </c>
      <c r="B1" t="s">
        <v>327</v>
      </c>
      <c r="C1" t="s">
        <v>333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451</v>
      </c>
      <c r="H1" s="12" t="s">
        <v>443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452</v>
      </c>
      <c r="H2" s="12" t="s">
        <v>449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4" t="str">
        <f>HYPERLINK("https://www.youtube.com/watch?v=e_dFFaECK5E","Video Lesson 4")</f>
        <v>Video Lesson 4</v>
      </c>
      <c r="B3" t="s">
        <v>327</v>
      </c>
      <c r="C3" t="s">
        <v>333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453</v>
      </c>
      <c r="H3" s="12" t="s">
        <v>423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412</v>
      </c>
      <c r="H4" s="12" t="s">
        <v>421</v>
      </c>
      <c r="M4" t="str">
        <f t="shared" si="0"/>
        <v>=hyperlink("https://www.youtube.com/watch?v=7iovf94e4uU","Video Lesson 1")</v>
      </c>
    </row>
    <row r="5" spans="1:13" x14ac:dyDescent="0.25">
      <c r="A5" s="14" t="str">
        <f>HYPERLINK("https://www.youtube.com/watch?v=e_dFFaECK5E","Video Lesson 4")</f>
        <v>Video Lesson 4</v>
      </c>
      <c r="B5" t="s">
        <v>327</v>
      </c>
      <c r="C5" t="s">
        <v>333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407</v>
      </c>
      <c r="H5" s="12" t="s">
        <v>434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411</v>
      </c>
      <c r="H6" s="12" t="s">
        <v>435</v>
      </c>
      <c r="M6" t="str">
        <f t="shared" si="0"/>
        <v>=hyperlink("https://www.youtube.com/watch?v=1G46tEJOrww","Video Lesson 11")</v>
      </c>
    </row>
    <row r="7" spans="1:13" x14ac:dyDescent="0.25">
      <c r="A7" s="14" t="str">
        <f>HYPERLINK("https://www.youtube.com/watch?v=e_dFFaECK5E","Video Lesson 4")</f>
        <v>Video Lesson 4</v>
      </c>
      <c r="B7" t="s">
        <v>327</v>
      </c>
      <c r="C7" t="s">
        <v>333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416</v>
      </c>
      <c r="H7" s="12" t="s">
        <v>436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406</v>
      </c>
      <c r="H8" s="12" t="s">
        <v>437</v>
      </c>
      <c r="M8" t="str">
        <f t="shared" si="0"/>
        <v>=hyperlink("https://www.youtube.com/watch?v=CuxAdMsjkyY","Video Lesson 13")</v>
      </c>
    </row>
    <row r="9" spans="1:13" x14ac:dyDescent="0.25">
      <c r="A9" s="14" t="str">
        <f>HYPERLINK("https://www.youtube.com/watch?v=e_dFFaECK5E","Video Lesson 4")</f>
        <v>Video Lesson 4</v>
      </c>
      <c r="B9" t="s">
        <v>327</v>
      </c>
      <c r="C9" t="s">
        <v>333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402</v>
      </c>
      <c r="H9" s="12" t="s">
        <v>438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413</v>
      </c>
      <c r="H10" s="12" t="s">
        <v>439</v>
      </c>
      <c r="M10" t="str">
        <f t="shared" si="0"/>
        <v>=hyperlink("https://www.youtube.com/watch?v=mlf3S2Z-yzM","Video Lesson 15")</v>
      </c>
    </row>
    <row r="11" spans="1:13" x14ac:dyDescent="0.25">
      <c r="A11" s="14" t="str">
        <f>HYPERLINK("https://www.youtube.com/watch?v=e_dFFaECK5E","Video Lesson 4")</f>
        <v>Video Lesson 4</v>
      </c>
      <c r="B11" t="s">
        <v>327</v>
      </c>
      <c r="C11" t="s">
        <v>333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419</v>
      </c>
      <c r="H11" s="12" t="s">
        <v>440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415</v>
      </c>
      <c r="H12" s="12" t="s">
        <v>441</v>
      </c>
      <c r="M12" t="str">
        <f t="shared" si="0"/>
        <v>=hyperlink("https://www.youtube.com/watch?v=FpQEAG3hsdA","Video Lesson 17")</v>
      </c>
    </row>
    <row r="13" spans="1:13" x14ac:dyDescent="0.25">
      <c r="A13" s="14" t="str">
        <f>HYPERLINK("https://www.youtube.com/watch?v=e_dFFaECK5E","Video Lesson 4")</f>
        <v>Video Lesson 4</v>
      </c>
      <c r="B13" t="s">
        <v>327</v>
      </c>
      <c r="C13" t="s">
        <v>333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418</v>
      </c>
      <c r="H13" s="12" t="s">
        <v>442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403</v>
      </c>
      <c r="H14" t="s">
        <v>444</v>
      </c>
      <c r="M14" t="str">
        <f t="shared" si="0"/>
        <v>=hyperlink("https://www.youtube.com/watch?v=Xop5dt-yhOA","Video Lesson 19")</v>
      </c>
    </row>
    <row r="15" spans="1:13" x14ac:dyDescent="0.25">
      <c r="A15" s="14" t="str">
        <f>HYPERLINK("https://www.youtube.com/watch?v=e_dFFaECK5E","Video Lesson 4")</f>
        <v>Video Lesson 4</v>
      </c>
      <c r="B15" t="s">
        <v>327</v>
      </c>
      <c r="C15" t="s">
        <v>333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408</v>
      </c>
      <c r="H15" s="13" t="s">
        <v>422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417</v>
      </c>
      <c r="H16" t="s">
        <v>445</v>
      </c>
      <c r="M16" t="str">
        <f t="shared" si="0"/>
        <v>=hyperlink("https://www.youtube.com/watch?v=Sjl8iPAcNo0","Video Lesson 20")</v>
      </c>
    </row>
    <row r="17" spans="1:13" x14ac:dyDescent="0.25">
      <c r="A17" s="14" t="str">
        <f>HYPERLINK("https://www.youtube.com/watch?v=e_dFFaECK5E","Video Lesson 4")</f>
        <v>Video Lesson 4</v>
      </c>
      <c r="B17" t="s">
        <v>327</v>
      </c>
      <c r="C17" t="s">
        <v>333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400</v>
      </c>
      <c r="H17" t="s">
        <v>446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405</v>
      </c>
      <c r="H18" t="s">
        <v>447</v>
      </c>
      <c r="M18" t="str">
        <f t="shared" si="0"/>
        <v>=hyperlink("https://www.youtube.com/watch?v=kLZmQK8CWFU","Video Lesson 22")</v>
      </c>
    </row>
    <row r="19" spans="1:13" x14ac:dyDescent="0.25">
      <c r="A19" s="14" t="str">
        <f>HYPERLINK("https://www.youtube.com/watch?v=e_dFFaECK5E","Video Lesson 4")</f>
        <v>Video Lesson 4</v>
      </c>
      <c r="B19" t="s">
        <v>327</v>
      </c>
      <c r="C19" t="s">
        <v>333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404</v>
      </c>
      <c r="H19" s="13" t="s">
        <v>448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398</v>
      </c>
      <c r="H20" t="s">
        <v>450</v>
      </c>
      <c r="M20" t="str">
        <f t="shared" si="0"/>
        <v>=hyperlink("https://www.youtube.com/watch?v=M-mxlyVa6iM","Video Lesson 24")</v>
      </c>
    </row>
    <row r="21" spans="1:13" x14ac:dyDescent="0.25">
      <c r="A21" s="14" t="str">
        <f>HYPERLINK("https://www.youtube.com/watch?v=e_dFFaECK5E","Video Lesson 4")</f>
        <v>Video Lesson 4</v>
      </c>
      <c r="B21" t="s">
        <v>327</v>
      </c>
      <c r="C21" t="s">
        <v>333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425</v>
      </c>
      <c r="H21" t="s">
        <v>426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424</v>
      </c>
      <c r="H22" t="s">
        <v>427</v>
      </c>
      <c r="M22" t="str">
        <f t="shared" si="0"/>
        <v>=hyperlink("https://www.youtube.com/watch?v=bbpaAUOv8dE","Video Lesson 3.2")</v>
      </c>
    </row>
    <row r="23" spans="1:13" x14ac:dyDescent="0.25">
      <c r="A23" s="14" t="str">
        <f>HYPERLINK("https://www.youtube.com/watch?v=CIw5yuG2h7k","Video Lesson 14")</f>
        <v>Video Lesson 14</v>
      </c>
      <c r="B23" t="s">
        <v>327</v>
      </c>
      <c r="C23" t="s">
        <v>334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401</v>
      </c>
      <c r="H23" t="s">
        <v>428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409</v>
      </c>
      <c r="H24" t="s">
        <v>429</v>
      </c>
      <c r="M24" t="str">
        <f t="shared" si="0"/>
        <v>=hyperlink("https://www.youtube.com/watch?v=HPUSR1ERIv0","Video Lesson 5")</v>
      </c>
    </row>
    <row r="25" spans="1:13" x14ac:dyDescent="0.25">
      <c r="A25" s="14" t="str">
        <f>HYPERLINK("https://www.youtube.com/watch?v=CIw5yuG2h7k","Video Lesson 14")</f>
        <v>Video Lesson 14</v>
      </c>
      <c r="B25" t="s">
        <v>327</v>
      </c>
      <c r="C25" t="s">
        <v>334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420</v>
      </c>
      <c r="H25" t="s">
        <v>430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414</v>
      </c>
      <c r="H26" t="s">
        <v>431</v>
      </c>
      <c r="M26" t="str">
        <f t="shared" si="0"/>
        <v>=hyperlink("https://www.youtube.com/watch?v=kN_Mk1vvvzI","Video Lesson 7")</v>
      </c>
    </row>
    <row r="27" spans="1:13" x14ac:dyDescent="0.25">
      <c r="A27" s="14" t="str">
        <f>HYPERLINK("https://www.youtube.com/watch?v=CIw5yuG2h7k","Video Lesson 14")</f>
        <v>Video Lesson 14</v>
      </c>
      <c r="B27" t="s">
        <v>327</v>
      </c>
      <c r="C27" t="s">
        <v>334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399</v>
      </c>
      <c r="H27" s="13" t="s">
        <v>432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410</v>
      </c>
      <c r="H28" t="s">
        <v>433</v>
      </c>
      <c r="M28" t="str">
        <f t="shared" si="0"/>
        <v>=hyperlink("https://www.youtube.com/watch?v=KUWhrhaqHsg","Video Lesson 9")</v>
      </c>
    </row>
    <row r="29" spans="1:13" x14ac:dyDescent="0.25">
      <c r="A29" s="14" t="str">
        <f>HYPERLINK("https://www.youtube.com/watch?v=CIw5yuG2h7k","Video Lesson 14")</f>
        <v>Video Lesson 14</v>
      </c>
      <c r="B29" t="s">
        <v>327</v>
      </c>
      <c r="C29" t="s">
        <v>334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4" t="str">
        <f>HYPERLINK("https://www.youtube.com/watch?v=CIw5yuG2h7k","Video Lesson 14")</f>
        <v>Video Lesson 14</v>
      </c>
      <c r="B31" t="s">
        <v>327</v>
      </c>
      <c r="C31" t="s">
        <v>334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4" t="str">
        <f>HYPERLINK("https://www.youtube.com/watch?v=CIw5yuG2h7k","Video Lesson 14")</f>
        <v>Video Lesson 14</v>
      </c>
      <c r="B33" t="s">
        <v>327</v>
      </c>
      <c r="C33" t="s">
        <v>334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4" t="str">
        <f>HYPERLINK("https://www.youtube.com/watch?v=CIw5yuG2h7k","Video Lesson 14")</f>
        <v>Video Lesson 14</v>
      </c>
      <c r="B35" t="s">
        <v>327</v>
      </c>
      <c r="C35" t="s">
        <v>334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4" t="str">
        <f>HYPERLINK("https://www.youtube.com/watch?v=kN_Mk1vvvzI","Video Lesson 7")</f>
        <v>Video Lesson 7</v>
      </c>
      <c r="B37" t="s">
        <v>327</v>
      </c>
      <c r="C37" t="s">
        <v>334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4" t="str">
        <f>HYPERLINK("https://www.youtube.com/watch?v=kN_Mk1vvvzI","Video Lesson 7")</f>
        <v>Video Lesson 7</v>
      </c>
      <c r="B39" t="s">
        <v>327</v>
      </c>
      <c r="C39" t="s">
        <v>334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4" t="str">
        <f>HYPERLINK("https://www.youtube.com/watch?v=kN_Mk1vvvzI","Video Lesson 7")</f>
        <v>Video Lesson 7</v>
      </c>
      <c r="B41" t="s">
        <v>327</v>
      </c>
      <c r="C41" t="s">
        <v>334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4" t="str">
        <f>HYPERLINK("https://www.youtube.com/watch?v=kN_Mk1vvvzI","Video Lesson 7")</f>
        <v>Video Lesson 7</v>
      </c>
      <c r="B43" t="s">
        <v>327</v>
      </c>
      <c r="C43" t="s">
        <v>334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4" t="str">
        <f>HYPERLINK("https://www.youtube.com/watch?v=kN_Mk1vvvzI","Video Lesson 7")</f>
        <v>Video Lesson 7</v>
      </c>
      <c r="B45" t="s">
        <v>327</v>
      </c>
      <c r="C45" t="s">
        <v>334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4" t="str">
        <f>HYPERLINK("https://www.youtube.com/watch?v=Xop5dt-yhOA","Video Lesson 19")</f>
        <v>Video Lesson 19</v>
      </c>
      <c r="B47" t="s">
        <v>327</v>
      </c>
      <c r="C47" t="s">
        <v>334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4" t="str">
        <f>HYPERLINK("https://www.youtube.com/watch?v=jVxw8JRCMDk","Video Lesson 21")</f>
        <v>Video Lesson 21</v>
      </c>
      <c r="B49" t="s">
        <v>327</v>
      </c>
      <c r="C49" t="s">
        <v>334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4" t="str">
        <f>HYPERLINK("https://www.youtube.com/watch?v=kN_Mk1vvvzI","Video Lesson 7")</f>
        <v>Video Lesson 7</v>
      </c>
      <c r="B51" t="s">
        <v>327</v>
      </c>
      <c r="C51" t="s">
        <v>334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4" t="str">
        <f>HYPERLINK("https://www.youtube.com/watch?v=kN_Mk1vvvzI","Video Lesson 7")</f>
        <v>Video Lesson 7</v>
      </c>
      <c r="B53" t="s">
        <v>327</v>
      </c>
      <c r="C53" t="s">
        <v>334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4" t="str">
        <f>HYPERLINK("https://www.youtube.com/watch?v=kN_Mk1vvvzI","Video Lesson 7")</f>
        <v>Video Lesson 7</v>
      </c>
      <c r="B55" t="s">
        <v>327</v>
      </c>
      <c r="C55" t="s">
        <v>334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4" t="str">
        <f>HYPERLINK("https://www.youtube.com/watch?v=RmEAQDsTTaE","Video Lesson 23")</f>
        <v>Video Lesson 23</v>
      </c>
      <c r="B57" t="s">
        <v>327</v>
      </c>
      <c r="C57" t="s">
        <v>334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4" t="str">
        <f>HYPERLINK("https://www.youtube.com/watch?v=kN_Mk1vvvzI","Video Lesson 7")</f>
        <v>Video Lesson 7</v>
      </c>
      <c r="B59" t="s">
        <v>327</v>
      </c>
      <c r="C59" t="s">
        <v>334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4" t="str">
        <f>HYPERLINK("https://www.youtube.com/watch?v=kN_Mk1vvvzI","Video Lesson 7")</f>
        <v>Video Lesson 7</v>
      </c>
      <c r="B61" t="s">
        <v>327</v>
      </c>
      <c r="C61" t="s">
        <v>334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4" t="str">
        <f>HYPERLINK("https://www.youtube.com/watch?v=kN_Mk1vvvzI","Video Lesson 7")</f>
        <v>Video Lesson 7</v>
      </c>
      <c r="B63" t="s">
        <v>327</v>
      </c>
      <c r="C63" t="s">
        <v>334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4" t="str">
        <f>HYPERLINK("https://www.youtube.com/watch?v=kN_Mk1vvvzI","Video Lesson 7")</f>
        <v>Video Lesson 7</v>
      </c>
      <c r="B65" t="s">
        <v>327</v>
      </c>
      <c r="C65" t="s">
        <v>334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4" t="str">
        <f>HYPERLINK("https://www.youtube.com/watch?v=kLZmQK8CWFU","Video Lesson 22")</f>
        <v>Video Lesson 22</v>
      </c>
      <c r="B67" t="s">
        <v>327</v>
      </c>
      <c r="C67" t="s">
        <v>335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4" t="str">
        <f>HYPERLINK("https://www.youtube.com/watch?v=kLZmQK8CWFU","Video Lesson 22")</f>
        <v>Video Lesson 22</v>
      </c>
      <c r="B69" t="s">
        <v>327</v>
      </c>
      <c r="C69" t="s">
        <v>335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4" t="str">
        <f>HYPERLINK("https://www.youtube.com/watch?v=kLZmQK8CWFU","Video Lesson 22")</f>
        <v>Video Lesson 22</v>
      </c>
      <c r="B71" t="s">
        <v>327</v>
      </c>
      <c r="C71" t="s">
        <v>335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4" t="str">
        <f>HYPERLINK("https://www.youtube.com/watch?v=kLZmQK8CWFU","Video Lesson 22")</f>
        <v>Video Lesson 22</v>
      </c>
      <c r="B73" t="s">
        <v>327</v>
      </c>
      <c r="C73" t="s">
        <v>335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4" t="str">
        <f>HYPERLINK("https://www.youtube.com/watch?v=kLZmQK8CWFU","Video Lesson 22")</f>
        <v>Video Lesson 22</v>
      </c>
      <c r="B75" t="s">
        <v>327</v>
      </c>
      <c r="C75" t="s">
        <v>335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4" t="str">
        <f>HYPERLINK("https://www.youtube.com/watch?v=kLZmQK8CWFU","Video Lesson 22")</f>
        <v>Video Lesson 22</v>
      </c>
      <c r="B77" t="s">
        <v>327</v>
      </c>
      <c r="C77" t="s">
        <v>335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4" t="str">
        <f>HYPERLINK("https://www.youtube.com/watch?v=kLZmQK8CWFU","Video Lesson 22")</f>
        <v>Video Lesson 22</v>
      </c>
      <c r="B79" t="s">
        <v>327</v>
      </c>
      <c r="C79" t="s">
        <v>335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4" t="str">
        <f>HYPERLINK("https://www.youtube.com/watch?v=kLZmQK8CWFU","Video Lesson 22")</f>
        <v>Video Lesson 22</v>
      </c>
      <c r="B81" t="s">
        <v>327</v>
      </c>
      <c r="C81" t="s">
        <v>335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4" t="str">
        <f>HYPERLINK("https://www.youtube.com/watch?v=kLZmQK8CWFU","Video Lesson 22")</f>
        <v>Video Lesson 22</v>
      </c>
      <c r="B83" t="s">
        <v>327</v>
      </c>
      <c r="C83" t="s">
        <v>335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4" t="str">
        <f>HYPERLINK("https://www.youtube.com/watch?v=kLZmQK8CWFU","Video Lesson 22")</f>
        <v>Video Lesson 22</v>
      </c>
      <c r="B85" t="s">
        <v>327</v>
      </c>
      <c r="C85" t="s">
        <v>335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4" t="str">
        <f>HYPERLINK("https://www.youtube.com/watch?v=QAEGmTKhMo4","Video Lesson 'Valentine'")</f>
        <v>Video Lesson 'Valentine'</v>
      </c>
      <c r="B87" t="s">
        <v>327</v>
      </c>
      <c r="C87" t="s">
        <v>335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4" t="str">
        <f>HYPERLINK("https://www.youtube.com/watch?v=QAEGmTKhMo4","Video Lesson 'Valentine'")</f>
        <v>Video Lesson 'Valentine'</v>
      </c>
      <c r="B89" t="s">
        <v>327</v>
      </c>
      <c r="C89" t="s">
        <v>335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4" t="str">
        <f>HYPERLINK("https://www.youtube.com/watch?v=CuxAdMsjkyY","Video Lesson 13")</f>
        <v>Video Lesson 13</v>
      </c>
      <c r="B91" t="s">
        <v>327</v>
      </c>
      <c r="C91" t="s">
        <v>336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4" t="str">
        <f>HYPERLINK("https://www.youtube.com/watch?v=CuxAdMsjkyY","Video Lesson 13")</f>
        <v>Video Lesson 13</v>
      </c>
      <c r="B93" t="s">
        <v>327</v>
      </c>
      <c r="C93" t="s">
        <v>336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4" t="str">
        <f>HYPERLINK("https://www.youtube.com/watch?v=CuxAdMsjkyY","Video Lesson 13")</f>
        <v>Video Lesson 13</v>
      </c>
      <c r="B95" t="s">
        <v>327</v>
      </c>
      <c r="C95" t="s">
        <v>336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4" t="str">
        <f>HYPERLINK("https://www.youtube.com/watch?v=CuxAdMsjkyY","Video Lesson 13")</f>
        <v>Video Lesson 13</v>
      </c>
      <c r="B97" t="s">
        <v>327</v>
      </c>
      <c r="C97" t="s">
        <v>336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4" t="str">
        <f>HYPERLINK("https://www.youtube.com/watch?v=CuxAdMsjkyY","Video Lesson 13")</f>
        <v>Video Lesson 13</v>
      </c>
      <c r="B99" t="s">
        <v>327</v>
      </c>
      <c r="C99" t="s">
        <v>336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4" t="str">
        <f>HYPERLINK("https://www.youtube.com/watch?v=CuxAdMsjkyY","Video Lesson 13")</f>
        <v>Video Lesson 13</v>
      </c>
      <c r="B101" t="s">
        <v>327</v>
      </c>
      <c r="C101" t="s">
        <v>336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4" t="str">
        <f>HYPERLINK("https://www.youtube.com/watch?v=CuxAdMsjkyY","Video Lesson 13")</f>
        <v>Video Lesson 13</v>
      </c>
      <c r="B103" t="s">
        <v>327</v>
      </c>
      <c r="C103" t="s">
        <v>336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4" t="str">
        <f>HYPERLINK("https://www.youtube.com/watch?v=Ivl-D6m04C4","Video Lesson 10")</f>
        <v>Video Lesson 10</v>
      </c>
      <c r="B105" t="s">
        <v>327</v>
      </c>
      <c r="C105" t="s">
        <v>337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4" t="str">
        <f>HYPERLINK("https://www.youtube.com/watch?v=Ivl-D6m04C4","Video Lesson 10")</f>
        <v>Video Lesson 10</v>
      </c>
      <c r="B107" t="s">
        <v>327</v>
      </c>
      <c r="C107" t="s">
        <v>337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4" t="str">
        <f>HYPERLINK("https://www.youtube.com/watch?v=Ivl-D6m04C4","Video Lesson 10")</f>
        <v>Video Lesson 10</v>
      </c>
      <c r="B109" t="s">
        <v>327</v>
      </c>
      <c r="C109" t="s">
        <v>337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4" t="str">
        <f>HYPERLINK("https://www.youtube.com/watch?v=Ivl-D6m04C4","Video Lesson 10")</f>
        <v>Video Lesson 10</v>
      </c>
      <c r="B111" t="s">
        <v>327</v>
      </c>
      <c r="C111" t="s">
        <v>337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4" t="str">
        <f>HYPERLINK("https://www.youtube.com/watch?v=Ivl-D6m04C4","Video Lesson 10")</f>
        <v>Video Lesson 10</v>
      </c>
      <c r="B113" t="s">
        <v>327</v>
      </c>
      <c r="C113" t="s">
        <v>337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4" t="str">
        <f>HYPERLINK("https://www.youtube.com/watch?v=Ivl-D6m04C4","Video Lesson 10")</f>
        <v>Video Lesson 10</v>
      </c>
      <c r="B115" t="s">
        <v>327</v>
      </c>
      <c r="C115" t="s">
        <v>337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4" t="str">
        <f>HYPERLINK("https://www.youtube.com/watch?v=Ivl-D6m04C4","Video Lesson 10")</f>
        <v>Video Lesson 10</v>
      </c>
      <c r="B117" t="s">
        <v>327</v>
      </c>
      <c r="C117" t="s">
        <v>337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4" t="str">
        <f>HYPERLINK("https://www.youtube.com/watch?v=Ivl-D6m04C4","Video Lesson 10")</f>
        <v>Video Lesson 10</v>
      </c>
      <c r="B119" t="s">
        <v>327</v>
      </c>
      <c r="C119" t="s">
        <v>337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4" t="str">
        <f>HYPERLINK("https://www.youtube.com/watch?v=Ivl-D6m04C4","Video Lesson 10")</f>
        <v>Video Lesson 10</v>
      </c>
      <c r="B121" t="s">
        <v>327</v>
      </c>
      <c r="C121" t="s">
        <v>337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4" t="str">
        <f>HYPERLINK("https://www.youtube.com/watch?v=Ivl-D6m04C4","Video Lesson 10")</f>
        <v>Video Lesson 10</v>
      </c>
      <c r="B123" t="s">
        <v>327</v>
      </c>
      <c r="C123" t="s">
        <v>337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4" t="str">
        <f>HYPERLINK("https://www.youtube.com/watch?v=Ivl-D6m04C4","Video Lesson 10")</f>
        <v>Video Lesson 10</v>
      </c>
      <c r="B125" t="s">
        <v>327</v>
      </c>
      <c r="C125" t="s">
        <v>337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4" t="str">
        <f>HYPERLINK("https://www.youtube.com/watch?v=Ivl-D6m04C4","Video Lesson 10")</f>
        <v>Video Lesson 10</v>
      </c>
      <c r="B127" t="s">
        <v>327</v>
      </c>
      <c r="C127" t="s">
        <v>337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4" t="str">
        <f>HYPERLINK("https://www.youtube.com/watch?v=Ivl-D6m04C4","Video Lesson 10")</f>
        <v>Video Lesson 10</v>
      </c>
      <c r="B129" t="s">
        <v>327</v>
      </c>
      <c r="C129" t="s">
        <v>337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4" t="str">
        <f>HYPERLINK("https://www.youtube.com/watch?v=Ivl-D6m04C4","Video Lesson 10")</f>
        <v>Video Lesson 10</v>
      </c>
      <c r="B131" t="s">
        <v>327</v>
      </c>
      <c r="C131" t="s">
        <v>337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4" t="str">
        <f>HYPERLINK("https://www.youtube.com/watch?v=Ivl-D6m04C4","Video Lesson 10")</f>
        <v>Video Lesson 10</v>
      </c>
      <c r="B133" t="s">
        <v>327</v>
      </c>
      <c r="C133" t="s">
        <v>337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4" t="str">
        <f>HYPERLINK("https://www.youtube.com/watch?v=Ivl-D6m04C4","Video Lesson 10")</f>
        <v>Video Lesson 10</v>
      </c>
      <c r="B135" t="s">
        <v>327</v>
      </c>
      <c r="C135" t="s">
        <v>337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4" t="str">
        <f>HYPERLINK("https://www.youtube.com/watch?v=Ivl-D6m04C4","Video Lesson 10")</f>
        <v>Video Lesson 10</v>
      </c>
      <c r="B137" t="s">
        <v>327</v>
      </c>
      <c r="C137" t="s">
        <v>337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4" t="str">
        <f>HYPERLINK("https://www.youtube.com/watch?v=Ivl-D6m04C4","Video Lesson 10")</f>
        <v>Video Lesson 10</v>
      </c>
      <c r="B139" t="s">
        <v>327</v>
      </c>
      <c r="C139" t="s">
        <v>337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4" t="str">
        <f>HYPERLINK("https://www.youtube.com/watch?v=Ivl-D6m04C4","Video Lesson 10")</f>
        <v>Video Lesson 10</v>
      </c>
      <c r="B141" t="s">
        <v>327</v>
      </c>
      <c r="C141" t="s">
        <v>337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4" t="str">
        <f>HYPERLINK("https://www.youtube.com/watch?v=Ivl-D6m04C4","Video Lesson 10")</f>
        <v>Video Lesson 10</v>
      </c>
      <c r="B143" t="s">
        <v>327</v>
      </c>
      <c r="C143" t="s">
        <v>337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4" t="str">
        <f>HYPERLINK("https://www.youtube.com/watch?v=Ivl-D6m04C4","Video Lesson 10")</f>
        <v>Video Lesson 10</v>
      </c>
      <c r="B145" t="s">
        <v>327</v>
      </c>
      <c r="C145" t="s">
        <v>337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4" t="str">
        <f>HYPERLINK("https://www.youtube.com/watch?v=Ivl-D6m04C4","Video Lesson 10")</f>
        <v>Video Lesson 10</v>
      </c>
      <c r="B147" t="s">
        <v>327</v>
      </c>
      <c r="C147" t="s">
        <v>337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4" t="str">
        <f>HYPERLINK("https://www.youtube.com/watch?v=Ivl-D6m04C4","Video Lesson 10")</f>
        <v>Video Lesson 10</v>
      </c>
      <c r="B149" t="s">
        <v>327</v>
      </c>
      <c r="C149" t="s">
        <v>337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4" t="str">
        <f>HYPERLINK("https://www.youtube.com/watch?v=E-TjOWZ5YQ0","Video Lesson 2")</f>
        <v>Video Lesson 2</v>
      </c>
      <c r="B151" t="s">
        <v>328</v>
      </c>
      <c r="C151" t="s">
        <v>338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4" t="str">
        <f>HYPERLINK("https://www.youtube.com/watch?v=E-TjOWZ5YQ0","Video Lesson 2")</f>
        <v>Video Lesson 2</v>
      </c>
      <c r="B153" t="s">
        <v>328</v>
      </c>
      <c r="C153" t="s">
        <v>338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4" t="str">
        <f>HYPERLINK("https://www.youtube.com/watch?v=E-TjOWZ5YQ0","Video Lesson 2")</f>
        <v>Video Lesson 2</v>
      </c>
      <c r="B155" t="s">
        <v>328</v>
      </c>
      <c r="C155" t="s">
        <v>338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4" t="str">
        <f>HYPERLINK("https://www.youtube.com/watch?v=E-TjOWZ5YQ0","Video Lesson 2")</f>
        <v>Video Lesson 2</v>
      </c>
      <c r="B157" t="s">
        <v>328</v>
      </c>
      <c r="C157" t="s">
        <v>338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4" t="str">
        <f>HYPERLINK("https://www.youtube.com/watch?v=E-TjOWZ5YQ0","Video Lesson 2")</f>
        <v>Video Lesson 2</v>
      </c>
      <c r="B159" t="s">
        <v>328</v>
      </c>
      <c r="C159" t="s">
        <v>338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4" t="str">
        <f>HYPERLINK("https://www.youtube.com/watch?v=HPUSR1ERIv0","Video Lesson 5")</f>
        <v>Video Lesson 5</v>
      </c>
      <c r="B161" t="s">
        <v>328</v>
      </c>
      <c r="C161" t="s">
        <v>339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4" t="str">
        <f>HYPERLINK("https://www.youtube.com/watch?v=HPUSR1ERIv0","Video Lesson 5")</f>
        <v>Video Lesson 5</v>
      </c>
      <c r="B163" t="s">
        <v>328</v>
      </c>
      <c r="C163" t="s">
        <v>339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4" t="str">
        <f>HYPERLINK("https://www.youtube.com/watch?v=HPUSR1ERIv0","Video Lesson 5")</f>
        <v>Video Lesson 5</v>
      </c>
      <c r="B165" t="s">
        <v>328</v>
      </c>
      <c r="C165" t="s">
        <v>339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4" t="str">
        <f>HYPERLINK("https://www.youtube.com/watch?v=HPUSR1ERIv0","Video Lesson 5")</f>
        <v>Video Lesson 5</v>
      </c>
      <c r="B167" t="s">
        <v>328</v>
      </c>
      <c r="C167" t="s">
        <v>339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4" t="str">
        <f>HYPERLINK("https://www.youtube.com/watch?v=HPUSR1ERIv0","Video Lesson 5")</f>
        <v>Video Lesson 5</v>
      </c>
      <c r="B169" t="s">
        <v>328</v>
      </c>
      <c r="C169" t="s">
        <v>339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4" t="str">
        <f>HYPERLINK("https://www.youtube.com/watch?v=HPUSR1ERIv0","Video Lesson 5")</f>
        <v>Video Lesson 5</v>
      </c>
      <c r="B171" t="s">
        <v>328</v>
      </c>
      <c r="C171" t="s">
        <v>339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4" t="str">
        <f>HYPERLINK("https://www.youtube.com/watch?v=HPUSR1ERIv0","Video Lesson 5")</f>
        <v>Video Lesson 5</v>
      </c>
      <c r="B173" t="s">
        <v>328</v>
      </c>
      <c r="C173" t="s">
        <v>339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4" t="str">
        <f>HYPERLINK("https://www.youtube.com/watch?v=HPUSR1ERIv0","Video Lesson 5")</f>
        <v>Video Lesson 5</v>
      </c>
      <c r="B175" t="s">
        <v>328</v>
      </c>
      <c r="C175" t="s">
        <v>339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4" t="str">
        <f>HYPERLINK("https://www.youtube.com/watch?v=HPUSR1ERIv0","Video Lesson 5")</f>
        <v>Video Lesson 5</v>
      </c>
      <c r="B177" t="s">
        <v>328</v>
      </c>
      <c r="C177" t="s">
        <v>339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4" t="str">
        <f>HYPERLINK("https://www.youtube.com/watch?v=bbpaAUOv8dE","Video Lesson 3.2")</f>
        <v>Video Lesson 3.2</v>
      </c>
      <c r="B179" t="s">
        <v>328</v>
      </c>
      <c r="C179" t="s">
        <v>339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4" t="str">
        <f>HYPERLINK("https://www.youtube.com/watch?v=HPUSR1ERIv0","Video Lesson 5")</f>
        <v>Video Lesson 5</v>
      </c>
      <c r="B181" t="s">
        <v>328</v>
      </c>
      <c r="C181" t="s">
        <v>339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4" t="str">
        <f>HYPERLINK("https://www.youtube.com/watch?v=bbpaAUOv8dE","Video Lesson 3.2")</f>
        <v>Video Lesson 3.2</v>
      </c>
      <c r="B183" t="s">
        <v>328</v>
      </c>
      <c r="C183" t="s">
        <v>339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4" t="str">
        <f>HYPERLINK("https://www.youtube.com/watch?v=e_dFFaECK5E","Video Lesson 4")</f>
        <v>Video Lesson 4</v>
      </c>
      <c r="B185" t="s">
        <v>328</v>
      </c>
      <c r="C185" t="s">
        <v>340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4" t="str">
        <f>HYPERLINK("https://www.youtube.com/watch?v=e_dFFaECK5E","Video Lesson 4")</f>
        <v>Video Lesson 4</v>
      </c>
      <c r="B187" t="s">
        <v>328</v>
      </c>
      <c r="C187" t="s">
        <v>340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4" t="str">
        <f>HYPERLINK("https://www.youtube.com/watch?v=e_dFFaECK5E","Video Lesson 4")</f>
        <v>Video Lesson 4</v>
      </c>
      <c r="B189" t="s">
        <v>328</v>
      </c>
      <c r="C189" t="s">
        <v>340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4" t="str">
        <f>HYPERLINK("https://www.youtube.com/watch?v=e_dFFaECK5E","Video Lesson 4")</f>
        <v>Video Lesson 4</v>
      </c>
      <c r="B191" t="s">
        <v>328</v>
      </c>
      <c r="C191" t="s">
        <v>340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4" t="str">
        <f>HYPERLINK("https://www.youtube.com/watch?v=e_dFFaECK5E","Video Lesson 4")</f>
        <v>Video Lesson 4</v>
      </c>
      <c r="B193" t="s">
        <v>328</v>
      </c>
      <c r="C193" t="s">
        <v>340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4" t="str">
        <f>HYPERLINK("https://www.youtube.com/watch?v=e_dFFaECK5E","Video Lesson 4")</f>
        <v>Video Lesson 4</v>
      </c>
      <c r="B195" t="s">
        <v>328</v>
      </c>
      <c r="C195" t="s">
        <v>340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4" t="str">
        <f>HYPERLINK("https://www.youtube.com/watch?v=e_dFFaECK5E","Video Lesson 4")</f>
        <v>Video Lesson 4</v>
      </c>
      <c r="B197" t="s">
        <v>328</v>
      </c>
      <c r="C197" t="s">
        <v>340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4" t="str">
        <f>HYPERLINK("https://www.youtube.com/watch?v=e_dFFaECK5E","Video Lesson 4")</f>
        <v>Video Lesson 4</v>
      </c>
      <c r="B199" t="s">
        <v>328</v>
      </c>
      <c r="C199" t="s">
        <v>340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4" t="str">
        <f>HYPERLINK("https://www.youtube.com/watch?v=QXklxwQ4px8","Video Lesson 3.1")</f>
        <v>Video Lesson 3.1</v>
      </c>
      <c r="B201" t="s">
        <v>328</v>
      </c>
      <c r="C201" t="s">
        <v>341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4" t="str">
        <f>HYPERLINK("https://www.youtube.com/watch?v=SGeR9HfhVRA","Video Lesson 8")</f>
        <v>Video Lesson 8</v>
      </c>
      <c r="B203" t="s">
        <v>328</v>
      </c>
      <c r="C203" t="s">
        <v>341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4" t="str">
        <f>HYPERLINK("https://www.youtube.com/watch?v=QXklxwQ4px8","Video Lesson 3.1")</f>
        <v>Video Lesson 3.1</v>
      </c>
      <c r="B205" t="s">
        <v>328</v>
      </c>
      <c r="C205" t="s">
        <v>341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4" t="str">
        <f>HYPERLINK("https://www.youtube.com/watch?v=QXklxwQ4px8","Video Lesson 3.1")</f>
        <v>Video Lesson 3.1</v>
      </c>
      <c r="B207" t="s">
        <v>328</v>
      </c>
      <c r="C207" t="s">
        <v>341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4" t="str">
        <f>HYPERLINK("https://www.youtube.com/watch?v=QXklxwQ4px8","Video Lesson 3.1")</f>
        <v>Video Lesson 3.1</v>
      </c>
      <c r="B209" t="s">
        <v>328</v>
      </c>
      <c r="C209" t="s">
        <v>341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4" t="str">
        <f>HYPERLINK("https://www.youtube.com/watch?v=QXklxwQ4px8","Video Lesson 3.1")</f>
        <v>Video Lesson 3.1</v>
      </c>
      <c r="B211" t="s">
        <v>328</v>
      </c>
      <c r="C211" t="s">
        <v>341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4" t="str">
        <f>HYPERLINK("https://www.youtube.com/watch?v=SGeR9HfhVRA","Video Lesson 8")</f>
        <v>Video Lesson 8</v>
      </c>
      <c r="B213" t="s">
        <v>328</v>
      </c>
      <c r="C213" t="s">
        <v>341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4" t="str">
        <f>HYPERLINK("https://www.youtube.com/watch?v=SGeR9HfhVRA","Video Lesson 8")</f>
        <v>Video Lesson 8</v>
      </c>
      <c r="B215" t="s">
        <v>328</v>
      </c>
      <c r="C215" t="s">
        <v>341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4" t="str">
        <f>HYPERLINK("https://www.youtube.com/watch?v=SGeR9HfhVRA","Video Lesson 8")</f>
        <v>Video Lesson 8</v>
      </c>
      <c r="B217" t="s">
        <v>328</v>
      </c>
      <c r="C217" t="s">
        <v>341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4" t="str">
        <f>HYPERLINK("https://www.youtube.com/watch?v=SGeR9HfhVRA","Video Lesson 8")</f>
        <v>Video Lesson 8</v>
      </c>
      <c r="B219" t="s">
        <v>328</v>
      </c>
      <c r="C219" t="s">
        <v>341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4" t="str">
        <f>HYPERLINK("https://www.youtube.com/watch?v=SGeR9HfhVRA","Video Lesson 8")</f>
        <v>Video Lesson 8</v>
      </c>
      <c r="B221" t="s">
        <v>328</v>
      </c>
      <c r="C221" t="s">
        <v>341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4" t="str">
        <f>HYPERLINK("https://www.youtube.com/watch?v=SGeR9HfhVRA","Video Lesson 8")</f>
        <v>Video Lesson 8</v>
      </c>
      <c r="B223" t="s">
        <v>328</v>
      </c>
      <c r="C223" t="s">
        <v>341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4" t="str">
        <f>HYPERLINK("https://www.youtube.com/watch?v=SGeR9HfhVRA","Video Lesson 8")</f>
        <v>Video Lesson 8</v>
      </c>
      <c r="B225" t="s">
        <v>328</v>
      </c>
      <c r="C225" t="s">
        <v>341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4" t="str">
        <f>HYPERLINK("https://www.youtube.com/watch?v=SGeR9HfhVRA","Video Lesson 8")</f>
        <v>Video Lesson 8</v>
      </c>
      <c r="B227" t="s">
        <v>328</v>
      </c>
      <c r="C227" t="s">
        <v>341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4" t="str">
        <f>HYPERLINK("https://www.youtube.com/watch?v=1G46tEJOrww","Video Lesson 11")</f>
        <v>Video Lesson 11</v>
      </c>
      <c r="B229" t="s">
        <v>328</v>
      </c>
      <c r="C229" t="s">
        <v>342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4" t="str">
        <f>HYPERLINK("https://www.youtube.com/watch?v=1G46tEJOrww","Video Lesson 11")</f>
        <v>Video Lesson 11</v>
      </c>
      <c r="B231" t="s">
        <v>328</v>
      </c>
      <c r="C231" t="s">
        <v>342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4" t="str">
        <f>HYPERLINK("https://www.youtube.com/watch?v=1G46tEJOrww","Video Lesson 11")</f>
        <v>Video Lesson 11</v>
      </c>
      <c r="B233" t="s">
        <v>328</v>
      </c>
      <c r="C233" t="s">
        <v>342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4" t="str">
        <f>HYPERLINK("https://www.youtube.com/watch?v=1G46tEJOrww","Video Lesson 11")</f>
        <v>Video Lesson 11</v>
      </c>
      <c r="B235" t="s">
        <v>328</v>
      </c>
      <c r="C235" t="s">
        <v>342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4" t="str">
        <f>HYPERLINK("https://www.youtube.com/watch?v=1G46tEJOrww","Video Lesson 11")</f>
        <v>Video Lesson 11</v>
      </c>
      <c r="B237" t="s">
        <v>328</v>
      </c>
      <c r="C237" t="s">
        <v>342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4" t="str">
        <f>HYPERLINK("https://www.youtube.com/watch?v=1G46tEJOrww","Video Lesson 11")</f>
        <v>Video Lesson 11</v>
      </c>
      <c r="B239" t="s">
        <v>328</v>
      </c>
      <c r="C239" t="s">
        <v>342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4" t="str">
        <f>HYPERLINK("https://www.youtube.com/watch?v=E-TjOWZ5YQ0","Video Lesson 2")</f>
        <v>Video Lesson 2</v>
      </c>
      <c r="B241" t="s">
        <v>328</v>
      </c>
      <c r="C241" t="s">
        <v>342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4" t="str">
        <f>HYPERLINK("https://www.youtube.com/watch?v=1G46tEJOrww","Video Lesson 11")</f>
        <v>Video Lesson 11</v>
      </c>
      <c r="B243" t="s">
        <v>328</v>
      </c>
      <c r="C243" t="s">
        <v>342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4" t="str">
        <f>HYPERLINK("https://www.youtube.com/watch?v=1G46tEJOrww","Video Lesson 11")</f>
        <v>Video Lesson 11</v>
      </c>
      <c r="B245" t="s">
        <v>328</v>
      </c>
      <c r="C245" t="s">
        <v>342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4" t="str">
        <f>HYPERLINK("https://www.youtube.com/watch?v=1G46tEJOrww","Video Lesson 11")</f>
        <v>Video Lesson 11</v>
      </c>
      <c r="B247" t="s">
        <v>328</v>
      </c>
      <c r="C247" t="s">
        <v>342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4" t="str">
        <f>HYPERLINK("https://www.youtube.com/watch?v=1G46tEJOrww","Video Lesson 11")</f>
        <v>Video Lesson 11</v>
      </c>
      <c r="B249" t="s">
        <v>328</v>
      </c>
      <c r="C249" t="s">
        <v>342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4" t="str">
        <f>HYPERLINK("https://www.youtube.com/watch?v=1G46tEJOrww","Video Lesson 11")</f>
        <v>Video Lesson 11</v>
      </c>
      <c r="B251" t="s">
        <v>328</v>
      </c>
      <c r="C251" t="s">
        <v>342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4" t="str">
        <f>HYPERLINK("https://www.youtube.com/watch?v=1G46tEJOrww","Video Lesson 11")</f>
        <v>Video Lesson 11</v>
      </c>
      <c r="B253" t="s">
        <v>328</v>
      </c>
      <c r="C253" t="s">
        <v>342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4" t="str">
        <f>HYPERLINK("https://www.youtube.com/watch?v=1G46tEJOrww","Video Lesson 11")</f>
        <v>Video Lesson 11</v>
      </c>
      <c r="B255" t="s">
        <v>328</v>
      </c>
      <c r="C255" t="s">
        <v>342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4" t="str">
        <f>HYPERLINK("https://www.youtube.com/watch?v=7iovf94e4uU","Video Lesson 1")</f>
        <v>Video Lesson 1</v>
      </c>
      <c r="B257" t="s">
        <v>329</v>
      </c>
      <c r="C257" t="s">
        <v>343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4" t="str">
        <f>HYPERLINK("https://www.youtube.com/watch?v=KUWhrhaqHsg","Video Lesson 9")</f>
        <v>Video Lesson 9</v>
      </c>
      <c r="B259" t="s">
        <v>329</v>
      </c>
      <c r="C259" t="s">
        <v>343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4" t="str">
        <f>HYPERLINK("https://www.youtube.com/watch?v=KUWhrhaqHsg","Video Lesson 9")</f>
        <v>Video Lesson 9</v>
      </c>
      <c r="B261" t="s">
        <v>329</v>
      </c>
      <c r="C261" t="s">
        <v>343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4" t="str">
        <f>HYPERLINK("https://www.youtube.com/watch?v=KUWhrhaqHsg","Video Lesson 9")</f>
        <v>Video Lesson 9</v>
      </c>
      <c r="B263" t="s">
        <v>329</v>
      </c>
      <c r="C263" t="s">
        <v>343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4" t="str">
        <f>HYPERLINK("https://www.youtube.com/watch?v=mlf3S2Z-yzM","Video Lesson 15")</f>
        <v>Video Lesson 15</v>
      </c>
      <c r="B265" t="s">
        <v>329</v>
      </c>
      <c r="C265" t="s">
        <v>343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4" t="str">
        <f>HYPERLINK("https://www.youtube.com/watch?v=mlf3S2Z-yzM","Video Lesson 15")</f>
        <v>Video Lesson 15</v>
      </c>
      <c r="B267" t="s">
        <v>329</v>
      </c>
      <c r="C267" t="s">
        <v>343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4" t="str">
        <f>HYPERLINK("https://www.youtube.com/watch?v=7iovf94e4uU","Video Lesson 1")</f>
        <v>Video Lesson 1</v>
      </c>
      <c r="B269" t="s">
        <v>329</v>
      </c>
      <c r="C269" t="s">
        <v>343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4" t="str">
        <f>HYPERLINK("https://www.youtube.com/watch?v=7iovf94e4uU","Video Lesson 1")</f>
        <v>Video Lesson 1</v>
      </c>
      <c r="B271" t="s">
        <v>329</v>
      </c>
      <c r="C271" t="s">
        <v>343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4" t="str">
        <f>HYPERLINK("https://www.youtube.com/watch?v=mlf3S2Z-yzM","Video Lesson 15")</f>
        <v>Video Lesson 15</v>
      </c>
      <c r="B273" t="s">
        <v>329</v>
      </c>
      <c r="C273" t="s">
        <v>343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4" t="str">
        <f>HYPERLINK("https://www.youtube.com/watch?v=mlf3S2Z-yzM","Video Lesson 15")</f>
        <v>Video Lesson 15</v>
      </c>
      <c r="B275" t="s">
        <v>329</v>
      </c>
      <c r="C275" t="s">
        <v>343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4" t="str">
        <f>HYPERLINK("https://www.youtube.com/watch?v=mlf3S2Z-yzM","Video Lesson 15")</f>
        <v>Video Lesson 15</v>
      </c>
      <c r="B277" t="s">
        <v>329</v>
      </c>
      <c r="C277" t="s">
        <v>343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4" t="str">
        <f>HYPERLINK("https://www.youtube.com/watch?v=mlf3S2Z-yzM","Video Lesson 15")</f>
        <v>Video Lesson 15</v>
      </c>
      <c r="B279" t="s">
        <v>329</v>
      </c>
      <c r="C279" t="s">
        <v>343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4" t="str">
        <f>HYPERLINK("https://www.youtube.com/watch?v=mlf3S2Z-yzM","Video Lesson 15")</f>
        <v>Video Lesson 15</v>
      </c>
      <c r="B281" t="s">
        <v>329</v>
      </c>
      <c r="C281" t="s">
        <v>343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4" t="str">
        <f>HYPERLINK("https://www.youtube.com/watch?v=mlf3S2Z-yzM","Video Lesson 15")</f>
        <v>Video Lesson 15</v>
      </c>
      <c r="B283" t="s">
        <v>329</v>
      </c>
      <c r="C283" t="s">
        <v>343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4" t="str">
        <f>HYPERLINK("https://www.youtube.com/watch?v=mlf3S2Z-yzM","Video Lesson 15")</f>
        <v>Video Lesson 15</v>
      </c>
      <c r="B285" t="s">
        <v>329</v>
      </c>
      <c r="C285" t="s">
        <v>343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4" t="str">
        <f>HYPERLINK("https://www.youtube.com/watch?v=mlf3S2Z-yzM","Video Lesson 15")</f>
        <v>Video Lesson 15</v>
      </c>
      <c r="B287" t="s">
        <v>329</v>
      </c>
      <c r="C287" t="s">
        <v>343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4" t="str">
        <f>HYPERLINK("https://www.youtube.com/watch?v=KUWhrhaqHsg","Video Lesson 9")</f>
        <v>Video Lesson 9</v>
      </c>
      <c r="B289" t="s">
        <v>329</v>
      </c>
      <c r="C289" t="s">
        <v>343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4" t="str">
        <f>HYPERLINK("https://www.youtube.com/watch?v=KUWhrhaqHsg","Video Lesson 9")</f>
        <v>Video Lesson 9</v>
      </c>
      <c r="B291" t="s">
        <v>329</v>
      </c>
      <c r="C291" t="s">
        <v>343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4" t="str">
        <f>HYPERLINK("https://www.youtube.com/watch?v=DfQwYS9JfME","Video Lesson 6")</f>
        <v>Video Lesson 6</v>
      </c>
      <c r="B293" t="s">
        <v>329</v>
      </c>
      <c r="C293" t="s">
        <v>344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4" t="str">
        <f>HYPERLINK("https://www.youtube.com/watch?v=DfQwYS9JfME","Video Lesson 6")</f>
        <v>Video Lesson 6</v>
      </c>
      <c r="B295" t="s">
        <v>329</v>
      </c>
      <c r="C295" t="s">
        <v>344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4" t="str">
        <f>HYPERLINK("https://www.youtube.com/watch?v=1G46tEJOrww","Video Lesson 11")</f>
        <v>Video Lesson 11</v>
      </c>
      <c r="B297" t="s">
        <v>329</v>
      </c>
      <c r="C297" t="s">
        <v>344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4" t="str">
        <f>HYPERLINK("https://www.youtube.com/watch?v=KUWhrhaqHsg","Video Lesson 9")</f>
        <v>Video Lesson 9</v>
      </c>
      <c r="B299" t="s">
        <v>329</v>
      </c>
      <c r="C299" t="s">
        <v>344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4" t="str">
        <f>HYPERLINK("https://www.youtube.com/watch?v=KUWhrhaqHsg","Video Lesson 9")</f>
        <v>Video Lesson 9</v>
      </c>
      <c r="B301" t="s">
        <v>329</v>
      </c>
      <c r="C301" t="s">
        <v>344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4" t="str">
        <f>HYPERLINK("https://www.youtube.com/watch?v=KUWhrhaqHsg","Video Lesson 9")</f>
        <v>Video Lesson 9</v>
      </c>
      <c r="B303" t="s">
        <v>329</v>
      </c>
      <c r="C303" t="s">
        <v>344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4" t="str">
        <f>HYPERLINK("https://www.youtube.com/watch?v=KUWhrhaqHsg","Video Lesson 9")</f>
        <v>Video Lesson 9</v>
      </c>
      <c r="B305" t="s">
        <v>329</v>
      </c>
      <c r="C305" t="s">
        <v>344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4" t="str">
        <f>HYPERLINK("https://www.youtube.com/watch?v=KUWhrhaqHsg","Video Lesson 9")</f>
        <v>Video Lesson 9</v>
      </c>
      <c r="B307" t="s">
        <v>329</v>
      </c>
      <c r="C307" t="s">
        <v>344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4" t="str">
        <f>HYPERLINK("https://www.youtube.com/watch?v=KUWhrhaqHsg","Video Lesson 9")</f>
        <v>Video Lesson 9</v>
      </c>
      <c r="B309" t="s">
        <v>329</v>
      </c>
      <c r="C309" t="s">
        <v>344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4" t="str">
        <f>HYPERLINK("https://www.youtube.com/watch?v=Ivl-D6m04C4","Video Lesson 10")</f>
        <v>Video Lesson 10</v>
      </c>
      <c r="B311" t="s">
        <v>329</v>
      </c>
      <c r="C311" t="s">
        <v>344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4" t="str">
        <f>HYPERLINK("https://www.youtube.com/watch?v=FpQEAG3hsdA","Video Lesson 17")</f>
        <v>Video Lesson 17</v>
      </c>
      <c r="B313" t="s">
        <v>329</v>
      </c>
      <c r="C313" t="s">
        <v>345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4" t="str">
        <f>HYPERLINK("https://www.youtube.com/watch?v=FpQEAG3hsdA","Video Lesson 17")</f>
        <v>Video Lesson 17</v>
      </c>
      <c r="B315" t="s">
        <v>329</v>
      </c>
      <c r="C315" t="s">
        <v>345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4" t="str">
        <f>HYPERLINK("https://www.youtube.com/watch?v=4qB8qVfkH4A","Video Lesson 12")</f>
        <v>Video Lesson 12</v>
      </c>
      <c r="B317" t="s">
        <v>330</v>
      </c>
      <c r="C317" t="s">
        <v>346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4" t="str">
        <f>HYPERLINK("https://www.youtube.com/watch?v=4qB8qVfkH4A","Video Lesson 12")</f>
        <v>Video Lesson 12</v>
      </c>
      <c r="B319" t="s">
        <v>330</v>
      </c>
      <c r="C319" t="s">
        <v>346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4" t="str">
        <f>HYPERLINK("https://www.youtube.com/watch?v=4qB8qVfkH4A","Video Lesson 12")</f>
        <v>Video Lesson 12</v>
      </c>
      <c r="B321" t="s">
        <v>330</v>
      </c>
      <c r="C321" t="s">
        <v>346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4" t="str">
        <f>HYPERLINK("https://www.youtube.com/watch?v=4qB8qVfkH4A","Video Lesson 12")</f>
        <v>Video Lesson 12</v>
      </c>
      <c r="B323" t="s">
        <v>330</v>
      </c>
      <c r="C323" t="s">
        <v>346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4" t="str">
        <f>HYPERLINK("https://www.youtube.com/watch?v=4qB8qVfkH4A","Video Lesson 12")</f>
        <v>Video Lesson 12</v>
      </c>
      <c r="B325" t="s">
        <v>330</v>
      </c>
      <c r="C325" t="s">
        <v>346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4" t="str">
        <f>HYPERLINK("https://www.youtube.com/watch?v=4qB8qVfkH4A","Video Lesson 12")</f>
        <v>Video Lesson 12</v>
      </c>
      <c r="B327" t="s">
        <v>330</v>
      </c>
      <c r="C327" t="s">
        <v>346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4" t="str">
        <f>HYPERLINK("https://www.youtube.com/watch?v=4qB8qVfkH4A","Video Lesson 12")</f>
        <v>Video Lesson 12</v>
      </c>
      <c r="B329" t="s">
        <v>330</v>
      </c>
      <c r="C329" t="s">
        <v>346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4" t="str">
        <f>HYPERLINK("https://www.youtube.com/watch?v=4qB8qVfkH4A","Video Lesson 12")</f>
        <v>Video Lesson 12</v>
      </c>
      <c r="B331" t="s">
        <v>330</v>
      </c>
      <c r="C331" t="s">
        <v>346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4" t="str">
        <f>HYPERLINK("https://www.youtube.com/watch?v=4qB8qVfkH4A","Video Lesson 12")</f>
        <v>Video Lesson 12</v>
      </c>
      <c r="B333" t="s">
        <v>330</v>
      </c>
      <c r="C333" t="s">
        <v>346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4" t="str">
        <f>HYPERLINK("https://www.youtube.com/watch?v=4qB8qVfkH4A","Video Lesson 12")</f>
        <v>Video Lesson 12</v>
      </c>
      <c r="B335" t="s">
        <v>330</v>
      </c>
      <c r="C335" t="s">
        <v>346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4" t="str">
        <f>HYPERLINK("https://www.youtube.com/watch?v=4qB8qVfkH4A","Video Lesson 12")</f>
        <v>Video Lesson 12</v>
      </c>
      <c r="B337" t="s">
        <v>330</v>
      </c>
      <c r="C337" t="s">
        <v>346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4" t="str">
        <f>HYPERLINK("https://www.youtube.com/watch?v=4qB8qVfkH4A","Video Lesson 12")</f>
        <v>Video Lesson 12</v>
      </c>
      <c r="B339" t="s">
        <v>330</v>
      </c>
      <c r="C339" t="s">
        <v>346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4" t="str">
        <f>HYPERLINK("https://www.youtube.com/watch?v=4qB8qVfkH4A","Video Lesson 12")</f>
        <v>Video Lesson 12</v>
      </c>
      <c r="B341" t="s">
        <v>330</v>
      </c>
      <c r="C341" t="s">
        <v>346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4" t="str">
        <f>HYPERLINK("https://www.youtube.com/watch?v=4qB8qVfkH4A","Video Lesson 12")</f>
        <v>Video Lesson 12</v>
      </c>
      <c r="B343" t="s">
        <v>330</v>
      </c>
      <c r="C343" t="s">
        <v>346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4" t="str">
        <f>HYPERLINK("https://www.youtube.com/watch?v=4qB8qVfkH4A","Video Lesson 12")</f>
        <v>Video Lesson 12</v>
      </c>
      <c r="B345" t="s">
        <v>330</v>
      </c>
      <c r="C345" t="s">
        <v>346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4" t="str">
        <f>HYPERLINK("https://www.youtube.com/watch?v=4qB8qVfkH4A","Video Lesson 12")</f>
        <v>Video Lesson 12</v>
      </c>
      <c r="B347" t="s">
        <v>330</v>
      </c>
      <c r="C347" t="s">
        <v>346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4" t="str">
        <f>HYPERLINK("https://www.youtube.com/watch?v=4qB8qVfkH4A","Video Lesson 12")</f>
        <v>Video Lesson 12</v>
      </c>
      <c r="B349" t="s">
        <v>330</v>
      </c>
      <c r="C349" t="s">
        <v>346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4" t="str">
        <f>HYPERLINK("https://www.youtube.com/watch?v=4qB8qVfkH4A","Video Lesson 12")</f>
        <v>Video Lesson 12</v>
      </c>
      <c r="B351" t="s">
        <v>330</v>
      </c>
      <c r="C351" t="s">
        <v>346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4" t="str">
        <f>HYPERLINK("https://www.youtube.com/watch?v=4qB8qVfkH4A","Video Lesson 12")</f>
        <v>Video Lesson 12</v>
      </c>
      <c r="B353" t="s">
        <v>330</v>
      </c>
      <c r="C353" t="s">
        <v>346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4" t="str">
        <f>HYPERLINK("https://www.youtube.com/watch?v=M-mxlyVa6iM","Video Lesson 24")</f>
        <v>Video Lesson 24</v>
      </c>
      <c r="B355" t="s">
        <v>330</v>
      </c>
      <c r="C355" t="s">
        <v>347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4" t="str">
        <f>HYPERLINK("https://www.youtube.com/watch?v=M-mxlyVa6iM","Video Lesson 24")</f>
        <v>Video Lesson 24</v>
      </c>
      <c r="B357" t="s">
        <v>330</v>
      </c>
      <c r="C357" t="s">
        <v>347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4" t="str">
        <f>HYPERLINK("https://www.youtube.com/watch?v=M-mxlyVa6iM","Video Lesson 24")</f>
        <v>Video Lesson 24</v>
      </c>
      <c r="B359" t="s">
        <v>330</v>
      </c>
      <c r="C359" t="s">
        <v>347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4" t="str">
        <f>HYPERLINK("https://www.youtube.com/watch?v=M-mxlyVa6iM","Video Lesson 24")</f>
        <v>Video Lesson 24</v>
      </c>
      <c r="B361" t="s">
        <v>330</v>
      </c>
      <c r="C361" t="s">
        <v>347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4" t="str">
        <f>HYPERLINK("https://www.youtube.com/watch?v=M-mxlyVa6iM","Video Lesson 24")</f>
        <v>Video Lesson 24</v>
      </c>
      <c r="B363" t="s">
        <v>330</v>
      </c>
      <c r="C363" t="s">
        <v>347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4" t="str">
        <f>HYPERLINK("https://www.youtube.com/watch?v=M-mxlyVa6iM","Video Lesson 24")</f>
        <v>Video Lesson 24</v>
      </c>
      <c r="B365" t="s">
        <v>330</v>
      </c>
      <c r="C365" t="s">
        <v>347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4" t="str">
        <f>HYPERLINK("https://www.youtube.com/watch?v=M-mxlyVa6iM","Video Lesson 24")</f>
        <v>Video Lesson 24</v>
      </c>
      <c r="B367" t="s">
        <v>330</v>
      </c>
      <c r="C367" t="s">
        <v>347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4" t="str">
        <f>HYPERLINK("https://www.youtube.com/watch?v=M-mxlyVa6iM","Video Lesson 24")</f>
        <v>Video Lesson 24</v>
      </c>
      <c r="B369" t="s">
        <v>330</v>
      </c>
      <c r="C369" t="s">
        <v>347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4" t="str">
        <f>HYPERLINK("https://www.youtube.com/watch?v=M-mxlyVa6iM","Video Lesson 24")</f>
        <v>Video Lesson 24</v>
      </c>
      <c r="B371" t="s">
        <v>330</v>
      </c>
      <c r="C371" t="s">
        <v>347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4" t="str">
        <f>HYPERLINK("https://www.youtube.com/watch?v=M-mxlyVa6iM","Video Lesson 24")</f>
        <v>Video Lesson 24</v>
      </c>
      <c r="B373" t="s">
        <v>330</v>
      </c>
      <c r="C373" t="s">
        <v>347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4" t="str">
        <f>HYPERLINK("https://www.youtube.com/watch?v=M-mxlyVa6iM","Video Lesson 24")</f>
        <v>Video Lesson 24</v>
      </c>
      <c r="B375" t="s">
        <v>330</v>
      </c>
      <c r="C375" t="s">
        <v>347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4" t="str">
        <f>HYPERLINK("https://www.youtube.com/watch?v=M-mxlyVa6iM","Video Lesson 24")</f>
        <v>Video Lesson 24</v>
      </c>
      <c r="B377" t="s">
        <v>330</v>
      </c>
      <c r="C377" t="s">
        <v>347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4" t="str">
        <f>HYPERLINK("https://www.youtube.com/watch?v=M-mxlyVa6iM","Video Lesson 24")</f>
        <v>Video Lesson 24</v>
      </c>
      <c r="B379" t="s">
        <v>330</v>
      </c>
      <c r="C379" t="s">
        <v>347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4" t="str">
        <f>HYPERLINK("https://www.youtube.com/watch?v=M-mxlyVa6iM","Video Lesson 24")</f>
        <v>Video Lesson 24</v>
      </c>
      <c r="B381" t="s">
        <v>330</v>
      </c>
      <c r="C381" t="s">
        <v>347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4" t="str">
        <f>HYPERLINK("https://www.youtube.com/watch?v=QAEGmTKhMo4","Video Lesson 'Valentine'")</f>
        <v>Video Lesson 'Valentine'</v>
      </c>
      <c r="B383" t="s">
        <v>330</v>
      </c>
      <c r="C383" t="s">
        <v>348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4" t="str">
        <f>HYPERLINK("https://www.youtube.com/watch?v=QAEGmTKhMo4","Video Lesson 'Valentine'")</f>
        <v>Video Lesson 'Valentine'</v>
      </c>
      <c r="B385" t="s">
        <v>330</v>
      </c>
      <c r="C385" t="s">
        <v>348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4" t="str">
        <f>HYPERLINK("https://www.youtube.com/watch?v=QAEGmTKhMo4","Video Lesson 'Valentine'")</f>
        <v>Video Lesson 'Valentine'</v>
      </c>
      <c r="B387" t="s">
        <v>330</v>
      </c>
      <c r="C387" t="s">
        <v>348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4" t="str">
        <f>HYPERLINK("https://www.youtube.com/watch?v=QAEGmTKhMo4","Video Lesson 'Valentine'")</f>
        <v>Video Lesson 'Valentine'</v>
      </c>
      <c r="B389" t="s">
        <v>330</v>
      </c>
      <c r="C389" t="s">
        <v>348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4" t="str">
        <f>HYPERLINK("https://www.youtube.com/watch?v=QAEGmTKhMo4","Video Lesson 'Valentine'")</f>
        <v>Video Lesson 'Valentine'</v>
      </c>
      <c r="B391" t="s">
        <v>330</v>
      </c>
      <c r="C391" t="s">
        <v>348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4" t="str">
        <f>HYPERLINK("https://www.youtube.com/watch?v=Sjl8iPAcNo0","Video Lesson 20")</f>
        <v>Video Lesson 20</v>
      </c>
      <c r="B393" t="s">
        <v>330</v>
      </c>
      <c r="C393" t="s">
        <v>349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4" t="str">
        <f>HYPERLINK("https://www.youtube.com/watch?v=Sjl8iPAcNo0","Video Lesson 20")</f>
        <v>Video Lesson 20</v>
      </c>
      <c r="B395" t="s">
        <v>330</v>
      </c>
      <c r="C395" t="s">
        <v>349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4" t="str">
        <f>HYPERLINK("https://www.youtube.com/watch?v=Sjl8iPAcNo0","Video Lesson 20")</f>
        <v>Video Lesson 20</v>
      </c>
      <c r="B397" t="s">
        <v>330</v>
      </c>
      <c r="C397" t="s">
        <v>349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4" t="str">
        <f>HYPERLINK("https://www.youtube.com/watch?v=Sjl8iPAcNo0","Video Lesson 20")</f>
        <v>Video Lesson 20</v>
      </c>
      <c r="B399" t="s">
        <v>330</v>
      </c>
      <c r="C399" t="s">
        <v>349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4" t="str">
        <f>HYPERLINK("https://www.youtube.com/watch?v=Sjl8iPAcNo0","Video Lesson 20")</f>
        <v>Video Lesson 20</v>
      </c>
      <c r="B401" t="s">
        <v>330</v>
      </c>
      <c r="C401" t="s">
        <v>349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4" t="str">
        <f>HYPERLINK("https://www.youtube.com/watch?v=Sjl8iPAcNo0","Video Lesson 20")</f>
        <v>Video Lesson 20</v>
      </c>
      <c r="B403" t="s">
        <v>330</v>
      </c>
      <c r="C403" t="s">
        <v>349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4" t="str">
        <f>HYPERLINK("https://www.youtube.com/watch?v=Sjl8iPAcNo0","Video Lesson 20")</f>
        <v>Video Lesson 20</v>
      </c>
      <c r="B405" t="s">
        <v>330</v>
      </c>
      <c r="C405" t="s">
        <v>349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4" t="str">
        <f>HYPERLINK("https://www.youtube.com/watch?v=Sjl8iPAcNo0","Video Lesson 20")</f>
        <v>Video Lesson 20</v>
      </c>
      <c r="B407" t="s">
        <v>330</v>
      </c>
      <c r="C407" t="s">
        <v>349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4" t="str">
        <f>HYPERLINK("https://www.youtube.com/watch?v=Sjl8iPAcNo0","Video Lesson 20")</f>
        <v>Video Lesson 20</v>
      </c>
      <c r="B409" t="s">
        <v>330</v>
      </c>
      <c r="C409" t="s">
        <v>349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4" t="str">
        <f>HYPERLINK("https://www.youtube.com/watch?v=Sjl8iPAcNo0","Video Lesson 20")</f>
        <v>Video Lesson 20</v>
      </c>
      <c r="B411" t="s">
        <v>330</v>
      </c>
      <c r="C411" t="s">
        <v>349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4" t="str">
        <f>HYPERLINK("https://www.youtube.com/watch?v=Sjl8iPAcNo0","Video Lesson 20")</f>
        <v>Video Lesson 20</v>
      </c>
      <c r="B413" t="s">
        <v>330</v>
      </c>
      <c r="C413" t="s">
        <v>349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4" t="str">
        <f>HYPERLINK("https://www.youtube.com/watch?v=Sjl8iPAcNo0","Video Lesson 20")</f>
        <v>Video Lesson 20</v>
      </c>
      <c r="B415" t="s">
        <v>330</v>
      </c>
      <c r="C415" t="s">
        <v>349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4" t="str">
        <f>HYPERLINK("https://www.youtube.com/watch?v=Sjl8iPAcNo0","Video Lesson 20")</f>
        <v>Video Lesson 20</v>
      </c>
      <c r="B417" t="s">
        <v>330</v>
      </c>
      <c r="C417" t="s">
        <v>349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4" t="str">
        <f>HYPERLINK("https://www.youtube.com/watch?v=Sjl8iPAcNo0","Video Lesson 20")</f>
        <v>Video Lesson 20</v>
      </c>
      <c r="B419" t="s">
        <v>330</v>
      </c>
      <c r="C419" t="s">
        <v>349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4" t="str">
        <f>HYPERLINK("https://www.youtube.com/watch?v=Sjl8iPAcNo0","Video Lesson 20")</f>
        <v>Video Lesson 20</v>
      </c>
      <c r="B421" t="s">
        <v>330</v>
      </c>
      <c r="C421" t="s">
        <v>349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4" t="str">
        <f>HYPERLINK("https://www.youtube.com/watch?v=Sjl8iPAcNo0","Video Lesson 20")</f>
        <v>Video Lesson 20</v>
      </c>
      <c r="B423" t="s">
        <v>330</v>
      </c>
      <c r="C423" t="s">
        <v>349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4" t="str">
        <f>HYPERLINK("https://www.youtube.com/watch?v=Sjl8iPAcNo0","Video Lesson 20")</f>
        <v>Video Lesson 20</v>
      </c>
      <c r="B425" t="s">
        <v>330</v>
      </c>
      <c r="C425" t="s">
        <v>349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4" t="str">
        <f>HYPERLINK("https://www.youtube.com/watch?v=Sjl8iPAcNo0","Video Lesson 20")</f>
        <v>Video Lesson 20</v>
      </c>
      <c r="B427" t="s">
        <v>330</v>
      </c>
      <c r="C427" t="s">
        <v>349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4" t="str">
        <f>HYPERLINK("https://www.youtube.com/watch?v=Sjl8iPAcNo0","Video Lesson 20")</f>
        <v>Video Lesson 20</v>
      </c>
      <c r="B429" t="s">
        <v>330</v>
      </c>
      <c r="C429" t="s">
        <v>349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4" t="str">
        <f>HYPERLINK("https://www.youtube.com/watch?v=Sjl8iPAcNo0","Video Lesson 20")</f>
        <v>Video Lesson 20</v>
      </c>
      <c r="B431" t="s">
        <v>330</v>
      </c>
      <c r="C431" t="s">
        <v>349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4" t="str">
        <f>HYPERLINK("https://www.youtube.com/watch?v=Sjl8iPAcNo0","Video Lesson 20")</f>
        <v>Video Lesson 20</v>
      </c>
      <c r="B433" t="s">
        <v>330</v>
      </c>
      <c r="C433" t="s">
        <v>349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4" t="str">
        <f>HYPERLINK("https://www.youtube.com/watch?v=Y56hvBhqBaQ","Video Lesson 18")</f>
        <v>Video Lesson 18</v>
      </c>
      <c r="B435" t="s">
        <v>331</v>
      </c>
      <c r="C435" t="s">
        <v>350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4" t="str">
        <f>HYPERLINK("https://www.youtube.com/watch?v=Y56hvBhqBaQ","Video Lesson 18")</f>
        <v>Video Lesson 18</v>
      </c>
      <c r="B437" t="s">
        <v>331</v>
      </c>
      <c r="C437" t="s">
        <v>350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4" t="str">
        <f>HYPERLINK("https://www.youtube.com/watch?v=Y56hvBhqBaQ","Video Lesson 18")</f>
        <v>Video Lesson 18</v>
      </c>
      <c r="B439" t="s">
        <v>331</v>
      </c>
      <c r="C439" t="s">
        <v>350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4" t="str">
        <f>HYPERLINK("https://www.youtube.com/watch?v=Y56hvBhqBaQ","Video Lesson 18")</f>
        <v>Video Lesson 18</v>
      </c>
      <c r="B441" t="s">
        <v>331</v>
      </c>
      <c r="C441" t="s">
        <v>350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4" t="str">
        <f>HYPERLINK("https://www.youtube.com/watch?v=Y56hvBhqBaQ","Video Lesson 18")</f>
        <v>Video Lesson 18</v>
      </c>
      <c r="B443" t="s">
        <v>331</v>
      </c>
      <c r="C443" t="s">
        <v>350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4" t="str">
        <f>HYPERLINK("https://www.youtube.com/watch?v=Y56hvBhqBaQ","Video Lesson 18")</f>
        <v>Video Lesson 18</v>
      </c>
      <c r="B445" t="s">
        <v>331</v>
      </c>
      <c r="C445" t="s">
        <v>350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4" t="str">
        <f>HYPERLINK("https://www.youtube.com/watch?v=Y56hvBhqBaQ","Video Lesson 18")</f>
        <v>Video Lesson 18</v>
      </c>
      <c r="B447" t="s">
        <v>331</v>
      </c>
      <c r="C447" t="s">
        <v>350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4" t="str">
        <f>HYPERLINK("https://www.youtube.com/watch?v=Y56hvBhqBaQ","Video Lesson 18")</f>
        <v>Video Lesson 18</v>
      </c>
      <c r="B449" t="s">
        <v>331</v>
      </c>
      <c r="C449" t="s">
        <v>350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4" t="str">
        <f>HYPERLINK("https://www.youtube.com/watch?v=Y56hvBhqBaQ","Video Lesson 18")</f>
        <v>Video Lesson 18</v>
      </c>
      <c r="B451" t="s">
        <v>331</v>
      </c>
      <c r="C451" t="s">
        <v>350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4" t="str">
        <f>HYPERLINK("https://www.youtube.com/watch?v=Y56hvBhqBaQ","Video Lesson 18")</f>
        <v>Video Lesson 18</v>
      </c>
      <c r="B453" t="s">
        <v>331</v>
      </c>
      <c r="C453" t="s">
        <v>350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4" t="str">
        <f>HYPERLINK("https://www.youtube.com/watch?v=Y56hvBhqBaQ","Video Lesson 18")</f>
        <v>Video Lesson 18</v>
      </c>
      <c r="B455" t="s">
        <v>331</v>
      </c>
      <c r="C455" t="s">
        <v>350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4" t="str">
        <f>HYPERLINK("https://www.youtube.com/watch?v=Y56hvBhqBaQ","Video Lesson 18")</f>
        <v>Video Lesson 18</v>
      </c>
      <c r="B457" t="s">
        <v>331</v>
      </c>
      <c r="C457" t="s">
        <v>350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4" t="str">
        <f>HYPERLINK("https://www.youtube.com/watch?v=Y56hvBhqBaQ","Video Lesson 18")</f>
        <v>Video Lesson 18</v>
      </c>
      <c r="B459" t="s">
        <v>331</v>
      </c>
      <c r="C459" t="s">
        <v>350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4" t="str">
        <f>HYPERLINK("https://www.youtube.com/watch?v=Y56hvBhqBaQ","Video Lesson 18")</f>
        <v>Video Lesson 18</v>
      </c>
      <c r="B461" t="s">
        <v>331</v>
      </c>
      <c r="C461" t="s">
        <v>350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4" t="str">
        <f>HYPERLINK("https://www.youtube.com/watch?v=Y56hvBhqBaQ","Video Lesson 18")</f>
        <v>Video Lesson 18</v>
      </c>
      <c r="B463" t="s">
        <v>331</v>
      </c>
      <c r="C463" t="s">
        <v>350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4" t="str">
        <f>HYPERLINK("https://www.youtube.com/watch?v=Y56hvBhqBaQ","Video Lesson 18")</f>
        <v>Video Lesson 18</v>
      </c>
      <c r="B465" t="s">
        <v>331</v>
      </c>
      <c r="C465" t="s">
        <v>350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4" t="str">
        <f>HYPERLINK("https://www.youtube.com/watch?v=Y56hvBhqBaQ","Video Lesson 18")</f>
        <v>Video Lesson 18</v>
      </c>
      <c r="B467" t="s">
        <v>331</v>
      </c>
      <c r="C467" t="s">
        <v>350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4" t="str">
        <f>HYPERLINK("https://www.youtube.com/watch?v=Y56hvBhqBaQ","Video Lesson 18")</f>
        <v>Video Lesson 18</v>
      </c>
      <c r="B469" t="s">
        <v>331</v>
      </c>
      <c r="C469" t="s">
        <v>350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4" t="str">
        <f>HYPERLINK("https://www.youtube.com/watch?v=Y56hvBhqBaQ","Video Lesson 18")</f>
        <v>Video Lesson 18</v>
      </c>
      <c r="B471" t="s">
        <v>331</v>
      </c>
      <c r="C471" t="s">
        <v>350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4" t="str">
        <f>HYPERLINK("https://www.youtube.com/watch?v=Y56hvBhqBaQ","Video Lesson 18")</f>
        <v>Video Lesson 18</v>
      </c>
      <c r="B473" t="s">
        <v>331</v>
      </c>
      <c r="C473" t="s">
        <v>350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4" t="str">
        <f>HYPERLINK("https://www.youtube.com/watch?v=Y56hvBhqBaQ","Video Lesson 18")</f>
        <v>Video Lesson 18</v>
      </c>
      <c r="B475" t="s">
        <v>331</v>
      </c>
      <c r="C475" t="s">
        <v>350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4" t="str">
        <f>HYPERLINK("https://www.youtube.com/watch?v=CuxAdMsjkyY","Video Lesson 13")</f>
        <v>Video Lesson 13</v>
      </c>
      <c r="B477" t="s">
        <v>331</v>
      </c>
      <c r="C477" t="s">
        <v>351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4" t="str">
        <f>HYPERLINK("https://www.youtube.com/watch?v=CuxAdMsjkyY","Video Lesson 13")</f>
        <v>Video Lesson 13</v>
      </c>
      <c r="B479" t="s">
        <v>331</v>
      </c>
      <c r="C479" t="s">
        <v>351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4" t="str">
        <f>HYPERLINK("https://www.youtube.com/watch?v=CuxAdMsjkyY","Video Lesson 13")</f>
        <v>Video Lesson 13</v>
      </c>
      <c r="B481" t="s">
        <v>331</v>
      </c>
      <c r="C481" t="s">
        <v>351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4" t="str">
        <f>HYPERLINK("https://www.youtube.com/watch?v=CuxAdMsjkyY","Video Lesson 13")</f>
        <v>Video Lesson 13</v>
      </c>
      <c r="B483" t="s">
        <v>331</v>
      </c>
      <c r="C483" t="s">
        <v>351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4" t="str">
        <f>HYPERLINK("https://www.youtube.com/watch?v=CuxAdMsjkyY","Video Lesson 13")</f>
        <v>Video Lesson 13</v>
      </c>
      <c r="B485" t="s">
        <v>331</v>
      </c>
      <c r="C485" t="s">
        <v>351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4" t="str">
        <f>HYPERLINK("https://www.youtube.com/watch?v=CuxAdMsjkyY","Video Lesson 13")</f>
        <v>Video Lesson 13</v>
      </c>
      <c r="B487" t="s">
        <v>331</v>
      </c>
      <c r="C487" t="s">
        <v>351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4" t="str">
        <f>HYPERLINK("https://www.youtube.com/watch?v=CuxAdMsjkyY","Video Lesson 13")</f>
        <v>Video Lesson 13</v>
      </c>
      <c r="B489" t="s">
        <v>331</v>
      </c>
      <c r="C489" t="s">
        <v>351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4" t="str">
        <f>HYPERLINK("https://www.youtube.com/watch?v=CuxAdMsjkyY","Video Lesson 13")</f>
        <v>Video Lesson 13</v>
      </c>
      <c r="B491" t="s">
        <v>331</v>
      </c>
      <c r="C491" t="s">
        <v>351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4" t="str">
        <f>HYPERLINK("https://www.youtube.com/watch?v=CuxAdMsjkyY","Video Lesson 13")</f>
        <v>Video Lesson 13</v>
      </c>
      <c r="B493" t="s">
        <v>331</v>
      </c>
      <c r="C493" t="s">
        <v>351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4" t="str">
        <f>HYPERLINK("https://www.youtube.com/watch?v=CuxAdMsjkyY","Video Lesson 13")</f>
        <v>Video Lesson 13</v>
      </c>
      <c r="B495" t="s">
        <v>331</v>
      </c>
      <c r="C495" t="s">
        <v>351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4" t="str">
        <f>HYPERLINK("https://www.youtube.com/watch?v=CuxAdMsjkyY","Video Lesson 13")</f>
        <v>Video Lesson 13</v>
      </c>
      <c r="B497" t="s">
        <v>331</v>
      </c>
      <c r="C497" t="s">
        <v>351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4" t="str">
        <f>HYPERLINK("https://www.youtube.com/watch?v=CuxAdMsjkyY","Video Lesson 13")</f>
        <v>Video Lesson 13</v>
      </c>
      <c r="B499" t="s">
        <v>331</v>
      </c>
      <c r="C499" t="s">
        <v>351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4" t="str">
        <f>HYPERLINK("https://www.youtube.com/watch?v=CuxAdMsjkyY","Video Lesson 13")</f>
        <v>Video Lesson 13</v>
      </c>
      <c r="B501" t="s">
        <v>331</v>
      </c>
      <c r="C501" t="s">
        <v>351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4" t="str">
        <f>HYPERLINK("https://www.youtube.com/watch?v=CuxAdMsjkyY","Video Lesson 13")</f>
        <v>Video Lesson 13</v>
      </c>
      <c r="B503" t="s">
        <v>331</v>
      </c>
      <c r="C503" t="s">
        <v>351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4" t="str">
        <f>HYPERLINK("https://www.youtube.com/watch?v=CuxAdMsjkyY","Video Lesson 13")</f>
        <v>Video Lesson 13</v>
      </c>
      <c r="B505" t="s">
        <v>331</v>
      </c>
      <c r="C505" t="s">
        <v>351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4" t="str">
        <f>HYPERLINK("https://www.youtube.com/watch?v=CuxAdMsjkyY","Video Lesson 13")</f>
        <v>Video Lesson 13</v>
      </c>
      <c r="B507" t="s">
        <v>331</v>
      </c>
      <c r="C507" t="s">
        <v>351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4" t="str">
        <f>HYPERLINK("https://www.youtube.com/watch?v=CuxAdMsjkyY","Video Lesson 13")</f>
        <v>Video Lesson 13</v>
      </c>
      <c r="B509" t="s">
        <v>331</v>
      </c>
      <c r="C509" t="s">
        <v>351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4" t="str">
        <f>HYPERLINK("https://www.youtube.com/watch?v=CuxAdMsjkyY","Video Lesson 13")</f>
        <v>Video Lesson 13</v>
      </c>
      <c r="B511" t="s">
        <v>331</v>
      </c>
      <c r="C511" t="s">
        <v>351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4" t="str">
        <f>HYPERLINK("https://www.youtube.com/watch?v=CuxAdMsjkyY","Video Lesson 13")</f>
        <v>Video Lesson 13</v>
      </c>
      <c r="B513" t="s">
        <v>331</v>
      </c>
      <c r="C513" t="s">
        <v>351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4" t="str">
        <f>HYPERLINK("https://www.youtube.com/watch?v=CuxAdMsjkyY","Video Lesson 13")</f>
        <v>Video Lesson 13</v>
      </c>
      <c r="B515" t="s">
        <v>331</v>
      </c>
      <c r="C515" t="s">
        <v>351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4" t="str">
        <f>HYPERLINK("https://www.youtube.com/watch?v=CuxAdMsjkyY","Video Lesson 13")</f>
        <v>Video Lesson 13</v>
      </c>
      <c r="B517" t="s">
        <v>331</v>
      </c>
      <c r="C517" t="s">
        <v>351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4" t="str">
        <f>HYPERLINK("https://www.youtube.com/watch?v=-9H0tokUVvc","Video Lesson 16")</f>
        <v>Video Lesson 16</v>
      </c>
      <c r="B519" t="s">
        <v>331</v>
      </c>
      <c r="C519" t="s">
        <v>352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4" t="str">
        <f>HYPERLINK("https://www.youtube.com/watch?v=-9H0tokUVvc","Video Lesson 16")</f>
        <v>Video Lesson 16</v>
      </c>
      <c r="B521" t="s">
        <v>331</v>
      </c>
      <c r="C521" t="s">
        <v>352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4" t="str">
        <f>HYPERLINK("https://www.youtube.com/watch?v=-9H0tokUVvc","Video Lesson 16")</f>
        <v>Video Lesson 16</v>
      </c>
      <c r="B523" t="s">
        <v>331</v>
      </c>
      <c r="C523" t="s">
        <v>352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4" t="str">
        <f>HYPERLINK("https://www.youtube.com/watch?v=-9H0tokUVvc","Video Lesson 16")</f>
        <v>Video Lesson 16</v>
      </c>
      <c r="B525" t="s">
        <v>331</v>
      </c>
      <c r="C525" t="s">
        <v>352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4" t="str">
        <f>HYPERLINK("https://www.youtube.com/watch?v=-9H0tokUVvc","Video Lesson 16")</f>
        <v>Video Lesson 16</v>
      </c>
      <c r="B527" t="s">
        <v>331</v>
      </c>
      <c r="C527" t="s">
        <v>352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4" t="str">
        <f>HYPERLINK("https://www.youtube.com/watch?v=-9H0tokUVvc","Video Lesson 16")</f>
        <v>Video Lesson 16</v>
      </c>
      <c r="B529" t="s">
        <v>331</v>
      </c>
      <c r="C529" t="s">
        <v>352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4" t="str">
        <f>HYPERLINK("https://www.youtube.com/watch?v=-9H0tokUVvc","Video Lesson 16")</f>
        <v>Video Lesson 16</v>
      </c>
      <c r="B531" t="s">
        <v>331</v>
      </c>
      <c r="C531" t="s">
        <v>352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4" t="str">
        <f>HYPERLINK("https://www.youtube.com/watch?v=-9H0tokUVvc","Video Lesson 16")</f>
        <v>Video Lesson 16</v>
      </c>
      <c r="B533" t="s">
        <v>331</v>
      </c>
      <c r="C533" t="s">
        <v>352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4" t="str">
        <f>HYPERLINK("https://www.youtube.com/watch?v=-9H0tokUVvc","Video Lesson 16")</f>
        <v>Video Lesson 16</v>
      </c>
      <c r="B535" t="s">
        <v>331</v>
      </c>
      <c r="C535" t="s">
        <v>352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4" t="str">
        <f>HYPERLINK("https://www.youtube.com/watch?v=-9H0tokUVvc","Video Lesson 16")</f>
        <v>Video Lesson 16</v>
      </c>
      <c r="B537" t="s">
        <v>331</v>
      </c>
      <c r="C537" t="s">
        <v>352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4" t="str">
        <f>HYPERLINK("https://www.youtube.com/watch?v=-9H0tokUVvc","Video Lesson 16")</f>
        <v>Video Lesson 16</v>
      </c>
      <c r="B539" t="s">
        <v>331</v>
      </c>
      <c r="C539" t="s">
        <v>352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4" t="str">
        <f>HYPERLINK("https://www.youtube.com/watch?v=-9H0tokUVvc","Video Lesson 16")</f>
        <v>Video Lesson 16</v>
      </c>
      <c r="B541" t="s">
        <v>331</v>
      </c>
      <c r="C541" t="s">
        <v>352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4" t="str">
        <f>HYPERLINK("https://www.youtube.com/watch?v=-9H0tokUVvc","Video Lesson 16")</f>
        <v>Video Lesson 16</v>
      </c>
      <c r="B543" t="s">
        <v>331</v>
      </c>
      <c r="C543" t="s">
        <v>352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4" t="str">
        <f>HYPERLINK("https://www.youtube.com/watch?v=-9H0tokUVvc","Video Lesson 16")</f>
        <v>Video Lesson 16</v>
      </c>
      <c r="B545" t="s">
        <v>331</v>
      </c>
      <c r="C545" t="s">
        <v>352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4" t="str">
        <f>HYPERLINK("https://www.youtube.com/watch?v=-9H0tokUVvc","Video Lesson 16")</f>
        <v>Video Lesson 16</v>
      </c>
      <c r="B547" t="s">
        <v>331</v>
      </c>
      <c r="C547" t="s">
        <v>352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4" t="str">
        <f>HYPERLINK("https://www.youtube.com/watch?v=-9H0tokUVvc","Video Lesson 16")</f>
        <v>Video Lesson 16</v>
      </c>
      <c r="B549" t="s">
        <v>331</v>
      </c>
      <c r="C549" t="s">
        <v>352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4" t="str">
        <f>HYPERLINK("https://www.youtube.com/watch?v=-9H0tokUVvc","Video Lesson 16")</f>
        <v>Video Lesson 16</v>
      </c>
      <c r="B551" t="s">
        <v>331</v>
      </c>
      <c r="C551" t="s">
        <v>352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4" t="str">
        <f>HYPERLINK("https://www.youtube.com/watch?v=-9H0tokUVvc","Video Lesson 16")</f>
        <v>Video Lesson 16</v>
      </c>
      <c r="B553" t="s">
        <v>331</v>
      </c>
      <c r="C553" t="s">
        <v>352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4" t="str">
        <f>HYPERLINK("https://www.youtube.com/watch?v=-9H0tokUVvc","Video Lesson 16")</f>
        <v>Video Lesson 16</v>
      </c>
      <c r="B555" t="s">
        <v>331</v>
      </c>
      <c r="C555" t="s">
        <v>352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4" t="str">
        <f>HYPERLINK("https://www.youtube.com/watch?v=-9H0tokUVvc","Video Lesson 16")</f>
        <v>Video Lesson 16</v>
      </c>
      <c r="B557" t="s">
        <v>331</v>
      </c>
      <c r="C557" t="s">
        <v>352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4" t="str">
        <f>HYPERLINK("https://www.youtube.com/watch?v=-9H0tokUVvc","Video Lesson 16")</f>
        <v>Video Lesson 16</v>
      </c>
      <c r="B559" t="s">
        <v>331</v>
      </c>
      <c r="C559" t="s">
        <v>352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4" t="str">
        <f>HYPERLINK("https://www.youtube.com/watch?v=-9H0tokUVvc","Video Lesson 16")</f>
        <v>Video Lesson 16</v>
      </c>
      <c r="B561" t="s">
        <v>331</v>
      </c>
      <c r="C561" t="s">
        <v>352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4" t="str">
        <f>HYPERLINK("https://www.youtube.com/watch?v=-9H0tokUVvc","Video Lesson 16")</f>
        <v>Video Lesson 16</v>
      </c>
      <c r="B563" t="s">
        <v>331</v>
      </c>
      <c r="C563" t="s">
        <v>352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4" t="str">
        <f>HYPERLINK("https://www.youtube.com/watch?v=-9H0tokUVvc","Video Lesson 16")</f>
        <v>Video Lesson 16</v>
      </c>
      <c r="B565" t="s">
        <v>331</v>
      </c>
      <c r="C565" t="s">
        <v>352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4" t="str">
        <f>HYPERLINK("https://www.youtube.com/watch?v=-9H0tokUVvc","Video Lesson 16")</f>
        <v>Video Lesson 16</v>
      </c>
      <c r="B567" t="s">
        <v>331</v>
      </c>
      <c r="C567" t="s">
        <v>352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4" t="str">
        <f>HYPERLINK("https://www.youtube.com/watch?v=-9H0tokUVvc","Video Lesson 16")</f>
        <v>Video Lesson 16</v>
      </c>
      <c r="B569" t="s">
        <v>331</v>
      </c>
      <c r="C569" t="s">
        <v>352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4" t="str">
        <f>HYPERLINK("https://www.youtube.com/watch?v=-9H0tokUVvc","Video Lesson 16")</f>
        <v>Video Lesson 16</v>
      </c>
      <c r="B571" t="s">
        <v>331</v>
      </c>
      <c r="C571" t="s">
        <v>352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4" t="str">
        <f>HYPERLINK("https://www.youtube.com/watch?v=-9H0tokUVvc","Video Lesson 16")</f>
        <v>Video Lesson 16</v>
      </c>
      <c r="B573" t="s">
        <v>331</v>
      </c>
      <c r="C573" t="s">
        <v>352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4" t="str">
        <f>HYPERLINK("https://www.youtube.com/watch?v=Xop5dt-yhOA","Video Lesson 19")</f>
        <v>Video Lesson 19</v>
      </c>
      <c r="B575" t="s">
        <v>331</v>
      </c>
      <c r="C575" t="s">
        <v>353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4" t="str">
        <f>HYPERLINK("https://www.youtube.com/watch?v=Xop5dt-yhOA","Video Lesson 19")</f>
        <v>Video Lesson 19</v>
      </c>
      <c r="B577" t="s">
        <v>331</v>
      </c>
      <c r="C577" t="s">
        <v>353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4" t="str">
        <f>HYPERLINK("https://www.youtube.com/watch?v=Xop5dt-yhOA","Video Lesson 19")</f>
        <v>Video Lesson 19</v>
      </c>
      <c r="B579" t="s">
        <v>331</v>
      </c>
      <c r="C579" t="s">
        <v>353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4" t="str">
        <f>HYPERLINK("https://www.youtube.com/watch?v=Xop5dt-yhOA","Video Lesson 19")</f>
        <v>Video Lesson 19</v>
      </c>
      <c r="B581" t="s">
        <v>331</v>
      </c>
      <c r="C581" t="s">
        <v>353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4" t="str">
        <f>HYPERLINK("https://www.youtube.com/watch?v=Xop5dt-yhOA","Video Lesson 19")</f>
        <v>Video Lesson 19</v>
      </c>
      <c r="B583" t="s">
        <v>331</v>
      </c>
      <c r="C583" t="s">
        <v>353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4" t="str">
        <f>HYPERLINK("https://www.youtube.com/watch?v=Xop5dt-yhOA","Video Lesson 19")</f>
        <v>Video Lesson 19</v>
      </c>
      <c r="B585" t="s">
        <v>331</v>
      </c>
      <c r="C585" t="s">
        <v>353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4" t="str">
        <f>HYPERLINK("https://www.youtube.com/watch?v=Xop5dt-yhOA","Video Lesson 19")</f>
        <v>Video Lesson 19</v>
      </c>
      <c r="B587" t="s">
        <v>331</v>
      </c>
      <c r="C587" t="s">
        <v>353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4" t="str">
        <f>HYPERLINK("https://www.youtube.com/watch?v=Xop5dt-yhOA","Video Lesson 19")</f>
        <v>Video Lesson 19</v>
      </c>
      <c r="B589" t="s">
        <v>331</v>
      </c>
      <c r="C589" t="s">
        <v>353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4" t="str">
        <f>HYPERLINK("https://www.youtube.com/watch?v=Xop5dt-yhOA","Video Lesson 19")</f>
        <v>Video Lesson 19</v>
      </c>
      <c r="B591" t="s">
        <v>331</v>
      </c>
      <c r="C591" t="s">
        <v>353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4" t="str">
        <f>HYPERLINK("https://www.youtube.com/watch?v=Xop5dt-yhOA","Video Lesson 19")</f>
        <v>Video Lesson 19</v>
      </c>
      <c r="B593" t="s">
        <v>331</v>
      </c>
      <c r="C593" t="s">
        <v>353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4" t="str">
        <f>HYPERLINK("https://www.youtube.com/watch?v=Xop5dt-yhOA","Video Lesson 19")</f>
        <v>Video Lesson 19</v>
      </c>
      <c r="B595" t="s">
        <v>331</v>
      </c>
      <c r="C595" t="s">
        <v>353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4" t="str">
        <f>HYPERLINK("https://www.youtube.com/watch?v=Xop5dt-yhOA","Video Lesson 19")</f>
        <v>Video Lesson 19</v>
      </c>
      <c r="B597" t="s">
        <v>331</v>
      </c>
      <c r="C597" t="s">
        <v>353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4" t="str">
        <f>HYPERLINK("https://www.youtube.com/watch?v=Xop5dt-yhOA","Video Lesson 19")</f>
        <v>Video Lesson 19</v>
      </c>
      <c r="B599" t="s">
        <v>331</v>
      </c>
      <c r="C599" t="s">
        <v>353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4" t="str">
        <f>HYPERLINK("https://www.youtube.com/watch?v=Xop5dt-yhOA","Video Lesson 19")</f>
        <v>Video Lesson 19</v>
      </c>
      <c r="B601" t="s">
        <v>331</v>
      </c>
      <c r="C601" t="s">
        <v>353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4" t="str">
        <f>HYPERLINK("https://www.youtube.com/watch?v=Xop5dt-yhOA","Video Lesson 19")</f>
        <v>Video Lesson 19</v>
      </c>
      <c r="B603" t="s">
        <v>331</v>
      </c>
      <c r="C603" t="s">
        <v>353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4" t="str">
        <f>HYPERLINK("https://www.youtube.com/watch?v=Xop5dt-yhOA","Video Lesson 19")</f>
        <v>Video Lesson 19</v>
      </c>
      <c r="B605" t="s">
        <v>331</v>
      </c>
      <c r="C605" t="s">
        <v>353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4" t="str">
        <f>HYPERLINK("https://www.youtube.com/watch?v=Xop5dt-yhOA","Video Lesson 19")</f>
        <v>Video Lesson 19</v>
      </c>
      <c r="B607" t="s">
        <v>331</v>
      </c>
      <c r="C607" t="s">
        <v>353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4" t="str">
        <f>HYPERLINK("https://www.youtube.com/watch?v=Xop5dt-yhOA","Video Lesson 19")</f>
        <v>Video Lesson 19</v>
      </c>
      <c r="B609" t="s">
        <v>331</v>
      </c>
      <c r="C609" t="s">
        <v>353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4" t="str">
        <f>HYPERLINK("https://www.youtube.com/watch?v=Xop5dt-yhOA","Video Lesson 19")</f>
        <v>Video Lesson 19</v>
      </c>
      <c r="B611" t="s">
        <v>331</v>
      </c>
      <c r="C611" t="s">
        <v>353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4" t="str">
        <f>HYPERLINK("https://www.youtube.com/watch?v=Xop5dt-yhOA","Video Lesson 19")</f>
        <v>Video Lesson 19</v>
      </c>
      <c r="B613" t="s">
        <v>331</v>
      </c>
      <c r="C613" t="s">
        <v>353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4" t="str">
        <f>HYPERLINK("https://www.youtube.com/watch?v=Xop5dt-yhOA","Video Lesson 19")</f>
        <v>Video Lesson 19</v>
      </c>
      <c r="B615" t="s">
        <v>331</v>
      </c>
      <c r="C615" t="s">
        <v>353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4" t="str">
        <f>HYPERLINK("https://www.youtube.com/watch?v=Xop5dt-yhOA","Video Lesson 19")</f>
        <v>Video Lesson 19</v>
      </c>
      <c r="B617" t="s">
        <v>331</v>
      </c>
      <c r="C617" t="s">
        <v>353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4" t="str">
        <f>HYPERLINK("https://www.youtube.com/watch?v=Xop5dt-yhOA","Video Lesson 19")</f>
        <v>Video Lesson 19</v>
      </c>
      <c r="B619" t="s">
        <v>331</v>
      </c>
      <c r="C619" t="s">
        <v>353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4" t="str">
        <f>HYPERLINK("https://www.youtube.com/watch?v=Xop5dt-yhOA","Video Lesson 19")</f>
        <v>Video Lesson 19</v>
      </c>
      <c r="B621" t="s">
        <v>331</v>
      </c>
      <c r="C621" t="s">
        <v>353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4" t="str">
        <f>HYPERLINK("https://www.youtube.com/watch?v=Xop5dt-yhOA","Video Lesson 19")</f>
        <v>Video Lesson 19</v>
      </c>
      <c r="B623" t="s">
        <v>331</v>
      </c>
      <c r="C623" t="s">
        <v>353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4" t="str">
        <f>HYPERLINK("https://www.youtube.com/watch?v=Xop5dt-yhOA","Video Lesson 19")</f>
        <v>Video Lesson 19</v>
      </c>
      <c r="B625" t="s">
        <v>331</v>
      </c>
      <c r="C625" t="s">
        <v>353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4" t="str">
        <f>HYPERLINK("https://www.youtube.com/watch?v=Xop5dt-yhOA","Video Lesson 19")</f>
        <v>Video Lesson 19</v>
      </c>
      <c r="B627" t="s">
        <v>331</v>
      </c>
      <c r="C627" t="s">
        <v>353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4" t="str">
        <f>HYPERLINK("https://www.youtube.com/watch?v=Xop5dt-yhOA","Video Lesson 19")</f>
        <v>Video Lesson 19</v>
      </c>
      <c r="B629" t="s">
        <v>331</v>
      </c>
      <c r="C629" t="s">
        <v>353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4" t="str">
        <f>HYPERLINK("https://www.youtube.com/watch?v=DfQwYS9JfME","Video Lesson 6")</f>
        <v>Video Lesson 6</v>
      </c>
      <c r="B631" t="s">
        <v>331</v>
      </c>
      <c r="C631" t="s">
        <v>354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4" t="str">
        <f>HYPERLINK("https://www.youtube.com/watch?v=DfQwYS9JfME","Video Lesson 6")</f>
        <v>Video Lesson 6</v>
      </c>
      <c r="B633" t="s">
        <v>331</v>
      </c>
      <c r="C633" t="s">
        <v>354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4" t="str">
        <f>HYPERLINK("https://www.youtube.com/watch?v=DfQwYS9JfME","Video Lesson 6")</f>
        <v>Video Lesson 6</v>
      </c>
      <c r="B635" t="s">
        <v>331</v>
      </c>
      <c r="C635" t="s">
        <v>354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4" t="str">
        <f>HYPERLINK("https://www.youtube.com/watch?v=DfQwYS9JfME","Video Lesson 6")</f>
        <v>Video Lesson 6</v>
      </c>
      <c r="B637" t="s">
        <v>331</v>
      </c>
      <c r="C637" t="s">
        <v>354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4" t="str">
        <f>HYPERLINK("https://www.youtube.com/watch?v=DfQwYS9JfME","Video Lesson 6")</f>
        <v>Video Lesson 6</v>
      </c>
      <c r="B639" t="s">
        <v>331</v>
      </c>
      <c r="C639" t="s">
        <v>354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4" t="str">
        <f>HYPERLINK("https://www.youtube.com/watch?v=DfQwYS9JfME","Video Lesson 6")</f>
        <v>Video Lesson 6</v>
      </c>
      <c r="B641" t="s">
        <v>331</v>
      </c>
      <c r="C641" t="s">
        <v>354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4" t="str">
        <f>HYPERLINK("https://www.youtube.com/watch?v=DfQwYS9JfME","Video Lesson 6")</f>
        <v>Video Lesson 6</v>
      </c>
      <c r="B643" t="s">
        <v>331</v>
      </c>
      <c r="C643" t="s">
        <v>354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4" t="str">
        <f>HYPERLINK("https://www.youtube.com/watch?v=DfQwYS9JfME","Video Lesson 6")</f>
        <v>Video Lesson 6</v>
      </c>
      <c r="B645" t="s">
        <v>331</v>
      </c>
      <c r="C645" t="s">
        <v>354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4" t="str">
        <f>HYPERLINK("https://www.youtube.com/watch?v=Xop5dt-yhOA","Video Lesson 19")</f>
        <v>Video Lesson 19</v>
      </c>
      <c r="B647" t="s">
        <v>332</v>
      </c>
      <c r="C647" t="s">
        <v>355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4" t="str">
        <f>HYPERLINK("https://www.youtube.com/watch?v=Xop5dt-yhOA","Video Lesson 19")</f>
        <v>Video Lesson 19</v>
      </c>
      <c r="B649" t="s">
        <v>332</v>
      </c>
      <c r="C649" t="s">
        <v>355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4" t="str">
        <f>HYPERLINK("https://www.youtube.com/watch?v=Xop5dt-yhOA","Video Lesson 19")</f>
        <v>Video Lesson 19</v>
      </c>
      <c r="B651" t="s">
        <v>332</v>
      </c>
      <c r="C651" t="s">
        <v>355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4" t="str">
        <f>HYPERLINK("https://www.youtube.com/watch?v=Xop5dt-yhOA","Video Lesson 19")</f>
        <v>Video Lesson 19</v>
      </c>
      <c r="B653" t="s">
        <v>332</v>
      </c>
      <c r="C653" t="s">
        <v>355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4" t="str">
        <f>HYPERLINK("https://www.youtube.com/watch?v=jVxw8JRCMDk","Video Lesson 21")</f>
        <v>Video Lesson 21</v>
      </c>
      <c r="B655" t="s">
        <v>332</v>
      </c>
      <c r="C655" t="s">
        <v>355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4" t="str">
        <f>HYPERLINK("https://www.youtube.com/watch?v=jVxw8JRCMDk","Video Lesson 21")</f>
        <v>Video Lesson 21</v>
      </c>
      <c r="B657" t="s">
        <v>332</v>
      </c>
      <c r="C657" t="s">
        <v>355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4" t="str">
        <f>HYPERLINK("https://www.youtube.com/watch?v=jVxw8JRCMDk","Video Lesson 21")</f>
        <v>Video Lesson 21</v>
      </c>
      <c r="B659" t="s">
        <v>332</v>
      </c>
      <c r="C659" t="s">
        <v>355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4" t="str">
        <f>HYPERLINK("https://www.youtube.com/watch?v=EWu4a7ogxVA","Video Lesson 'Improvisation'")</f>
        <v>Video Lesson 'Improvisation'</v>
      </c>
      <c r="B661" t="s">
        <v>332</v>
      </c>
      <c r="C661" t="s">
        <v>355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4" t="str">
        <f>HYPERLINK("https://www.youtube.com/watch?v=M-mxlyVa6iM","Video Lesson 24")</f>
        <v>Video Lesson 24</v>
      </c>
      <c r="B663" t="s">
        <v>332</v>
      </c>
      <c r="C663" t="s">
        <v>355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4" t="str">
        <f>HYPERLINK("https://www.youtube.com/watch?v=YMwQ4agNMPI","Video Lesson '2nd Valentine'")</f>
        <v>Video Lesson '2nd Valentine'</v>
      </c>
      <c r="B665" t="s">
        <v>332</v>
      </c>
      <c r="C665" t="s">
        <v>355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4" t="str">
        <f>HYPERLINK("https://www.youtube.com/watch?v=EWu4a7ogxVA","Video Lesson 'Improvisation'")</f>
        <v>Video Lesson 'Improvisation'</v>
      </c>
      <c r="B667" t="s">
        <v>332</v>
      </c>
      <c r="C667" t="s">
        <v>355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4" t="str">
        <f>HYPERLINK("https://www.youtube.com/watch?v=EWu4a7ogxVA","Video Lesson 'Improvisation'")</f>
        <v>Video Lesson 'Improvisation'</v>
      </c>
      <c r="B669" t="s">
        <v>332</v>
      </c>
      <c r="C669" t="s">
        <v>355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4" t="str">
        <f>HYPERLINK("https://www.youtube.com/watch?v=EWu4a7ogxVA","Video Lesson 'Improvisation'")</f>
        <v>Video Lesson 'Improvisation'</v>
      </c>
      <c r="B671" t="s">
        <v>332</v>
      </c>
      <c r="C671" t="s">
        <v>355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4" t="str">
        <f>HYPERLINK("https://www.youtube.com/watch?v=EWu4a7ogxVA","Video Lesson 'Improvisation'")</f>
        <v>Video Lesson 'Improvisation'</v>
      </c>
      <c r="B673" t="s">
        <v>332</v>
      </c>
      <c r="C673" t="s">
        <v>355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4" t="str">
        <f>HYPERLINK("https://www.youtube.com/watch?v=EWu4a7ogxVA","Video Lesson 'Improvisation'")</f>
        <v>Video Lesson 'Improvisation'</v>
      </c>
      <c r="B675" t="s">
        <v>332</v>
      </c>
      <c r="C675" t="s">
        <v>355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4" t="str">
        <f>HYPERLINK("https://www.youtube.com/watch?v=EWu4a7ogxVA","Video Lesson 'Improvisation'")</f>
        <v>Video Lesson 'Improvisation'</v>
      </c>
      <c r="B677" t="s">
        <v>332</v>
      </c>
      <c r="C677" t="s">
        <v>355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4" t="str">
        <f>HYPERLINK("https://www.youtube.com/watch?v=EWu4a7ogxVA","Video Lesson 'Improvisation'")</f>
        <v>Video Lesson 'Improvisation'</v>
      </c>
      <c r="B679" t="s">
        <v>332</v>
      </c>
      <c r="C679" t="s">
        <v>355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4" t="str">
        <f>HYPERLINK("https://www.youtube.com/watch?v=EWu4a7ogxVA","Video Lesson 'Improvisation'")</f>
        <v>Video Lesson 'Improvisation'</v>
      </c>
      <c r="B681" t="s">
        <v>332</v>
      </c>
      <c r="C681" t="s">
        <v>355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4" t="str">
        <f>HYPERLINK("https://www.youtube.com/watch?v=EWu4a7ogxVA","Video Lesson 'Improvisation'")</f>
        <v>Video Lesson 'Improvisation'</v>
      </c>
      <c r="B683" t="s">
        <v>332</v>
      </c>
      <c r="C683" t="s">
        <v>355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4" t="str">
        <f>HYPERLINK("https://www.youtube.com/watch?v=RmEAQDsTTaE","Video Lesson 23")</f>
        <v>Video Lesson 23</v>
      </c>
      <c r="B685" t="s">
        <v>332</v>
      </c>
      <c r="C685" t="s">
        <v>355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4" t="str">
        <f>HYPERLINK("https://www.youtube.com/watch?v=RmEAQDsTTaE","Video Lesson 23")</f>
        <v>Video Lesson 23</v>
      </c>
      <c r="B687" t="s">
        <v>332</v>
      </c>
      <c r="C687" t="s">
        <v>355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4" t="str">
        <f>HYPERLINK("https://www.youtube.com/watch?v=RmEAQDsTTaE","Video Lesson 23")</f>
        <v>Video Lesson 23</v>
      </c>
      <c r="B689" t="s">
        <v>332</v>
      </c>
      <c r="C689" t="s">
        <v>355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4" t="str">
        <f>HYPERLINK("https://www.youtube.com/watch?v=RmEAQDsTTaE","Video Lesson 23")</f>
        <v>Video Lesson 23</v>
      </c>
      <c r="B691" t="s">
        <v>332</v>
      </c>
      <c r="C691" t="s">
        <v>355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4" t="str">
        <f>HYPERLINK("https://www.youtube.com/watch?v=RmEAQDsTTaE","Video Lesson 23")</f>
        <v>Video Lesson 23</v>
      </c>
      <c r="B693" t="s">
        <v>332</v>
      </c>
      <c r="C693" t="s">
        <v>355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4" t="str">
        <f>HYPERLINK("https://www.youtube.com/watch?v=EWu4a7ogxVA","Video Lesson 'Improvisation'")</f>
        <v>Video Lesson 'Improvisation'</v>
      </c>
      <c r="B695" t="s">
        <v>332</v>
      </c>
      <c r="C695" t="s">
        <v>355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454</v>
      </c>
      <c r="B1" t="s">
        <v>455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563</v>
      </c>
      <c r="L1">
        <v>1</v>
      </c>
      <c r="M1" t="s">
        <v>717</v>
      </c>
      <c r="O1" t="s">
        <v>1</v>
      </c>
      <c r="P1" t="s">
        <v>66</v>
      </c>
    </row>
    <row r="2" spans="1:16" x14ac:dyDescent="0.25">
      <c r="A2" t="s">
        <v>457</v>
      </c>
      <c r="B2" t="s">
        <v>456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588</v>
      </c>
      <c r="L2">
        <v>1</v>
      </c>
      <c r="M2" t="s">
        <v>614</v>
      </c>
      <c r="O2" t="s">
        <v>457</v>
      </c>
      <c r="P2" t="s">
        <v>456</v>
      </c>
    </row>
    <row r="3" spans="1:16" x14ac:dyDescent="0.25">
      <c r="A3" t="s">
        <v>458</v>
      </c>
      <c r="B3" t="s">
        <v>459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602</v>
      </c>
      <c r="L3">
        <v>1</v>
      </c>
      <c r="M3" t="s">
        <v>615</v>
      </c>
      <c r="O3" t="s">
        <v>501</v>
      </c>
      <c r="P3" t="s">
        <v>502</v>
      </c>
    </row>
    <row r="4" spans="1:16" x14ac:dyDescent="0.25">
      <c r="A4" t="s">
        <v>460</v>
      </c>
      <c r="B4" t="s">
        <v>461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569</v>
      </c>
      <c r="L4">
        <v>1</v>
      </c>
      <c r="M4" t="s">
        <v>616</v>
      </c>
      <c r="O4" t="s">
        <v>388</v>
      </c>
      <c r="P4" t="s">
        <v>50</v>
      </c>
    </row>
    <row r="5" spans="1:16" x14ac:dyDescent="0.25">
      <c r="A5" t="s">
        <v>462</v>
      </c>
      <c r="B5" t="s">
        <v>463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570</v>
      </c>
      <c r="L5">
        <v>1</v>
      </c>
      <c r="M5" t="s">
        <v>617</v>
      </c>
      <c r="O5" t="s">
        <v>483</v>
      </c>
      <c r="P5" t="s">
        <v>484</v>
      </c>
    </row>
    <row r="6" spans="1:16" x14ac:dyDescent="0.25">
      <c r="A6" t="s">
        <v>464</v>
      </c>
      <c r="B6" t="s">
        <v>465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567</v>
      </c>
      <c r="L6">
        <v>1</v>
      </c>
      <c r="M6" t="s">
        <v>618</v>
      </c>
      <c r="O6" t="s">
        <v>17</v>
      </c>
      <c r="P6" t="s">
        <v>82</v>
      </c>
    </row>
    <row r="7" spans="1:16" x14ac:dyDescent="0.25">
      <c r="A7" t="s">
        <v>466</v>
      </c>
      <c r="B7" t="s">
        <v>467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611</v>
      </c>
      <c r="L7">
        <v>1</v>
      </c>
      <c r="M7" t="s">
        <v>619</v>
      </c>
      <c r="O7" t="s">
        <v>366</v>
      </c>
      <c r="P7" t="s">
        <v>27</v>
      </c>
    </row>
    <row r="8" spans="1:16" x14ac:dyDescent="0.25">
      <c r="A8" t="s">
        <v>470</v>
      </c>
      <c r="B8" t="s">
        <v>471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533</v>
      </c>
      <c r="L8">
        <v>1</v>
      </c>
      <c r="M8" t="s">
        <v>620</v>
      </c>
      <c r="O8" t="s">
        <v>6</v>
      </c>
      <c r="P8" t="s">
        <v>72</v>
      </c>
    </row>
    <row r="9" spans="1:16" x14ac:dyDescent="0.25">
      <c r="A9" t="s">
        <v>468</v>
      </c>
      <c r="B9" t="s">
        <v>469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583</v>
      </c>
      <c r="L9">
        <v>1</v>
      </c>
      <c r="M9" t="s">
        <v>621</v>
      </c>
      <c r="O9" t="s">
        <v>454</v>
      </c>
      <c r="P9" t="s">
        <v>455</v>
      </c>
    </row>
    <row r="10" spans="1:16" x14ac:dyDescent="0.25">
      <c r="A10" t="s">
        <v>472</v>
      </c>
      <c r="B10" t="s">
        <v>473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594</v>
      </c>
      <c r="L10">
        <v>2</v>
      </c>
      <c r="M10" t="s">
        <v>622</v>
      </c>
      <c r="O10" t="s">
        <v>37</v>
      </c>
      <c r="P10" t="s">
        <v>38</v>
      </c>
    </row>
    <row r="11" spans="1:16" x14ac:dyDescent="0.25">
      <c r="A11" t="s">
        <v>474</v>
      </c>
      <c r="B11" t="s">
        <v>101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529</v>
      </c>
      <c r="L11">
        <v>2</v>
      </c>
      <c r="M11" t="s">
        <v>623</v>
      </c>
      <c r="O11" t="s">
        <v>24</v>
      </c>
      <c r="P11" t="s">
        <v>88</v>
      </c>
    </row>
    <row r="12" spans="1:16" x14ac:dyDescent="0.25">
      <c r="A12" t="s">
        <v>475</v>
      </c>
      <c r="B12" t="s">
        <v>476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598</v>
      </c>
      <c r="L12">
        <v>2</v>
      </c>
      <c r="M12" t="s">
        <v>624</v>
      </c>
      <c r="O12" t="s">
        <v>11</v>
      </c>
      <c r="P12" t="s">
        <v>76</v>
      </c>
    </row>
    <row r="13" spans="1:16" x14ac:dyDescent="0.25">
      <c r="A13" t="s">
        <v>477</v>
      </c>
      <c r="B13" t="s">
        <v>478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551</v>
      </c>
      <c r="L13">
        <v>2</v>
      </c>
      <c r="M13" t="s">
        <v>625</v>
      </c>
      <c r="O13" t="s">
        <v>15</v>
      </c>
      <c r="P13" t="s">
        <v>80</v>
      </c>
    </row>
    <row r="14" spans="1:16" x14ac:dyDescent="0.25">
      <c r="A14" t="s">
        <v>2</v>
      </c>
      <c r="B14" t="s">
        <v>68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612</v>
      </c>
      <c r="L14">
        <v>2</v>
      </c>
      <c r="M14" t="s">
        <v>626</v>
      </c>
      <c r="O14" t="s">
        <v>21</v>
      </c>
      <c r="P14" t="s">
        <v>85</v>
      </c>
    </row>
    <row r="15" spans="1:16" x14ac:dyDescent="0.25">
      <c r="A15" t="s">
        <v>3</v>
      </c>
      <c r="B15" t="s">
        <v>69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515</v>
      </c>
      <c r="L15">
        <v>2</v>
      </c>
      <c r="M15" t="s">
        <v>627</v>
      </c>
      <c r="O15" t="s">
        <v>497</v>
      </c>
      <c r="P15" t="s">
        <v>498</v>
      </c>
    </row>
    <row r="16" spans="1:16" x14ac:dyDescent="0.25">
      <c r="A16" t="s">
        <v>4</v>
      </c>
      <c r="B16" t="s">
        <v>70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539</v>
      </c>
      <c r="L16">
        <v>2</v>
      </c>
      <c r="M16" t="s">
        <v>628</v>
      </c>
      <c r="O16" t="s">
        <v>47</v>
      </c>
      <c r="P16" t="s">
        <v>101</v>
      </c>
    </row>
    <row r="17" spans="1:16" x14ac:dyDescent="0.25">
      <c r="A17" t="s">
        <v>5</v>
      </c>
      <c r="B17" t="s">
        <v>71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566</v>
      </c>
      <c r="L17">
        <v>2</v>
      </c>
      <c r="M17" t="s">
        <v>629</v>
      </c>
      <c r="O17" t="s">
        <v>499</v>
      </c>
      <c r="P17" t="s">
        <v>500</v>
      </c>
    </row>
    <row r="18" spans="1:16" x14ac:dyDescent="0.25">
      <c r="A18" t="s">
        <v>6</v>
      </c>
      <c r="B18" t="s">
        <v>72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531</v>
      </c>
      <c r="L18">
        <v>2</v>
      </c>
      <c r="M18" t="s">
        <v>630</v>
      </c>
      <c r="O18" t="s">
        <v>23</v>
      </c>
      <c r="P18" t="s">
        <v>87</v>
      </c>
    </row>
    <row r="19" spans="1:16" x14ac:dyDescent="0.25">
      <c r="A19" t="s">
        <v>7</v>
      </c>
      <c r="B19" t="s">
        <v>73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552</v>
      </c>
      <c r="L19">
        <v>3</v>
      </c>
      <c r="M19" t="s">
        <v>631</v>
      </c>
      <c r="O19" t="s">
        <v>13</v>
      </c>
      <c r="P19" t="s">
        <v>79</v>
      </c>
    </row>
    <row r="20" spans="1:16" x14ac:dyDescent="0.25">
      <c r="A20" t="s">
        <v>8</v>
      </c>
      <c r="B20" t="s">
        <v>36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558</v>
      </c>
      <c r="L20">
        <v>3</v>
      </c>
      <c r="M20" t="s">
        <v>632</v>
      </c>
      <c r="O20" t="s">
        <v>358</v>
      </c>
      <c r="P20" t="s">
        <v>60</v>
      </c>
    </row>
    <row r="21" spans="1:16" x14ac:dyDescent="0.25">
      <c r="A21" t="s">
        <v>9</v>
      </c>
      <c r="B21" t="s">
        <v>74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512</v>
      </c>
      <c r="L21">
        <v>3</v>
      </c>
      <c r="M21" t="s">
        <v>633</v>
      </c>
      <c r="O21" t="s">
        <v>45</v>
      </c>
      <c r="P21" t="s">
        <v>98</v>
      </c>
    </row>
    <row r="22" spans="1:16" x14ac:dyDescent="0.25">
      <c r="A22" t="s">
        <v>10</v>
      </c>
      <c r="B22" t="s">
        <v>75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599</v>
      </c>
      <c r="L22">
        <v>3</v>
      </c>
      <c r="M22" t="s">
        <v>634</v>
      </c>
      <c r="O22" t="s">
        <v>491</v>
      </c>
      <c r="P22" t="s">
        <v>492</v>
      </c>
    </row>
    <row r="23" spans="1:16" x14ac:dyDescent="0.25">
      <c r="A23" t="s">
        <v>11</v>
      </c>
      <c r="B23" t="s">
        <v>76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586</v>
      </c>
      <c r="L23">
        <v>3</v>
      </c>
      <c r="M23" t="s">
        <v>635</v>
      </c>
      <c r="O23" t="s">
        <v>380</v>
      </c>
      <c r="P23" t="s">
        <v>115</v>
      </c>
    </row>
    <row r="24" spans="1:16" x14ac:dyDescent="0.25">
      <c r="A24" t="s">
        <v>12</v>
      </c>
      <c r="B24" t="s">
        <v>77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577</v>
      </c>
      <c r="L24">
        <v>3</v>
      </c>
      <c r="M24" t="s">
        <v>636</v>
      </c>
      <c r="O24" t="s">
        <v>372</v>
      </c>
      <c r="P24" t="s">
        <v>91</v>
      </c>
    </row>
    <row r="25" spans="1:16" x14ac:dyDescent="0.25">
      <c r="A25" t="s">
        <v>479</v>
      </c>
      <c r="B25" t="s">
        <v>480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568</v>
      </c>
      <c r="L25">
        <v>3</v>
      </c>
      <c r="M25" t="s">
        <v>637</v>
      </c>
      <c r="O25" t="s">
        <v>472</v>
      </c>
      <c r="P25" t="s">
        <v>473</v>
      </c>
    </row>
    <row r="26" spans="1:16" x14ac:dyDescent="0.25">
      <c r="A26" t="s">
        <v>14</v>
      </c>
      <c r="B26" t="s">
        <v>59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564</v>
      </c>
      <c r="L26">
        <v>3</v>
      </c>
      <c r="M26" t="s">
        <v>638</v>
      </c>
      <c r="O26" t="s">
        <v>4</v>
      </c>
      <c r="P26" t="s">
        <v>70</v>
      </c>
    </row>
    <row r="27" spans="1:16" x14ac:dyDescent="0.25">
      <c r="A27" t="s">
        <v>15</v>
      </c>
      <c r="B27" t="s">
        <v>80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547</v>
      </c>
      <c r="L27">
        <v>4</v>
      </c>
      <c r="M27" t="s">
        <v>639</v>
      </c>
      <c r="O27" t="s">
        <v>371</v>
      </c>
      <c r="P27" t="s">
        <v>321</v>
      </c>
    </row>
    <row r="28" spans="1:16" x14ac:dyDescent="0.25">
      <c r="A28" t="s">
        <v>16</v>
      </c>
      <c r="B28" t="s">
        <v>81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585</v>
      </c>
      <c r="L28">
        <v>4</v>
      </c>
      <c r="M28" t="s">
        <v>640</v>
      </c>
      <c r="O28" t="s">
        <v>395</v>
      </c>
      <c r="P28" t="s">
        <v>110</v>
      </c>
    </row>
    <row r="29" spans="1:16" x14ac:dyDescent="0.25">
      <c r="A29" t="s">
        <v>13</v>
      </c>
      <c r="B29" t="s">
        <v>79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571</v>
      </c>
      <c r="L29">
        <v>4</v>
      </c>
      <c r="M29" t="s">
        <v>641</v>
      </c>
      <c r="O29" t="s">
        <v>3</v>
      </c>
      <c r="P29" t="s">
        <v>69</v>
      </c>
    </row>
    <row r="30" spans="1:16" x14ac:dyDescent="0.25">
      <c r="A30" t="s">
        <v>481</v>
      </c>
      <c r="B30" t="s">
        <v>482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597</v>
      </c>
      <c r="L30">
        <v>4</v>
      </c>
      <c r="M30" t="s">
        <v>642</v>
      </c>
      <c r="O30" t="s">
        <v>357</v>
      </c>
      <c r="P30" t="s">
        <v>111</v>
      </c>
    </row>
    <row r="31" spans="1:16" x14ac:dyDescent="0.25">
      <c r="A31" t="s">
        <v>483</v>
      </c>
      <c r="B31" t="s">
        <v>484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514</v>
      </c>
      <c r="L31">
        <v>4</v>
      </c>
      <c r="M31" t="s">
        <v>643</v>
      </c>
      <c r="O31" t="s">
        <v>356</v>
      </c>
      <c r="P31" t="s">
        <v>96</v>
      </c>
    </row>
    <row r="32" spans="1:16" x14ac:dyDescent="0.25">
      <c r="A32" t="s">
        <v>485</v>
      </c>
      <c r="B32" t="s">
        <v>486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513</v>
      </c>
      <c r="L32">
        <v>4</v>
      </c>
      <c r="M32" t="s">
        <v>644</v>
      </c>
      <c r="O32" t="s">
        <v>477</v>
      </c>
      <c r="P32" t="s">
        <v>478</v>
      </c>
    </row>
    <row r="33" spans="1:16" x14ac:dyDescent="0.25">
      <c r="A33" t="s">
        <v>487</v>
      </c>
      <c r="B33" t="s">
        <v>488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593</v>
      </c>
      <c r="L33">
        <v>4</v>
      </c>
      <c r="M33" t="s">
        <v>645</v>
      </c>
      <c r="O33" t="s">
        <v>382</v>
      </c>
      <c r="P33" t="s">
        <v>104</v>
      </c>
    </row>
    <row r="34" spans="1:16" x14ac:dyDescent="0.25">
      <c r="A34" t="s">
        <v>489</v>
      </c>
      <c r="B34" t="s">
        <v>490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541</v>
      </c>
      <c r="L34">
        <v>4</v>
      </c>
      <c r="M34" t="s">
        <v>646</v>
      </c>
      <c r="O34" t="s">
        <v>48</v>
      </c>
      <c r="P34" t="s">
        <v>44</v>
      </c>
    </row>
    <row r="35" spans="1:16" x14ac:dyDescent="0.25">
      <c r="A35" t="s">
        <v>21</v>
      </c>
      <c r="B35" t="s">
        <v>85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576</v>
      </c>
      <c r="L35">
        <v>4</v>
      </c>
      <c r="M35" t="s">
        <v>647</v>
      </c>
      <c r="O35" t="s">
        <v>397</v>
      </c>
      <c r="P35" t="s">
        <v>99</v>
      </c>
    </row>
    <row r="36" spans="1:16" x14ac:dyDescent="0.25">
      <c r="A36" t="s">
        <v>17</v>
      </c>
      <c r="B36" t="s">
        <v>82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554</v>
      </c>
      <c r="L36">
        <v>5</v>
      </c>
      <c r="M36" t="s">
        <v>648</v>
      </c>
      <c r="O36" t="s">
        <v>9</v>
      </c>
      <c r="P36" t="s">
        <v>74</v>
      </c>
    </row>
    <row r="37" spans="1:16" x14ac:dyDescent="0.25">
      <c r="A37" t="s">
        <v>22</v>
      </c>
      <c r="B37" t="s">
        <v>86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519</v>
      </c>
      <c r="L37">
        <v>5</v>
      </c>
      <c r="M37" t="s">
        <v>649</v>
      </c>
      <c r="O37" t="s">
        <v>474</v>
      </c>
      <c r="P37" t="s">
        <v>101</v>
      </c>
    </row>
    <row r="38" spans="1:16" x14ac:dyDescent="0.25">
      <c r="A38" t="s">
        <v>23</v>
      </c>
      <c r="B38" t="s">
        <v>87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596</v>
      </c>
      <c r="L38">
        <v>5</v>
      </c>
      <c r="M38" t="s">
        <v>650</v>
      </c>
      <c r="O38" t="s">
        <v>364</v>
      </c>
      <c r="P38" t="s">
        <v>40</v>
      </c>
    </row>
    <row r="39" spans="1:16" x14ac:dyDescent="0.25">
      <c r="A39" t="s">
        <v>24</v>
      </c>
      <c r="B39" t="s">
        <v>88</v>
      </c>
      <c r="G39" t="str">
        <f t="shared" si="3"/>
        <v>Night :leil</v>
      </c>
      <c r="J39" t="s">
        <v>587</v>
      </c>
      <c r="L39">
        <v>5</v>
      </c>
      <c r="M39" t="s">
        <v>651</v>
      </c>
      <c r="O39" t="s">
        <v>460</v>
      </c>
      <c r="P39" t="s">
        <v>461</v>
      </c>
    </row>
    <row r="40" spans="1:16" x14ac:dyDescent="0.25">
      <c r="A40" t="s">
        <v>18</v>
      </c>
      <c r="B40" t="s">
        <v>83</v>
      </c>
      <c r="G40" t="str">
        <f t="shared" si="3"/>
        <v>Autumn :khareef</v>
      </c>
      <c r="J40" t="s">
        <v>537</v>
      </c>
      <c r="L40">
        <v>5</v>
      </c>
      <c r="M40" t="s">
        <v>652</v>
      </c>
      <c r="O40" t="s">
        <v>384</v>
      </c>
      <c r="P40" t="s">
        <v>54</v>
      </c>
    </row>
    <row r="41" spans="1:16" x14ac:dyDescent="0.25">
      <c r="A41" t="s">
        <v>19</v>
      </c>
      <c r="B41" t="s">
        <v>326</v>
      </c>
      <c r="G41" t="str">
        <f t="shared" si="3"/>
        <v>Winter :sheteh</v>
      </c>
      <c r="J41" t="s">
        <v>544</v>
      </c>
      <c r="L41">
        <v>5</v>
      </c>
      <c r="M41" t="s">
        <v>653</v>
      </c>
      <c r="O41" t="s">
        <v>487</v>
      </c>
      <c r="P41" t="s">
        <v>488</v>
      </c>
    </row>
    <row r="42" spans="1:16" x14ac:dyDescent="0.25">
      <c r="A42" t="s">
        <v>20</v>
      </c>
      <c r="B42" t="s">
        <v>84</v>
      </c>
      <c r="G42" t="str">
        <f t="shared" si="3"/>
        <v>Spring :rabee3</v>
      </c>
      <c r="J42" t="s">
        <v>549</v>
      </c>
      <c r="L42">
        <v>5</v>
      </c>
      <c r="M42" t="s">
        <v>654</v>
      </c>
      <c r="O42" t="s">
        <v>383</v>
      </c>
      <c r="P42" t="s">
        <v>105</v>
      </c>
    </row>
    <row r="43" spans="1:16" x14ac:dyDescent="0.25">
      <c r="A43" t="s">
        <v>491</v>
      </c>
      <c r="B43" t="s">
        <v>492</v>
      </c>
      <c r="G43" t="str">
        <f t="shared" si="3"/>
        <v>bed :takhet</v>
      </c>
      <c r="J43" t="s">
        <v>524</v>
      </c>
      <c r="L43">
        <v>5</v>
      </c>
      <c r="M43" t="s">
        <v>655</v>
      </c>
      <c r="O43" t="s">
        <v>370</v>
      </c>
      <c r="P43" t="s">
        <v>320</v>
      </c>
    </row>
    <row r="44" spans="1:16" x14ac:dyDescent="0.25">
      <c r="A44" t="s">
        <v>25</v>
      </c>
      <c r="B44" t="s">
        <v>89</v>
      </c>
      <c r="G44" t="str">
        <f t="shared" si="3"/>
        <v>Home :beit</v>
      </c>
      <c r="J44" t="s">
        <v>609</v>
      </c>
      <c r="L44">
        <v>6</v>
      </c>
      <c r="M44" t="s">
        <v>656</v>
      </c>
      <c r="O44" t="s">
        <v>361</v>
      </c>
      <c r="P44" t="s">
        <v>62</v>
      </c>
    </row>
    <row r="45" spans="1:16" x14ac:dyDescent="0.25">
      <c r="A45" t="s">
        <v>26</v>
      </c>
      <c r="B45" t="s">
        <v>90</v>
      </c>
      <c r="G45" t="str">
        <f t="shared" si="3"/>
        <v>Apartement :she'a</v>
      </c>
      <c r="J45" t="s">
        <v>526</v>
      </c>
      <c r="L45">
        <v>6</v>
      </c>
      <c r="M45" t="s">
        <v>657</v>
      </c>
      <c r="O45" t="s">
        <v>8</v>
      </c>
      <c r="P45" t="s">
        <v>36</v>
      </c>
    </row>
    <row r="46" spans="1:16" x14ac:dyDescent="0.25">
      <c r="A46" t="s">
        <v>493</v>
      </c>
      <c r="B46" t="s">
        <v>494</v>
      </c>
      <c r="G46" t="str">
        <f t="shared" si="3"/>
        <v>rent :ajaar</v>
      </c>
      <c r="J46" t="s">
        <v>573</v>
      </c>
      <c r="L46">
        <v>6</v>
      </c>
      <c r="M46" t="s">
        <v>658</v>
      </c>
      <c r="O46" t="s">
        <v>479</v>
      </c>
      <c r="P46" t="s">
        <v>480</v>
      </c>
    </row>
    <row r="47" spans="1:16" x14ac:dyDescent="0.25">
      <c r="A47" t="s">
        <v>495</v>
      </c>
      <c r="B47" t="s">
        <v>496</v>
      </c>
      <c r="G47" t="str">
        <f t="shared" si="3"/>
        <v>bathroom:Hemmeim</v>
      </c>
      <c r="J47" t="s">
        <v>610</v>
      </c>
      <c r="L47">
        <v>6</v>
      </c>
      <c r="M47" t="s">
        <v>659</v>
      </c>
      <c r="O47" t="s">
        <v>367</v>
      </c>
      <c r="P47" t="s">
        <v>28</v>
      </c>
    </row>
    <row r="48" spans="1:16" x14ac:dyDescent="0.25">
      <c r="A48" t="s">
        <v>497</v>
      </c>
      <c r="B48" t="s">
        <v>498</v>
      </c>
      <c r="G48" t="str">
        <f t="shared" si="3"/>
        <v>tomorrow :bukra</v>
      </c>
      <c r="J48" t="s">
        <v>510</v>
      </c>
      <c r="L48">
        <v>6</v>
      </c>
      <c r="M48" t="s">
        <v>660</v>
      </c>
      <c r="O48" t="s">
        <v>19</v>
      </c>
      <c r="P48" t="s">
        <v>326</v>
      </c>
    </row>
    <row r="49" spans="1:16" x14ac:dyDescent="0.25">
      <c r="A49" t="s">
        <v>366</v>
      </c>
      <c r="B49" t="s">
        <v>27</v>
      </c>
      <c r="G49" t="str">
        <f t="shared" si="3"/>
        <v>And:wa</v>
      </c>
      <c r="J49" t="s">
        <v>535</v>
      </c>
      <c r="L49">
        <v>6</v>
      </c>
      <c r="M49" t="s">
        <v>661</v>
      </c>
      <c r="O49" t="s">
        <v>385</v>
      </c>
      <c r="P49" t="s">
        <v>55</v>
      </c>
    </row>
    <row r="50" spans="1:16" x14ac:dyDescent="0.25">
      <c r="A50" t="s">
        <v>367</v>
      </c>
      <c r="B50" t="s">
        <v>28</v>
      </c>
      <c r="G50" t="str">
        <f t="shared" si="3"/>
        <v>So:fa</v>
      </c>
      <c r="J50" t="s">
        <v>580</v>
      </c>
      <c r="L50">
        <v>6</v>
      </c>
      <c r="M50" t="s">
        <v>662</v>
      </c>
      <c r="O50" t="s">
        <v>2</v>
      </c>
      <c r="P50" t="s">
        <v>68</v>
      </c>
    </row>
    <row r="51" spans="1:16" x14ac:dyDescent="0.25">
      <c r="A51" t="s">
        <v>368</v>
      </c>
      <c r="B51" t="s">
        <v>29</v>
      </c>
      <c r="G51" t="str">
        <f t="shared" si="3"/>
        <v>But:bas</v>
      </c>
      <c r="J51" t="s">
        <v>559</v>
      </c>
      <c r="L51">
        <v>7</v>
      </c>
      <c r="M51" t="s">
        <v>663</v>
      </c>
      <c r="O51" t="s">
        <v>360</v>
      </c>
      <c r="P51" t="s">
        <v>61</v>
      </c>
    </row>
    <row r="52" spans="1:16" x14ac:dyDescent="0.25">
      <c r="A52" t="s">
        <v>369</v>
      </c>
      <c r="B52" t="s">
        <v>325</v>
      </c>
      <c r="G52" t="str">
        <f t="shared" si="3"/>
        <v>After:ba3dein</v>
      </c>
      <c r="J52" t="s">
        <v>565</v>
      </c>
      <c r="L52">
        <v>7</v>
      </c>
      <c r="M52" t="s">
        <v>664</v>
      </c>
      <c r="O52" t="s">
        <v>468</v>
      </c>
      <c r="P52" t="s">
        <v>469</v>
      </c>
    </row>
    <row r="53" spans="1:16" x14ac:dyDescent="0.25">
      <c r="A53" t="s">
        <v>370</v>
      </c>
      <c r="B53" t="s">
        <v>320</v>
      </c>
      <c r="G53" t="str">
        <f t="shared" si="3"/>
        <v>When:lamma</v>
      </c>
      <c r="J53" t="s">
        <v>607</v>
      </c>
      <c r="L53">
        <v>7</v>
      </c>
      <c r="M53" t="s">
        <v>665</v>
      </c>
      <c r="O53" t="s">
        <v>493</v>
      </c>
      <c r="P53" t="s">
        <v>494</v>
      </c>
    </row>
    <row r="54" spans="1:16" x14ac:dyDescent="0.25">
      <c r="A54" t="s">
        <v>371</v>
      </c>
      <c r="B54" t="s">
        <v>321</v>
      </c>
      <c r="G54" t="str">
        <f t="shared" si="3"/>
        <v>From:men</v>
      </c>
      <c r="J54" t="s">
        <v>613</v>
      </c>
      <c r="L54">
        <v>7</v>
      </c>
      <c r="M54" t="s">
        <v>666</v>
      </c>
    </row>
    <row r="55" spans="1:16" x14ac:dyDescent="0.25">
      <c r="A55" t="s">
        <v>372</v>
      </c>
      <c r="B55" t="s">
        <v>91</v>
      </c>
      <c r="G55" t="str">
        <f t="shared" si="3"/>
        <v>On:3ala</v>
      </c>
      <c r="J55" t="s">
        <v>509</v>
      </c>
      <c r="L55">
        <v>7</v>
      </c>
      <c r="M55" t="s">
        <v>667</v>
      </c>
    </row>
    <row r="56" spans="1:16" x14ac:dyDescent="0.25">
      <c r="A56" t="s">
        <v>373</v>
      </c>
      <c r="B56" t="s">
        <v>322</v>
      </c>
      <c r="G56" t="str">
        <f t="shared" si="3"/>
        <v>About:3an</v>
      </c>
      <c r="J56" t="s">
        <v>604</v>
      </c>
      <c r="L56">
        <v>7</v>
      </c>
      <c r="M56" t="s">
        <v>668</v>
      </c>
    </row>
    <row r="57" spans="1:16" x14ac:dyDescent="0.25">
      <c r="A57" t="s">
        <v>374</v>
      </c>
      <c r="B57" t="s">
        <v>323</v>
      </c>
      <c r="G57" t="str">
        <f t="shared" si="3"/>
        <v>That:enno</v>
      </c>
      <c r="J57" t="s">
        <v>584</v>
      </c>
      <c r="L57">
        <v>7</v>
      </c>
      <c r="M57" t="s">
        <v>669</v>
      </c>
    </row>
    <row r="58" spans="1:16" x14ac:dyDescent="0.25">
      <c r="A58" t="s">
        <v>375</v>
      </c>
      <c r="B58" t="s">
        <v>324</v>
      </c>
      <c r="G58" t="str">
        <f t="shared" si="3"/>
        <v>Because:la'enno</v>
      </c>
      <c r="J58" t="s">
        <v>538</v>
      </c>
      <c r="L58">
        <v>7</v>
      </c>
      <c r="M58" t="s">
        <v>670</v>
      </c>
    </row>
    <row r="59" spans="1:16" x14ac:dyDescent="0.25">
      <c r="A59" t="s">
        <v>376</v>
      </c>
      <c r="B59" t="s">
        <v>92</v>
      </c>
      <c r="G59" t="str">
        <f t="shared" si="3"/>
        <v>Shirt:ameess</v>
      </c>
      <c r="J59" t="s">
        <v>543</v>
      </c>
      <c r="L59">
        <v>7</v>
      </c>
      <c r="M59" t="s">
        <v>671</v>
      </c>
    </row>
    <row r="60" spans="1:16" x14ac:dyDescent="0.25">
      <c r="A60" t="s">
        <v>377</v>
      </c>
      <c r="B60" t="s">
        <v>93</v>
      </c>
      <c r="G60" t="str">
        <f t="shared" si="3"/>
        <v>High heels:scarbeeneh</v>
      </c>
      <c r="J60" t="s">
        <v>556</v>
      </c>
      <c r="L60">
        <v>8</v>
      </c>
      <c r="M60" t="s">
        <v>672</v>
      </c>
    </row>
    <row r="61" spans="1:16" x14ac:dyDescent="0.25">
      <c r="A61" t="s">
        <v>378</v>
      </c>
      <c r="B61" t="s">
        <v>30</v>
      </c>
      <c r="G61" t="str">
        <f t="shared" si="3"/>
        <v>Shoe:sobbat</v>
      </c>
      <c r="J61" t="s">
        <v>525</v>
      </c>
      <c r="L61">
        <v>8</v>
      </c>
      <c r="M61" t="s">
        <v>673</v>
      </c>
    </row>
    <row r="62" spans="1:16" x14ac:dyDescent="0.25">
      <c r="A62" t="s">
        <v>31</v>
      </c>
      <c r="B62" t="s">
        <v>32</v>
      </c>
      <c r="G62" t="str">
        <f t="shared" si="3"/>
        <v>Dress:fostan</v>
      </c>
      <c r="J62" t="s">
        <v>508</v>
      </c>
      <c r="L62">
        <v>8</v>
      </c>
      <c r="M62" t="s">
        <v>674</v>
      </c>
    </row>
    <row r="63" spans="1:16" x14ac:dyDescent="0.25">
      <c r="A63" t="s">
        <v>379</v>
      </c>
      <c r="B63" t="s">
        <v>94</v>
      </c>
      <c r="G63" t="str">
        <f t="shared" si="3"/>
        <v>Glasses:3wayneit</v>
      </c>
      <c r="J63" t="s">
        <v>572</v>
      </c>
      <c r="L63">
        <v>8</v>
      </c>
      <c r="M63" t="s">
        <v>675</v>
      </c>
    </row>
    <row r="64" spans="1:16" x14ac:dyDescent="0.25">
      <c r="A64" t="s">
        <v>33</v>
      </c>
      <c r="B64" t="s">
        <v>95</v>
      </c>
      <c r="G64" t="str">
        <f t="shared" si="3"/>
        <v>Family:3ayleh</v>
      </c>
      <c r="J64" t="s">
        <v>546</v>
      </c>
      <c r="L64">
        <v>8</v>
      </c>
      <c r="M64" t="s">
        <v>676</v>
      </c>
    </row>
    <row r="65" spans="1:13" x14ac:dyDescent="0.25">
      <c r="A65" t="s">
        <v>37</v>
      </c>
      <c r="B65" t="s">
        <v>38</v>
      </c>
      <c r="G65" t="str">
        <f t="shared" ref="G65:G96" si="4">A65&amp;":"&amp;B65</f>
        <v>I:ana</v>
      </c>
      <c r="J65" t="s">
        <v>530</v>
      </c>
      <c r="L65">
        <v>8</v>
      </c>
      <c r="M65" t="s">
        <v>677</v>
      </c>
    </row>
    <row r="66" spans="1:13" x14ac:dyDescent="0.25">
      <c r="A66" t="s">
        <v>363</v>
      </c>
      <c r="B66" t="s">
        <v>39</v>
      </c>
      <c r="G66" t="str">
        <f t="shared" si="4"/>
        <v>He:howeh</v>
      </c>
      <c r="J66" t="s">
        <v>534</v>
      </c>
      <c r="L66">
        <v>8</v>
      </c>
      <c r="M66" t="s">
        <v>678</v>
      </c>
    </row>
    <row r="67" spans="1:13" x14ac:dyDescent="0.25">
      <c r="A67" t="s">
        <v>364</v>
      </c>
      <c r="B67" t="s">
        <v>40</v>
      </c>
      <c r="G67" t="str">
        <f t="shared" si="4"/>
        <v>She:hiyeh</v>
      </c>
      <c r="J67" t="s">
        <v>542</v>
      </c>
      <c r="L67">
        <v>8</v>
      </c>
      <c r="M67" t="s">
        <v>679</v>
      </c>
    </row>
    <row r="68" spans="1:13" x14ac:dyDescent="0.25">
      <c r="A68" t="s">
        <v>356</v>
      </c>
      <c r="B68" t="s">
        <v>96</v>
      </c>
      <c r="G68" t="str">
        <f t="shared" si="4"/>
        <v>We:neHna</v>
      </c>
      <c r="J68" t="s">
        <v>555</v>
      </c>
      <c r="L68">
        <v>8</v>
      </c>
      <c r="M68" t="s">
        <v>680</v>
      </c>
    </row>
    <row r="69" spans="1:13" x14ac:dyDescent="0.25">
      <c r="A69" t="s">
        <v>365</v>
      </c>
      <c r="B69" t="s">
        <v>42</v>
      </c>
      <c r="G69" t="str">
        <f t="shared" si="4"/>
        <v>They:henneh</v>
      </c>
      <c r="J69" t="s">
        <v>581</v>
      </c>
      <c r="L69">
        <v>9</v>
      </c>
      <c r="M69" t="s">
        <v>681</v>
      </c>
    </row>
    <row r="70" spans="1:13" x14ac:dyDescent="0.25">
      <c r="A70" t="s">
        <v>43</v>
      </c>
      <c r="B70" t="s">
        <v>97</v>
      </c>
      <c r="G70" t="str">
        <f t="shared" si="4"/>
        <v>Monday:tanein</v>
      </c>
      <c r="J70" t="s">
        <v>603</v>
      </c>
      <c r="L70">
        <v>9</v>
      </c>
      <c r="M70" t="s">
        <v>682</v>
      </c>
    </row>
    <row r="71" spans="1:13" x14ac:dyDescent="0.25">
      <c r="A71" t="s">
        <v>45</v>
      </c>
      <c r="B71" t="s">
        <v>98</v>
      </c>
      <c r="G71" t="str">
        <f t="shared" si="4"/>
        <v>Tuesday:taleita</v>
      </c>
      <c r="J71" t="s">
        <v>545</v>
      </c>
      <c r="L71">
        <v>9</v>
      </c>
      <c r="M71" t="s">
        <v>683</v>
      </c>
    </row>
    <row r="72" spans="1:13" x14ac:dyDescent="0.25">
      <c r="A72" t="s">
        <v>397</v>
      </c>
      <c r="B72" t="s">
        <v>99</v>
      </c>
      <c r="G72" t="str">
        <f t="shared" si="4"/>
        <v>Wednsday:orb3a</v>
      </c>
      <c r="J72" t="s">
        <v>536</v>
      </c>
      <c r="L72">
        <v>9</v>
      </c>
      <c r="M72" t="s">
        <v>684</v>
      </c>
    </row>
    <row r="73" spans="1:13" x14ac:dyDescent="0.25">
      <c r="A73" t="s">
        <v>46</v>
      </c>
      <c r="B73" t="s">
        <v>100</v>
      </c>
      <c r="G73" t="str">
        <f t="shared" si="4"/>
        <v>Thursday:khamees</v>
      </c>
      <c r="J73" t="s">
        <v>595</v>
      </c>
      <c r="L73">
        <v>9</v>
      </c>
      <c r="M73" t="s">
        <v>685</v>
      </c>
    </row>
    <row r="74" spans="1:13" x14ac:dyDescent="0.25">
      <c r="A74" t="s">
        <v>47</v>
      </c>
      <c r="B74" t="s">
        <v>101</v>
      </c>
      <c r="G74" t="str">
        <f t="shared" si="4"/>
        <v>Friday:jem3a</v>
      </c>
      <c r="J74" t="s">
        <v>578</v>
      </c>
      <c r="L74">
        <v>9</v>
      </c>
      <c r="M74" t="s">
        <v>686</v>
      </c>
    </row>
    <row r="75" spans="1:13" x14ac:dyDescent="0.25">
      <c r="A75" t="s">
        <v>48</v>
      </c>
      <c r="B75" t="s">
        <v>44</v>
      </c>
      <c r="G75" t="str">
        <f t="shared" si="4"/>
        <v>Saturday:sabet</v>
      </c>
      <c r="J75" t="s">
        <v>550</v>
      </c>
      <c r="L75">
        <v>10</v>
      </c>
      <c r="M75" t="s">
        <v>687</v>
      </c>
    </row>
    <row r="76" spans="1:13" x14ac:dyDescent="0.25">
      <c r="A76" t="s">
        <v>49</v>
      </c>
      <c r="B76" t="s">
        <v>102</v>
      </c>
      <c r="G76" t="str">
        <f t="shared" si="4"/>
        <v>Sunday:aHad</v>
      </c>
      <c r="J76" t="s">
        <v>606</v>
      </c>
      <c r="L76">
        <v>10</v>
      </c>
      <c r="M76" t="s">
        <v>688</v>
      </c>
    </row>
    <row r="77" spans="1:13" x14ac:dyDescent="0.25">
      <c r="A77" t="s">
        <v>388</v>
      </c>
      <c r="B77" t="s">
        <v>50</v>
      </c>
      <c r="G77" t="str">
        <f t="shared" si="4"/>
        <v>Rice:rezz</v>
      </c>
      <c r="J77" t="s">
        <v>562</v>
      </c>
      <c r="L77">
        <v>10</v>
      </c>
      <c r="M77" t="s">
        <v>689</v>
      </c>
    </row>
    <row r="78" spans="1:13" x14ac:dyDescent="0.25">
      <c r="A78" t="s">
        <v>389</v>
      </c>
      <c r="B78" t="s">
        <v>51</v>
      </c>
      <c r="G78" t="str">
        <f t="shared" si="4"/>
        <v>Button:zerr</v>
      </c>
      <c r="J78" t="s">
        <v>517</v>
      </c>
      <c r="L78">
        <v>10</v>
      </c>
      <c r="M78" t="s">
        <v>690</v>
      </c>
    </row>
    <row r="79" spans="1:13" x14ac:dyDescent="0.25">
      <c r="A79" t="s">
        <v>390</v>
      </c>
      <c r="B79" t="s">
        <v>52</v>
      </c>
      <c r="G79" t="str">
        <f t="shared" si="4"/>
        <v>Horn:zammour</v>
      </c>
      <c r="J79" t="s">
        <v>523</v>
      </c>
      <c r="L79">
        <v>10</v>
      </c>
      <c r="M79" t="s">
        <v>691</v>
      </c>
    </row>
    <row r="80" spans="1:13" x14ac:dyDescent="0.25">
      <c r="A80" t="s">
        <v>391</v>
      </c>
      <c r="B80" t="s">
        <v>53</v>
      </c>
      <c r="G80" t="str">
        <f t="shared" si="4"/>
        <v>Gun:fared</v>
      </c>
      <c r="J80" t="s">
        <v>561</v>
      </c>
      <c r="L80">
        <v>11</v>
      </c>
      <c r="M80" t="s">
        <v>692</v>
      </c>
    </row>
    <row r="81" spans="1:13" x14ac:dyDescent="0.25">
      <c r="A81" t="s">
        <v>381</v>
      </c>
      <c r="B81" t="s">
        <v>103</v>
      </c>
      <c r="G81" t="str">
        <f t="shared" si="4"/>
        <v>Anger:to3seeb</v>
      </c>
      <c r="J81" t="s">
        <v>608</v>
      </c>
      <c r="L81">
        <v>11</v>
      </c>
      <c r="M81" t="s">
        <v>693</v>
      </c>
    </row>
    <row r="82" spans="1:13" x14ac:dyDescent="0.25">
      <c r="A82" t="s">
        <v>382</v>
      </c>
      <c r="B82" t="s">
        <v>104</v>
      </c>
      <c r="G82" t="str">
        <f t="shared" si="4"/>
        <v>Optimism:tafei'oul</v>
      </c>
      <c r="J82" t="s">
        <v>522</v>
      </c>
      <c r="L82">
        <v>11</v>
      </c>
      <c r="M82" t="s">
        <v>694</v>
      </c>
    </row>
    <row r="83" spans="1:13" x14ac:dyDescent="0.25">
      <c r="A83" t="s">
        <v>383</v>
      </c>
      <c r="B83" t="s">
        <v>105</v>
      </c>
      <c r="G83" t="str">
        <f t="shared" si="4"/>
        <v>Pessimism:tashei'oum</v>
      </c>
      <c r="J83" t="s">
        <v>605</v>
      </c>
      <c r="L83">
        <v>11</v>
      </c>
      <c r="M83" t="s">
        <v>695</v>
      </c>
    </row>
    <row r="84" spans="1:13" x14ac:dyDescent="0.25">
      <c r="A84" t="s">
        <v>384</v>
      </c>
      <c r="B84" t="s">
        <v>54</v>
      </c>
      <c r="G84" t="str">
        <f t="shared" si="4"/>
        <v>Orgasm:nashweh</v>
      </c>
      <c r="J84" t="s">
        <v>575</v>
      </c>
      <c r="L84">
        <v>11</v>
      </c>
      <c r="M84" t="s">
        <v>696</v>
      </c>
    </row>
    <row r="85" spans="1:13" x14ac:dyDescent="0.25">
      <c r="A85" t="s">
        <v>385</v>
      </c>
      <c r="B85" t="s">
        <v>55</v>
      </c>
      <c r="G85" t="str">
        <f t="shared" si="4"/>
        <v>Pride:fakher</v>
      </c>
      <c r="J85" t="s">
        <v>520</v>
      </c>
      <c r="L85">
        <v>12</v>
      </c>
      <c r="M85" t="s">
        <v>697</v>
      </c>
    </row>
    <row r="86" spans="1:13" x14ac:dyDescent="0.25">
      <c r="A86" t="s">
        <v>386</v>
      </c>
      <c r="B86" t="s">
        <v>56</v>
      </c>
      <c r="G86" t="str">
        <f t="shared" si="4"/>
        <v>Shyness:khajal</v>
      </c>
      <c r="J86" t="s">
        <v>589</v>
      </c>
      <c r="L86">
        <v>12</v>
      </c>
      <c r="M86" t="s">
        <v>698</v>
      </c>
    </row>
    <row r="87" spans="1:13" x14ac:dyDescent="0.25">
      <c r="A87" t="s">
        <v>387</v>
      </c>
      <c r="B87" t="s">
        <v>57</v>
      </c>
      <c r="G87" t="str">
        <f t="shared" si="4"/>
        <v>Anxiety:ala'</v>
      </c>
      <c r="J87" t="s">
        <v>582</v>
      </c>
      <c r="L87">
        <v>12</v>
      </c>
      <c r="M87" t="s">
        <v>699</v>
      </c>
    </row>
    <row r="88" spans="1:13" x14ac:dyDescent="0.25">
      <c r="A88" t="s">
        <v>358</v>
      </c>
      <c r="B88" t="s">
        <v>60</v>
      </c>
      <c r="G88" t="str">
        <f t="shared" si="4"/>
        <v>Sun:shames</v>
      </c>
      <c r="J88" t="s">
        <v>579</v>
      </c>
      <c r="L88">
        <v>12</v>
      </c>
      <c r="M88" t="s">
        <v>700</v>
      </c>
    </row>
    <row r="89" spans="1:13" x14ac:dyDescent="0.25">
      <c r="A89" t="s">
        <v>392</v>
      </c>
      <c r="B89" t="s">
        <v>58</v>
      </c>
      <c r="G89" t="str">
        <f t="shared" si="4"/>
        <v>Fish:samak</v>
      </c>
      <c r="J89" t="s">
        <v>528</v>
      </c>
      <c r="L89">
        <v>13</v>
      </c>
      <c r="M89" t="s">
        <v>701</v>
      </c>
    </row>
    <row r="90" spans="1:13" x14ac:dyDescent="0.25">
      <c r="A90" t="s">
        <v>393</v>
      </c>
      <c r="B90" t="s">
        <v>106</v>
      </c>
      <c r="G90" t="str">
        <f t="shared" si="4"/>
        <v>Guardian:Haares</v>
      </c>
      <c r="J90" t="s">
        <v>518</v>
      </c>
      <c r="L90">
        <v>13</v>
      </c>
      <c r="M90" t="s">
        <v>702</v>
      </c>
    </row>
    <row r="91" spans="1:13" x14ac:dyDescent="0.25">
      <c r="A91" t="s">
        <v>394</v>
      </c>
      <c r="B91" t="s">
        <v>107</v>
      </c>
      <c r="G91" t="str">
        <f t="shared" si="4"/>
        <v>Grass:hasheesh</v>
      </c>
      <c r="J91" t="s">
        <v>574</v>
      </c>
      <c r="L91">
        <v>14</v>
      </c>
      <c r="M91" t="s">
        <v>703</v>
      </c>
    </row>
    <row r="92" spans="1:13" x14ac:dyDescent="0.25">
      <c r="A92" t="s">
        <v>359</v>
      </c>
      <c r="B92" t="s">
        <v>108</v>
      </c>
      <c r="G92" t="str">
        <f t="shared" si="4"/>
        <v>Grey:rmeideh</v>
      </c>
      <c r="J92" t="s">
        <v>511</v>
      </c>
      <c r="L92">
        <v>14</v>
      </c>
      <c r="M92" t="s">
        <v>704</v>
      </c>
    </row>
    <row r="93" spans="1:13" x14ac:dyDescent="0.25">
      <c r="A93" t="s">
        <v>360</v>
      </c>
      <c r="B93" t="s">
        <v>61</v>
      </c>
      <c r="G93" t="str">
        <f t="shared" si="4"/>
        <v>Purple:banafsajeh</v>
      </c>
      <c r="J93" t="s">
        <v>591</v>
      </c>
      <c r="L93">
        <v>15</v>
      </c>
      <c r="M93" t="s">
        <v>705</v>
      </c>
    </row>
    <row r="94" spans="1:13" x14ac:dyDescent="0.25">
      <c r="A94" t="s">
        <v>361</v>
      </c>
      <c r="B94" t="s">
        <v>62</v>
      </c>
      <c r="G94" t="str">
        <f t="shared" si="4"/>
        <v>Pink:zahreh</v>
      </c>
      <c r="J94" t="s">
        <v>540</v>
      </c>
      <c r="L94">
        <v>15</v>
      </c>
      <c r="M94" t="s">
        <v>706</v>
      </c>
    </row>
    <row r="95" spans="1:13" x14ac:dyDescent="0.25">
      <c r="A95" t="s">
        <v>362</v>
      </c>
      <c r="B95" t="s">
        <v>63</v>
      </c>
      <c r="G95" t="str">
        <f t="shared" si="4"/>
        <v>Brown:benneh</v>
      </c>
      <c r="J95" t="s">
        <v>590</v>
      </c>
      <c r="L95">
        <v>16</v>
      </c>
      <c r="M95" t="s">
        <v>707</v>
      </c>
    </row>
    <row r="96" spans="1:13" x14ac:dyDescent="0.25">
      <c r="A96" t="s">
        <v>499</v>
      </c>
      <c r="B96" t="s">
        <v>500</v>
      </c>
      <c r="G96" t="str">
        <f t="shared" si="4"/>
        <v>ice cream:bouza</v>
      </c>
      <c r="J96" t="s">
        <v>560</v>
      </c>
      <c r="L96">
        <v>16</v>
      </c>
      <c r="M96" t="s">
        <v>708</v>
      </c>
    </row>
    <row r="97" spans="1:13" x14ac:dyDescent="0.25">
      <c r="A97" t="s">
        <v>501</v>
      </c>
      <c r="B97" t="s">
        <v>502</v>
      </c>
      <c r="G97" t="str">
        <f t="shared" ref="G97:G106" si="5">A97&amp;":"&amp;B97</f>
        <v>nearest:a'rab</v>
      </c>
      <c r="J97" t="s">
        <v>601</v>
      </c>
      <c r="L97">
        <v>17</v>
      </c>
      <c r="M97" t="s">
        <v>709</v>
      </c>
    </row>
    <row r="98" spans="1:13" x14ac:dyDescent="0.25">
      <c r="A98" t="s">
        <v>357</v>
      </c>
      <c r="B98" t="s">
        <v>111</v>
      </c>
      <c r="G98" t="str">
        <f t="shared" si="5"/>
        <v>Rose:wardeh</v>
      </c>
      <c r="J98" t="s">
        <v>527</v>
      </c>
      <c r="L98">
        <v>17</v>
      </c>
      <c r="M98" t="s">
        <v>710</v>
      </c>
    </row>
    <row r="99" spans="1:13" x14ac:dyDescent="0.25">
      <c r="A99" t="s">
        <v>380</v>
      </c>
      <c r="B99" t="s">
        <v>115</v>
      </c>
      <c r="G99" t="str">
        <f t="shared" si="5"/>
        <v>Friendship:sadaa'a</v>
      </c>
      <c r="J99" t="s">
        <v>532</v>
      </c>
      <c r="L99">
        <v>17</v>
      </c>
      <c r="M99" t="s">
        <v>711</v>
      </c>
    </row>
    <row r="100" spans="1:13" x14ac:dyDescent="0.25">
      <c r="A100" t="s">
        <v>396</v>
      </c>
      <c r="B100" t="s">
        <v>112</v>
      </c>
      <c r="G100" t="str">
        <f t="shared" si="5"/>
        <v>Flower:zahra</v>
      </c>
      <c r="J100" t="s">
        <v>557</v>
      </c>
      <c r="L100">
        <v>18</v>
      </c>
      <c r="M100" t="s">
        <v>712</v>
      </c>
    </row>
    <row r="101" spans="1:13" x14ac:dyDescent="0.25">
      <c r="A101" t="s">
        <v>395</v>
      </c>
      <c r="B101" t="s">
        <v>110</v>
      </c>
      <c r="G101" t="str">
        <f t="shared" si="5"/>
        <v>Improvisation:ertijeil</v>
      </c>
      <c r="J101" t="s">
        <v>548</v>
      </c>
      <c r="L101">
        <v>18</v>
      </c>
      <c r="M101" t="s">
        <v>713</v>
      </c>
    </row>
    <row r="102" spans="1:13" x14ac:dyDescent="0.25">
      <c r="A102" t="s">
        <v>503</v>
      </c>
      <c r="B102" t="s">
        <v>504</v>
      </c>
      <c r="G102" t="str">
        <f t="shared" si="5"/>
        <v>coffee:ahweh</v>
      </c>
      <c r="J102" t="s">
        <v>592</v>
      </c>
      <c r="L102">
        <v>19</v>
      </c>
      <c r="M102" t="s">
        <v>714</v>
      </c>
    </row>
    <row r="103" spans="1:13" x14ac:dyDescent="0.25">
      <c r="A103" t="s">
        <v>109</v>
      </c>
      <c r="B103" t="s">
        <v>114</v>
      </c>
      <c r="G103" t="str">
        <f t="shared" si="5"/>
        <v>I drink coffee everyday:beshrab ahweh kel yom</v>
      </c>
      <c r="J103" t="s">
        <v>521</v>
      </c>
      <c r="L103">
        <v>19</v>
      </c>
      <c r="M103" t="s">
        <v>715</v>
      </c>
    </row>
    <row r="104" spans="1:13" x14ac:dyDescent="0.25">
      <c r="A104" t="s">
        <v>505</v>
      </c>
      <c r="B104" t="s">
        <v>506</v>
      </c>
      <c r="G104" t="str">
        <f t="shared" si="5"/>
        <v>kids:wleid</v>
      </c>
      <c r="J104" t="s">
        <v>600</v>
      </c>
      <c r="L104">
        <v>20</v>
      </c>
      <c r="M104" t="s">
        <v>716</v>
      </c>
    </row>
    <row r="105" spans="1:13" x14ac:dyDescent="0.25">
      <c r="A105" t="s">
        <v>507</v>
      </c>
      <c r="B105" t="s">
        <v>67</v>
      </c>
      <c r="G105" t="str">
        <f t="shared" si="5"/>
        <v>kiss :bawseh</v>
      </c>
      <c r="J105" t="s">
        <v>516</v>
      </c>
      <c r="L105">
        <v>21</v>
      </c>
    </row>
    <row r="106" spans="1:13" x14ac:dyDescent="0.25">
      <c r="A106" t="s">
        <v>1</v>
      </c>
      <c r="B106" t="s">
        <v>66</v>
      </c>
      <c r="G106" t="str">
        <f t="shared" si="5"/>
        <v>Heart :aleb</v>
      </c>
      <c r="J106" t="s">
        <v>553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35</v>
      </c>
      <c r="B1">
        <v>1</v>
      </c>
      <c r="F1">
        <v>1</v>
      </c>
    </row>
    <row r="2" spans="1:6" x14ac:dyDescent="0.25">
      <c r="A2" t="s">
        <v>721</v>
      </c>
      <c r="B2">
        <v>1</v>
      </c>
      <c r="F2">
        <v>1</v>
      </c>
    </row>
    <row r="3" spans="1:6" x14ac:dyDescent="0.25">
      <c r="A3" t="s">
        <v>465</v>
      </c>
      <c r="B3">
        <v>1</v>
      </c>
      <c r="F3">
        <v>1</v>
      </c>
    </row>
    <row r="4" spans="1:6" x14ac:dyDescent="0.25">
      <c r="A4" t="s">
        <v>734</v>
      </c>
      <c r="B4">
        <v>1</v>
      </c>
      <c r="F4">
        <v>1</v>
      </c>
    </row>
    <row r="5" spans="1:6" x14ac:dyDescent="0.25">
      <c r="A5" t="s">
        <v>78</v>
      </c>
      <c r="B5">
        <v>2</v>
      </c>
      <c r="F5">
        <v>1</v>
      </c>
    </row>
    <row r="6" spans="1:6" x14ac:dyDescent="0.25">
      <c r="A6" t="s">
        <v>41</v>
      </c>
      <c r="B6">
        <v>2</v>
      </c>
      <c r="F6">
        <v>1</v>
      </c>
    </row>
    <row r="7" spans="1:6" x14ac:dyDescent="0.25">
      <c r="A7" t="s">
        <v>725</v>
      </c>
      <c r="B7">
        <v>2</v>
      </c>
      <c r="F7">
        <v>1</v>
      </c>
    </row>
    <row r="8" spans="1:6" x14ac:dyDescent="0.25">
      <c r="A8" t="s">
        <v>473</v>
      </c>
      <c r="B8">
        <v>2</v>
      </c>
      <c r="F8">
        <v>1</v>
      </c>
    </row>
    <row r="9" spans="1:6" x14ac:dyDescent="0.25">
      <c r="A9" t="s">
        <v>494</v>
      </c>
      <c r="B9">
        <v>3</v>
      </c>
      <c r="F9">
        <v>1</v>
      </c>
    </row>
    <row r="10" spans="1:6" x14ac:dyDescent="0.25">
      <c r="A10" t="s">
        <v>87</v>
      </c>
      <c r="B10">
        <v>3</v>
      </c>
      <c r="F10">
        <v>1</v>
      </c>
    </row>
    <row r="11" spans="1:6" x14ac:dyDescent="0.25">
      <c r="A11" t="s">
        <v>100</v>
      </c>
      <c r="B11">
        <v>3</v>
      </c>
      <c r="F11">
        <v>1</v>
      </c>
    </row>
    <row r="12" spans="1:6" x14ac:dyDescent="0.25">
      <c r="A12" t="s">
        <v>729</v>
      </c>
      <c r="B12">
        <v>3</v>
      </c>
      <c r="F12">
        <v>1</v>
      </c>
    </row>
    <row r="13" spans="1:6" x14ac:dyDescent="0.25">
      <c r="A13" t="s">
        <v>736</v>
      </c>
      <c r="B13">
        <v>3</v>
      </c>
      <c r="F13">
        <v>1</v>
      </c>
    </row>
    <row r="14" spans="1:6" x14ac:dyDescent="0.25">
      <c r="A14" t="s">
        <v>727</v>
      </c>
      <c r="B14">
        <v>1</v>
      </c>
      <c r="F14">
        <v>2</v>
      </c>
    </row>
    <row r="15" spans="1:6" x14ac:dyDescent="0.25">
      <c r="A15" t="s">
        <v>732</v>
      </c>
      <c r="B15">
        <v>1</v>
      </c>
      <c r="F15">
        <v>2</v>
      </c>
    </row>
    <row r="16" spans="1:6" x14ac:dyDescent="0.25">
      <c r="A16" t="s">
        <v>113</v>
      </c>
      <c r="B16">
        <v>1</v>
      </c>
      <c r="F16">
        <v>2</v>
      </c>
    </row>
    <row r="17" spans="1:6" x14ac:dyDescent="0.25">
      <c r="A17" t="s">
        <v>97</v>
      </c>
      <c r="B17">
        <v>1</v>
      </c>
      <c r="F17">
        <v>2</v>
      </c>
    </row>
    <row r="18" spans="1:6" x14ac:dyDescent="0.25">
      <c r="A18" t="s">
        <v>500</v>
      </c>
      <c r="B18">
        <v>2</v>
      </c>
      <c r="F18">
        <v>2</v>
      </c>
    </row>
    <row r="19" spans="1:6" x14ac:dyDescent="0.25">
      <c r="A19" t="s">
        <v>42</v>
      </c>
      <c r="B19">
        <v>2</v>
      </c>
      <c r="F19">
        <v>2</v>
      </c>
    </row>
    <row r="20" spans="1:6" x14ac:dyDescent="0.25">
      <c r="A20" t="s">
        <v>724</v>
      </c>
      <c r="B20">
        <v>2</v>
      </c>
      <c r="F20">
        <v>2</v>
      </c>
    </row>
    <row r="21" spans="1:6" x14ac:dyDescent="0.25">
      <c r="A21" t="s">
        <v>93</v>
      </c>
      <c r="B21">
        <v>2</v>
      </c>
      <c r="F21">
        <v>2</v>
      </c>
    </row>
    <row r="22" spans="1:6" x14ac:dyDescent="0.25">
      <c r="A22" t="s">
        <v>38</v>
      </c>
      <c r="B22">
        <v>3</v>
      </c>
      <c r="F22">
        <v>2</v>
      </c>
    </row>
    <row r="23" spans="1:6" x14ac:dyDescent="0.25">
      <c r="A23" t="s">
        <v>719</v>
      </c>
      <c r="B23">
        <v>3</v>
      </c>
      <c r="F23">
        <v>2</v>
      </c>
    </row>
    <row r="24" spans="1:6" x14ac:dyDescent="0.25">
      <c r="A24" t="s">
        <v>726</v>
      </c>
      <c r="B24">
        <v>3</v>
      </c>
      <c r="F24">
        <v>2</v>
      </c>
    </row>
    <row r="25" spans="1:6" x14ac:dyDescent="0.25">
      <c r="A25" t="s">
        <v>728</v>
      </c>
      <c r="B25">
        <v>3</v>
      </c>
      <c r="F25">
        <v>2</v>
      </c>
    </row>
    <row r="26" spans="1:6" x14ac:dyDescent="0.25">
      <c r="A26" t="s">
        <v>730</v>
      </c>
      <c r="B26">
        <v>1</v>
      </c>
      <c r="F26">
        <v>3</v>
      </c>
    </row>
    <row r="27" spans="1:6" x14ac:dyDescent="0.25">
      <c r="A27" t="s">
        <v>718</v>
      </c>
      <c r="B27">
        <v>1</v>
      </c>
      <c r="F27">
        <v>3</v>
      </c>
    </row>
    <row r="28" spans="1:6" x14ac:dyDescent="0.25">
      <c r="A28" t="s">
        <v>723</v>
      </c>
      <c r="B28">
        <v>1</v>
      </c>
      <c r="F28">
        <v>3</v>
      </c>
    </row>
    <row r="29" spans="1:6" x14ac:dyDescent="0.25">
      <c r="A29" t="s">
        <v>720</v>
      </c>
      <c r="B29">
        <v>1</v>
      </c>
      <c r="F29">
        <v>3</v>
      </c>
    </row>
    <row r="30" spans="1:6" x14ac:dyDescent="0.25">
      <c r="A30" t="s">
        <v>722</v>
      </c>
      <c r="B30">
        <v>1</v>
      </c>
      <c r="F30">
        <v>3</v>
      </c>
    </row>
    <row r="31" spans="1:6" x14ac:dyDescent="0.25">
      <c r="A31" t="s">
        <v>81</v>
      </c>
      <c r="B31">
        <v>2</v>
      </c>
      <c r="F31">
        <v>3</v>
      </c>
    </row>
    <row r="32" spans="1:6" x14ac:dyDescent="0.25">
      <c r="A32" t="s">
        <v>34</v>
      </c>
      <c r="B32">
        <v>2</v>
      </c>
      <c r="F32">
        <v>3</v>
      </c>
    </row>
    <row r="33" spans="1:6" x14ac:dyDescent="0.25">
      <c r="A33" t="s">
        <v>735</v>
      </c>
      <c r="B33">
        <v>2</v>
      </c>
      <c r="F33">
        <v>3</v>
      </c>
    </row>
    <row r="34" spans="1:6" x14ac:dyDescent="0.25">
      <c r="A34" t="s">
        <v>733</v>
      </c>
      <c r="B34">
        <v>2</v>
      </c>
      <c r="F34">
        <v>3</v>
      </c>
    </row>
    <row r="35" spans="1:6" x14ac:dyDescent="0.25">
      <c r="A35" t="s">
        <v>731</v>
      </c>
      <c r="B35">
        <v>3</v>
      </c>
      <c r="F35">
        <v>3</v>
      </c>
    </row>
    <row r="36" spans="1:6" x14ac:dyDescent="0.25">
      <c r="A36" t="s">
        <v>40</v>
      </c>
      <c r="B36">
        <v>3</v>
      </c>
      <c r="F36">
        <v>3</v>
      </c>
    </row>
    <row r="37" spans="1:6" x14ac:dyDescent="0.25">
      <c r="A37" t="s">
        <v>58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2016-01-14T00:09:00Z</dcterms:modified>
</cp:coreProperties>
</file>