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book\Book Files\"/>
    </mc:Choice>
  </mc:AlternateContent>
  <bookViews>
    <workbookView xWindow="240" yWindow="105" windowWidth="7815" windowHeight="9285"/>
  </bookViews>
  <sheets>
    <sheet name="Sheet1" sheetId="1" r:id="rId1"/>
    <sheet name="Sheet2" sheetId="2" r:id="rId2"/>
    <sheet name="Sheet3" sheetId="3" r:id="rId3"/>
    <sheet name="Sheet4" sheetId="4" r:id="rId4"/>
    <sheet name="crosswords" sheetId="5" r:id="rId5"/>
    <sheet name="wordsearch" sheetId="6" r:id="rId6"/>
  </sheets>
  <calcPr calcId="152511"/>
</workbook>
</file>

<file path=xl/calcChain.xml><?xml version="1.0" encoding="utf-8"?>
<calcChain xmlns="http://schemas.openxmlformats.org/spreadsheetml/2006/main">
  <c r="G52" i="5" l="1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  <c r="F11" i="1"/>
</calcChain>
</file>

<file path=xl/sharedStrings.xml><?xml version="1.0" encoding="utf-8"?>
<sst xmlns="http://schemas.openxmlformats.org/spreadsheetml/2006/main" count="4057" uniqueCount="1898">
  <si>
    <t xml:space="preserve">Hello how are you </t>
  </si>
  <si>
    <t xml:space="preserve"> Marhaba kifak/kifik?</t>
  </si>
  <si>
    <t xml:space="preserve">My name is maria I come from mexico to study arabic </t>
  </si>
  <si>
    <t xml:space="preserve"> esmeh maria jeyeh mnel mexic edrous arabeh</t>
  </si>
  <si>
    <t xml:space="preserve">I work as a translator </t>
  </si>
  <si>
    <t xml:space="preserve"> beshteghil terjmein</t>
  </si>
  <si>
    <t>Welcome to lebanon</t>
  </si>
  <si>
    <t xml:space="preserve"> ahla w sahla b lebnen</t>
  </si>
  <si>
    <t xml:space="preserve">Excuse me my baggage is late </t>
  </si>
  <si>
    <t xml:space="preserve"> afwan, shenateh/ghradeh taakharit</t>
  </si>
  <si>
    <t xml:space="preserve">Excuse me I lost my baggage </t>
  </si>
  <si>
    <t xml:space="preserve"> afwan, dayyaet shenateh/ghradeh</t>
  </si>
  <si>
    <t xml:space="preserve">Excuse me I want to exchange money </t>
  </si>
  <si>
    <t xml:space="preserve"> afwan bade sarrif masareh</t>
  </si>
  <si>
    <t xml:space="preserve">Hello I want to go to ashrafieh </t>
  </si>
  <si>
    <t xml:space="preserve"> marhaba, baddeh rouh aal achrafieh</t>
  </si>
  <si>
    <t xml:space="preserve">How much do you want </t>
  </si>
  <si>
    <t xml:space="preserve"> adde betrid?</t>
  </si>
  <si>
    <t xml:space="preserve">Hello I want to reserve a room </t>
  </si>
  <si>
    <t xml:space="preserve"> marhaba baddeh ehjouz ouda</t>
  </si>
  <si>
    <t xml:space="preserve">I want it for one week </t>
  </si>
  <si>
    <t xml:space="preserve"> baddeh yeha la jemaa</t>
  </si>
  <si>
    <t xml:space="preserve">How much should I pay </t>
  </si>
  <si>
    <t xml:space="preserve"> addeh lezim edfaa</t>
  </si>
  <si>
    <t xml:space="preserve">I want the cheaper room </t>
  </si>
  <si>
    <t xml:space="preserve"> baddeh arkhas ouda</t>
  </si>
  <si>
    <t xml:space="preserve">What time is the breakfast </t>
  </si>
  <si>
    <t xml:space="preserve"> ayya seaa el terwiaa</t>
  </si>
  <si>
    <t xml:space="preserve">Does the bus pass by here </t>
  </si>
  <si>
    <t xml:space="preserve"> byotaa el bus mn hon</t>
  </si>
  <si>
    <t xml:space="preserve">Last question, is there a map </t>
  </si>
  <si>
    <t xml:space="preserve"> ekhir soual, fi kharita</t>
  </si>
  <si>
    <t xml:space="preserve">Valentine’s Day </t>
  </si>
  <si>
    <t xml:space="preserve"> eed el hobb</t>
  </si>
  <si>
    <t xml:space="preserve">Red </t>
  </si>
  <si>
    <t xml:space="preserve"> ahmar/hamra</t>
  </si>
  <si>
    <t xml:space="preserve">Red flower </t>
  </si>
  <si>
    <t xml:space="preserve">Red balloon </t>
  </si>
  <si>
    <t xml:space="preserve"> balon ahmar</t>
  </si>
  <si>
    <t xml:space="preserve">Heart </t>
  </si>
  <si>
    <t xml:space="preserve"> aleb</t>
  </si>
  <si>
    <t xml:space="preserve">I love you </t>
  </si>
  <si>
    <t xml:space="preserve"> bhebbak/bhebbik</t>
  </si>
  <si>
    <t xml:space="preserve">I miss you </t>
  </si>
  <si>
    <t xml:space="preserve"> shtaatellak/shtaatellik</t>
  </si>
  <si>
    <t xml:space="preserve">A kiss </t>
  </si>
  <si>
    <t xml:space="preserve"> bawseh</t>
  </si>
  <si>
    <t xml:space="preserve">Good evening </t>
  </si>
  <si>
    <t xml:space="preserve"> Masa el Kheir</t>
  </si>
  <si>
    <t xml:space="preserve">Zero </t>
  </si>
  <si>
    <t xml:space="preserve"> sefer</t>
  </si>
  <si>
    <t xml:space="preserve">One </t>
  </si>
  <si>
    <t xml:space="preserve"> wahad</t>
  </si>
  <si>
    <t xml:space="preserve">Two </t>
  </si>
  <si>
    <t xml:space="preserve"> tnen</t>
  </si>
  <si>
    <t xml:space="preserve">Three </t>
  </si>
  <si>
    <t xml:space="preserve"> tleteh</t>
  </si>
  <si>
    <t xml:space="preserve">Four </t>
  </si>
  <si>
    <t xml:space="preserve"> arbaa</t>
  </si>
  <si>
    <t xml:space="preserve">Five </t>
  </si>
  <si>
    <t xml:space="preserve"> khamseh</t>
  </si>
  <si>
    <t xml:space="preserve">Six </t>
  </si>
  <si>
    <t xml:space="preserve"> setteh</t>
  </si>
  <si>
    <t xml:space="preserve">Seven </t>
  </si>
  <si>
    <t xml:space="preserve"> sabaa</t>
  </si>
  <si>
    <t xml:space="preserve">Eight </t>
  </si>
  <si>
    <t xml:space="preserve"> tmeneh</t>
  </si>
  <si>
    <t xml:space="preserve">Nine </t>
  </si>
  <si>
    <t xml:space="preserve"> tesaa</t>
  </si>
  <si>
    <t xml:space="preserve">Ten </t>
  </si>
  <si>
    <t xml:space="preserve"> aashra</t>
  </si>
  <si>
    <t xml:space="preserve"> meetein w khamseen</t>
  </si>
  <si>
    <t xml:space="preserve"> khams miyyeh</t>
  </si>
  <si>
    <t xml:space="preserve"> alf</t>
  </si>
  <si>
    <t xml:space="preserve"> khams-t-aleif</t>
  </si>
  <si>
    <t xml:space="preserve"> aasher-t-aleif</t>
  </si>
  <si>
    <t>ishreen alef</t>
  </si>
  <si>
    <t>khamseen alf</t>
  </si>
  <si>
    <t>meet alf</t>
  </si>
  <si>
    <t xml:space="preserve">Where am I? </t>
  </si>
  <si>
    <t xml:space="preserve"> ana wein?</t>
  </si>
  <si>
    <t xml:space="preserve">What’s the name of the street </t>
  </si>
  <si>
    <t xml:space="preserve"> shou esm el sherii</t>
  </si>
  <si>
    <t xml:space="preserve">How to go to Hamra </t>
  </si>
  <si>
    <t xml:space="preserve"> Kif brouh aal Hamra</t>
  </si>
  <si>
    <t xml:space="preserve">Which bus should I take? </t>
  </si>
  <si>
    <t xml:space="preserve"> Ayya bus bekhoud?</t>
  </si>
  <si>
    <t xml:space="preserve">Is there a restaurant nearby? </t>
  </si>
  <si>
    <t xml:space="preserve"> Fi mataam arib men hon?</t>
  </si>
  <si>
    <t xml:space="preserve">Road </t>
  </si>
  <si>
    <t xml:space="preserve"> tarii</t>
  </si>
  <si>
    <t xml:space="preserve">Square </t>
  </si>
  <si>
    <t xml:space="preserve"> seiha</t>
  </si>
  <si>
    <t xml:space="preserve">Left </t>
  </si>
  <si>
    <t xml:space="preserve"> shmeil</t>
  </si>
  <si>
    <t xml:space="preserve">Right </t>
  </si>
  <si>
    <t xml:space="preserve"> yameen</t>
  </si>
  <si>
    <t xml:space="preserve">Straight </t>
  </si>
  <si>
    <t xml:space="preserve"> deghreh</t>
  </si>
  <si>
    <t xml:space="preserve">I want </t>
  </si>
  <si>
    <t xml:space="preserve"> Ana baddeh</t>
  </si>
  <si>
    <t xml:space="preserve">I want to eat </t>
  </si>
  <si>
    <t xml:space="preserve"> baddeh ekol</t>
  </si>
  <si>
    <t xml:space="preserve">I want to drink </t>
  </si>
  <si>
    <t xml:space="preserve"> baddeh eshrab</t>
  </si>
  <si>
    <t xml:space="preserve">I want to sleep </t>
  </si>
  <si>
    <t xml:space="preserve"> baddeh nem</t>
  </si>
  <si>
    <t xml:space="preserve">I want to work </t>
  </si>
  <si>
    <t xml:space="preserve"> baddeh eshteghil</t>
  </si>
  <si>
    <t xml:space="preserve">I want to study </t>
  </si>
  <si>
    <t xml:space="preserve"> baddeh edrous</t>
  </si>
  <si>
    <t xml:space="preserve">I want money </t>
  </si>
  <si>
    <t xml:space="preserve"> baddeh masareh</t>
  </si>
  <si>
    <t xml:space="preserve">I want to dance </t>
  </si>
  <si>
    <t xml:space="preserve"> baddeh oroos</t>
  </si>
  <si>
    <t xml:space="preserve">What do you want? </t>
  </si>
  <si>
    <t xml:space="preserve">Do you want something? </t>
  </si>
  <si>
    <t xml:space="preserve"> baddak shi? Baddik shi? Badkoun shi?</t>
  </si>
  <si>
    <t xml:space="preserve">Today </t>
  </si>
  <si>
    <t xml:space="preserve"> lyom</t>
  </si>
  <si>
    <t xml:space="preserve">Today is Monday </t>
  </si>
  <si>
    <t xml:space="preserve"> lyom el tanein</t>
  </si>
  <si>
    <t xml:space="preserve">Autumn </t>
  </si>
  <si>
    <t xml:space="preserve"> kharif</t>
  </si>
  <si>
    <t xml:space="preserve">Winter </t>
  </si>
  <si>
    <t xml:space="preserve"> el shete</t>
  </si>
  <si>
    <t xml:space="preserve">Spring </t>
  </si>
  <si>
    <t xml:space="preserve"> rabii</t>
  </si>
  <si>
    <t xml:space="preserve">Summer </t>
  </si>
  <si>
    <t xml:space="preserve"> seif</t>
  </si>
  <si>
    <t xml:space="preserve">We are now in the spring </t>
  </si>
  <si>
    <t xml:space="preserve"> nehna halaa b fasl el rabii</t>
  </si>
  <si>
    <t xml:space="preserve">It’s sunny but it’s not very hot </t>
  </si>
  <si>
    <t xml:space="preserve"> fi shames w mesh ktir shob</t>
  </si>
  <si>
    <t xml:space="preserve">In the summer we go to the beach </t>
  </si>
  <si>
    <t xml:space="preserve"> bl seif mn rouh aal baher</t>
  </si>
  <si>
    <t xml:space="preserve"> el shames aam betghib</t>
  </si>
  <si>
    <t xml:space="preserve">Morning </t>
  </si>
  <si>
    <t xml:space="preserve"> sobeh</t>
  </si>
  <si>
    <t xml:space="preserve">Noon </t>
  </si>
  <si>
    <t xml:space="preserve"> doher</t>
  </si>
  <si>
    <t xml:space="preserve">Night </t>
  </si>
  <si>
    <t xml:space="preserve"> leil</t>
  </si>
  <si>
    <t xml:space="preserve">Home </t>
  </si>
  <si>
    <t xml:space="preserve"> beit</t>
  </si>
  <si>
    <t xml:space="preserve">Apartement </t>
  </si>
  <si>
    <t xml:space="preserve"> cheaa</t>
  </si>
  <si>
    <t xml:space="preserve">An apartment for rent </t>
  </si>
  <si>
    <t xml:space="preserve"> sheaa lal ajar</t>
  </si>
  <si>
    <t xml:space="preserve">I’m looking for an apartment to rent </t>
  </si>
  <si>
    <t xml:space="preserve"> ana aam fattish ala sheaa lala ajar</t>
  </si>
  <si>
    <t xml:space="preserve">Where can I find an apartment to rent </t>
  </si>
  <si>
    <t xml:space="preserve"> wein fineh le’eh sheaa lal ajar</t>
  </si>
  <si>
    <t xml:space="preserve">How much should I pay per month </t>
  </si>
  <si>
    <t xml:space="preserve"> addeh lezim edfaa bel shaher?</t>
  </si>
  <si>
    <t xml:space="preserve">Are the electricity and water bills included? </t>
  </si>
  <si>
    <t xml:space="preserve"> l kahraba wel may domn l ajar?</t>
  </si>
  <si>
    <t xml:space="preserve">Is the bathroom common? </t>
  </si>
  <si>
    <t xml:space="preserve"> l hemmeim moushtarak?</t>
  </si>
  <si>
    <t xml:space="preserve">I’m looking for a small room with one bed </t>
  </si>
  <si>
    <t xml:space="preserve"> ana aam fattish aala ouda zghireh maa takhet wahad</t>
  </si>
  <si>
    <t xml:space="preserve">Good morning </t>
  </si>
  <si>
    <t xml:space="preserve"> sabah el kheir / sabah el nour</t>
  </si>
  <si>
    <t xml:space="preserve"> masa el kheir / masa el nour</t>
  </si>
  <si>
    <t xml:space="preserve">How are you? </t>
  </si>
  <si>
    <t xml:space="preserve"> kifak? Kifik?</t>
  </si>
  <si>
    <t xml:space="preserve">What’s new </t>
  </si>
  <si>
    <t xml:space="preserve"> shou fi jdid?</t>
  </si>
  <si>
    <t xml:space="preserve">What happened? </t>
  </si>
  <si>
    <t xml:space="preserve"> chou sar?</t>
  </si>
  <si>
    <t xml:space="preserve">What’s happening? </t>
  </si>
  <si>
    <t xml:space="preserve"> chou aam b sir? Chou fi?</t>
  </si>
  <si>
    <t xml:space="preserve">How was your day? </t>
  </si>
  <si>
    <t xml:space="preserve"> kif ken nharak? Kif ken nharik? Kif ken nharkoun?</t>
  </si>
  <si>
    <t xml:space="preserve">It was nice seeing you </t>
  </si>
  <si>
    <t xml:space="preserve"> mbasatet sheftak / mbasatet sheftik / mbasatet sheftkoun</t>
  </si>
  <si>
    <t xml:space="preserve">What are you doing tomorrow </t>
  </si>
  <si>
    <t xml:space="preserve"> shou aamil bukra? / aamleh / aamleen</t>
  </si>
  <si>
    <t xml:space="preserve">I will see you soon </t>
  </si>
  <si>
    <t xml:space="preserve"> bshoufak ariban / bshoufik / bshoufkoun</t>
  </si>
  <si>
    <t xml:space="preserve">I will call you </t>
  </si>
  <si>
    <t xml:space="preserve"> behkik / behkikeh / behkikoun</t>
  </si>
  <si>
    <t xml:space="preserve"> shou baddak?  /  shou baddik?</t>
  </si>
  <si>
    <t>wa</t>
  </si>
  <si>
    <t>Me and my friend are studying</t>
  </si>
  <si>
    <t>ana w rfi'te aam nedrous</t>
  </si>
  <si>
    <t>fa</t>
  </si>
  <si>
    <t>bas</t>
  </si>
  <si>
    <t>I would like to come but I'm traveling</t>
  </si>
  <si>
    <t>aabeleh ejeh bas msefra/msefar</t>
  </si>
  <si>
    <t>aala</t>
  </si>
  <si>
    <t>hiyeh rayha aal nedeh</t>
  </si>
  <si>
    <t>ta</t>
  </si>
  <si>
    <t>kol el aarous baadein el chocolat</t>
  </si>
  <si>
    <t>fa akhiran tafa'na aala el lon el ahmar</t>
  </si>
  <si>
    <t>I will call you when I get back</t>
  </si>
  <si>
    <t>behkik lamma erjaa</t>
  </si>
  <si>
    <t>I buy milk from the supermarket</t>
  </si>
  <si>
    <t>ana bechtereh halib men l supermarket</t>
  </si>
  <si>
    <t>ktebeh aala el tawleh</t>
  </si>
  <si>
    <t>I'm talking about last night</t>
  </si>
  <si>
    <t>aam behke aan mberi7</t>
  </si>
  <si>
    <t>howeh 'al enno jeyeh</t>
  </si>
  <si>
    <t>howeh 'al enna jeyeh</t>
  </si>
  <si>
    <t>I am here because I lost my baggage</t>
  </si>
  <si>
    <t>ana hon la'enno dayyaet ghradeh/shenateh</t>
  </si>
  <si>
    <t>amis</t>
  </si>
  <si>
    <t>scarbineh</t>
  </si>
  <si>
    <t>sobbat</t>
  </si>
  <si>
    <t>Dress</t>
  </si>
  <si>
    <t>fostan</t>
  </si>
  <si>
    <t>aawayneit</t>
  </si>
  <si>
    <t>fik tseedneh/fikeh tseedineh?</t>
  </si>
  <si>
    <t>fi gheir 'iyeis</t>
  </si>
  <si>
    <t>I need a smaller one</t>
  </si>
  <si>
    <t>badde 'iyeis asghar</t>
  </si>
  <si>
    <t>I need a larger one</t>
  </si>
  <si>
    <t>badde 'iyeis akbar</t>
  </si>
  <si>
    <t>In how many colors does it come</t>
  </si>
  <si>
    <t>kam lon fi menna</t>
  </si>
  <si>
    <t>addeh ha'o/ha'a</t>
  </si>
  <si>
    <t>fi/aamlin sale?</t>
  </si>
  <si>
    <t>helwe/helo aalaye?</t>
  </si>
  <si>
    <t>fik trakhesleh/fike trakhsileh/fik taamelleh seiir/fikeh taamlileh seiir?</t>
  </si>
  <si>
    <t>Family</t>
  </si>
  <si>
    <t>ayyleh</t>
  </si>
  <si>
    <t>khaleh</t>
  </si>
  <si>
    <t>aammeh</t>
  </si>
  <si>
    <t>eben khaleh/khelteh/aammeh/amteh</t>
  </si>
  <si>
    <t>bent khaleh/khelteh/aammeh/amteh</t>
  </si>
  <si>
    <t>bayyeh</t>
  </si>
  <si>
    <t>emmeh</t>
  </si>
  <si>
    <t>khayyeh</t>
  </si>
  <si>
    <t>ekhteh</t>
  </si>
  <si>
    <t>setteh</t>
  </si>
  <si>
    <t>jeddeh</t>
  </si>
  <si>
    <t>aammteh</t>
  </si>
  <si>
    <t>khalteh</t>
  </si>
  <si>
    <t>jawzeh</t>
  </si>
  <si>
    <t>ebneh</t>
  </si>
  <si>
    <t>benteh</t>
  </si>
  <si>
    <t>hameiteh/mart aammeh</t>
  </si>
  <si>
    <t>marteh</t>
  </si>
  <si>
    <t>I</t>
  </si>
  <si>
    <t>ana</t>
  </si>
  <si>
    <t>You</t>
  </si>
  <si>
    <t>enta/enteh</t>
  </si>
  <si>
    <t>howeh</t>
  </si>
  <si>
    <t>hiyeh</t>
  </si>
  <si>
    <t>nehna</t>
  </si>
  <si>
    <t>ento</t>
  </si>
  <si>
    <t>henneh</t>
  </si>
  <si>
    <t>I'm going</t>
  </si>
  <si>
    <t>ana rayha</t>
  </si>
  <si>
    <t>enta rayih/ente rayha</t>
  </si>
  <si>
    <t>howeh rayih</t>
  </si>
  <si>
    <t>hiyyeh rayha</t>
  </si>
  <si>
    <t>nehna rayhin</t>
  </si>
  <si>
    <t>ento rayhin</t>
  </si>
  <si>
    <t>henneh rayhin</t>
  </si>
  <si>
    <t>I went</t>
  </si>
  <si>
    <t>ana rehet</t>
  </si>
  <si>
    <t>enta rehet/ente rehte</t>
  </si>
  <si>
    <t>howe rah</t>
  </si>
  <si>
    <t>hiyeh rahit</t>
  </si>
  <si>
    <t>nehna rehna</t>
  </si>
  <si>
    <t>ento rehto</t>
  </si>
  <si>
    <t>henneh raho</t>
  </si>
  <si>
    <t>I will go</t>
  </si>
  <si>
    <t>ana rah rouh</t>
  </si>
  <si>
    <t>enta rah trouh/ente rah trouhe</t>
  </si>
  <si>
    <t>howeh rah yrouh</t>
  </si>
  <si>
    <t>hiyeh rah trouh</t>
  </si>
  <si>
    <t>nehnra rah nrouh</t>
  </si>
  <si>
    <t>ento rah trouho</t>
  </si>
  <si>
    <t>henneh rah yrouho</t>
  </si>
  <si>
    <t>Monday</t>
  </si>
  <si>
    <t>tanen</t>
  </si>
  <si>
    <t>taleta</t>
  </si>
  <si>
    <t>orbaa</t>
  </si>
  <si>
    <t>khamis</t>
  </si>
  <si>
    <t>jemaa</t>
  </si>
  <si>
    <t>sabet</t>
  </si>
  <si>
    <t>ahad</t>
  </si>
  <si>
    <t>Tuesday</t>
  </si>
  <si>
    <t>Thursday</t>
  </si>
  <si>
    <t>Friday</t>
  </si>
  <si>
    <t>Saturday</t>
  </si>
  <si>
    <t>Sunday</t>
  </si>
  <si>
    <t>shou esmak/esmik</t>
  </si>
  <si>
    <t>shou bteshteghil/bteshteghle</t>
  </si>
  <si>
    <t>shou btedrous/btedrseh</t>
  </si>
  <si>
    <t>shou daraset/darasteh</t>
  </si>
  <si>
    <t>min wein enta/ente</t>
  </si>
  <si>
    <t>wein eeiid/eeideh/sekin/sekneh/aayish/aaysheh</t>
  </si>
  <si>
    <t>shou btaamil/btaamleh baaed sheghlak/sheghlik</t>
  </si>
  <si>
    <t>btaamil/btaamleh sport</t>
  </si>
  <si>
    <t>shou raamak/raamik</t>
  </si>
  <si>
    <t>rah ehkik/ehkike barke mnaamil shi, shi nhar</t>
  </si>
  <si>
    <t>I'll call you maybe we'll go out someday</t>
  </si>
  <si>
    <t>I'm eating</t>
  </si>
  <si>
    <t>I eat</t>
  </si>
  <si>
    <t>You eat</t>
  </si>
  <si>
    <t>ana bekoul</t>
  </si>
  <si>
    <t>enta btekoul/ente btekleh</t>
  </si>
  <si>
    <t>howeh byekoul</t>
  </si>
  <si>
    <t>hiyeh btekoul</t>
  </si>
  <si>
    <t>nehna mnekoul</t>
  </si>
  <si>
    <t>ento bteklo</t>
  </si>
  <si>
    <t>henneh byeklo</t>
  </si>
  <si>
    <t>ana aam bekoul</t>
  </si>
  <si>
    <t>enta aam tekoul/ente aam tekleh</t>
  </si>
  <si>
    <t>howeh aam yekoul</t>
  </si>
  <si>
    <t>hiyyeh aam tekoul</t>
  </si>
  <si>
    <t>ente aam teklo</t>
  </si>
  <si>
    <t>nehna aam nekoul</t>
  </si>
  <si>
    <t>henneh aam yeklo</t>
  </si>
  <si>
    <t>I ate</t>
  </si>
  <si>
    <t>ana akalet</t>
  </si>
  <si>
    <t>enta akalet/ente akalteh</t>
  </si>
  <si>
    <t>howeh akal</t>
  </si>
  <si>
    <t>hiyeh akalit</t>
  </si>
  <si>
    <t>nehna akalna</t>
  </si>
  <si>
    <t>ento akalto</t>
  </si>
  <si>
    <t>henneh akalo</t>
  </si>
  <si>
    <t>I will eat</t>
  </si>
  <si>
    <t>ana rah ekoul</t>
  </si>
  <si>
    <t>enta rah tekoul/ente rah tekleh</t>
  </si>
  <si>
    <t>howeh rah yekoul</t>
  </si>
  <si>
    <t>hiyeh rah tekoul</t>
  </si>
  <si>
    <t>nehna rah nekoul</t>
  </si>
  <si>
    <t>ento rah teklo</t>
  </si>
  <si>
    <t>henneh rah yeklo</t>
  </si>
  <si>
    <t>mileid majid</t>
  </si>
  <si>
    <t>aam saiid</t>
  </si>
  <si>
    <t>I have</t>
  </si>
  <si>
    <t>ana aandi</t>
  </si>
  <si>
    <t>howe aando</t>
  </si>
  <si>
    <t>hiyeh aanda</t>
  </si>
  <si>
    <t>nehna aanna</t>
  </si>
  <si>
    <t>ento aandkoun</t>
  </si>
  <si>
    <t>henne andoun</t>
  </si>
  <si>
    <t>I had</t>
  </si>
  <si>
    <t>ana ken aande</t>
  </si>
  <si>
    <t>enta ken aandak/ente ken aandik</t>
  </si>
  <si>
    <t>howeh ken aando</t>
  </si>
  <si>
    <t>hiyeh ken aanda</t>
  </si>
  <si>
    <t>nehna ken aanna</t>
  </si>
  <si>
    <t>ento ken aandkoun</t>
  </si>
  <si>
    <t>henne ken aandoun</t>
  </si>
  <si>
    <t>enta aandak/ente aandik</t>
  </si>
  <si>
    <t>I will have</t>
  </si>
  <si>
    <t>ana rah ysir aande</t>
  </si>
  <si>
    <t>enta rah ysir aandak/ente rah ysir aandik</t>
  </si>
  <si>
    <t>howe rah ysir aando</t>
  </si>
  <si>
    <t>hiyeh rah yir aanda</t>
  </si>
  <si>
    <t>nehna rah ysir aanna</t>
  </si>
  <si>
    <t>ento rah ysir aandkoun</t>
  </si>
  <si>
    <t>henne rah ysir aandoun</t>
  </si>
  <si>
    <t>sharaab el ward</t>
  </si>
  <si>
    <t>rezz</t>
  </si>
  <si>
    <t>zerr</t>
  </si>
  <si>
    <t>zammour</t>
  </si>
  <si>
    <t>fared</t>
  </si>
  <si>
    <t>amar</t>
  </si>
  <si>
    <t>I draw</t>
  </si>
  <si>
    <t>enta btersoum/ ente btersmeh</t>
  </si>
  <si>
    <t>ento btersmo</t>
  </si>
  <si>
    <t>henneh byersmo</t>
  </si>
  <si>
    <t>ana bersom</t>
  </si>
  <si>
    <t>howeh byersum</t>
  </si>
  <si>
    <t>hiyeh btersom</t>
  </si>
  <si>
    <t>nehna mnersom</t>
  </si>
  <si>
    <t>I drew</t>
  </si>
  <si>
    <t>ana rasamet</t>
  </si>
  <si>
    <t>enta rasamet/ente rasamte</t>
  </si>
  <si>
    <t>howeh rasam</t>
  </si>
  <si>
    <t>hiyeh rasamit</t>
  </si>
  <si>
    <t>nehna rasamna</t>
  </si>
  <si>
    <t>ento rasamto</t>
  </si>
  <si>
    <t>henneh rasamo</t>
  </si>
  <si>
    <t>I used to draw</t>
  </si>
  <si>
    <t>enta kenet tersoum/ente kente tersmeh</t>
  </si>
  <si>
    <t>ento kento tersmo</t>
  </si>
  <si>
    <t>henneh keno yersmo</t>
  </si>
  <si>
    <t>ana kenet ersom</t>
  </si>
  <si>
    <t>howe ken yersom</t>
  </si>
  <si>
    <t>hiyeh kenit tersom</t>
  </si>
  <si>
    <t>nehna kenna nersom</t>
  </si>
  <si>
    <t>I will draw</t>
  </si>
  <si>
    <t>ana rah ersom</t>
  </si>
  <si>
    <t>enta rah tersom/ente rah tersmeh</t>
  </si>
  <si>
    <t>hiyeh rah tersom</t>
  </si>
  <si>
    <t>nehna rah nersom</t>
  </si>
  <si>
    <t>ento rah tersmo</t>
  </si>
  <si>
    <t>henneh rah yersmo</t>
  </si>
  <si>
    <t>howeh rah yersom</t>
  </si>
  <si>
    <t>ehseis/shoeoor</t>
  </si>
  <si>
    <t>ahasees/mashaiir</t>
  </si>
  <si>
    <t>hezen/za'aal</t>
  </si>
  <si>
    <t>I'm sad I want to cry</t>
  </si>
  <si>
    <t>ana zeelen/zeeleneh baddeh ebkeh</t>
  </si>
  <si>
    <t>ehbat/ka'abeh</t>
  </si>
  <si>
    <t>howeh ktir mohbat</t>
  </si>
  <si>
    <t>to'sib</t>
  </si>
  <si>
    <t>farah/saadeh</t>
  </si>
  <si>
    <t>mseyneh/bseynteh deyman byombosit/btombosit bas yshoufneh/tshoufneh</t>
  </si>
  <si>
    <t>tafe'oul</t>
  </si>
  <si>
    <t>lezim tetfe'al</t>
  </si>
  <si>
    <t>tashe'oum</t>
  </si>
  <si>
    <t>lamma shouf bseyn aswad bsir metshe'am/metshe'meh</t>
  </si>
  <si>
    <t>nashweh</t>
  </si>
  <si>
    <t>fakher</t>
  </si>
  <si>
    <t>khajal</t>
  </si>
  <si>
    <t>ala'</t>
  </si>
  <si>
    <t>hiyeh deyman bto'tal hamm</t>
  </si>
  <si>
    <t>samak</t>
  </si>
  <si>
    <t>hares</t>
  </si>
  <si>
    <t>shmeil</t>
  </si>
  <si>
    <t>hashish</t>
  </si>
  <si>
    <t>shames</t>
  </si>
  <si>
    <t>ahmar/hamra</t>
  </si>
  <si>
    <t>akhdar/khadra</t>
  </si>
  <si>
    <t>azra'/zar'a</t>
  </si>
  <si>
    <t>asfar/safra</t>
  </si>
  <si>
    <t>aswad/sawda</t>
  </si>
  <si>
    <t>abyad/bayda</t>
  </si>
  <si>
    <t>rmedeh</t>
  </si>
  <si>
    <t>banafsajeh</t>
  </si>
  <si>
    <t>zahreh</t>
  </si>
  <si>
    <t>benneh</t>
  </si>
  <si>
    <t>sayf/sayfiyeh</t>
  </si>
  <si>
    <t>shou aamil/aamleh/aamlin hal sayfiyeh</t>
  </si>
  <si>
    <t>taaa/taeh/tao nrouh aal baher</t>
  </si>
  <si>
    <t>I love to eat ice cream</t>
  </si>
  <si>
    <t>bheb ekoul bouza</t>
  </si>
  <si>
    <t>wein fina nrouh nesbah</t>
  </si>
  <si>
    <t>wein a'rab baher</t>
  </si>
  <si>
    <t>v</t>
  </si>
  <si>
    <t>English</t>
  </si>
  <si>
    <t>Lebanese transcription</t>
  </si>
  <si>
    <t>Video</t>
  </si>
  <si>
    <t>esmeh Maria, jeyeh mnel mexeec edrous 3arabeh</t>
  </si>
  <si>
    <t>beshteghil terjmein</t>
  </si>
  <si>
    <t>ahla w sahla b lebnein</t>
  </si>
  <si>
    <t>3afwan, baddeh sarrif masareh</t>
  </si>
  <si>
    <t>marHaba, baddeh rouH 3al Ashrafieh</t>
  </si>
  <si>
    <t>addeh betreed?</t>
  </si>
  <si>
    <t>marHaba baddeh eHjouz ouda</t>
  </si>
  <si>
    <t>baddeh yeha la jem3a</t>
  </si>
  <si>
    <t>addeh lezim edfa3?</t>
  </si>
  <si>
    <t>baddeh arkhas ouda</t>
  </si>
  <si>
    <t>ayya se3a el terwee'a?</t>
  </si>
  <si>
    <t>byo'ta3 el bus mn hon?</t>
  </si>
  <si>
    <t>ekhir sou'aal, fi khareeta?</t>
  </si>
  <si>
    <t>3eed el Hobb</t>
  </si>
  <si>
    <t>wardeh Hamra</t>
  </si>
  <si>
    <t>balon aHmar</t>
  </si>
  <si>
    <t>aleb</t>
  </si>
  <si>
    <t>Hamra/aHmar</t>
  </si>
  <si>
    <t>bawseh</t>
  </si>
  <si>
    <t>masa el kheir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</si>
  <si>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</si>
  <si>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</si>
  <si>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</si>
  <si>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</si>
  <si>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</si>
  <si>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</si>
  <si>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</si>
  <si>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</si>
  <si>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</si>
  <si>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</si>
  <si>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meetein w khamseen</t>
  </si>
  <si>
    <t>khams miyyeh</t>
  </si>
  <si>
    <t>alf</t>
  </si>
  <si>
    <t>khams-t-aleif</t>
  </si>
  <si>
    <t>3asher-t-aleif</t>
  </si>
  <si>
    <t>3eshreen alf</t>
  </si>
  <si>
    <t>ana wein?</t>
  </si>
  <si>
    <t>shou esem el sheiri3?</t>
  </si>
  <si>
    <t>kif brouH 3al Hamra?</t>
  </si>
  <si>
    <t>ayya bus beikhoud?</t>
  </si>
  <si>
    <t>fi mat3am areeb mn hon?</t>
  </si>
  <si>
    <t>taree'</t>
  </si>
  <si>
    <t>seiHa</t>
  </si>
  <si>
    <t>yameen</t>
  </si>
  <si>
    <t>deghreh</t>
  </si>
  <si>
    <t>ana baddeh</t>
  </si>
  <si>
    <t>baddeh eikol</t>
  </si>
  <si>
    <t>baddeh eshrab</t>
  </si>
  <si>
    <t>baddeh neim</t>
  </si>
  <si>
    <t>baddeh eshteghil</t>
  </si>
  <si>
    <t>baddeh edrous</t>
  </si>
  <si>
    <t>baddeh masareh</t>
  </si>
  <si>
    <t>baddeh or'ous</t>
  </si>
  <si>
    <t>baddik/baddak/badkoun shi?</t>
  </si>
  <si>
    <t>lyom</t>
  </si>
  <si>
    <t>lyom el tanein</t>
  </si>
  <si>
    <t>khareef</t>
  </si>
  <si>
    <t>rabee3</t>
  </si>
  <si>
    <t>seif</t>
  </si>
  <si>
    <t>neHna halla' b fasl el rabee3</t>
  </si>
  <si>
    <t>fi shames w mesh kteer shob</t>
  </si>
  <si>
    <t>bl seif mn rouH 3al baHer</t>
  </si>
  <si>
    <t>el shames 3am betgheeb</t>
  </si>
  <si>
    <t>sobeH</t>
  </si>
  <si>
    <t>doher</t>
  </si>
  <si>
    <t>leil</t>
  </si>
  <si>
    <t>beit</t>
  </si>
  <si>
    <t>she'a</t>
  </si>
  <si>
    <t>ana 3am fattish 3ala she'a lal ajaar</t>
  </si>
  <si>
    <t>she'a lal ajaar</t>
  </si>
  <si>
    <t>addeh lezim edfa3 bel shaher?</t>
  </si>
  <si>
    <t>wein feeneh lei'eh she'a lal ajaar?</t>
  </si>
  <si>
    <t>el kahraba wel may domn el ajaar?</t>
  </si>
  <si>
    <t>el Hemmeim moushtarak?</t>
  </si>
  <si>
    <t>ana 3am fattish 3ala ouda zgheereh ma3 takhet waHad</t>
  </si>
  <si>
    <t>shou fi jdeed?</t>
  </si>
  <si>
    <t>shou sar?</t>
  </si>
  <si>
    <t>shou 3am b seer? Shou fi?</t>
  </si>
  <si>
    <t>keef kein nharik/nharak/nharkoun?</t>
  </si>
  <si>
    <t>mbasatet sheftik/sheftak/sheftkoun</t>
  </si>
  <si>
    <t>shou 3aamleh/3aamil/3aamleen bukra?</t>
  </si>
  <si>
    <t>bshoufik/bshoufak/bshoufkoun areeban</t>
  </si>
  <si>
    <t>beHkeekeh/beHkeek/beHkeekoun</t>
  </si>
  <si>
    <t>ana w rfee'teh/rfee'eh 3am nedrous</t>
  </si>
  <si>
    <t>fa akheeran ttafa'na 3ala el lon el aHmar</t>
  </si>
  <si>
    <t>3abeileh ejeh, bas msefra/msefar</t>
  </si>
  <si>
    <t>3ala</t>
  </si>
  <si>
    <t>hiyeh rayHa 3al neideh</t>
  </si>
  <si>
    <t>beHkeek lamma erja3</t>
  </si>
  <si>
    <t>ana beshtereh Halib men el supermarket</t>
  </si>
  <si>
    <t>kteibeh 3ala el tawleh</t>
  </si>
  <si>
    <t>3am beHke 3an mberiH</t>
  </si>
  <si>
    <t>howe 'aal enno jeyeh</t>
  </si>
  <si>
    <t>ameess</t>
  </si>
  <si>
    <t>scarbeeneh</t>
  </si>
  <si>
    <t>3wayneit</t>
  </si>
  <si>
    <t>baddeh 'yeiss akbar</t>
  </si>
  <si>
    <t>baddeh 'yeiss asghar</t>
  </si>
  <si>
    <t>kam lon fi menna?</t>
  </si>
  <si>
    <t>addeh Ha'a/Ha'o?</t>
  </si>
  <si>
    <t>Helweh/Helo 3layyeh?</t>
  </si>
  <si>
    <t>fee gheir 'yeiss?</t>
  </si>
  <si>
    <t>feekeh trakhseeleh/feek trakhessleh? | feekeh ta3mleeleh/feek ta3melleh se3er?</t>
  </si>
  <si>
    <t>fee sale? | 3amleen sale?</t>
  </si>
  <si>
    <t>3ayleh</t>
  </si>
  <si>
    <t>3ammeh</t>
  </si>
  <si>
    <t>3ammteh</t>
  </si>
  <si>
    <t>eben khalteh/khaleh/3ammteh/3ammeh</t>
  </si>
  <si>
    <t>bent khalteh/khaleh/3ammteh/3ammeh</t>
  </si>
  <si>
    <t>Hameiteh | mart 3ammeh</t>
  </si>
  <si>
    <t>enteh/enta</t>
  </si>
  <si>
    <t>neHna</t>
  </si>
  <si>
    <t>ana rayHa/ana rayiH</t>
  </si>
  <si>
    <t>howeh rayiH</t>
  </si>
  <si>
    <t>hiyeh rayHa</t>
  </si>
  <si>
    <t>neHna rayHeen</t>
  </si>
  <si>
    <t>ento rayHeen</t>
  </si>
  <si>
    <t>henneh rayHeen</t>
  </si>
  <si>
    <t>ana reHet</t>
  </si>
  <si>
    <t>enteh reHteh/enta reHet</t>
  </si>
  <si>
    <t>hiyeh raaHit</t>
  </si>
  <si>
    <t>neHna reHna</t>
  </si>
  <si>
    <t>ento reHto</t>
  </si>
  <si>
    <t>henneh raaHo</t>
  </si>
  <si>
    <t>ana raH rouH</t>
  </si>
  <si>
    <t>enteh raH trouHeh/enta raH trouH</t>
  </si>
  <si>
    <t>howeh raH yrouH</t>
  </si>
  <si>
    <t>hiyeh raH trouH</t>
  </si>
  <si>
    <t>neHna raH nrouH</t>
  </si>
  <si>
    <t>ento raH trouHo</t>
  </si>
  <si>
    <t>henneh raH yrouHo</t>
  </si>
  <si>
    <t>tanein</t>
  </si>
  <si>
    <t>taleita</t>
  </si>
  <si>
    <t>orb3a</t>
  </si>
  <si>
    <t>khamees</t>
  </si>
  <si>
    <t>jem3a</t>
  </si>
  <si>
    <t>aHad</t>
  </si>
  <si>
    <t>shou esmik/esmak?</t>
  </si>
  <si>
    <t>min wein enteh/enta?</t>
  </si>
  <si>
    <t>raH eHkikeh/eHkik barke mna3mil shi, shi nhar</t>
  </si>
  <si>
    <t>ana 3am beikoul</t>
  </si>
  <si>
    <t>enteh 3am teikleh/enta 3am teikoul</t>
  </si>
  <si>
    <t>howeh 3am yeikoul</t>
  </si>
  <si>
    <t>ento 3am teiklo</t>
  </si>
  <si>
    <t>hiyeh 3am teikoul</t>
  </si>
  <si>
    <t>neHna 3am neikoul</t>
  </si>
  <si>
    <t>henneh 3am yeiklo</t>
  </si>
  <si>
    <t>ana beikoul</t>
  </si>
  <si>
    <t>enteh bteikleh/enta bteikoul</t>
  </si>
  <si>
    <t>howeh byeikoul</t>
  </si>
  <si>
    <t>neHna mneikoul</t>
  </si>
  <si>
    <t>ento bteiklo</t>
  </si>
  <si>
    <t>henneh byeiklo</t>
  </si>
  <si>
    <t>enteh akalteh/enta akalet</t>
  </si>
  <si>
    <t>neHna akalna</t>
  </si>
  <si>
    <t>ana raH eikoul</t>
  </si>
  <si>
    <t>enteh raH teikleh/enta raH teikoul</t>
  </si>
  <si>
    <t>howeh raH yeikoul</t>
  </si>
  <si>
    <t>hiyeh raH teikoul</t>
  </si>
  <si>
    <t>neHna raH neikoul</t>
  </si>
  <si>
    <t>ento raH teiklo</t>
  </si>
  <si>
    <t>henneh raH yeiklo</t>
  </si>
  <si>
    <t>mileid majeed</t>
  </si>
  <si>
    <t>3aam sa3eed</t>
  </si>
  <si>
    <t>ana 3endeh</t>
  </si>
  <si>
    <t>enteh 3endik/enta 3endak</t>
  </si>
  <si>
    <t>hiyeh 3enda</t>
  </si>
  <si>
    <t>neHna 3enna</t>
  </si>
  <si>
    <t>ento 3endkoun</t>
  </si>
  <si>
    <t>henneh 3endoun</t>
  </si>
  <si>
    <t>ana kein 3endeh</t>
  </si>
  <si>
    <t>enteh kein 3endik/enta kein 3endak</t>
  </si>
  <si>
    <t>howeh kein 3endo</t>
  </si>
  <si>
    <t>hiyeh kein 3enda</t>
  </si>
  <si>
    <t>neHna kein 3enna</t>
  </si>
  <si>
    <t>ento kein 3endkoun</t>
  </si>
  <si>
    <t>henneh kein 3endoun</t>
  </si>
  <si>
    <t>ana raH yseer 3endeh</t>
  </si>
  <si>
    <t>enteh raH yseer 3endik/enta raH yseer 3endak</t>
  </si>
  <si>
    <t>howeh raH yseer 3endo</t>
  </si>
  <si>
    <t>hiyeh raH yseer 3enda</t>
  </si>
  <si>
    <t>neHna raH yseer 3enna</t>
  </si>
  <si>
    <t>ento raH yseer 3endkoun</t>
  </si>
  <si>
    <t>henneh raH yseer 3endoun</t>
  </si>
  <si>
    <t>ana bersoum</t>
  </si>
  <si>
    <t>enteh btersmeh/enta btersoum</t>
  </si>
  <si>
    <t>howeh byersoum</t>
  </si>
  <si>
    <t>hiyeh btersoum</t>
  </si>
  <si>
    <t>neHna mnersoum</t>
  </si>
  <si>
    <t>enteh rasamteh/enta rasamet</t>
  </si>
  <si>
    <t>neHna rasamna</t>
  </si>
  <si>
    <t>ana kenet ersoum</t>
  </si>
  <si>
    <t>enteh kenteh tersmeh/enta kenet tersoum</t>
  </si>
  <si>
    <t>howeh kein yersoum</t>
  </si>
  <si>
    <t>hiyeh keinit tersoum</t>
  </si>
  <si>
    <t>neHna kenna nersoum</t>
  </si>
  <si>
    <t>henneh keino yersmo</t>
  </si>
  <si>
    <t>ana raH ersoum</t>
  </si>
  <si>
    <t>enteh raH tersmeh/enta raH tersoum</t>
  </si>
  <si>
    <t>howeh raH yersoum</t>
  </si>
  <si>
    <t>hieyh raH tersoum</t>
  </si>
  <si>
    <t>neHna raH nersoum</t>
  </si>
  <si>
    <t>ento raH tersmo</t>
  </si>
  <si>
    <t>henneh raH yersmo</t>
  </si>
  <si>
    <t>eHseis | sho3our</t>
  </si>
  <si>
    <t>aHasees | mashei3ir</t>
  </si>
  <si>
    <t>Hezen | za3al</t>
  </si>
  <si>
    <t>ana ze3leineh/ze3lein baddeh ebkeh</t>
  </si>
  <si>
    <t>eHbaat | ka'abeh</t>
  </si>
  <si>
    <t>hiyeh kteer moHbata</t>
  </si>
  <si>
    <t>howeh kteer moHbat</t>
  </si>
  <si>
    <t>to3seeb</t>
  </si>
  <si>
    <t>faraH | sa3aadeh</t>
  </si>
  <si>
    <t>bseynteh deyman btombosit bas tshoufneh/bsayneh deyman byombosit bas yshoufneh</t>
  </si>
  <si>
    <t>tafei'oul</t>
  </si>
  <si>
    <t>lezim tetfei'al</t>
  </si>
  <si>
    <t>tashei'oum</t>
  </si>
  <si>
    <t>lamma shouf bseyn aswad bsir metshei'meh/metshei'am</t>
  </si>
  <si>
    <t>hiyeh btesteHeh/howeh byesteHeh</t>
  </si>
  <si>
    <t>hiyeh deyman bto3tal hamm</t>
  </si>
  <si>
    <t>Haares</t>
  </si>
  <si>
    <t>hasheesh</t>
  </si>
  <si>
    <t>khadra/akhdar</t>
  </si>
  <si>
    <t>zar'a/azra'</t>
  </si>
  <si>
    <t>safra/asfar</t>
  </si>
  <si>
    <t>sawda/aswad</t>
  </si>
  <si>
    <t>bayda/abyad</t>
  </si>
  <si>
    <t>rmeideh</t>
  </si>
  <si>
    <t>sayf | sayfiyeh</t>
  </si>
  <si>
    <t>shou 3aamleh/3aamil/3aamleen hal sayfiyeh</t>
  </si>
  <si>
    <t>ta3eh/ta3a/ta3o nrouH 3al baHer</t>
  </si>
  <si>
    <t>bHeb ekoul bouza</t>
  </si>
  <si>
    <t>wein fina nrouH nesbaH</t>
  </si>
  <si>
    <t>wein a'rab baHer</t>
  </si>
  <si>
    <t>v2</t>
  </si>
  <si>
    <t>I'm drinking coffee</t>
  </si>
  <si>
    <t>ana 3am beshrab ahweh</t>
  </si>
  <si>
    <t>I drink coffee everyday</t>
  </si>
  <si>
    <t>lyom l khamis w ba3dein ana dahra</t>
  </si>
  <si>
    <t>beshrab ahwe kel yom</t>
  </si>
  <si>
    <t>It's september and it's becoming sad</t>
  </si>
  <si>
    <t>nehna b ayloul wel eshyia 3am betsir 7azineh</t>
  </si>
  <si>
    <t>nehna natrin shi</t>
  </si>
  <si>
    <t>ertijeil</t>
  </si>
  <si>
    <t>haydeh l mmasleh 3am tertejil</t>
  </si>
  <si>
    <t>fi wled 3am tel3ab barra</t>
  </si>
  <si>
    <t>lezim trou7eh/trou7 3al ba7er abel ma tokhlas l sayfiyeh</t>
  </si>
  <si>
    <t>lyom akalet bazella w rezz</t>
  </si>
  <si>
    <t>akalteh l lebneniyeh l moufaddaleh hiyeh l mjadra | atyab akleh lebneniyeh 3endeh hiye l mjadra</t>
  </si>
  <si>
    <t>wardeh</t>
  </si>
  <si>
    <t>zahra</t>
  </si>
  <si>
    <t>rfi'a/rfi' | sadi'a/sadi' | sa7ebteh/sa7beh</t>
  </si>
  <si>
    <t>3adouweh / 3adou</t>
  </si>
  <si>
    <t>ne7na mno7dar film</t>
  </si>
  <si>
    <t>mnodhar</t>
  </si>
  <si>
    <t>ta3eh/ta3a/ta3o na3mil shi</t>
  </si>
  <si>
    <t>mneshrab keis</t>
  </si>
  <si>
    <t>mnetsalla</t>
  </si>
  <si>
    <t>mnet3asha sawa</t>
  </si>
  <si>
    <t>I'm inviting you to dinner</t>
  </si>
  <si>
    <t>ana 3eizmetik/3eizmetak/3eizmetkoun 3al 3asha</t>
  </si>
  <si>
    <t>mneshrab ahwe</t>
  </si>
  <si>
    <t>ta3eh/ta3a/ta3o la 3andeh mno7dar television</t>
  </si>
  <si>
    <t>ta3eh shrabeh/ta3a shrab/ta3o shrabo ma3e keis</t>
  </si>
  <si>
    <t>beshrab ahweh kel yom</t>
  </si>
  <si>
    <t>lyom l khamees, w ba3dein, ana dahra</t>
  </si>
  <si>
    <t>neHna natreen shi</t>
  </si>
  <si>
    <t>haydeh el mmasleh 3am tertejil</t>
  </si>
  <si>
    <t>fi wleid 3am tel3ab barra</t>
  </si>
  <si>
    <t>lezim trouHeh/trouH/trouHo 3al baHer abel ma tokhlas l sayfiyeh</t>
  </si>
  <si>
    <t>neHna b ayloul wel eshya 3am betseer Hazeeneh</t>
  </si>
  <si>
    <t>akelteh el lebneniyeh el moufaddaleh hiyeh el mjadra | atyab akleh 3endeh hiyeh el mjadra</t>
  </si>
  <si>
    <t>sadaa'a</t>
  </si>
  <si>
    <t>rfee'a/rfee' | sadee'a/sadee' | saaHbeh/saaHib</t>
  </si>
  <si>
    <t>3adouweh/3adouw</t>
  </si>
  <si>
    <t>hiyeh rfi'teh el moufaddaleh/howeh rfi'eh el moufaddal/henneh ref'aateh el moufaddaleen</t>
  </si>
  <si>
    <t>neHna mnoHdar film</t>
  </si>
  <si>
    <t>mneshrab ahweh</t>
  </si>
  <si>
    <t>ta3eh/ta3a/ta3o la 3andeh mnoHdar television</t>
  </si>
  <si>
    <t>howeh 'aal enna jeyeh</t>
  </si>
  <si>
    <t>howeh raaH</t>
  </si>
  <si>
    <t>howeh 3endo</t>
  </si>
  <si>
    <t>hiyeh btesteHe/howeh byesteHe</t>
  </si>
  <si>
    <t>hiyeh ktir moHbata</t>
  </si>
  <si>
    <t>hiyeh rfi'teh l moufaddaleh/howeh rfi'eh l moufaddal/ henneh ref'ateh l moufaddalin</t>
  </si>
  <si>
    <t>sada'a</t>
  </si>
  <si>
    <t>rfi'teh betdalla m3assbeh/rfi'eh bidallo m3assab</t>
  </si>
  <si>
    <t>rfee'teh betdalla m3assbeh/rfee'eh bidallo m3assab</t>
  </si>
  <si>
    <t>3afwan, shenateh|ghradeh t'akharit</t>
  </si>
  <si>
    <t>3afwan, dayya3et shenateh|ghradeh</t>
  </si>
  <si>
    <t>sabaH el kheir|sabaH el nour</t>
  </si>
  <si>
    <t>masa el kheir|masa el nour</t>
  </si>
  <si>
    <t>keefik/keefak/keefkoun?</t>
  </si>
  <si>
    <t>bHebbik/bHebbak/bHebkoun</t>
  </si>
  <si>
    <t>shta'tellik/shta'tellak/shta'tellkoun</t>
  </si>
  <si>
    <t>shou baddik/baddak/baddkoun?</t>
  </si>
  <si>
    <t>ana hon la'enno dayya3et ghradeh|shenateh</t>
  </si>
  <si>
    <t>feekeh tse3deeneh/feek tse3edneh/feekoun tse3douneh?</t>
  </si>
  <si>
    <t>enteh rayHa/enta rayiH</t>
  </si>
  <si>
    <t>shou bteshteghleh/bteshteghil/bteshteghlo?</t>
  </si>
  <si>
    <t>shou btedrseh/btedrous/btedrso?</t>
  </si>
  <si>
    <t>shou darasteh/daraset/darasto?</t>
  </si>
  <si>
    <t>wein 'ei3deh/'ei3id/ei3deen| seikneh/seikin/seikneen | 3aaysheh/3aayish/3aaysheen ?</t>
  </si>
  <si>
    <t>shou bta3mleh/bta3mil/bta3mlo ba3ed sheghlik/sheghlak/sheghelkoun?</t>
  </si>
  <si>
    <t>bta3mleh/bta3mil/bta3mlo sport?</t>
  </si>
  <si>
    <t>shou ra'mik/ra'mak/ar'aamkoun?</t>
  </si>
  <si>
    <t>marHaba keefik/keefak/keefkoun?</t>
  </si>
  <si>
    <t>Lebanese transliteration</t>
  </si>
  <si>
    <t>nbr</t>
  </si>
  <si>
    <t>cat 2</t>
  </si>
  <si>
    <t>-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</si>
  <si>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</si>
  <si>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</si>
  <si>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</si>
  <si>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</si>
  <si>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</si>
  <si>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</si>
  <si>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</si>
  <si>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</si>
  <si>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</si>
  <si>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</si>
  <si>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</si>
  <si>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</si>
  <si>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</si>
  <si>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</si>
  <si>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</si>
  <si>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</si>
  <si>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</si>
  <si>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</si>
  <si>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</si>
  <si>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</si>
  <si>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</si>
  <si>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</si>
  <si>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</si>
  <si>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</si>
  <si>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</si>
  <si>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</si>
  <si>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</si>
  <si>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</si>
  <si>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</si>
  <si>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</si>
  <si>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</si>
  <si>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</si>
  <si>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</si>
  <si>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</si>
  <si>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</si>
  <si>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</si>
  <si>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</si>
  <si>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</si>
  <si>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</si>
  <si>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</si>
  <si>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</si>
  <si>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</si>
  <si>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</si>
  <si>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</si>
  <si>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</si>
  <si>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</si>
  <si>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</si>
  <si>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</si>
  <si>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</si>
  <si>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</si>
  <si>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</si>
  <si>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</si>
  <si>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</si>
  <si>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</si>
  <si>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</si>
  <si>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</si>
  <si>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</si>
  <si>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</si>
  <si>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</si>
  <si>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</si>
  <si>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</si>
  <si>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</si>
  <si>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</si>
  <si>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</si>
  <si>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</si>
  <si>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</si>
  <si>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</si>
  <si>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</si>
  <si>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</si>
  <si>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</si>
  <si>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</si>
  <si>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</si>
  <si>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</si>
  <si>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</si>
  <si>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</si>
  <si>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</si>
  <si>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</si>
  <si>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</si>
  <si>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</si>
  <si>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</si>
  <si>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</si>
  <si>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</si>
  <si>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</si>
  <si>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</si>
  <si>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</si>
  <si>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</si>
  <si>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</si>
  <si>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</si>
  <si>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</si>
  <si>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</si>
  <si>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</si>
  <si>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</si>
  <si>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</si>
  <si>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</si>
  <si>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</si>
  <si>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</si>
  <si>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</si>
  <si>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</si>
  <si>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</si>
  <si>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</si>
  <si>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</si>
  <si>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</si>
  <si>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</si>
  <si>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</si>
  <si>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</si>
  <si>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</si>
  <si>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</si>
  <si>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</si>
  <si>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</si>
  <si>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</si>
  <si>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</si>
  <si>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</si>
  <si>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</si>
  <si>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</si>
  <si>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</si>
  <si>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</si>
  <si>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</si>
  <si>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</si>
  <si>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</si>
  <si>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</si>
  <si>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</si>
  <si>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</si>
  <si>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</si>
  <si>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</si>
  <si>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</si>
  <si>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</si>
  <si>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</si>
  <si>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</si>
  <si>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</si>
  <si>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</si>
  <si>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</si>
  <si>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</si>
  <si>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</si>
  <si>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</si>
  <si>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</si>
  <si>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</si>
  <si>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</si>
  <si>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</si>
  <si>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</si>
  <si>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</si>
  <si>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</si>
  <si>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</si>
  <si>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</si>
  <si>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</si>
  <si>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</si>
  <si>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</si>
  <si>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</si>
  <si>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</si>
  <si>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</si>
  <si>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</si>
  <si>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</si>
  <si>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</si>
  <si>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</si>
  <si>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</si>
  <si>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</si>
  <si>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</si>
  <si>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</si>
  <si>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</si>
  <si>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</si>
  <si>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</si>
  <si>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</si>
  <si>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</si>
  <si>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</si>
  <si>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</si>
  <si>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</si>
  <si>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</si>
  <si>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</si>
  <si>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</si>
  <si>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</si>
  <si>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</si>
  <si>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</si>
  <si>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</si>
  <si>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</si>
  <si>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</si>
  <si>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</si>
  <si>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</si>
  <si>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</si>
  <si>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</si>
  <si>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</si>
  <si>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</si>
  <si>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</si>
  <si>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</si>
  <si>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</si>
  <si>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</si>
  <si>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</si>
  <si>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</si>
  <si>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</si>
  <si>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</si>
  <si>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</si>
  <si>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</si>
  <si>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</si>
  <si>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</si>
  <si>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</si>
  <si>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</si>
  <si>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</si>
  <si>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</si>
  <si>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</si>
  <si>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</si>
  <si>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</si>
  <si>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</si>
  <si>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</si>
  <si>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</si>
  <si>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أدّاي بِتريد؟</t>
  </si>
  <si>
    <t>أميص</t>
  </si>
  <si>
    <t>سكربينِه</t>
  </si>
  <si>
    <t>صُبَّاط</t>
  </si>
  <si>
    <t>فُستان</t>
  </si>
  <si>
    <t>عوينات</t>
  </si>
  <si>
    <t>في غَير إياس؟</t>
  </si>
  <si>
    <t>بدّي إياس أَصغَر</t>
  </si>
  <si>
    <t>بدّي إياس أَكبَر</t>
  </si>
  <si>
    <t>كَم لون في مِنّا؟</t>
  </si>
  <si>
    <t>أدّاي حأّا/حأّو؟</t>
  </si>
  <si>
    <t>في "سايل"/عاملين "سايل"؟</t>
  </si>
  <si>
    <t>حِلوة/ حِلو علَيّ؟</t>
  </si>
  <si>
    <t>فيكي ترَخصيلي/فيك ترَخصلي؟ فيكي تَعمليلي سِعر/فيك تَعمِلّي سِعر؟</t>
  </si>
  <si>
    <t>حَمرا/ أحمَر</t>
  </si>
  <si>
    <t>وردِه حَمرا</t>
  </si>
  <si>
    <t>بَالون أَحمَر</t>
  </si>
  <si>
    <t>حَمرا/ أَحمَر</t>
  </si>
  <si>
    <t>خَضرا/ أَخضَر</t>
  </si>
  <si>
    <t>زَرقا/ أَزرق</t>
  </si>
  <si>
    <t>صَفرا/ أَصفَر</t>
  </si>
  <si>
    <t>سَودا/ أَسوَد</t>
  </si>
  <si>
    <t>بَيضا/ أَبيَض</t>
  </si>
  <si>
    <t>رمَادي</t>
  </si>
  <si>
    <t>بَنَفسَجي</t>
  </si>
  <si>
    <t>زَهري</t>
  </si>
  <si>
    <t>بِنِّي</t>
  </si>
  <si>
    <t>أنا بَدِّي</t>
  </si>
  <si>
    <t>بَدِّي آكُل</t>
  </si>
  <si>
    <t>بَدِّي إشرب</t>
  </si>
  <si>
    <t>بَدِّي نام</t>
  </si>
  <si>
    <t>بَدِّي إشتِغِل</t>
  </si>
  <si>
    <t>بَدِّي إدرُس</t>
  </si>
  <si>
    <t>بَدِّي مَصاري</t>
  </si>
  <si>
    <t>بَدِّي أرأص</t>
  </si>
  <si>
    <t>أنا رايحة/ أنا رايح</t>
  </si>
  <si>
    <t>إنتِ رايحة/إنتَ رايح</t>
  </si>
  <si>
    <t>هوّي رايح</t>
  </si>
  <si>
    <t>هيّي رايحة</t>
  </si>
  <si>
    <t>نِحنا رايحين</t>
  </si>
  <si>
    <t>إنتو رايحين</t>
  </si>
  <si>
    <t>هِنِّي رايحين</t>
  </si>
  <si>
    <t>أنا رِحت</t>
  </si>
  <si>
    <t>إنتِ رِحتي/ إنتَ رِحت</t>
  </si>
  <si>
    <t>هوّي راح</t>
  </si>
  <si>
    <t>هيّي راحت</t>
  </si>
  <si>
    <t>نِحنا رِحنا</t>
  </si>
  <si>
    <t>إنتو رِحتوا</t>
  </si>
  <si>
    <t>هنّي راحوا</t>
  </si>
  <si>
    <t>أنا رَح روح</t>
  </si>
  <si>
    <t>إنتِ رَح تروحي/ إنتَ رَح تروح</t>
  </si>
  <si>
    <t>هوّي رَح يروح</t>
  </si>
  <si>
    <t>هيّي رَح تروح</t>
  </si>
  <si>
    <t>نِحنا رَح نروح</t>
  </si>
  <si>
    <t>إنتو رَح تروحوا</t>
  </si>
  <si>
    <t>هنّي رَح يروحوا</t>
  </si>
  <si>
    <t>أنا عَم باكُل</t>
  </si>
  <si>
    <t>إنتِ عَم تاكلي/ إنتَ عَم تاكُل</t>
  </si>
  <si>
    <t>هوّي عَم ياكُل</t>
  </si>
  <si>
    <t>هيّي عَم تاكُل</t>
  </si>
  <si>
    <t>نحنا عَم ناكل</t>
  </si>
  <si>
    <t>إنتو عَم تاكلوا</t>
  </si>
  <si>
    <t>هنّي عَم ياكلوا</t>
  </si>
  <si>
    <t>أنا باكل</t>
  </si>
  <si>
    <t>إنتِ بتاكلي/ إنتَ بتاكُل</t>
  </si>
  <si>
    <t>هوّي بياكُل</t>
  </si>
  <si>
    <t>هيّي بتاكُل</t>
  </si>
  <si>
    <t>نحنا مناكُل</t>
  </si>
  <si>
    <t>إنتو بتاكلوا</t>
  </si>
  <si>
    <t>هِنّي بياكلوا</t>
  </si>
  <si>
    <t>أنا أكَلت</t>
  </si>
  <si>
    <t>إنتِ أكَلتي/ إنتَ أكَلت</t>
  </si>
  <si>
    <t>هوّي أكَل</t>
  </si>
  <si>
    <t>هيّي أكَلِت</t>
  </si>
  <si>
    <t>نحنا أكَلنا</t>
  </si>
  <si>
    <t>إنتو أكلتوا</t>
  </si>
  <si>
    <t>هِنّي أكلوا</t>
  </si>
  <si>
    <t>أنا رَح آكل</t>
  </si>
  <si>
    <t>إنتِ رَح تاكلي/ إنتَ رَح تاكُل</t>
  </si>
  <si>
    <t>هوّي رَح ياكُل</t>
  </si>
  <si>
    <t>هيّي رَح تاكُل</t>
  </si>
  <si>
    <t>نحنا رَح ناكُل</t>
  </si>
  <si>
    <t>إنتو رَح تاكلوا</t>
  </si>
  <si>
    <t>هنّي رَح ياكلوا</t>
  </si>
  <si>
    <t>ميلاد مَجيد</t>
  </si>
  <si>
    <t>عام سَعيد</t>
  </si>
  <si>
    <t>أنا عَندي</t>
  </si>
  <si>
    <t>إنتِ عَندِك/ إنتَ عَندَك</t>
  </si>
  <si>
    <t>هوّي عَندو</t>
  </si>
  <si>
    <t>هِيّي عَندا</t>
  </si>
  <si>
    <t>نِحنا عَنّا</t>
  </si>
  <si>
    <t>إنتو عَندكُن</t>
  </si>
  <si>
    <t>هِنّي عَندُن</t>
  </si>
  <si>
    <t>أنا كان عَندي</t>
  </si>
  <si>
    <t>إنتِ كان عَندِك/ إنتَ كان عَندَك</t>
  </si>
  <si>
    <t>هُوّي كان عَندو</t>
  </si>
  <si>
    <t>هِيّي كان عَندا</t>
  </si>
  <si>
    <t>نِحنا كان عَنّا</t>
  </si>
  <si>
    <t>إنتو كان عَندكُن</t>
  </si>
  <si>
    <t>هِنّي كان عَندُن</t>
  </si>
  <si>
    <t>أنا رَح يصير عَندي</t>
  </si>
  <si>
    <t>إنتِ رح يصير عَندِك/إنتَ رح يصير عَندَك</t>
  </si>
  <si>
    <t>هوّي رَح يصير عَندو</t>
  </si>
  <si>
    <t>هيّي رَح يصير عَندا</t>
  </si>
  <si>
    <t>نِحنا رَح يصير عَنَّا</t>
  </si>
  <si>
    <t>إنتو رَح يصير عَندكُن</t>
  </si>
  <si>
    <t>هِنّي رَح يصير عَندُن</t>
  </si>
  <si>
    <t>أنا بِرسُم</t>
  </si>
  <si>
    <t>إنتِ بترسمي/ إنتَ بترسُم</t>
  </si>
  <si>
    <t>هوّي بيرسُم</t>
  </si>
  <si>
    <t>هيّي بترسُم</t>
  </si>
  <si>
    <t>نِحنا منرسُم</t>
  </si>
  <si>
    <t>إنتو بترسموا</t>
  </si>
  <si>
    <t>هِنّي بيرسموا</t>
  </si>
  <si>
    <t>أنا رَسَمت</t>
  </si>
  <si>
    <t>إنتِ رَسَمتي/ إنتَ رَسَمت</t>
  </si>
  <si>
    <t>هُوّي رَسَم</t>
  </si>
  <si>
    <t>هيّي رَسَمِت</t>
  </si>
  <si>
    <t>نِحنا رَسَمنا</t>
  </si>
  <si>
    <t>إنتو رَسَمتوا</t>
  </si>
  <si>
    <t>هِنّي رَسَموا</t>
  </si>
  <si>
    <t>أنا كنت إرسُم</t>
  </si>
  <si>
    <t>إنتِ كنتِ تِرسمي/ إنتَ كِنت تِرسُم</t>
  </si>
  <si>
    <t>هوّي كان يرسُم</t>
  </si>
  <si>
    <t>هيّي كانت تِرسُم</t>
  </si>
  <si>
    <t>نِحنا كِنّا نِرسُم</t>
  </si>
  <si>
    <t>إنتو كِنتوا ترسموا</t>
  </si>
  <si>
    <t>هِنّي كانوا يرسموا</t>
  </si>
  <si>
    <t>أنا رَح إرسم</t>
  </si>
  <si>
    <t>إنتِ رَح ترسمي/ أنتَ رح ترسُم</t>
  </si>
  <si>
    <t>هوّي رَح يِرسُم</t>
  </si>
  <si>
    <t>هيّي رَح ترسُم</t>
  </si>
  <si>
    <t>نِحنا رَح نرسُم</t>
  </si>
  <si>
    <t>إنتو رَح ترسموا</t>
  </si>
  <si>
    <t>هِنّي رَح يرسموا</t>
  </si>
  <si>
    <t>اليَوم</t>
  </si>
  <si>
    <t>اليوَم التَنَين</t>
  </si>
  <si>
    <t>خَريف</t>
  </si>
  <si>
    <t>شِتي</t>
  </si>
  <si>
    <t>رَبيع</t>
  </si>
  <si>
    <t>صَيف</t>
  </si>
  <si>
    <t>نِحنا هَلَء بِفَصل الخَريف</t>
  </si>
  <si>
    <t>في شَمس ومِش كتير شوب</t>
  </si>
  <si>
    <t>بالصَيف مِن روح عَلى البَحر</t>
  </si>
  <si>
    <t>الشَمس عَم بتغيب</t>
  </si>
  <si>
    <t>تَنين</t>
  </si>
  <si>
    <t>تَلاتَه</t>
  </si>
  <si>
    <t>أُربعا</t>
  </si>
  <si>
    <t>خَميس</t>
  </si>
  <si>
    <t>جمعه</t>
  </si>
  <si>
    <t>سَبت</t>
  </si>
  <si>
    <t>أَحَد</t>
  </si>
  <si>
    <t>أَمَر</t>
  </si>
  <si>
    <t>شَمس</t>
  </si>
  <si>
    <t>إحساس/ شُعور</t>
  </si>
  <si>
    <t>أحاسيس/ مَشاعِر</t>
  </si>
  <si>
    <t>حِزن/ زَعَل</t>
  </si>
  <si>
    <t>أنا زَعلاني/ أنا زَعلان بَدّي إبكي</t>
  </si>
  <si>
    <t>إحباط/ كآبه</t>
  </si>
  <si>
    <t>هيّي كتير مُحبَطَة</t>
  </si>
  <si>
    <t>هوّي كتير مُحبَط</t>
  </si>
  <si>
    <t>تُعصيب</t>
  </si>
  <si>
    <t>رفيئتي بِتضَلاّ معَصبي/ رفيئي بِضَلو معَصَّب</t>
  </si>
  <si>
    <t>فَرَح/ سعاده</t>
  </si>
  <si>
    <t>بسَينتي دايما" بطُمبُسِت بَس تشوفني/ بسَيني دايما" بيمبُسِط بس يشوفني</t>
  </si>
  <si>
    <t>تَفاؤل</t>
  </si>
  <si>
    <t>لازِم تتفاءَل</t>
  </si>
  <si>
    <t>تَشاؤم</t>
  </si>
  <si>
    <t>لَمّا شوف بسيَن أسوَد بتشاءَم</t>
  </si>
  <si>
    <t>نشوه</t>
  </si>
  <si>
    <t>فَخر</t>
  </si>
  <si>
    <t>خَجَل</t>
  </si>
  <si>
    <t>هيّي بتستِحي/ هوّي بيستِحي</t>
  </si>
  <si>
    <t>ألأ</t>
  </si>
  <si>
    <t>هيّي دايما" بتعتَل هَمّ</t>
  </si>
  <si>
    <t>شو بدِّك/ بدَّك/ بدكُن</t>
  </si>
  <si>
    <t>بدِّك/بدَّك/بدكُن شي؟</t>
  </si>
  <si>
    <t>عَيله</t>
  </si>
  <si>
    <t>بيِّي</t>
  </si>
  <si>
    <t>إمِّي</t>
  </si>
  <si>
    <t>خيِّي</t>
  </si>
  <si>
    <t>إختي</t>
  </si>
  <si>
    <t>سِتِّي</t>
  </si>
  <si>
    <t>جِدّي</t>
  </si>
  <si>
    <t>عَمّي</t>
  </si>
  <si>
    <t>خَالي</t>
  </si>
  <si>
    <t>عَمتي</t>
  </si>
  <si>
    <t>خَالتي</t>
  </si>
  <si>
    <t>إبن خالتي/خالي/عَمتي/عَمِّي</t>
  </si>
  <si>
    <t>بِنت خالتي/خالي/عَمتي/عَمِّي</t>
  </si>
  <si>
    <t>مَرتي</t>
  </si>
  <si>
    <t>جَوزي</t>
  </si>
  <si>
    <t>إبني</t>
  </si>
  <si>
    <t>بِنتي</t>
  </si>
  <si>
    <t>حَماتي/مَرت عَمّي</t>
  </si>
  <si>
    <t>صداقه</t>
  </si>
  <si>
    <t>رفيئة/ رفيء/صديئة/صديء/صاحبتي/صاحِبي</t>
  </si>
  <si>
    <t>عَدوّتي/عدُوّي</t>
  </si>
  <si>
    <t>هيّي رفيئتي المُفَضَلة/هوّي رفيئي المُفَضَل/هِنّي رِفئاتي المُفَضَلين</t>
  </si>
  <si>
    <t>نِحنا منُحضَر فيلم</t>
  </si>
  <si>
    <t>منُضهَر</t>
  </si>
  <si>
    <t>تَعي/تَعا/تعوا نَعمِل شي</t>
  </si>
  <si>
    <t>منُشرَب كاس</t>
  </si>
  <si>
    <t>تَعي شرَبي/تَعا شراب/تعوا شربوا مَعي كاس</t>
  </si>
  <si>
    <t>منتسلَّى</t>
  </si>
  <si>
    <t>منتسلَّى سوى</t>
  </si>
  <si>
    <t>أنا عازمتِك/عازمتَك/عازمتكُن على عَشا</t>
  </si>
  <si>
    <t>منُشرَب قَهوه</t>
  </si>
  <si>
    <t>تَعي/تَعا/تَعوا لَعِندي منُحضَر تليفيزيون</t>
  </si>
  <si>
    <t>فيكي تساعديني؟/فيك تساعدني؟/فيكُن تساعدوني؟</t>
  </si>
  <si>
    <t>مَرحبا بَدِّي إحجُز أوضه</t>
  </si>
  <si>
    <t>بَدّي يَاها لجِمعه</t>
  </si>
  <si>
    <t>أدّاي لازِم إدفَع؟</t>
  </si>
  <si>
    <t>بَدِّي أرخَص أوضه</t>
  </si>
  <si>
    <t>أيّا ساعه الترويقه؟</t>
  </si>
  <si>
    <t>مَرحبا كيفِك/كيفَك/ كيفكُن؟</t>
  </si>
  <si>
    <t>إسمي ماريا، جايي من المكسيك إدرُس عَربي</t>
  </si>
  <si>
    <t>مَسا الخَير</t>
  </si>
  <si>
    <t>صَباح الخير|صَباح النور</t>
  </si>
  <si>
    <t>مَسا الخَير|مَسا النور</t>
  </si>
  <si>
    <t>كيفِك/كيفَك/كيفكن</t>
  </si>
  <si>
    <t>شو في جديد؟</t>
  </si>
  <si>
    <t>شو صار؟</t>
  </si>
  <si>
    <t>شو عم بصير؟ شو في؟</t>
  </si>
  <si>
    <t>كيف كان نهارِك/ نهارَك/نهاركُن</t>
  </si>
  <si>
    <t>مبَسَطِت شفتِك/شفتَك/ شِفتكُن</t>
  </si>
  <si>
    <t>شو عاملي/ عامِل/عاملين بُكرا؟</t>
  </si>
  <si>
    <t>بحكيكي/ بحكيك/ بحكيكُن</t>
  </si>
  <si>
    <t>أنا ورفيئتي/ رفيئي عم نِدرُس</t>
  </si>
  <si>
    <t>شو إسمِك؟ إسمَك؟</t>
  </si>
  <si>
    <t>شو بتشتغلي/بتشتغل/بتشتغلوا؟</t>
  </si>
  <si>
    <t>شو بتدرسي/بتدرُس/بتدرسوا؟</t>
  </si>
  <si>
    <t>شو دَرستي/دَرَست/درستوا؟</t>
  </si>
  <si>
    <t>مِن وَين إنتِ/ إنتَ؟</t>
  </si>
  <si>
    <t>وَين آعدي/آعِد/آعدين|ساكني/ساكِن/ساكنين|عايشي/عايِش/عايشين؟</t>
  </si>
  <si>
    <t>شو بتَعملي/بتَعمِل/بتعملوا بعد شغلِك/شغلَك/شغلكن؟</t>
  </si>
  <si>
    <t>بتَعملي/بتَعمُل/بتعملوا رياضة؟</t>
  </si>
  <si>
    <t>شو رأمِك/رأمك/أرآمكن؟</t>
  </si>
  <si>
    <t>رَح إحكيكي/ إحكيك بَركي منَعمُل شي،شي نهار</t>
  </si>
  <si>
    <t>بَيت</t>
  </si>
  <si>
    <t>شِأّه</t>
  </si>
  <si>
    <t>شِأّه للأجار</t>
  </si>
  <si>
    <t>عَم فتِّش على شِأّه للأجار</t>
  </si>
  <si>
    <t>وين فيني لاقي شأّه للأجار؟</t>
  </si>
  <si>
    <t>أدّاي لازِم إدفَع بالشهر؟</t>
  </si>
  <si>
    <t>الكهرَبا والمَي ضُمن الأَجار؟</t>
  </si>
  <si>
    <t>الحَمام مُشتَرَك؟</t>
  </si>
  <si>
    <t>أنا عَم فَتِّش على أوضة صغيرة مَع تَخت واحَد</t>
  </si>
  <si>
    <t>عيد الحُب</t>
  </si>
  <si>
    <t>ألب</t>
  </si>
  <si>
    <t>بحبِك/بحبَك/بحبكُن</t>
  </si>
  <si>
    <t>شتأتلِك/شتأتلك/شتأتِلكن</t>
  </si>
  <si>
    <t>بوسه</t>
  </si>
  <si>
    <t>أنا عَم بُشرَب قهوه</t>
  </si>
  <si>
    <t>بُشرَب قهوه كِل يوم</t>
  </si>
  <si>
    <t>اليوَم الخَميس،وبَعدين، أنا ضاهرة</t>
  </si>
  <si>
    <t>نِحنا بأيلول والإشيا عَم بتصير حَزينِة</t>
  </si>
  <si>
    <t>نِحنا ناطرين شي</t>
  </si>
  <si>
    <t>هَيدي المَّسلي عم تِرتِجل</t>
  </si>
  <si>
    <t>في ولاد عَم تِلعَب بَرّا</t>
  </si>
  <si>
    <t>اليوَم أكَلِت بَزيلّا ورِزّ</t>
  </si>
  <si>
    <t>أكلتي اللّبنانية المُفَضَّلة هيّي المجدَرا|أطيب أكلي عِندي هيّي المجدَرا</t>
  </si>
  <si>
    <t>صِفر</t>
  </si>
  <si>
    <t>واحد</t>
  </si>
  <si>
    <t>تنَين</t>
  </si>
  <si>
    <t>تلاتِه</t>
  </si>
  <si>
    <t>أربعَه</t>
  </si>
  <si>
    <t>خمسه</t>
  </si>
  <si>
    <t>سِتّه</t>
  </si>
  <si>
    <t>سَبعَه</t>
  </si>
  <si>
    <t>تمانه</t>
  </si>
  <si>
    <t>تسعه</t>
  </si>
  <si>
    <t>عشره</t>
  </si>
  <si>
    <t>ميتَين و خَمسين</t>
  </si>
  <si>
    <t>خَمس مِيِّه</t>
  </si>
  <si>
    <t>أَلف</t>
  </si>
  <si>
    <t>خمس-ة-آلاف</t>
  </si>
  <si>
    <t>عشر-ة-آلاف</t>
  </si>
  <si>
    <t>عِشرين ألف</t>
  </si>
  <si>
    <t>خَمسين ألف</t>
  </si>
  <si>
    <t>مِيّة-ألف</t>
  </si>
  <si>
    <t>وَ</t>
  </si>
  <si>
    <t>فَ</t>
  </si>
  <si>
    <t>فَأخيرا" إتفأنا على اللَّون الأحمَر</t>
  </si>
  <si>
    <t>بَس</t>
  </si>
  <si>
    <t>عَبالي إجي، بَس مسافرة/مسافَر</t>
  </si>
  <si>
    <t>عَلى</t>
  </si>
  <si>
    <t>هِيّي رايحة عَلى النادي</t>
  </si>
  <si>
    <t>تَ</t>
  </si>
  <si>
    <t>بحكيك لمَّا إرجَع</t>
  </si>
  <si>
    <t>أنا بشتري حَليب مِن السوبرماركت</t>
  </si>
  <si>
    <t>كتابي عَلى الطاوله</t>
  </si>
  <si>
    <t>عَم بحكي عَن مبارِح</t>
  </si>
  <si>
    <t>هوّي آل إنّو جايي</t>
  </si>
  <si>
    <t>هوّي آل إنّا جايي</t>
  </si>
  <si>
    <t>أنا هون لأنّو ضَيَّعت غراضي|شِنطي</t>
  </si>
  <si>
    <t>أنا</t>
  </si>
  <si>
    <t>إنتِ/إنتَ</t>
  </si>
  <si>
    <t>هوّي</t>
  </si>
  <si>
    <t>هيّي</t>
  </si>
  <si>
    <t>نِحنا</t>
  </si>
  <si>
    <t>إنتو</t>
  </si>
  <si>
    <t>هنّي</t>
  </si>
  <si>
    <t>صَيف|صَيفيه</t>
  </si>
  <si>
    <t>شو عاَملي/عامِل/عاملين هَالصَيفيّه؟</t>
  </si>
  <si>
    <t>تَعي/تَعا/تعوا نروح عَلى بَحر</t>
  </si>
  <si>
    <t>بحب آكل بوظه</t>
  </si>
  <si>
    <t>وَين فينا نروح نِسبَح؟</t>
  </si>
  <si>
    <t>وَين أأرب بَحر؟</t>
  </si>
  <si>
    <t>لازِم تروحي/تروح/تروحوا عَلى البَحر أبل ما تُخلَص الصَيفيّه</t>
  </si>
  <si>
    <t>أهلا و سَهلا بِلبنان</t>
  </si>
  <si>
    <t>عَفوا"، شِنَطي|غراضي تأخَرِت</t>
  </si>
  <si>
    <t>عَفوا"، ضَيعت شِنَطي|غراضي</t>
  </si>
  <si>
    <t>عَفوا"، بَدِّي صَرِّف مَصَاري</t>
  </si>
  <si>
    <t>مَرحَبا، بَدِّي روح عَلى الأشرَفيّه</t>
  </si>
  <si>
    <t>بيأطع الباص مِن هون؟</t>
  </si>
  <si>
    <t>آخِر سوآل، في خريطه؟</t>
  </si>
  <si>
    <t>أنا وَين؟</t>
  </si>
  <si>
    <t>شو إسم الشَارِع؟</t>
  </si>
  <si>
    <t>كيف بروح عَلى الحمرا؟</t>
  </si>
  <si>
    <t>أيّا باص باخد؟</t>
  </si>
  <si>
    <t>في مَطعَم أريب مِن هون؟</t>
  </si>
  <si>
    <t>طريء</t>
  </si>
  <si>
    <t>ساحَه</t>
  </si>
  <si>
    <t>شمال</t>
  </si>
  <si>
    <t>يمين</t>
  </si>
  <si>
    <t>دِغري</t>
  </si>
  <si>
    <t>صُبح</t>
  </si>
  <si>
    <t>ضُهر</t>
  </si>
  <si>
    <t>لَيل</t>
  </si>
  <si>
    <t>شَراب الوَرد</t>
  </si>
  <si>
    <t>رِز</t>
  </si>
  <si>
    <t>زِر</t>
  </si>
  <si>
    <t>زَمّور</t>
  </si>
  <si>
    <t>فَرد</t>
  </si>
  <si>
    <t>سَمَك</t>
  </si>
  <si>
    <t>حارِس</t>
  </si>
  <si>
    <t>حَشيش</t>
  </si>
  <si>
    <t>إرتِجال</t>
  </si>
  <si>
    <t>زهره</t>
  </si>
  <si>
    <t>بِشتغل تِرجمان</t>
  </si>
  <si>
    <t>wardeh hamra</t>
  </si>
  <si>
    <t>baadein</t>
  </si>
  <si>
    <t>lamma</t>
  </si>
  <si>
    <t>men</t>
  </si>
  <si>
    <t>3an</t>
  </si>
  <si>
    <t>enno</t>
  </si>
  <si>
    <t>la'enno</t>
  </si>
  <si>
    <t>kol el 3arous ba3dein el chocola</t>
  </si>
  <si>
    <t>كول العروس بعدين الشوكولا</t>
  </si>
  <si>
    <t>ba3dein</t>
  </si>
  <si>
    <t>بعدين</t>
  </si>
  <si>
    <t>لمَّا</t>
  </si>
  <si>
    <t>مِن</t>
  </si>
  <si>
    <t>عَن</t>
  </si>
  <si>
    <t>إنّو</t>
  </si>
  <si>
    <t>لأنّو</t>
  </si>
  <si>
    <t>sheteh</t>
  </si>
  <si>
    <t>Chapters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</si>
  <si>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</si>
  <si>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</si>
  <si>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</si>
  <si>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</si>
  <si>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</si>
  <si>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</si>
  <si>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</si>
  <si>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</si>
  <si>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</si>
  <si>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</si>
  <si>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</si>
  <si>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</si>
  <si>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</si>
  <si>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</si>
  <si>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</si>
  <si>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</si>
  <si>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</si>
  <si>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</si>
  <si>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</si>
  <si>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</si>
  <si>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</si>
  <si>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</si>
  <si>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</si>
  <si>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</si>
  <si>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</si>
  <si>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</si>
  <si>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</si>
  <si>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</si>
  <si>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</si>
  <si>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Red</t>
  </si>
  <si>
    <t>We</t>
  </si>
  <si>
    <t>250</t>
  </si>
  <si>
    <t>500</t>
  </si>
  <si>
    <t>1000</t>
  </si>
  <si>
    <t>5000</t>
  </si>
  <si>
    <t>10000</t>
  </si>
  <si>
    <t>20000</t>
  </si>
  <si>
    <t>50000</t>
  </si>
  <si>
    <t>100000</t>
  </si>
  <si>
    <t>Rose</t>
  </si>
  <si>
    <t>North/left</t>
  </si>
  <si>
    <t>Moon</t>
  </si>
  <si>
    <t>Sun</t>
  </si>
  <si>
    <t xml:space="preserve">The sun is setting </t>
  </si>
  <si>
    <t>Green</t>
  </si>
  <si>
    <t>Blue</t>
  </si>
  <si>
    <t>Yellow</t>
  </si>
  <si>
    <t>Black</t>
  </si>
  <si>
    <t>White</t>
  </si>
  <si>
    <t>Grey</t>
  </si>
  <si>
    <t>Purple</t>
  </si>
  <si>
    <t>Pink</t>
  </si>
  <si>
    <t>Brown</t>
  </si>
  <si>
    <t>He</t>
  </si>
  <si>
    <t>She</t>
  </si>
  <si>
    <t>You (plural)</t>
  </si>
  <si>
    <t>They</t>
  </si>
  <si>
    <t>And</t>
  </si>
  <si>
    <t>So</t>
  </si>
  <si>
    <t>But</t>
  </si>
  <si>
    <t>To (location)</t>
  </si>
  <si>
    <t>To (cause)</t>
  </si>
  <si>
    <t>After</t>
  </si>
  <si>
    <t>When</t>
  </si>
  <si>
    <t>From</t>
  </si>
  <si>
    <t>On</t>
  </si>
  <si>
    <t>About</t>
  </si>
  <si>
    <t>That</t>
  </si>
  <si>
    <t>Because</t>
  </si>
  <si>
    <t>So finally we agreed on the red color</t>
  </si>
  <si>
    <t>She's going to the gym</t>
  </si>
  <si>
    <t>Eat the sandwich then the chocolate</t>
  </si>
  <si>
    <t>My book is on the table</t>
  </si>
  <si>
    <t>He said that he will come</t>
  </si>
  <si>
    <t>He said that she's coming</t>
  </si>
  <si>
    <t>Shirt</t>
  </si>
  <si>
    <t>High heels</t>
  </si>
  <si>
    <t>Shoe</t>
  </si>
  <si>
    <t>Glasses</t>
  </si>
  <si>
    <t>How much does it cost</t>
  </si>
  <si>
    <t>Is there another size</t>
  </si>
  <si>
    <t>Does it look good on me</t>
  </si>
  <si>
    <t>Are the items on sale</t>
  </si>
  <si>
    <t>Can I get it for a better price?</t>
  </si>
  <si>
    <t>What's your name</t>
  </si>
  <si>
    <t>What do you work</t>
  </si>
  <si>
    <t>What do you study</t>
  </si>
  <si>
    <t>What did you study</t>
  </si>
  <si>
    <t>Where are you from</t>
  </si>
  <si>
    <t>Where do you live</t>
  </si>
  <si>
    <t>What do you do after work</t>
  </si>
  <si>
    <t>Do you do sports</t>
  </si>
  <si>
    <t>What's your phone number</t>
  </si>
  <si>
    <t>Can you help me</t>
  </si>
  <si>
    <t>Happy new year</t>
  </si>
  <si>
    <t>Father</t>
  </si>
  <si>
    <t>Mother</t>
  </si>
  <si>
    <t>Brother</t>
  </si>
  <si>
    <t>Sister</t>
  </si>
  <si>
    <t>Grand-mother</t>
  </si>
  <si>
    <t>Grand-father</t>
  </si>
  <si>
    <t>Aunt (paternal)</t>
  </si>
  <si>
    <t>Aunt (maternal)</t>
  </si>
  <si>
    <t>Uncle (paternal)</t>
  </si>
  <si>
    <t>Uncle (maternal)</t>
  </si>
  <si>
    <t>Cousin (woman)</t>
  </si>
  <si>
    <t>Cousin (man)</t>
  </si>
  <si>
    <t>Husband</t>
  </si>
  <si>
    <t>Wife</t>
  </si>
  <si>
    <t>Daughter</t>
  </si>
  <si>
    <t>Son</t>
  </si>
  <si>
    <t>Mother-in-la</t>
  </si>
  <si>
    <t>Father-in-law</t>
  </si>
  <si>
    <t>Friendship</t>
  </si>
  <si>
    <t>Friend</t>
  </si>
  <si>
    <t>Enemy</t>
  </si>
  <si>
    <t>My best friend</t>
  </si>
  <si>
    <t>We go out</t>
  </si>
  <si>
    <t>We watch a movie</t>
  </si>
  <si>
    <t>We have a drink</t>
  </si>
  <si>
    <t>We have fun</t>
  </si>
  <si>
    <t>We have dinner together</t>
  </si>
  <si>
    <t>We have coffee</t>
  </si>
  <si>
    <t>Let's do something</t>
  </si>
  <si>
    <t>Have a drink with me</t>
  </si>
  <si>
    <t>Emotion</t>
  </si>
  <si>
    <t>Emotions</t>
  </si>
  <si>
    <t>Sadness</t>
  </si>
  <si>
    <t>Depression</t>
  </si>
  <si>
    <t>Anger</t>
  </si>
  <si>
    <t>Happiness</t>
  </si>
  <si>
    <t>Optimism</t>
  </si>
  <si>
    <t>Pessimism</t>
  </si>
  <si>
    <t>Orgasm</t>
  </si>
  <si>
    <t>Pride</t>
  </si>
  <si>
    <t>Shyness</t>
  </si>
  <si>
    <t>Anxiety</t>
  </si>
  <si>
    <t>She is so depressed</t>
  </si>
  <si>
    <t>He is so depressed</t>
  </si>
  <si>
    <t>My friend is always angry</t>
  </si>
  <si>
    <t>My cat is always happy to see me</t>
  </si>
  <si>
    <t>You should be optimist</t>
  </si>
  <si>
    <t>When I see a black cat I become pessimist</t>
  </si>
  <si>
    <t>He/she is shy</t>
  </si>
  <si>
    <t>She is always anxious</t>
  </si>
  <si>
    <t>You have</t>
  </si>
  <si>
    <t>He has</t>
  </si>
  <si>
    <t>She has</t>
  </si>
  <si>
    <t>We have</t>
  </si>
  <si>
    <t>They have</t>
  </si>
  <si>
    <t>You had</t>
  </si>
  <si>
    <t>He had</t>
  </si>
  <si>
    <t>She had</t>
  </si>
  <si>
    <t>We had</t>
  </si>
  <si>
    <t>They had</t>
  </si>
  <si>
    <t>You will have</t>
  </si>
  <si>
    <t>He will have</t>
  </si>
  <si>
    <t>She will have</t>
  </si>
  <si>
    <t>We will have</t>
  </si>
  <si>
    <t>They will have</t>
  </si>
  <si>
    <t>You are going</t>
  </si>
  <si>
    <t>He's going</t>
  </si>
  <si>
    <t>She's going</t>
  </si>
  <si>
    <t>We are going</t>
  </si>
  <si>
    <t>They are going</t>
  </si>
  <si>
    <t>You went</t>
  </si>
  <si>
    <t>He went</t>
  </si>
  <si>
    <t>She went</t>
  </si>
  <si>
    <t>We went</t>
  </si>
  <si>
    <t>They went</t>
  </si>
  <si>
    <t>You will go</t>
  </si>
  <si>
    <t>He will go</t>
  </si>
  <si>
    <t>She will go</t>
  </si>
  <si>
    <t>We will go</t>
  </si>
  <si>
    <t>They will go</t>
  </si>
  <si>
    <t>You're eating</t>
  </si>
  <si>
    <t>He's eating</t>
  </si>
  <si>
    <t>She's eating</t>
  </si>
  <si>
    <t>We're eating</t>
  </si>
  <si>
    <t>They're eating</t>
  </si>
  <si>
    <t>He eats</t>
  </si>
  <si>
    <t>She eats</t>
  </si>
  <si>
    <t>We eat</t>
  </si>
  <si>
    <t>They eat</t>
  </si>
  <si>
    <t>You ate</t>
  </si>
  <si>
    <t>He ate</t>
  </si>
  <si>
    <t>She ate</t>
  </si>
  <si>
    <t>We ate</t>
  </si>
  <si>
    <t>They ate</t>
  </si>
  <si>
    <t>You will eat</t>
  </si>
  <si>
    <t>He will eat</t>
  </si>
  <si>
    <t>She will eat</t>
  </si>
  <si>
    <t>We will eat</t>
  </si>
  <si>
    <t>They will eat</t>
  </si>
  <si>
    <t>You draw</t>
  </si>
  <si>
    <t>He draws</t>
  </si>
  <si>
    <t>She draws</t>
  </si>
  <si>
    <t>We draw</t>
  </si>
  <si>
    <t>They draw</t>
  </si>
  <si>
    <t>You drew</t>
  </si>
  <si>
    <t>He drew</t>
  </si>
  <si>
    <t>She drew</t>
  </si>
  <si>
    <t>We drew</t>
  </si>
  <si>
    <t>They drew</t>
  </si>
  <si>
    <t>You used to draw</t>
  </si>
  <si>
    <t>He used to draw</t>
  </si>
  <si>
    <t>She used to draw</t>
  </si>
  <si>
    <t>We used to draw</t>
  </si>
  <si>
    <t>They used to draw</t>
  </si>
  <si>
    <t>You will draw</t>
  </si>
  <si>
    <t>He will draw</t>
  </si>
  <si>
    <t>She will draw</t>
  </si>
  <si>
    <t>We will draw</t>
  </si>
  <si>
    <t>They will draw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</si>
  <si>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</si>
  <si>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</si>
  <si>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</si>
  <si>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</si>
  <si>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</si>
  <si>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</si>
  <si>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</si>
  <si>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</si>
  <si>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</si>
  <si>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Rose syrup</t>
  </si>
  <si>
    <t>Today is Thursday and I'm going out later</t>
  </si>
  <si>
    <t>We are waiting for something</t>
  </si>
  <si>
    <t>There are kids playing outside</t>
  </si>
  <si>
    <t>Today I ate "bazella w rezz"</t>
  </si>
  <si>
    <t>What are you doing this summer</t>
  </si>
  <si>
    <t>Let's go to the beach</t>
  </si>
  <si>
    <t>Where can we go swim</t>
  </si>
  <si>
    <t>Where's the nearest beach</t>
  </si>
  <si>
    <t>You should go to the beach before the summer ends</t>
  </si>
  <si>
    <t>Wednsday</t>
  </si>
  <si>
    <t>Merry christmas</t>
  </si>
  <si>
    <t>Come over so we watch tv</t>
  </si>
  <si>
    <t>This actress is improvizing</t>
  </si>
  <si>
    <t>My favorite lebanese dish is mjadra</t>
  </si>
  <si>
    <t>بشوفِك/بشوفَك/بشوفكن أريباً</t>
  </si>
  <si>
    <t>"Improvisation"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</si>
  <si>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</si>
  <si>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</si>
  <si>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</si>
  <si>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</si>
  <si>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</si>
  <si>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</si>
  <si>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</si>
  <si>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</si>
  <si>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</si>
  <si>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</si>
  <si>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</si>
  <si>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</si>
  <si>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3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</si>
  <si>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</si>
  <si>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</si>
  <si>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</si>
  <si>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</si>
  <si>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</si>
  <si>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</si>
  <si>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</si>
  <si>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</si>
  <si>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</si>
  <si>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</si>
  <si>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"Improvisation"</t>
  </si>
  <si>
    <t>Video Lesson "Valentine"</t>
  </si>
  <si>
    <t>Video Lesson "2nd Valentine"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</si>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</sst>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164" fontId="0" fillId="0" borderId="0" xfId="0" applyNumberFormat="1"/>
    <xf numFmtId="0" fontId="12" fillId="0" borderId="0" xfId="1" applyFont="1" applyAlignment="1" applyProtection="1"/>
    <xf numFmtId="0" fontId="13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"/>
  <sheetViews>
    <sheetView tabSelected="1" zoomScaleNormal="100" workbookViewId="0">
      <selection activeCell="B1" sqref="B1:B1048576"/>
    </sheetView>
  </sheetViews>
  <sheetFormatPr defaultRowHeight="15.75" x14ac:dyDescent="0.25"/>
  <cols>
    <col min="2" max="2" width="36.5703125" customWidth="1"/>
    <col min="3" max="3" width="35" customWidth="1"/>
    <col min="4" max="4" width="31.42578125" style="11" customWidth="1"/>
    <col min="5" max="5" width="19.28515625" customWidth="1"/>
    <col min="7" max="7" width="20.7109375" customWidth="1"/>
    <col min="8" max="8" width="15.85546875" customWidth="1"/>
    <col min="9" max="9" width="15.7109375" customWidth="1"/>
  </cols>
  <sheetData>
    <row r="1" spans="1:10" x14ac:dyDescent="0.25">
      <c r="A1" t="s">
        <v>1897</v>
      </c>
    </row>
    <row r="2" spans="1:10" x14ac:dyDescent="0.25">
      <c r="A2">
        <v>218</v>
      </c>
      <c r="B2" t="s">
        <v>0</v>
      </c>
      <c r="C2" t="s">
        <v>748</v>
      </c>
      <c r="D2" s="11" t="s">
        <v>1170</v>
      </c>
      <c r="E2" t="s">
        <v>1</v>
      </c>
      <c r="F2">
        <v>1</v>
      </c>
      <c r="G2" t="s">
        <v>1569</v>
      </c>
      <c r="H2" t="s">
        <v>1316</v>
      </c>
      <c r="I2" t="s">
        <v>1330</v>
      </c>
      <c r="J2">
        <v>1</v>
      </c>
    </row>
    <row r="3" spans="1:10" x14ac:dyDescent="0.25">
      <c r="A3">
        <v>219</v>
      </c>
      <c r="B3" t="s">
        <v>2</v>
      </c>
      <c r="C3" t="s">
        <v>442</v>
      </c>
      <c r="D3" s="11" t="s">
        <v>1171</v>
      </c>
      <c r="E3" t="s">
        <v>3</v>
      </c>
      <c r="F3">
        <v>1</v>
      </c>
      <c r="G3" t="s">
        <v>1569</v>
      </c>
      <c r="H3" t="s">
        <v>1316</v>
      </c>
      <c r="I3" t="s">
        <v>1330</v>
      </c>
      <c r="J3">
        <v>8</v>
      </c>
    </row>
    <row r="4" spans="1:10" x14ac:dyDescent="0.25">
      <c r="A4">
        <v>346</v>
      </c>
      <c r="B4" t="s">
        <v>4</v>
      </c>
      <c r="C4" t="s">
        <v>443</v>
      </c>
      <c r="D4" s="11" t="s">
        <v>1295</v>
      </c>
      <c r="E4" t="s">
        <v>5</v>
      </c>
      <c r="F4">
        <v>1</v>
      </c>
      <c r="G4" t="s">
        <v>1569</v>
      </c>
      <c r="H4" t="s">
        <v>1316</v>
      </c>
      <c r="I4" t="s">
        <v>1330</v>
      </c>
      <c r="J4">
        <v>7</v>
      </c>
    </row>
    <row r="5" spans="1:10" x14ac:dyDescent="0.25">
      <c r="A5">
        <v>1</v>
      </c>
      <c r="B5" t="s">
        <v>16</v>
      </c>
      <c r="C5" t="s">
        <v>447</v>
      </c>
      <c r="D5" s="11" t="s">
        <v>955</v>
      </c>
      <c r="E5" t="s">
        <v>17</v>
      </c>
      <c r="F5">
        <v>2</v>
      </c>
      <c r="G5" t="s">
        <v>1564</v>
      </c>
      <c r="H5" t="s">
        <v>1315</v>
      </c>
      <c r="I5" t="s">
        <v>1329</v>
      </c>
      <c r="J5">
        <v>7</v>
      </c>
    </row>
    <row r="6" spans="1:10" x14ac:dyDescent="0.25">
      <c r="A6">
        <v>315</v>
      </c>
      <c r="B6" t="s">
        <v>6</v>
      </c>
      <c r="C6" t="s">
        <v>444</v>
      </c>
      <c r="D6" s="11" t="s">
        <v>1265</v>
      </c>
      <c r="E6" t="s">
        <v>7</v>
      </c>
      <c r="F6">
        <v>2</v>
      </c>
      <c r="G6" t="s">
        <v>1564</v>
      </c>
      <c r="H6" t="s">
        <v>1315</v>
      </c>
      <c r="I6" t="s">
        <v>1325</v>
      </c>
      <c r="J6">
        <v>1</v>
      </c>
    </row>
    <row r="7" spans="1:10" x14ac:dyDescent="0.25">
      <c r="A7">
        <v>316</v>
      </c>
      <c r="B7" t="s">
        <v>8</v>
      </c>
      <c r="C7" t="s">
        <v>730</v>
      </c>
      <c r="D7" s="11" t="s">
        <v>1266</v>
      </c>
      <c r="E7" t="s">
        <v>9</v>
      </c>
      <c r="F7">
        <v>2</v>
      </c>
      <c r="G7" t="s">
        <v>1564</v>
      </c>
      <c r="H7" t="s">
        <v>1315</v>
      </c>
      <c r="I7" t="s">
        <v>1325</v>
      </c>
      <c r="J7">
        <v>2</v>
      </c>
    </row>
    <row r="8" spans="1:10" x14ac:dyDescent="0.25">
      <c r="A8">
        <v>317</v>
      </c>
      <c r="B8" t="s">
        <v>10</v>
      </c>
      <c r="C8" t="s">
        <v>731</v>
      </c>
      <c r="D8" s="11" t="s">
        <v>1267</v>
      </c>
      <c r="E8" t="s">
        <v>11</v>
      </c>
      <c r="F8">
        <v>2</v>
      </c>
      <c r="G8" t="s">
        <v>1564</v>
      </c>
      <c r="H8" t="s">
        <v>1315</v>
      </c>
      <c r="I8" t="s">
        <v>1325</v>
      </c>
      <c r="J8">
        <v>3</v>
      </c>
    </row>
    <row r="9" spans="1:10" x14ac:dyDescent="0.25">
      <c r="A9">
        <v>318</v>
      </c>
      <c r="B9" t="s">
        <v>12</v>
      </c>
      <c r="C9" t="s">
        <v>445</v>
      </c>
      <c r="D9" s="11" t="s">
        <v>1268</v>
      </c>
      <c r="E9" t="s">
        <v>13</v>
      </c>
      <c r="F9">
        <v>2</v>
      </c>
      <c r="G9" t="s">
        <v>1564</v>
      </c>
      <c r="H9" t="s">
        <v>1315</v>
      </c>
      <c r="I9" t="s">
        <v>1325</v>
      </c>
      <c r="J9">
        <v>4</v>
      </c>
    </row>
    <row r="10" spans="1:10" x14ac:dyDescent="0.25">
      <c r="A10">
        <v>319</v>
      </c>
      <c r="B10" t="s">
        <v>14</v>
      </c>
      <c r="C10" t="s">
        <v>446</v>
      </c>
      <c r="D10" s="11" t="s">
        <v>1269</v>
      </c>
      <c r="E10" t="s">
        <v>15</v>
      </c>
      <c r="F10">
        <v>2</v>
      </c>
      <c r="G10" t="s">
        <v>1564</v>
      </c>
      <c r="H10" t="s">
        <v>1315</v>
      </c>
      <c r="I10" t="s">
        <v>1325</v>
      </c>
      <c r="J10">
        <v>5</v>
      </c>
    </row>
    <row r="11" spans="1:10" x14ac:dyDescent="0.25">
      <c r="A11">
        <v>213</v>
      </c>
      <c r="B11" t="s">
        <v>18</v>
      </c>
      <c r="C11" t="s">
        <v>448</v>
      </c>
      <c r="D11" s="11" t="s">
        <v>1165</v>
      </c>
      <c r="E11" t="s">
        <v>19</v>
      </c>
      <c r="F11" s="14">
        <f>3.1</f>
        <v>3.1</v>
      </c>
      <c r="G11" t="s">
        <v>1566</v>
      </c>
      <c r="H11" t="s">
        <v>1315</v>
      </c>
      <c r="I11" t="s">
        <v>1328</v>
      </c>
      <c r="J11">
        <v>1</v>
      </c>
    </row>
    <row r="12" spans="1:10" x14ac:dyDescent="0.25">
      <c r="A12">
        <v>214</v>
      </c>
      <c r="B12" t="s">
        <v>20</v>
      </c>
      <c r="C12" t="s">
        <v>449</v>
      </c>
      <c r="D12" s="11" t="s">
        <v>1166</v>
      </c>
      <c r="E12" t="s">
        <v>21</v>
      </c>
      <c r="F12">
        <v>3.1</v>
      </c>
      <c r="G12" t="s">
        <v>1566</v>
      </c>
      <c r="H12" t="s">
        <v>1315</v>
      </c>
      <c r="I12" t="s">
        <v>1328</v>
      </c>
      <c r="J12">
        <v>3</v>
      </c>
    </row>
    <row r="13" spans="1:10" x14ac:dyDescent="0.25">
      <c r="A13">
        <v>215</v>
      </c>
      <c r="B13" t="s">
        <v>22</v>
      </c>
      <c r="C13" t="s">
        <v>450</v>
      </c>
      <c r="D13" s="11" t="s">
        <v>1167</v>
      </c>
      <c r="E13" t="s">
        <v>23</v>
      </c>
      <c r="F13">
        <v>3.1</v>
      </c>
      <c r="G13" t="s">
        <v>1566</v>
      </c>
      <c r="H13" t="s">
        <v>1315</v>
      </c>
      <c r="I13" t="s">
        <v>1328</v>
      </c>
      <c r="J13">
        <v>4</v>
      </c>
    </row>
    <row r="14" spans="1:10" x14ac:dyDescent="0.25">
      <c r="A14">
        <v>216</v>
      </c>
      <c r="B14" t="s">
        <v>24</v>
      </c>
      <c r="C14" t="s">
        <v>451</v>
      </c>
      <c r="D14" s="11" t="s">
        <v>1168</v>
      </c>
      <c r="E14" t="s">
        <v>25</v>
      </c>
      <c r="F14">
        <v>3.1</v>
      </c>
      <c r="G14" t="s">
        <v>1566</v>
      </c>
      <c r="H14" t="s">
        <v>1315</v>
      </c>
      <c r="I14" t="s">
        <v>1328</v>
      </c>
      <c r="J14">
        <v>5</v>
      </c>
    </row>
    <row r="15" spans="1:10" x14ac:dyDescent="0.25">
      <c r="A15">
        <v>217</v>
      </c>
      <c r="B15" t="s">
        <v>26</v>
      </c>
      <c r="C15" t="s">
        <v>452</v>
      </c>
      <c r="D15" s="11" t="s">
        <v>1169</v>
      </c>
      <c r="E15" t="s">
        <v>27</v>
      </c>
      <c r="F15">
        <v>3.1</v>
      </c>
      <c r="G15" t="s">
        <v>1566</v>
      </c>
      <c r="H15" t="s">
        <v>1315</v>
      </c>
      <c r="I15" t="s">
        <v>1328</v>
      </c>
      <c r="J15">
        <v>6</v>
      </c>
    </row>
    <row r="16" spans="1:10" x14ac:dyDescent="0.25">
      <c r="A16">
        <v>320</v>
      </c>
      <c r="B16" t="s">
        <v>28</v>
      </c>
      <c r="C16" t="s">
        <v>453</v>
      </c>
      <c r="D16" s="11" t="s">
        <v>1270</v>
      </c>
      <c r="E16" t="s">
        <v>29</v>
      </c>
      <c r="F16">
        <v>3.2</v>
      </c>
      <c r="G16" t="s">
        <v>1566</v>
      </c>
      <c r="H16" t="s">
        <v>1315</v>
      </c>
      <c r="I16" t="s">
        <v>1326</v>
      </c>
      <c r="J16">
        <v>10</v>
      </c>
    </row>
    <row r="17" spans="1:10" x14ac:dyDescent="0.25">
      <c r="A17">
        <v>321</v>
      </c>
      <c r="B17" t="s">
        <v>30</v>
      </c>
      <c r="C17" t="s">
        <v>454</v>
      </c>
      <c r="D17" s="11" t="s">
        <v>1271</v>
      </c>
      <c r="E17" t="s">
        <v>31</v>
      </c>
      <c r="F17">
        <v>3.2</v>
      </c>
      <c r="G17" t="s">
        <v>1566</v>
      </c>
      <c r="H17" t="s">
        <v>1315</v>
      </c>
      <c r="I17" t="s">
        <v>1326</v>
      </c>
      <c r="J17">
        <v>12</v>
      </c>
    </row>
    <row r="18" spans="1:10" x14ac:dyDescent="0.25">
      <c r="A18">
        <v>220</v>
      </c>
      <c r="B18" t="s">
        <v>47</v>
      </c>
      <c r="C18" t="s">
        <v>461</v>
      </c>
      <c r="D18" s="11" t="s">
        <v>1172</v>
      </c>
      <c r="E18" t="s">
        <v>48</v>
      </c>
      <c r="F18">
        <v>4</v>
      </c>
      <c r="G18" t="s">
        <v>1557</v>
      </c>
      <c r="H18" t="s">
        <v>752</v>
      </c>
      <c r="I18" t="s">
        <v>752</v>
      </c>
    </row>
    <row r="19" spans="1:10" x14ac:dyDescent="0.25">
      <c r="A19">
        <v>266</v>
      </c>
      <c r="B19" t="s">
        <v>49</v>
      </c>
      <c r="C19" t="s">
        <v>462</v>
      </c>
      <c r="D19" s="11" t="s">
        <v>1217</v>
      </c>
      <c r="E19" t="s">
        <v>50</v>
      </c>
      <c r="F19">
        <v>4</v>
      </c>
      <c r="G19" t="s">
        <v>1557</v>
      </c>
      <c r="H19" t="s">
        <v>1314</v>
      </c>
      <c r="I19" t="s">
        <v>1320</v>
      </c>
      <c r="J19">
        <v>1</v>
      </c>
    </row>
    <row r="20" spans="1:10" x14ac:dyDescent="0.25">
      <c r="A20">
        <v>267</v>
      </c>
      <c r="B20" t="s">
        <v>51</v>
      </c>
      <c r="C20" t="s">
        <v>463</v>
      </c>
      <c r="D20" s="11" t="s">
        <v>1218</v>
      </c>
      <c r="E20" t="s">
        <v>52</v>
      </c>
      <c r="F20">
        <v>4</v>
      </c>
      <c r="G20" t="s">
        <v>1557</v>
      </c>
      <c r="H20" t="s">
        <v>1314</v>
      </c>
      <c r="I20" t="s">
        <v>1320</v>
      </c>
      <c r="J20">
        <v>2</v>
      </c>
    </row>
    <row r="21" spans="1:10" x14ac:dyDescent="0.25">
      <c r="A21">
        <v>268</v>
      </c>
      <c r="B21" t="s">
        <v>53</v>
      </c>
      <c r="C21" t="s">
        <v>464</v>
      </c>
      <c r="D21" s="11" t="s">
        <v>1219</v>
      </c>
      <c r="E21" t="s">
        <v>54</v>
      </c>
      <c r="F21">
        <v>4</v>
      </c>
      <c r="G21" t="s">
        <v>1557</v>
      </c>
      <c r="H21" t="s">
        <v>1314</v>
      </c>
      <c r="I21" t="s">
        <v>1320</v>
      </c>
      <c r="J21">
        <v>3</v>
      </c>
    </row>
    <row r="22" spans="1:10" x14ac:dyDescent="0.25">
      <c r="A22">
        <v>269</v>
      </c>
      <c r="B22" t="s">
        <v>55</v>
      </c>
      <c r="C22" t="s">
        <v>465</v>
      </c>
      <c r="D22" s="11" t="s">
        <v>1220</v>
      </c>
      <c r="E22" t="s">
        <v>56</v>
      </c>
      <c r="F22">
        <v>4</v>
      </c>
      <c r="G22" t="s">
        <v>1557</v>
      </c>
      <c r="H22" t="s">
        <v>1314</v>
      </c>
      <c r="I22" t="s">
        <v>1320</v>
      </c>
      <c r="J22">
        <v>4</v>
      </c>
    </row>
    <row r="23" spans="1:10" x14ac:dyDescent="0.25">
      <c r="A23">
        <v>270</v>
      </c>
      <c r="B23" t="s">
        <v>57</v>
      </c>
      <c r="C23" t="s">
        <v>466</v>
      </c>
      <c r="D23" s="11" t="s">
        <v>1221</v>
      </c>
      <c r="E23" t="s">
        <v>58</v>
      </c>
      <c r="F23">
        <v>4</v>
      </c>
      <c r="G23" t="s">
        <v>1557</v>
      </c>
      <c r="H23" t="s">
        <v>1314</v>
      </c>
      <c r="I23" t="s">
        <v>1320</v>
      </c>
      <c r="J23">
        <v>5</v>
      </c>
    </row>
    <row r="24" spans="1:10" x14ac:dyDescent="0.25">
      <c r="A24">
        <v>271</v>
      </c>
      <c r="B24" t="s">
        <v>59</v>
      </c>
      <c r="C24" t="s">
        <v>467</v>
      </c>
      <c r="D24" s="11" t="s">
        <v>1222</v>
      </c>
      <c r="E24" t="s">
        <v>60</v>
      </c>
      <c r="F24">
        <v>4</v>
      </c>
      <c r="G24" t="s">
        <v>1557</v>
      </c>
      <c r="H24" t="s">
        <v>1314</v>
      </c>
      <c r="I24" t="s">
        <v>1320</v>
      </c>
      <c r="J24">
        <v>6</v>
      </c>
    </row>
    <row r="25" spans="1:10" x14ac:dyDescent="0.25">
      <c r="A25">
        <v>272</v>
      </c>
      <c r="B25" t="s">
        <v>61</v>
      </c>
      <c r="C25" t="s">
        <v>234</v>
      </c>
      <c r="D25" s="11" t="s">
        <v>1223</v>
      </c>
      <c r="E25" t="s">
        <v>62</v>
      </c>
      <c r="F25">
        <v>4</v>
      </c>
      <c r="G25" t="s">
        <v>1557</v>
      </c>
      <c r="H25" t="s">
        <v>1314</v>
      </c>
      <c r="I25" t="s">
        <v>1320</v>
      </c>
      <c r="J25">
        <v>7</v>
      </c>
    </row>
    <row r="26" spans="1:10" x14ac:dyDescent="0.25">
      <c r="A26">
        <v>273</v>
      </c>
      <c r="B26" t="s">
        <v>63</v>
      </c>
      <c r="C26" t="s">
        <v>468</v>
      </c>
      <c r="D26" s="11" t="s">
        <v>1224</v>
      </c>
      <c r="E26" t="s">
        <v>64</v>
      </c>
      <c r="F26">
        <v>4</v>
      </c>
      <c r="G26" t="s">
        <v>1557</v>
      </c>
      <c r="H26" t="s">
        <v>1314</v>
      </c>
      <c r="I26" t="s">
        <v>1320</v>
      </c>
      <c r="J26">
        <v>8</v>
      </c>
    </row>
    <row r="27" spans="1:10" x14ac:dyDescent="0.25">
      <c r="A27">
        <v>274</v>
      </c>
      <c r="B27" t="s">
        <v>65</v>
      </c>
      <c r="C27" t="s">
        <v>469</v>
      </c>
      <c r="D27" s="11" t="s">
        <v>1225</v>
      </c>
      <c r="E27" t="s">
        <v>66</v>
      </c>
      <c r="F27">
        <v>4</v>
      </c>
      <c r="G27" t="s">
        <v>1557</v>
      </c>
      <c r="H27" t="s">
        <v>1314</v>
      </c>
      <c r="I27" t="s">
        <v>1320</v>
      </c>
      <c r="J27">
        <v>9</v>
      </c>
    </row>
    <row r="28" spans="1:10" x14ac:dyDescent="0.25">
      <c r="A28">
        <v>275</v>
      </c>
      <c r="B28" t="s">
        <v>67</v>
      </c>
      <c r="C28" t="s">
        <v>470</v>
      </c>
      <c r="D28" s="11" t="s">
        <v>1226</v>
      </c>
      <c r="E28" t="s">
        <v>68</v>
      </c>
      <c r="F28">
        <v>4</v>
      </c>
      <c r="G28" t="s">
        <v>1557</v>
      </c>
      <c r="H28" t="s">
        <v>1314</v>
      </c>
      <c r="I28" t="s">
        <v>1320</v>
      </c>
      <c r="J28">
        <v>10</v>
      </c>
    </row>
    <row r="29" spans="1:10" x14ac:dyDescent="0.25">
      <c r="A29">
        <v>276</v>
      </c>
      <c r="B29" t="s">
        <v>69</v>
      </c>
      <c r="C29" t="s">
        <v>471</v>
      </c>
      <c r="D29" s="11" t="s">
        <v>1227</v>
      </c>
      <c r="E29" t="s">
        <v>70</v>
      </c>
      <c r="F29">
        <v>4</v>
      </c>
      <c r="G29" t="s">
        <v>1557</v>
      </c>
      <c r="H29" t="s">
        <v>1314</v>
      </c>
      <c r="I29" t="s">
        <v>1320</v>
      </c>
      <c r="J29">
        <v>11</v>
      </c>
    </row>
    <row r="30" spans="1:10" x14ac:dyDescent="0.25">
      <c r="A30">
        <v>277</v>
      </c>
      <c r="B30" t="s">
        <v>1345</v>
      </c>
      <c r="C30" t="s">
        <v>472</v>
      </c>
      <c r="D30" s="11" t="s">
        <v>1228</v>
      </c>
      <c r="E30" t="s">
        <v>71</v>
      </c>
      <c r="F30">
        <v>4</v>
      </c>
      <c r="G30" t="s">
        <v>1557</v>
      </c>
      <c r="H30" t="s">
        <v>1315</v>
      </c>
      <c r="I30" t="s">
        <v>1327</v>
      </c>
      <c r="J30">
        <v>1</v>
      </c>
    </row>
    <row r="31" spans="1:10" x14ac:dyDescent="0.25">
      <c r="A31">
        <v>278</v>
      </c>
      <c r="B31" t="s">
        <v>1346</v>
      </c>
      <c r="C31" t="s">
        <v>473</v>
      </c>
      <c r="D31" s="11" t="s">
        <v>1229</v>
      </c>
      <c r="E31" t="s">
        <v>72</v>
      </c>
      <c r="F31">
        <v>4</v>
      </c>
      <c r="G31" t="s">
        <v>1557</v>
      </c>
      <c r="H31" t="s">
        <v>1315</v>
      </c>
      <c r="I31" t="s">
        <v>1327</v>
      </c>
      <c r="J31">
        <v>2</v>
      </c>
    </row>
    <row r="32" spans="1:10" x14ac:dyDescent="0.25">
      <c r="A32">
        <v>279</v>
      </c>
      <c r="B32" t="s">
        <v>1347</v>
      </c>
      <c r="C32" t="s">
        <v>474</v>
      </c>
      <c r="D32" s="11" t="s">
        <v>1230</v>
      </c>
      <c r="E32" t="s">
        <v>73</v>
      </c>
      <c r="F32">
        <v>4</v>
      </c>
      <c r="G32" t="s">
        <v>1557</v>
      </c>
      <c r="H32" t="s">
        <v>1315</v>
      </c>
      <c r="I32" t="s">
        <v>1327</v>
      </c>
      <c r="J32">
        <v>3</v>
      </c>
    </row>
    <row r="33" spans="1:10" x14ac:dyDescent="0.25">
      <c r="A33">
        <v>280</v>
      </c>
      <c r="B33" t="s">
        <v>1348</v>
      </c>
      <c r="C33" t="s">
        <v>475</v>
      </c>
      <c r="D33" s="11" t="s">
        <v>1231</v>
      </c>
      <c r="E33" t="s">
        <v>74</v>
      </c>
      <c r="F33">
        <v>4</v>
      </c>
      <c r="G33" t="s">
        <v>1557</v>
      </c>
      <c r="H33" t="s">
        <v>1315</v>
      </c>
      <c r="I33" t="s">
        <v>1327</v>
      </c>
      <c r="J33">
        <v>4</v>
      </c>
    </row>
    <row r="34" spans="1:10" x14ac:dyDescent="0.25">
      <c r="A34">
        <v>281</v>
      </c>
      <c r="B34" t="s">
        <v>1349</v>
      </c>
      <c r="C34" t="s">
        <v>476</v>
      </c>
      <c r="D34" s="11" t="s">
        <v>1232</v>
      </c>
      <c r="E34" t="s">
        <v>75</v>
      </c>
      <c r="F34">
        <v>4</v>
      </c>
      <c r="G34" t="s">
        <v>1557</v>
      </c>
      <c r="H34" t="s">
        <v>1315</v>
      </c>
      <c r="I34" t="s">
        <v>1327</v>
      </c>
      <c r="J34">
        <v>5</v>
      </c>
    </row>
    <row r="35" spans="1:10" x14ac:dyDescent="0.25">
      <c r="A35">
        <v>282</v>
      </c>
      <c r="B35" t="s">
        <v>1350</v>
      </c>
      <c r="C35" t="s">
        <v>477</v>
      </c>
      <c r="D35" s="11" t="s">
        <v>1233</v>
      </c>
      <c r="E35" t="s">
        <v>76</v>
      </c>
      <c r="F35">
        <v>4</v>
      </c>
      <c r="G35" t="s">
        <v>1557</v>
      </c>
      <c r="H35" t="s">
        <v>1315</v>
      </c>
      <c r="I35" t="s">
        <v>1327</v>
      </c>
      <c r="J35">
        <v>6</v>
      </c>
    </row>
    <row r="36" spans="1:10" x14ac:dyDescent="0.25">
      <c r="A36">
        <v>283</v>
      </c>
      <c r="B36" t="s">
        <v>1351</v>
      </c>
      <c r="C36" t="s">
        <v>77</v>
      </c>
      <c r="D36" s="11" t="s">
        <v>1234</v>
      </c>
      <c r="E36" t="s">
        <v>77</v>
      </c>
      <c r="F36">
        <v>4</v>
      </c>
      <c r="G36" t="s">
        <v>1557</v>
      </c>
      <c r="H36" t="s">
        <v>1315</v>
      </c>
      <c r="I36" t="s">
        <v>1327</v>
      </c>
      <c r="J36">
        <v>7</v>
      </c>
    </row>
    <row r="37" spans="1:10" x14ac:dyDescent="0.25">
      <c r="A37">
        <v>284</v>
      </c>
      <c r="B37" t="s">
        <v>1352</v>
      </c>
      <c r="C37" t="s">
        <v>78</v>
      </c>
      <c r="D37" s="11" t="s">
        <v>1235</v>
      </c>
      <c r="E37" t="s">
        <v>78</v>
      </c>
      <c r="F37">
        <v>4</v>
      </c>
      <c r="G37" t="s">
        <v>1557</v>
      </c>
      <c r="H37" t="s">
        <v>1315</v>
      </c>
      <c r="I37" t="s">
        <v>1327</v>
      </c>
      <c r="J37">
        <v>8</v>
      </c>
    </row>
    <row r="38" spans="1:10" x14ac:dyDescent="0.25">
      <c r="A38">
        <v>322</v>
      </c>
      <c r="B38" t="s">
        <v>79</v>
      </c>
      <c r="C38" t="s">
        <v>478</v>
      </c>
      <c r="D38" s="11" t="s">
        <v>1272</v>
      </c>
      <c r="E38" t="s">
        <v>80</v>
      </c>
      <c r="F38">
        <v>5</v>
      </c>
      <c r="G38" t="s">
        <v>1565</v>
      </c>
      <c r="H38" t="s">
        <v>1315</v>
      </c>
      <c r="I38" t="s">
        <v>1326</v>
      </c>
      <c r="J38">
        <v>1</v>
      </c>
    </row>
    <row r="39" spans="1:10" x14ac:dyDescent="0.25">
      <c r="A39">
        <v>323</v>
      </c>
      <c r="B39" t="s">
        <v>81</v>
      </c>
      <c r="C39" t="s">
        <v>479</v>
      </c>
      <c r="D39" s="11" t="s">
        <v>1273</v>
      </c>
      <c r="E39" t="s">
        <v>82</v>
      </c>
      <c r="F39">
        <v>5</v>
      </c>
      <c r="G39" t="s">
        <v>1565</v>
      </c>
      <c r="H39" t="s">
        <v>1315</v>
      </c>
      <c r="I39" t="s">
        <v>1326</v>
      </c>
      <c r="J39">
        <v>8</v>
      </c>
    </row>
    <row r="40" spans="1:10" x14ac:dyDescent="0.25">
      <c r="A40">
        <v>324</v>
      </c>
      <c r="B40" t="s">
        <v>83</v>
      </c>
      <c r="C40" t="s">
        <v>480</v>
      </c>
      <c r="D40" s="11" t="s">
        <v>1274</v>
      </c>
      <c r="E40" t="s">
        <v>84</v>
      </c>
      <c r="F40">
        <v>5</v>
      </c>
      <c r="G40" t="s">
        <v>1565</v>
      </c>
      <c r="H40" t="s">
        <v>1315</v>
      </c>
      <c r="I40" t="s">
        <v>1326</v>
      </c>
      <c r="J40">
        <v>7</v>
      </c>
    </row>
    <row r="41" spans="1:10" x14ac:dyDescent="0.25">
      <c r="A41">
        <v>325</v>
      </c>
      <c r="B41" t="s">
        <v>85</v>
      </c>
      <c r="C41" t="s">
        <v>481</v>
      </c>
      <c r="D41" s="11" t="s">
        <v>1275</v>
      </c>
      <c r="E41" t="s">
        <v>86</v>
      </c>
      <c r="F41">
        <v>5</v>
      </c>
      <c r="G41" t="s">
        <v>1565</v>
      </c>
      <c r="H41" t="s">
        <v>1315</v>
      </c>
      <c r="I41" t="s">
        <v>1326</v>
      </c>
      <c r="J41">
        <v>9</v>
      </c>
    </row>
    <row r="42" spans="1:10" x14ac:dyDescent="0.25">
      <c r="A42">
        <v>326</v>
      </c>
      <c r="B42" t="s">
        <v>87</v>
      </c>
      <c r="C42" t="s">
        <v>482</v>
      </c>
      <c r="D42" s="11" t="s">
        <v>1276</v>
      </c>
      <c r="E42" t="s">
        <v>88</v>
      </c>
      <c r="F42">
        <v>5</v>
      </c>
      <c r="G42" t="s">
        <v>1565</v>
      </c>
      <c r="H42" t="s">
        <v>1315</v>
      </c>
      <c r="I42" t="s">
        <v>1326</v>
      </c>
      <c r="J42">
        <v>11</v>
      </c>
    </row>
    <row r="43" spans="1:10" x14ac:dyDescent="0.25">
      <c r="A43">
        <v>327</v>
      </c>
      <c r="B43" t="s">
        <v>89</v>
      </c>
      <c r="C43" t="s">
        <v>483</v>
      </c>
      <c r="D43" s="11" t="s">
        <v>1277</v>
      </c>
      <c r="E43" t="s">
        <v>90</v>
      </c>
      <c r="F43">
        <v>5</v>
      </c>
      <c r="G43" t="s">
        <v>1565</v>
      </c>
      <c r="H43" t="s">
        <v>1315</v>
      </c>
      <c r="I43" t="s">
        <v>1326</v>
      </c>
      <c r="J43">
        <v>5</v>
      </c>
    </row>
    <row r="44" spans="1:10" x14ac:dyDescent="0.25">
      <c r="A44">
        <v>328</v>
      </c>
      <c r="B44" t="s">
        <v>91</v>
      </c>
      <c r="C44" t="s">
        <v>484</v>
      </c>
      <c r="D44" s="11" t="s">
        <v>1278</v>
      </c>
      <c r="E44" t="s">
        <v>92</v>
      </c>
      <c r="F44">
        <v>5</v>
      </c>
      <c r="G44" t="s">
        <v>1565</v>
      </c>
      <c r="H44" t="s">
        <v>1315</v>
      </c>
      <c r="I44" t="s">
        <v>1326</v>
      </c>
      <c r="J44">
        <v>6</v>
      </c>
    </row>
    <row r="45" spans="1:10" x14ac:dyDescent="0.25">
      <c r="A45">
        <v>329</v>
      </c>
      <c r="B45" t="s">
        <v>93</v>
      </c>
      <c r="C45" t="s">
        <v>418</v>
      </c>
      <c r="D45" s="11" t="s">
        <v>1279</v>
      </c>
      <c r="E45" t="s">
        <v>94</v>
      </c>
      <c r="F45">
        <v>5</v>
      </c>
      <c r="G45" t="s">
        <v>1565</v>
      </c>
      <c r="H45" t="s">
        <v>1315</v>
      </c>
      <c r="I45" t="s">
        <v>1326</v>
      </c>
      <c r="J45">
        <v>2</v>
      </c>
    </row>
    <row r="46" spans="1:10" x14ac:dyDescent="0.25">
      <c r="A46">
        <v>330</v>
      </c>
      <c r="B46" t="s">
        <v>95</v>
      </c>
      <c r="C46" t="s">
        <v>485</v>
      </c>
      <c r="D46" s="11" t="s">
        <v>1280</v>
      </c>
      <c r="E46" t="s">
        <v>96</v>
      </c>
      <c r="F46">
        <v>5</v>
      </c>
      <c r="G46" t="s">
        <v>1565</v>
      </c>
      <c r="H46" t="s">
        <v>1315</v>
      </c>
      <c r="I46" t="s">
        <v>1326</v>
      </c>
      <c r="J46">
        <v>3</v>
      </c>
    </row>
    <row r="47" spans="1:10" x14ac:dyDescent="0.25">
      <c r="A47">
        <v>331</v>
      </c>
      <c r="B47" t="s">
        <v>97</v>
      </c>
      <c r="C47" t="s">
        <v>486</v>
      </c>
      <c r="D47" s="11" t="s">
        <v>1281</v>
      </c>
      <c r="E47" t="s">
        <v>98</v>
      </c>
      <c r="F47">
        <v>5</v>
      </c>
      <c r="G47" t="s">
        <v>1565</v>
      </c>
      <c r="H47" t="s">
        <v>1315</v>
      </c>
      <c r="I47" t="s">
        <v>1326</v>
      </c>
      <c r="J47">
        <v>4</v>
      </c>
    </row>
    <row r="48" spans="1:10" x14ac:dyDescent="0.25">
      <c r="A48">
        <v>29</v>
      </c>
      <c r="B48" t="s">
        <v>99</v>
      </c>
      <c r="C48" t="s">
        <v>487</v>
      </c>
      <c r="D48" s="11" t="s">
        <v>982</v>
      </c>
      <c r="E48" t="s">
        <v>100</v>
      </c>
      <c r="F48">
        <v>6</v>
      </c>
      <c r="G48" t="s">
        <v>1580</v>
      </c>
      <c r="H48" t="s">
        <v>1318</v>
      </c>
      <c r="I48" t="s">
        <v>1341</v>
      </c>
      <c r="J48">
        <v>1</v>
      </c>
    </row>
    <row r="49" spans="1:10" x14ac:dyDescent="0.25">
      <c r="A49">
        <v>30</v>
      </c>
      <c r="B49" t="s">
        <v>101</v>
      </c>
      <c r="C49" t="s">
        <v>488</v>
      </c>
      <c r="D49" s="11" t="s">
        <v>983</v>
      </c>
      <c r="E49" t="s">
        <v>102</v>
      </c>
      <c r="F49">
        <v>6</v>
      </c>
      <c r="G49" t="s">
        <v>1580</v>
      </c>
      <c r="H49" t="s">
        <v>1318</v>
      </c>
      <c r="I49" t="s">
        <v>1341</v>
      </c>
      <c r="J49">
        <v>2</v>
      </c>
    </row>
    <row r="50" spans="1:10" x14ac:dyDescent="0.25">
      <c r="A50">
        <v>31</v>
      </c>
      <c r="B50" t="s">
        <v>103</v>
      </c>
      <c r="C50" t="s">
        <v>489</v>
      </c>
      <c r="D50" s="11" t="s">
        <v>984</v>
      </c>
      <c r="E50" t="s">
        <v>104</v>
      </c>
      <c r="F50">
        <v>6</v>
      </c>
      <c r="G50" t="s">
        <v>1580</v>
      </c>
      <c r="H50" t="s">
        <v>1318</v>
      </c>
      <c r="I50" t="s">
        <v>1341</v>
      </c>
      <c r="J50">
        <v>3</v>
      </c>
    </row>
    <row r="51" spans="1:10" x14ac:dyDescent="0.25">
      <c r="A51">
        <v>32</v>
      </c>
      <c r="B51" t="s">
        <v>105</v>
      </c>
      <c r="C51" t="s">
        <v>490</v>
      </c>
      <c r="D51" s="11" t="s">
        <v>985</v>
      </c>
      <c r="E51" t="s">
        <v>106</v>
      </c>
      <c r="F51">
        <v>6</v>
      </c>
      <c r="G51" t="s">
        <v>1580</v>
      </c>
      <c r="H51" t="s">
        <v>1318</v>
      </c>
      <c r="I51" t="s">
        <v>1341</v>
      </c>
      <c r="J51">
        <v>4</v>
      </c>
    </row>
    <row r="52" spans="1:10" x14ac:dyDescent="0.25">
      <c r="A52">
        <v>33</v>
      </c>
      <c r="B52" t="s">
        <v>107</v>
      </c>
      <c r="C52" t="s">
        <v>491</v>
      </c>
      <c r="D52" s="11" t="s">
        <v>986</v>
      </c>
      <c r="E52" t="s">
        <v>108</v>
      </c>
      <c r="F52">
        <v>6</v>
      </c>
      <c r="G52" t="s">
        <v>1580</v>
      </c>
      <c r="H52" t="s">
        <v>1318</v>
      </c>
      <c r="I52" t="s">
        <v>1341</v>
      </c>
      <c r="J52">
        <v>5</v>
      </c>
    </row>
    <row r="53" spans="1:10" x14ac:dyDescent="0.25">
      <c r="A53">
        <v>34</v>
      </c>
      <c r="B53" t="s">
        <v>109</v>
      </c>
      <c r="C53" t="s">
        <v>492</v>
      </c>
      <c r="D53" s="11" t="s">
        <v>987</v>
      </c>
      <c r="E53" t="s">
        <v>110</v>
      </c>
      <c r="F53">
        <v>6</v>
      </c>
      <c r="G53" t="s">
        <v>1580</v>
      </c>
      <c r="H53" t="s">
        <v>1318</v>
      </c>
      <c r="I53" t="s">
        <v>1341</v>
      </c>
      <c r="J53">
        <v>6</v>
      </c>
    </row>
    <row r="54" spans="1:10" x14ac:dyDescent="0.25">
      <c r="A54">
        <v>35</v>
      </c>
      <c r="B54" t="s">
        <v>111</v>
      </c>
      <c r="C54" t="s">
        <v>493</v>
      </c>
      <c r="D54" s="11" t="s">
        <v>988</v>
      </c>
      <c r="E54" t="s">
        <v>112</v>
      </c>
      <c r="F54">
        <v>6</v>
      </c>
      <c r="G54" t="s">
        <v>1580</v>
      </c>
      <c r="H54" t="s">
        <v>1318</v>
      </c>
      <c r="I54" t="s">
        <v>1341</v>
      </c>
      <c r="J54">
        <v>7</v>
      </c>
    </row>
    <row r="55" spans="1:10" x14ac:dyDescent="0.25">
      <c r="A55">
        <v>36</v>
      </c>
      <c r="B55" t="s">
        <v>113</v>
      </c>
      <c r="C55" t="s">
        <v>494</v>
      </c>
      <c r="D55" s="11" t="s">
        <v>989</v>
      </c>
      <c r="E55" t="s">
        <v>114</v>
      </c>
      <c r="F55">
        <v>6</v>
      </c>
      <c r="G55" t="s">
        <v>1580</v>
      </c>
      <c r="H55" t="s">
        <v>1318</v>
      </c>
      <c r="I55" t="s">
        <v>1341</v>
      </c>
      <c r="J55">
        <v>8</v>
      </c>
    </row>
    <row r="56" spans="1:10" x14ac:dyDescent="0.25">
      <c r="A56">
        <v>177</v>
      </c>
      <c r="B56" t="s">
        <v>115</v>
      </c>
      <c r="C56" t="s">
        <v>737</v>
      </c>
      <c r="D56" s="11" t="s">
        <v>1130</v>
      </c>
      <c r="E56" t="s">
        <v>182</v>
      </c>
      <c r="F56">
        <v>6</v>
      </c>
      <c r="G56" t="s">
        <v>1580</v>
      </c>
      <c r="H56" t="s">
        <v>1316</v>
      </c>
      <c r="I56" t="s">
        <v>1331</v>
      </c>
      <c r="J56">
        <v>1</v>
      </c>
    </row>
    <row r="57" spans="1:10" x14ac:dyDescent="0.25">
      <c r="A57">
        <v>178</v>
      </c>
      <c r="B57" t="s">
        <v>116</v>
      </c>
      <c r="C57" t="s">
        <v>495</v>
      </c>
      <c r="D57" s="11" t="s">
        <v>1131</v>
      </c>
      <c r="E57" t="s">
        <v>117</v>
      </c>
      <c r="F57">
        <v>6</v>
      </c>
      <c r="G57" t="s">
        <v>1580</v>
      </c>
      <c r="H57" t="s">
        <v>1316</v>
      </c>
      <c r="I57" t="s">
        <v>1331</v>
      </c>
      <c r="J57">
        <v>2</v>
      </c>
    </row>
    <row r="58" spans="1:10" x14ac:dyDescent="0.25">
      <c r="A58">
        <v>137</v>
      </c>
      <c r="B58" t="s">
        <v>118</v>
      </c>
      <c r="C58" t="s">
        <v>496</v>
      </c>
      <c r="D58" s="11" t="s">
        <v>1090</v>
      </c>
      <c r="E58" t="s">
        <v>119</v>
      </c>
      <c r="F58">
        <v>7</v>
      </c>
      <c r="G58" t="s">
        <v>1571</v>
      </c>
      <c r="H58" t="s">
        <v>1314</v>
      </c>
      <c r="I58" t="s">
        <v>1321</v>
      </c>
      <c r="J58">
        <v>8</v>
      </c>
    </row>
    <row r="59" spans="1:10" x14ac:dyDescent="0.25">
      <c r="A59">
        <v>138</v>
      </c>
      <c r="B59" t="s">
        <v>120</v>
      </c>
      <c r="C59" t="s">
        <v>497</v>
      </c>
      <c r="D59" s="11" t="s">
        <v>1091</v>
      </c>
      <c r="E59" t="s">
        <v>121</v>
      </c>
      <c r="F59">
        <v>7</v>
      </c>
      <c r="G59" t="s">
        <v>1571</v>
      </c>
      <c r="H59" t="s">
        <v>1314</v>
      </c>
      <c r="I59" t="s">
        <v>1321</v>
      </c>
      <c r="J59">
        <v>9</v>
      </c>
    </row>
    <row r="60" spans="1:10" x14ac:dyDescent="0.25">
      <c r="A60">
        <v>139</v>
      </c>
      <c r="B60" t="s">
        <v>122</v>
      </c>
      <c r="C60" t="s">
        <v>498</v>
      </c>
      <c r="D60" s="11" t="s">
        <v>1092</v>
      </c>
      <c r="E60" t="s">
        <v>123</v>
      </c>
      <c r="F60">
        <v>7</v>
      </c>
      <c r="G60" t="s">
        <v>1571</v>
      </c>
      <c r="H60" t="s">
        <v>1314</v>
      </c>
      <c r="I60" t="s">
        <v>1321</v>
      </c>
      <c r="J60">
        <v>15</v>
      </c>
    </row>
    <row r="61" spans="1:10" x14ac:dyDescent="0.25">
      <c r="A61">
        <v>140</v>
      </c>
      <c r="B61" t="s">
        <v>124</v>
      </c>
      <c r="C61" t="s">
        <v>1312</v>
      </c>
      <c r="D61" s="11" t="s">
        <v>1093</v>
      </c>
      <c r="E61" t="s">
        <v>125</v>
      </c>
      <c r="F61">
        <v>7</v>
      </c>
      <c r="G61" t="s">
        <v>1571</v>
      </c>
      <c r="H61" t="s">
        <v>1314</v>
      </c>
      <c r="I61" t="s">
        <v>1321</v>
      </c>
      <c r="J61">
        <v>16</v>
      </c>
    </row>
    <row r="62" spans="1:10" x14ac:dyDescent="0.25">
      <c r="A62">
        <v>141</v>
      </c>
      <c r="B62" t="s">
        <v>126</v>
      </c>
      <c r="C62" t="s">
        <v>499</v>
      </c>
      <c r="D62" s="11" t="s">
        <v>1094</v>
      </c>
      <c r="E62" t="s">
        <v>127</v>
      </c>
      <c r="F62">
        <v>7</v>
      </c>
      <c r="G62" t="s">
        <v>1571</v>
      </c>
      <c r="H62" t="s">
        <v>1314</v>
      </c>
      <c r="I62" t="s">
        <v>1321</v>
      </c>
      <c r="J62">
        <v>17</v>
      </c>
    </row>
    <row r="63" spans="1:10" x14ac:dyDescent="0.25">
      <c r="A63">
        <v>142</v>
      </c>
      <c r="B63" t="s">
        <v>128</v>
      </c>
      <c r="C63" t="s">
        <v>500</v>
      </c>
      <c r="D63" s="11" t="s">
        <v>1095</v>
      </c>
      <c r="E63" t="s">
        <v>129</v>
      </c>
      <c r="F63">
        <v>7</v>
      </c>
      <c r="G63" t="s">
        <v>1571</v>
      </c>
      <c r="H63" t="s">
        <v>752</v>
      </c>
      <c r="I63" t="s">
        <v>752</v>
      </c>
    </row>
    <row r="64" spans="1:10" x14ac:dyDescent="0.25">
      <c r="A64">
        <v>143</v>
      </c>
      <c r="B64" t="s">
        <v>130</v>
      </c>
      <c r="C64" t="s">
        <v>501</v>
      </c>
      <c r="D64" s="11" t="s">
        <v>1096</v>
      </c>
      <c r="E64" t="s">
        <v>131</v>
      </c>
      <c r="F64">
        <v>7</v>
      </c>
      <c r="G64" t="s">
        <v>1571</v>
      </c>
      <c r="H64" t="s">
        <v>1314</v>
      </c>
      <c r="I64" t="s">
        <v>1321</v>
      </c>
      <c r="J64">
        <v>19</v>
      </c>
    </row>
    <row r="65" spans="1:10" x14ac:dyDescent="0.25">
      <c r="A65">
        <v>144</v>
      </c>
      <c r="B65" t="s">
        <v>132</v>
      </c>
      <c r="C65" t="s">
        <v>502</v>
      </c>
      <c r="D65" s="11" t="s">
        <v>1097</v>
      </c>
      <c r="E65" t="s">
        <v>133</v>
      </c>
      <c r="F65">
        <v>7</v>
      </c>
      <c r="G65" t="s">
        <v>1571</v>
      </c>
      <c r="H65" t="s">
        <v>1314</v>
      </c>
      <c r="I65" t="s">
        <v>1321</v>
      </c>
      <c r="J65">
        <v>20</v>
      </c>
    </row>
    <row r="66" spans="1:10" x14ac:dyDescent="0.25">
      <c r="A66">
        <v>145</v>
      </c>
      <c r="B66" t="s">
        <v>134</v>
      </c>
      <c r="C66" t="s">
        <v>503</v>
      </c>
      <c r="D66" s="11" t="s">
        <v>1098</v>
      </c>
      <c r="E66" t="s">
        <v>135</v>
      </c>
      <c r="F66">
        <v>7</v>
      </c>
      <c r="G66" t="s">
        <v>1571</v>
      </c>
      <c r="H66" t="s">
        <v>1314</v>
      </c>
      <c r="I66" t="s">
        <v>1321</v>
      </c>
      <c r="J66">
        <v>21</v>
      </c>
    </row>
    <row r="67" spans="1:10" x14ac:dyDescent="0.25">
      <c r="A67">
        <v>146</v>
      </c>
      <c r="B67" t="s">
        <v>1357</v>
      </c>
      <c r="C67" t="s">
        <v>504</v>
      </c>
      <c r="D67" s="11" t="s">
        <v>1099</v>
      </c>
      <c r="E67" t="s">
        <v>136</v>
      </c>
      <c r="F67">
        <v>7</v>
      </c>
      <c r="G67" t="s">
        <v>1571</v>
      </c>
      <c r="H67" t="s">
        <v>1314</v>
      </c>
      <c r="I67" t="s">
        <v>1321</v>
      </c>
      <c r="J67">
        <v>22</v>
      </c>
    </row>
    <row r="68" spans="1:10" x14ac:dyDescent="0.25">
      <c r="A68">
        <v>333</v>
      </c>
      <c r="B68" t="s">
        <v>137</v>
      </c>
      <c r="C68" t="s">
        <v>505</v>
      </c>
      <c r="D68" s="11" t="s">
        <v>1282</v>
      </c>
      <c r="E68" t="s">
        <v>138</v>
      </c>
      <c r="F68">
        <v>7</v>
      </c>
      <c r="G68" t="s">
        <v>1571</v>
      </c>
      <c r="H68" t="s">
        <v>1314</v>
      </c>
      <c r="I68" t="s">
        <v>1321</v>
      </c>
      <c r="J68">
        <v>10</v>
      </c>
    </row>
    <row r="69" spans="1:10" x14ac:dyDescent="0.25">
      <c r="A69">
        <v>334</v>
      </c>
      <c r="B69" t="s">
        <v>139</v>
      </c>
      <c r="C69" t="s">
        <v>506</v>
      </c>
      <c r="D69" s="11" t="s">
        <v>1283</v>
      </c>
      <c r="E69" t="s">
        <v>140</v>
      </c>
      <c r="F69">
        <v>7</v>
      </c>
      <c r="G69" t="s">
        <v>1571</v>
      </c>
      <c r="H69" t="s">
        <v>1314</v>
      </c>
      <c r="I69" t="s">
        <v>1321</v>
      </c>
      <c r="J69">
        <v>11</v>
      </c>
    </row>
    <row r="70" spans="1:10" x14ac:dyDescent="0.25">
      <c r="A70">
        <v>335</v>
      </c>
      <c r="B70" t="s">
        <v>141</v>
      </c>
      <c r="C70" t="s">
        <v>507</v>
      </c>
      <c r="D70" s="11" t="s">
        <v>1284</v>
      </c>
      <c r="E70" t="s">
        <v>142</v>
      </c>
      <c r="F70">
        <v>7</v>
      </c>
      <c r="G70" t="s">
        <v>1571</v>
      </c>
      <c r="H70" t="s">
        <v>1314</v>
      </c>
      <c r="I70" t="s">
        <v>1321</v>
      </c>
      <c r="J70">
        <v>12</v>
      </c>
    </row>
    <row r="71" spans="1:10" x14ac:dyDescent="0.25">
      <c r="A71">
        <v>243</v>
      </c>
      <c r="B71" t="s">
        <v>143</v>
      </c>
      <c r="C71" t="s">
        <v>508</v>
      </c>
      <c r="D71" s="11" t="s">
        <v>1194</v>
      </c>
      <c r="E71" t="s">
        <v>144</v>
      </c>
      <c r="F71">
        <v>8</v>
      </c>
      <c r="G71" t="s">
        <v>1555</v>
      </c>
      <c r="H71" t="s">
        <v>1315</v>
      </c>
      <c r="I71" t="s">
        <v>1328</v>
      </c>
      <c r="J71">
        <v>7</v>
      </c>
    </row>
    <row r="72" spans="1:10" x14ac:dyDescent="0.25">
      <c r="A72">
        <v>244</v>
      </c>
      <c r="B72" t="s">
        <v>145</v>
      </c>
      <c r="C72" t="s">
        <v>509</v>
      </c>
      <c r="D72" s="11" t="s">
        <v>1195</v>
      </c>
      <c r="E72" t="s">
        <v>146</v>
      </c>
      <c r="F72">
        <v>8</v>
      </c>
      <c r="G72" t="s">
        <v>1555</v>
      </c>
      <c r="H72" t="s">
        <v>1315</v>
      </c>
      <c r="I72" t="s">
        <v>1328</v>
      </c>
      <c r="J72">
        <v>8</v>
      </c>
    </row>
    <row r="73" spans="1:10" x14ac:dyDescent="0.25">
      <c r="A73">
        <v>245</v>
      </c>
      <c r="B73" t="s">
        <v>147</v>
      </c>
      <c r="C73" t="s">
        <v>511</v>
      </c>
      <c r="D73" s="11" t="s">
        <v>1196</v>
      </c>
      <c r="E73" t="s">
        <v>148</v>
      </c>
      <c r="F73">
        <v>8</v>
      </c>
      <c r="G73" t="s">
        <v>1555</v>
      </c>
      <c r="H73" t="s">
        <v>1315</v>
      </c>
      <c r="I73" t="s">
        <v>1328</v>
      </c>
      <c r="J73">
        <v>9</v>
      </c>
    </row>
    <row r="74" spans="1:10" x14ac:dyDescent="0.25">
      <c r="A74">
        <v>246</v>
      </c>
      <c r="B74" t="s">
        <v>149</v>
      </c>
      <c r="C74" t="s">
        <v>510</v>
      </c>
      <c r="D74" s="11" t="s">
        <v>1197</v>
      </c>
      <c r="E74" t="s">
        <v>150</v>
      </c>
      <c r="F74">
        <v>8</v>
      </c>
      <c r="G74" t="s">
        <v>1555</v>
      </c>
      <c r="H74" t="s">
        <v>1315</v>
      </c>
      <c r="I74" t="s">
        <v>1328</v>
      </c>
      <c r="J74">
        <v>10</v>
      </c>
    </row>
    <row r="75" spans="1:10" x14ac:dyDescent="0.25">
      <c r="A75">
        <v>247</v>
      </c>
      <c r="B75" t="s">
        <v>151</v>
      </c>
      <c r="C75" t="s">
        <v>513</v>
      </c>
      <c r="D75" s="11" t="s">
        <v>1198</v>
      </c>
      <c r="E75" t="s">
        <v>152</v>
      </c>
      <c r="F75">
        <v>8</v>
      </c>
      <c r="G75" t="s">
        <v>1555</v>
      </c>
      <c r="H75" t="s">
        <v>1315</v>
      </c>
      <c r="I75" t="s">
        <v>1328</v>
      </c>
      <c r="J75">
        <v>11</v>
      </c>
    </row>
    <row r="76" spans="1:10" x14ac:dyDescent="0.25">
      <c r="A76">
        <v>248</v>
      </c>
      <c r="B76" t="s">
        <v>153</v>
      </c>
      <c r="C76" t="s">
        <v>512</v>
      </c>
      <c r="D76" s="11" t="s">
        <v>1199</v>
      </c>
      <c r="E76" t="s">
        <v>154</v>
      </c>
      <c r="F76">
        <v>8</v>
      </c>
      <c r="G76" t="s">
        <v>1555</v>
      </c>
      <c r="H76" t="s">
        <v>1315</v>
      </c>
      <c r="I76" t="s">
        <v>1328</v>
      </c>
      <c r="J76">
        <v>12</v>
      </c>
    </row>
    <row r="77" spans="1:10" x14ac:dyDescent="0.25">
      <c r="A77">
        <v>249</v>
      </c>
      <c r="B77" t="s">
        <v>155</v>
      </c>
      <c r="C77" t="s">
        <v>514</v>
      </c>
      <c r="D77" s="11" t="s">
        <v>1200</v>
      </c>
      <c r="E77" t="s">
        <v>156</v>
      </c>
      <c r="F77">
        <v>8</v>
      </c>
      <c r="G77" t="s">
        <v>1555</v>
      </c>
      <c r="H77" t="s">
        <v>1315</v>
      </c>
      <c r="I77" t="s">
        <v>1328</v>
      </c>
      <c r="J77">
        <v>13</v>
      </c>
    </row>
    <row r="78" spans="1:10" x14ac:dyDescent="0.25">
      <c r="A78">
        <v>250</v>
      </c>
      <c r="B78" t="s">
        <v>157</v>
      </c>
      <c r="C78" t="s">
        <v>515</v>
      </c>
      <c r="D78" s="11" t="s">
        <v>1201</v>
      </c>
      <c r="E78" t="s">
        <v>158</v>
      </c>
      <c r="F78">
        <v>8</v>
      </c>
      <c r="G78" t="s">
        <v>1555</v>
      </c>
      <c r="H78" t="s">
        <v>1315</v>
      </c>
      <c r="I78" t="s">
        <v>1328</v>
      </c>
      <c r="J78">
        <v>14</v>
      </c>
    </row>
    <row r="79" spans="1:10" x14ac:dyDescent="0.25">
      <c r="A79">
        <v>251</v>
      </c>
      <c r="B79" t="s">
        <v>159</v>
      </c>
      <c r="C79" t="s">
        <v>516</v>
      </c>
      <c r="D79" s="11" t="s">
        <v>1202</v>
      </c>
      <c r="E79" t="s">
        <v>160</v>
      </c>
      <c r="F79">
        <v>8</v>
      </c>
      <c r="G79" t="s">
        <v>1555</v>
      </c>
      <c r="H79" t="s">
        <v>1315</v>
      </c>
      <c r="I79" t="s">
        <v>1328</v>
      </c>
      <c r="J79">
        <v>2</v>
      </c>
    </row>
    <row r="80" spans="1:10" x14ac:dyDescent="0.25">
      <c r="A80">
        <v>221</v>
      </c>
      <c r="B80" t="s">
        <v>161</v>
      </c>
      <c r="C80" t="s">
        <v>732</v>
      </c>
      <c r="D80" s="11" t="s">
        <v>1173</v>
      </c>
      <c r="E80" t="s">
        <v>162</v>
      </c>
      <c r="F80">
        <v>9</v>
      </c>
      <c r="G80" t="s">
        <v>1567</v>
      </c>
      <c r="H80" t="s">
        <v>1316</v>
      </c>
      <c r="I80" t="s">
        <v>1330</v>
      </c>
      <c r="J80">
        <v>2</v>
      </c>
    </row>
    <row r="81" spans="1:10" x14ac:dyDescent="0.25">
      <c r="A81">
        <v>222</v>
      </c>
      <c r="B81" t="s">
        <v>47</v>
      </c>
      <c r="C81" t="s">
        <v>733</v>
      </c>
      <c r="D81" s="11" t="s">
        <v>1174</v>
      </c>
      <c r="E81" t="s">
        <v>163</v>
      </c>
      <c r="F81">
        <v>9</v>
      </c>
      <c r="G81" t="s">
        <v>1567</v>
      </c>
      <c r="H81" t="s">
        <v>1316</v>
      </c>
      <c r="I81" t="s">
        <v>1330</v>
      </c>
      <c r="J81">
        <v>3</v>
      </c>
    </row>
    <row r="82" spans="1:10" x14ac:dyDescent="0.25">
      <c r="A82">
        <v>223</v>
      </c>
      <c r="B82" t="s">
        <v>164</v>
      </c>
      <c r="C82" t="s">
        <v>734</v>
      </c>
      <c r="D82" s="11" t="s">
        <v>1175</v>
      </c>
      <c r="E82" t="s">
        <v>165</v>
      </c>
      <c r="F82">
        <v>9</v>
      </c>
      <c r="G82" t="s">
        <v>1567</v>
      </c>
      <c r="H82" t="s">
        <v>1316</v>
      </c>
      <c r="I82" t="s">
        <v>1330</v>
      </c>
      <c r="J82">
        <v>4</v>
      </c>
    </row>
    <row r="83" spans="1:10" x14ac:dyDescent="0.25">
      <c r="A83">
        <v>224</v>
      </c>
      <c r="B83" t="s">
        <v>166</v>
      </c>
      <c r="C83" t="s">
        <v>517</v>
      </c>
      <c r="D83" s="11" t="s">
        <v>1176</v>
      </c>
      <c r="E83" t="s">
        <v>167</v>
      </c>
      <c r="F83">
        <v>9</v>
      </c>
      <c r="G83" t="s">
        <v>1567</v>
      </c>
      <c r="H83" t="s">
        <v>1316</v>
      </c>
      <c r="I83" t="s">
        <v>1330</v>
      </c>
      <c r="J83">
        <v>17</v>
      </c>
    </row>
    <row r="84" spans="1:10" x14ac:dyDescent="0.25">
      <c r="A84">
        <v>225</v>
      </c>
      <c r="B84" t="s">
        <v>168</v>
      </c>
      <c r="C84" t="s">
        <v>518</v>
      </c>
      <c r="D84" s="11" t="s">
        <v>1177</v>
      </c>
      <c r="E84" t="s">
        <v>169</v>
      </c>
      <c r="F84">
        <v>9</v>
      </c>
      <c r="G84" t="s">
        <v>1567</v>
      </c>
      <c r="H84" t="s">
        <v>1316</v>
      </c>
      <c r="I84" t="s">
        <v>1331</v>
      </c>
      <c r="J84">
        <v>4</v>
      </c>
    </row>
    <row r="85" spans="1:10" x14ac:dyDescent="0.25">
      <c r="A85">
        <v>226</v>
      </c>
      <c r="B85" t="s">
        <v>170</v>
      </c>
      <c r="C85" t="s">
        <v>519</v>
      </c>
      <c r="D85" s="11" t="s">
        <v>1178</v>
      </c>
      <c r="E85" t="s">
        <v>171</v>
      </c>
      <c r="F85">
        <v>9</v>
      </c>
      <c r="G85" t="s">
        <v>1567</v>
      </c>
      <c r="H85" t="s">
        <v>1316</v>
      </c>
      <c r="I85" t="s">
        <v>1331</v>
      </c>
      <c r="J85">
        <v>5</v>
      </c>
    </row>
    <row r="86" spans="1:10" x14ac:dyDescent="0.25">
      <c r="A86">
        <v>227</v>
      </c>
      <c r="B86" t="s">
        <v>172</v>
      </c>
      <c r="C86" t="s">
        <v>520</v>
      </c>
      <c r="D86" s="11" t="s">
        <v>1179</v>
      </c>
      <c r="E86" t="s">
        <v>173</v>
      </c>
      <c r="F86">
        <v>9</v>
      </c>
      <c r="G86" t="s">
        <v>1567</v>
      </c>
      <c r="H86" t="s">
        <v>1316</v>
      </c>
      <c r="I86" t="s">
        <v>1331</v>
      </c>
      <c r="J86">
        <v>6</v>
      </c>
    </row>
    <row r="87" spans="1:10" x14ac:dyDescent="0.25">
      <c r="A87">
        <v>228</v>
      </c>
      <c r="B87" t="s">
        <v>174</v>
      </c>
      <c r="C87" t="s">
        <v>521</v>
      </c>
      <c r="D87" s="11" t="s">
        <v>1180</v>
      </c>
      <c r="E87" t="s">
        <v>175</v>
      </c>
      <c r="F87">
        <v>9</v>
      </c>
      <c r="G87" t="s">
        <v>1567</v>
      </c>
      <c r="H87" t="s">
        <v>1316</v>
      </c>
      <c r="I87" t="s">
        <v>1330</v>
      </c>
      <c r="J87">
        <v>18</v>
      </c>
    </row>
    <row r="88" spans="1:10" x14ac:dyDescent="0.25">
      <c r="A88">
        <v>229</v>
      </c>
      <c r="B88" t="s">
        <v>176</v>
      </c>
      <c r="C88" t="s">
        <v>522</v>
      </c>
      <c r="D88" s="11" t="s">
        <v>1181</v>
      </c>
      <c r="E88" t="s">
        <v>177</v>
      </c>
      <c r="F88">
        <v>9</v>
      </c>
      <c r="G88" t="s">
        <v>1567</v>
      </c>
      <c r="H88" t="s">
        <v>1316</v>
      </c>
      <c r="I88" t="s">
        <v>1331</v>
      </c>
      <c r="J88">
        <v>7</v>
      </c>
    </row>
    <row r="89" spans="1:10" x14ac:dyDescent="0.25">
      <c r="A89">
        <v>230</v>
      </c>
      <c r="B89" t="s">
        <v>178</v>
      </c>
      <c r="C89" t="s">
        <v>523</v>
      </c>
      <c r="D89" s="11" t="s">
        <v>1552</v>
      </c>
      <c r="E89" t="s">
        <v>179</v>
      </c>
      <c r="F89">
        <v>9</v>
      </c>
      <c r="G89" t="s">
        <v>1567</v>
      </c>
      <c r="H89" t="s">
        <v>1316</v>
      </c>
      <c r="I89" t="s">
        <v>1331</v>
      </c>
      <c r="J89">
        <v>8</v>
      </c>
    </row>
    <row r="90" spans="1:10" x14ac:dyDescent="0.25">
      <c r="A90">
        <v>231</v>
      </c>
      <c r="B90" t="s">
        <v>180</v>
      </c>
      <c r="C90" t="s">
        <v>524</v>
      </c>
      <c r="D90" s="11" t="s">
        <v>1182</v>
      </c>
      <c r="E90" t="s">
        <v>181</v>
      </c>
      <c r="F90">
        <v>9</v>
      </c>
      <c r="G90" t="s">
        <v>1567</v>
      </c>
      <c r="H90" t="s">
        <v>1316</v>
      </c>
      <c r="I90" t="s">
        <v>1331</v>
      </c>
      <c r="J90">
        <v>9</v>
      </c>
    </row>
    <row r="91" spans="1:10" x14ac:dyDescent="0.25">
      <c r="A91">
        <v>232</v>
      </c>
      <c r="B91" t="s">
        <v>184</v>
      </c>
      <c r="C91" t="s">
        <v>525</v>
      </c>
      <c r="D91" s="11" t="s">
        <v>1183</v>
      </c>
      <c r="E91" t="s">
        <v>185</v>
      </c>
      <c r="F91">
        <v>10</v>
      </c>
      <c r="G91" t="s">
        <v>1563</v>
      </c>
      <c r="H91" t="s">
        <v>1316</v>
      </c>
      <c r="I91" t="s">
        <v>1331</v>
      </c>
      <c r="J91">
        <v>10</v>
      </c>
    </row>
    <row r="92" spans="1:10" x14ac:dyDescent="0.25">
      <c r="A92">
        <v>285</v>
      </c>
      <c r="B92" t="s">
        <v>1371</v>
      </c>
      <c r="C92" t="s">
        <v>183</v>
      </c>
      <c r="D92" s="11" t="s">
        <v>1236</v>
      </c>
      <c r="E92" t="s">
        <v>183</v>
      </c>
      <c r="F92">
        <v>10</v>
      </c>
      <c r="G92" t="s">
        <v>1563</v>
      </c>
      <c r="H92" t="s">
        <v>1314</v>
      </c>
      <c r="I92" t="s">
        <v>1324</v>
      </c>
      <c r="J92">
        <v>1</v>
      </c>
    </row>
    <row r="93" spans="1:10" x14ac:dyDescent="0.25">
      <c r="A93">
        <v>286</v>
      </c>
      <c r="B93" t="s">
        <v>1372</v>
      </c>
      <c r="C93" t="s">
        <v>186</v>
      </c>
      <c r="D93" s="11" t="s">
        <v>1237</v>
      </c>
      <c r="E93" t="s">
        <v>186</v>
      </c>
      <c r="F93">
        <v>10</v>
      </c>
      <c r="G93" t="s">
        <v>1563</v>
      </c>
      <c r="H93" t="s">
        <v>1314</v>
      </c>
      <c r="I93" t="s">
        <v>1324</v>
      </c>
      <c r="J93">
        <v>2</v>
      </c>
    </row>
    <row r="94" spans="1:10" x14ac:dyDescent="0.25">
      <c r="A94">
        <v>287</v>
      </c>
      <c r="B94" t="s">
        <v>1383</v>
      </c>
      <c r="C94" t="s">
        <v>526</v>
      </c>
      <c r="D94" s="11" t="s">
        <v>1238</v>
      </c>
      <c r="E94" t="s">
        <v>194</v>
      </c>
      <c r="F94">
        <v>10</v>
      </c>
      <c r="G94" t="s">
        <v>1563</v>
      </c>
      <c r="H94" t="s">
        <v>1314</v>
      </c>
      <c r="I94" t="s">
        <v>1324</v>
      </c>
      <c r="J94">
        <v>13</v>
      </c>
    </row>
    <row r="95" spans="1:10" x14ac:dyDescent="0.25">
      <c r="A95">
        <v>288</v>
      </c>
      <c r="B95" t="s">
        <v>1373</v>
      </c>
      <c r="C95" t="s">
        <v>187</v>
      </c>
      <c r="D95" s="11" t="s">
        <v>1239</v>
      </c>
      <c r="E95" t="s">
        <v>187</v>
      </c>
      <c r="F95">
        <v>10</v>
      </c>
      <c r="G95" t="s">
        <v>1563</v>
      </c>
      <c r="H95" t="s">
        <v>1314</v>
      </c>
      <c r="I95" t="s">
        <v>1324</v>
      </c>
      <c r="J95">
        <v>3</v>
      </c>
    </row>
    <row r="96" spans="1:10" x14ac:dyDescent="0.25">
      <c r="A96">
        <v>289</v>
      </c>
      <c r="B96" t="s">
        <v>188</v>
      </c>
      <c r="C96" t="s">
        <v>527</v>
      </c>
      <c r="D96" s="11" t="s">
        <v>1240</v>
      </c>
      <c r="E96" t="s">
        <v>189</v>
      </c>
      <c r="F96">
        <v>10</v>
      </c>
      <c r="G96" t="s">
        <v>1563</v>
      </c>
      <c r="H96" t="s">
        <v>1314</v>
      </c>
      <c r="I96" t="s">
        <v>1324</v>
      </c>
      <c r="J96">
        <v>14</v>
      </c>
    </row>
    <row r="97" spans="1:10" x14ac:dyDescent="0.25">
      <c r="A97">
        <v>290</v>
      </c>
      <c r="B97" t="s">
        <v>1374</v>
      </c>
      <c r="C97" t="s">
        <v>528</v>
      </c>
      <c r="D97" s="11" t="s">
        <v>1241</v>
      </c>
      <c r="E97" t="s">
        <v>190</v>
      </c>
      <c r="F97">
        <v>10</v>
      </c>
      <c r="G97" t="s">
        <v>1563</v>
      </c>
      <c r="H97" t="s">
        <v>1314</v>
      </c>
      <c r="I97" t="s">
        <v>1324</v>
      </c>
      <c r="J97">
        <v>4</v>
      </c>
    </row>
    <row r="98" spans="1:10" x14ac:dyDescent="0.25">
      <c r="A98">
        <v>291</v>
      </c>
      <c r="B98" t="s">
        <v>1384</v>
      </c>
      <c r="C98" t="s">
        <v>529</v>
      </c>
      <c r="D98" s="11" t="s">
        <v>1242</v>
      </c>
      <c r="E98" t="s">
        <v>191</v>
      </c>
      <c r="F98">
        <v>10</v>
      </c>
      <c r="G98" t="s">
        <v>1563</v>
      </c>
      <c r="H98" t="s">
        <v>1314</v>
      </c>
      <c r="I98" t="s">
        <v>1324</v>
      </c>
      <c r="J98">
        <v>15</v>
      </c>
    </row>
    <row r="99" spans="1:10" x14ac:dyDescent="0.25">
      <c r="A99">
        <v>292</v>
      </c>
      <c r="B99" t="s">
        <v>1375</v>
      </c>
      <c r="C99" t="s">
        <v>192</v>
      </c>
      <c r="D99" s="11" t="s">
        <v>1243</v>
      </c>
      <c r="E99" t="s">
        <v>192</v>
      </c>
      <c r="F99">
        <v>10</v>
      </c>
      <c r="G99" t="s">
        <v>1563</v>
      </c>
      <c r="H99" t="s">
        <v>1314</v>
      </c>
      <c r="I99" t="s">
        <v>1324</v>
      </c>
      <c r="J99">
        <v>5</v>
      </c>
    </row>
    <row r="100" spans="1:10" x14ac:dyDescent="0.25">
      <c r="A100">
        <v>293</v>
      </c>
      <c r="B100" t="s">
        <v>1385</v>
      </c>
      <c r="C100" t="s">
        <v>1303</v>
      </c>
      <c r="D100" s="11" t="s">
        <v>1304</v>
      </c>
      <c r="E100" t="s">
        <v>193</v>
      </c>
      <c r="F100">
        <v>10</v>
      </c>
      <c r="G100" t="s">
        <v>1563</v>
      </c>
      <c r="H100" t="s">
        <v>1314</v>
      </c>
      <c r="I100" t="s">
        <v>1324</v>
      </c>
      <c r="J100">
        <v>16</v>
      </c>
    </row>
    <row r="101" spans="1:10" x14ac:dyDescent="0.25">
      <c r="A101">
        <v>294</v>
      </c>
      <c r="B101" t="s">
        <v>195</v>
      </c>
      <c r="C101" t="s">
        <v>530</v>
      </c>
      <c r="D101" s="11" t="s">
        <v>1244</v>
      </c>
      <c r="E101" t="s">
        <v>196</v>
      </c>
      <c r="F101">
        <v>10</v>
      </c>
      <c r="G101" t="s">
        <v>1563</v>
      </c>
      <c r="H101" t="s">
        <v>1314</v>
      </c>
      <c r="I101" t="s">
        <v>1324</v>
      </c>
      <c r="J101">
        <v>17</v>
      </c>
    </row>
    <row r="102" spans="1:10" x14ac:dyDescent="0.25">
      <c r="A102">
        <v>295</v>
      </c>
      <c r="B102" t="s">
        <v>197</v>
      </c>
      <c r="C102" t="s">
        <v>531</v>
      </c>
      <c r="D102" s="11" t="s">
        <v>1245</v>
      </c>
      <c r="E102" t="s">
        <v>198</v>
      </c>
      <c r="F102">
        <v>10</v>
      </c>
      <c r="G102" t="s">
        <v>1563</v>
      </c>
      <c r="H102" t="s">
        <v>1314</v>
      </c>
      <c r="I102" t="s">
        <v>1324</v>
      </c>
      <c r="J102">
        <v>18</v>
      </c>
    </row>
    <row r="103" spans="1:10" x14ac:dyDescent="0.25">
      <c r="A103">
        <v>296</v>
      </c>
      <c r="B103" t="s">
        <v>1386</v>
      </c>
      <c r="C103" t="s">
        <v>532</v>
      </c>
      <c r="D103" s="11" t="s">
        <v>1246</v>
      </c>
      <c r="E103" t="s">
        <v>199</v>
      </c>
      <c r="F103">
        <v>10</v>
      </c>
      <c r="G103" t="s">
        <v>1563</v>
      </c>
      <c r="H103" t="s">
        <v>1314</v>
      </c>
      <c r="I103" t="s">
        <v>1324</v>
      </c>
      <c r="J103">
        <v>19</v>
      </c>
    </row>
    <row r="104" spans="1:10" x14ac:dyDescent="0.25">
      <c r="A104">
        <v>297</v>
      </c>
      <c r="B104" t="s">
        <v>200</v>
      </c>
      <c r="C104" t="s">
        <v>533</v>
      </c>
      <c r="D104" s="11" t="s">
        <v>1247</v>
      </c>
      <c r="E104" t="s">
        <v>201</v>
      </c>
      <c r="F104">
        <v>10</v>
      </c>
      <c r="G104" t="s">
        <v>1563</v>
      </c>
      <c r="H104" t="s">
        <v>1314</v>
      </c>
      <c r="I104" t="s">
        <v>1324</v>
      </c>
      <c r="J104">
        <v>20</v>
      </c>
    </row>
    <row r="105" spans="1:10" x14ac:dyDescent="0.25">
      <c r="A105">
        <v>298</v>
      </c>
      <c r="B105" t="s">
        <v>1387</v>
      </c>
      <c r="C105" t="s">
        <v>534</v>
      </c>
      <c r="D105" s="11" t="s">
        <v>1248</v>
      </c>
      <c r="E105" t="s">
        <v>202</v>
      </c>
      <c r="F105">
        <v>10</v>
      </c>
      <c r="G105" t="s">
        <v>1563</v>
      </c>
      <c r="H105" t="s">
        <v>1314</v>
      </c>
      <c r="I105" t="s">
        <v>1324</v>
      </c>
      <c r="J105">
        <v>21</v>
      </c>
    </row>
    <row r="106" spans="1:10" x14ac:dyDescent="0.25">
      <c r="A106">
        <v>299</v>
      </c>
      <c r="B106" t="s">
        <v>1388</v>
      </c>
      <c r="C106" t="s">
        <v>721</v>
      </c>
      <c r="D106" s="11" t="s">
        <v>1249</v>
      </c>
      <c r="E106" t="s">
        <v>203</v>
      </c>
      <c r="F106">
        <v>10</v>
      </c>
      <c r="G106" t="s">
        <v>1563</v>
      </c>
      <c r="H106" t="s">
        <v>1314</v>
      </c>
      <c r="I106" t="s">
        <v>1324</v>
      </c>
      <c r="J106">
        <v>22</v>
      </c>
    </row>
    <row r="107" spans="1:10" x14ac:dyDescent="0.25">
      <c r="A107">
        <v>300</v>
      </c>
      <c r="B107" t="s">
        <v>204</v>
      </c>
      <c r="C107" t="s">
        <v>738</v>
      </c>
      <c r="D107" s="11" t="s">
        <v>1250</v>
      </c>
      <c r="E107" t="s">
        <v>205</v>
      </c>
      <c r="F107">
        <v>10</v>
      </c>
      <c r="G107" t="s">
        <v>1563</v>
      </c>
      <c r="H107" t="s">
        <v>1314</v>
      </c>
      <c r="I107" t="s">
        <v>1324</v>
      </c>
      <c r="J107">
        <v>23</v>
      </c>
    </row>
    <row r="108" spans="1:10" x14ac:dyDescent="0.25">
      <c r="A108">
        <v>347</v>
      </c>
      <c r="B108" t="s">
        <v>1376</v>
      </c>
      <c r="C108" t="s">
        <v>1305</v>
      </c>
      <c r="D108" s="11" t="s">
        <v>1306</v>
      </c>
      <c r="E108" t="s">
        <v>1297</v>
      </c>
      <c r="F108">
        <v>10</v>
      </c>
      <c r="G108" t="s">
        <v>1563</v>
      </c>
      <c r="H108" t="s">
        <v>1314</v>
      </c>
      <c r="I108" t="s">
        <v>1324</v>
      </c>
      <c r="J108">
        <v>6</v>
      </c>
    </row>
    <row r="109" spans="1:10" x14ac:dyDescent="0.25">
      <c r="A109">
        <v>348</v>
      </c>
      <c r="B109" t="s">
        <v>1377</v>
      </c>
      <c r="C109" t="s">
        <v>1298</v>
      </c>
      <c r="D109" s="11" t="s">
        <v>1307</v>
      </c>
      <c r="E109" t="s">
        <v>1298</v>
      </c>
      <c r="F109">
        <v>10</v>
      </c>
      <c r="G109" t="s">
        <v>1563</v>
      </c>
      <c r="H109" t="s">
        <v>1314</v>
      </c>
      <c r="I109" t="s">
        <v>1324</v>
      </c>
      <c r="J109">
        <v>7</v>
      </c>
    </row>
    <row r="110" spans="1:10" x14ac:dyDescent="0.25">
      <c r="A110">
        <v>349</v>
      </c>
      <c r="B110" t="s">
        <v>1378</v>
      </c>
      <c r="C110" t="s">
        <v>1299</v>
      </c>
      <c r="D110" s="11" t="s">
        <v>1308</v>
      </c>
      <c r="E110" t="s">
        <v>1299</v>
      </c>
      <c r="F110">
        <v>10</v>
      </c>
      <c r="G110" t="s">
        <v>1563</v>
      </c>
      <c r="H110" t="s">
        <v>1314</v>
      </c>
      <c r="I110" t="s">
        <v>1324</v>
      </c>
      <c r="J110">
        <v>8</v>
      </c>
    </row>
    <row r="111" spans="1:10" x14ac:dyDescent="0.25">
      <c r="A111">
        <v>350</v>
      </c>
      <c r="B111" t="s">
        <v>1379</v>
      </c>
      <c r="C111" t="s">
        <v>528</v>
      </c>
      <c r="D111" s="11" t="s">
        <v>1241</v>
      </c>
      <c r="E111" t="s">
        <v>190</v>
      </c>
      <c r="F111">
        <v>10</v>
      </c>
      <c r="G111" t="s">
        <v>1563</v>
      </c>
      <c r="H111" t="s">
        <v>1314</v>
      </c>
      <c r="I111" t="s">
        <v>1324</v>
      </c>
      <c r="J111">
        <v>9</v>
      </c>
    </row>
    <row r="112" spans="1:10" x14ac:dyDescent="0.25">
      <c r="A112">
        <v>351</v>
      </c>
      <c r="B112" t="s">
        <v>1380</v>
      </c>
      <c r="C112" t="s">
        <v>1300</v>
      </c>
      <c r="D112" s="11" t="s">
        <v>1309</v>
      </c>
      <c r="E112" t="s">
        <v>1300</v>
      </c>
      <c r="F112">
        <v>10</v>
      </c>
      <c r="G112" t="s">
        <v>1563</v>
      </c>
      <c r="H112" t="s">
        <v>1314</v>
      </c>
      <c r="I112" t="s">
        <v>1324</v>
      </c>
      <c r="J112">
        <v>10</v>
      </c>
    </row>
    <row r="113" spans="1:10" x14ac:dyDescent="0.25">
      <c r="A113">
        <v>352</v>
      </c>
      <c r="B113" t="s">
        <v>1381</v>
      </c>
      <c r="C113" t="s">
        <v>1301</v>
      </c>
      <c r="D113" s="11" t="s">
        <v>1310</v>
      </c>
      <c r="E113" t="s">
        <v>1301</v>
      </c>
      <c r="F113">
        <v>10</v>
      </c>
      <c r="G113" t="s">
        <v>1563</v>
      </c>
      <c r="H113" t="s">
        <v>1314</v>
      </c>
      <c r="I113" t="s">
        <v>1324</v>
      </c>
      <c r="J113">
        <v>11</v>
      </c>
    </row>
    <row r="114" spans="1:10" x14ac:dyDescent="0.25">
      <c r="A114">
        <v>353</v>
      </c>
      <c r="B114" t="s">
        <v>1382</v>
      </c>
      <c r="C114" t="s">
        <v>1302</v>
      </c>
      <c r="D114" s="11" t="s">
        <v>1311</v>
      </c>
      <c r="E114" t="s">
        <v>1302</v>
      </c>
      <c r="F114">
        <v>10</v>
      </c>
      <c r="G114" t="s">
        <v>1563</v>
      </c>
      <c r="H114" t="s">
        <v>1314</v>
      </c>
      <c r="I114" t="s">
        <v>1324</v>
      </c>
      <c r="J114">
        <v>12</v>
      </c>
    </row>
    <row r="115" spans="1:10" x14ac:dyDescent="0.25">
      <c r="A115">
        <v>2</v>
      </c>
      <c r="B115" t="s">
        <v>1389</v>
      </c>
      <c r="C115" t="s">
        <v>535</v>
      </c>
      <c r="D115" s="11" t="s">
        <v>956</v>
      </c>
      <c r="E115" t="s">
        <v>206</v>
      </c>
      <c r="F115">
        <v>11</v>
      </c>
      <c r="G115" t="s">
        <v>1568</v>
      </c>
      <c r="H115" t="s">
        <v>1315</v>
      </c>
      <c r="I115" t="s">
        <v>1329</v>
      </c>
      <c r="J115">
        <v>1</v>
      </c>
    </row>
    <row r="116" spans="1:10" x14ac:dyDescent="0.25">
      <c r="A116">
        <v>3</v>
      </c>
      <c r="B116" t="s">
        <v>1390</v>
      </c>
      <c r="C116" t="s">
        <v>536</v>
      </c>
      <c r="D116" s="11" t="s">
        <v>957</v>
      </c>
      <c r="E116" t="s">
        <v>207</v>
      </c>
      <c r="F116">
        <v>11</v>
      </c>
      <c r="G116" t="s">
        <v>1568</v>
      </c>
      <c r="H116" t="s">
        <v>1315</v>
      </c>
      <c r="I116" t="s">
        <v>1329</v>
      </c>
      <c r="J116">
        <v>2</v>
      </c>
    </row>
    <row r="117" spans="1:10" x14ac:dyDescent="0.25">
      <c r="A117">
        <v>4</v>
      </c>
      <c r="B117" t="s">
        <v>1391</v>
      </c>
      <c r="C117" t="s">
        <v>208</v>
      </c>
      <c r="D117" s="11" t="s">
        <v>958</v>
      </c>
      <c r="E117" t="s">
        <v>208</v>
      </c>
      <c r="F117">
        <v>11</v>
      </c>
      <c r="G117" t="s">
        <v>1568</v>
      </c>
      <c r="H117" t="s">
        <v>1315</v>
      </c>
      <c r="I117" t="s">
        <v>1329</v>
      </c>
      <c r="J117">
        <v>3</v>
      </c>
    </row>
    <row r="118" spans="1:10" x14ac:dyDescent="0.25">
      <c r="A118">
        <v>5</v>
      </c>
      <c r="B118" t="s">
        <v>209</v>
      </c>
      <c r="C118" t="s">
        <v>210</v>
      </c>
      <c r="D118" s="11" t="s">
        <v>959</v>
      </c>
      <c r="E118" t="s">
        <v>210</v>
      </c>
      <c r="F118">
        <v>11</v>
      </c>
      <c r="G118" t="s">
        <v>1568</v>
      </c>
      <c r="H118" t="s">
        <v>1315</v>
      </c>
      <c r="I118" t="s">
        <v>1329</v>
      </c>
      <c r="J118">
        <v>4</v>
      </c>
    </row>
    <row r="119" spans="1:10" x14ac:dyDescent="0.25">
      <c r="A119">
        <v>6</v>
      </c>
      <c r="B119" t="s">
        <v>1392</v>
      </c>
      <c r="C119" t="s">
        <v>537</v>
      </c>
      <c r="D119" s="11" t="s">
        <v>960</v>
      </c>
      <c r="E119" t="s">
        <v>211</v>
      </c>
      <c r="F119">
        <v>11</v>
      </c>
      <c r="G119" t="s">
        <v>1568</v>
      </c>
      <c r="H119" t="s">
        <v>1315</v>
      </c>
      <c r="I119" t="s">
        <v>1329</v>
      </c>
      <c r="J119">
        <v>5</v>
      </c>
    </row>
    <row r="120" spans="1:10" x14ac:dyDescent="0.25">
      <c r="A120">
        <v>7</v>
      </c>
      <c r="B120" t="s">
        <v>1394</v>
      </c>
      <c r="C120" t="s">
        <v>543</v>
      </c>
      <c r="D120" s="11" t="s">
        <v>961</v>
      </c>
      <c r="E120" t="s">
        <v>213</v>
      </c>
      <c r="F120">
        <v>11</v>
      </c>
      <c r="G120" t="s">
        <v>1568</v>
      </c>
      <c r="H120" t="s">
        <v>1315</v>
      </c>
      <c r="I120" t="s">
        <v>1329</v>
      </c>
      <c r="J120">
        <v>8</v>
      </c>
    </row>
    <row r="121" spans="1:10" x14ac:dyDescent="0.25">
      <c r="A121">
        <v>8</v>
      </c>
      <c r="B121" t="s">
        <v>214</v>
      </c>
      <c r="C121" t="s">
        <v>539</v>
      </c>
      <c r="D121" s="11" t="s">
        <v>962</v>
      </c>
      <c r="E121" t="s">
        <v>215</v>
      </c>
      <c r="F121">
        <v>11</v>
      </c>
      <c r="G121" t="s">
        <v>1568</v>
      </c>
      <c r="H121" t="s">
        <v>1315</v>
      </c>
      <c r="I121" t="s">
        <v>1329</v>
      </c>
      <c r="J121">
        <v>9</v>
      </c>
    </row>
    <row r="122" spans="1:10" x14ac:dyDescent="0.25">
      <c r="A122">
        <v>9</v>
      </c>
      <c r="B122" t="s">
        <v>216</v>
      </c>
      <c r="C122" t="s">
        <v>538</v>
      </c>
      <c r="D122" s="11" t="s">
        <v>963</v>
      </c>
      <c r="E122" t="s">
        <v>217</v>
      </c>
      <c r="F122">
        <v>11</v>
      </c>
      <c r="G122" t="s">
        <v>1568</v>
      </c>
      <c r="H122" t="s">
        <v>1315</v>
      </c>
      <c r="I122" t="s">
        <v>1329</v>
      </c>
      <c r="J122">
        <v>10</v>
      </c>
    </row>
    <row r="123" spans="1:10" x14ac:dyDescent="0.25">
      <c r="A123">
        <v>10</v>
      </c>
      <c r="B123" t="s">
        <v>218</v>
      </c>
      <c r="C123" t="s">
        <v>540</v>
      </c>
      <c r="D123" s="11" t="s">
        <v>964</v>
      </c>
      <c r="E123" t="s">
        <v>219</v>
      </c>
      <c r="F123">
        <v>11</v>
      </c>
      <c r="G123" t="s">
        <v>1568</v>
      </c>
      <c r="H123" t="s">
        <v>1315</v>
      </c>
      <c r="I123" t="s">
        <v>1329</v>
      </c>
      <c r="J123">
        <v>11</v>
      </c>
    </row>
    <row r="124" spans="1:10" x14ac:dyDescent="0.25">
      <c r="A124">
        <v>11</v>
      </c>
      <c r="B124" t="s">
        <v>1393</v>
      </c>
      <c r="C124" t="s">
        <v>541</v>
      </c>
      <c r="D124" s="11" t="s">
        <v>965</v>
      </c>
      <c r="E124" t="s">
        <v>220</v>
      </c>
      <c r="F124">
        <v>11</v>
      </c>
      <c r="G124" t="s">
        <v>1568</v>
      </c>
      <c r="H124" t="s">
        <v>1315</v>
      </c>
      <c r="I124" t="s">
        <v>1329</v>
      </c>
      <c r="J124">
        <v>6</v>
      </c>
    </row>
    <row r="125" spans="1:10" x14ac:dyDescent="0.25">
      <c r="A125">
        <v>12</v>
      </c>
      <c r="B125" t="s">
        <v>1396</v>
      </c>
      <c r="C125" t="s">
        <v>545</v>
      </c>
      <c r="D125" s="11" t="s">
        <v>966</v>
      </c>
      <c r="E125" t="s">
        <v>221</v>
      </c>
      <c r="F125">
        <v>11</v>
      </c>
      <c r="G125" t="s">
        <v>1568</v>
      </c>
      <c r="H125" t="s">
        <v>1315</v>
      </c>
      <c r="I125" t="s">
        <v>1329</v>
      </c>
      <c r="J125">
        <v>13</v>
      </c>
    </row>
    <row r="126" spans="1:10" x14ac:dyDescent="0.25">
      <c r="A126">
        <v>13</v>
      </c>
      <c r="B126" t="s">
        <v>1395</v>
      </c>
      <c r="C126" t="s">
        <v>542</v>
      </c>
      <c r="D126" s="11" t="s">
        <v>967</v>
      </c>
      <c r="E126" t="s">
        <v>222</v>
      </c>
      <c r="F126">
        <v>11</v>
      </c>
      <c r="G126" t="s">
        <v>1568</v>
      </c>
      <c r="H126" t="s">
        <v>1315</v>
      </c>
      <c r="I126" t="s">
        <v>1329</v>
      </c>
      <c r="J126">
        <v>12</v>
      </c>
    </row>
    <row r="127" spans="1:10" x14ac:dyDescent="0.25">
      <c r="A127">
        <v>14</v>
      </c>
      <c r="B127" t="s">
        <v>1397</v>
      </c>
      <c r="C127" t="s">
        <v>544</v>
      </c>
      <c r="D127" s="11" t="s">
        <v>968</v>
      </c>
      <c r="E127" t="s">
        <v>223</v>
      </c>
      <c r="F127">
        <v>11</v>
      </c>
      <c r="G127" t="s">
        <v>1568</v>
      </c>
      <c r="H127" t="s">
        <v>1315</v>
      </c>
      <c r="I127" t="s">
        <v>1329</v>
      </c>
      <c r="J127">
        <v>14</v>
      </c>
    </row>
    <row r="128" spans="1:10" x14ac:dyDescent="0.25">
      <c r="A128">
        <v>212</v>
      </c>
      <c r="B128" t="s">
        <v>1407</v>
      </c>
      <c r="C128" t="s">
        <v>739</v>
      </c>
      <c r="D128" s="11" t="s">
        <v>1164</v>
      </c>
      <c r="E128" t="s">
        <v>212</v>
      </c>
      <c r="F128">
        <v>11</v>
      </c>
      <c r="G128" t="s">
        <v>1568</v>
      </c>
      <c r="H128" t="s">
        <v>1316</v>
      </c>
      <c r="I128" t="s">
        <v>1331</v>
      </c>
      <c r="J128">
        <v>3</v>
      </c>
    </row>
    <row r="129" spans="1:10" x14ac:dyDescent="0.25">
      <c r="A129">
        <v>179</v>
      </c>
      <c r="B129" t="s">
        <v>224</v>
      </c>
      <c r="C129" t="s">
        <v>546</v>
      </c>
      <c r="D129" s="11" t="s">
        <v>1132</v>
      </c>
      <c r="E129" t="s">
        <v>225</v>
      </c>
      <c r="F129">
        <v>12</v>
      </c>
      <c r="G129" t="s">
        <v>1573</v>
      </c>
      <c r="H129" t="s">
        <v>1317</v>
      </c>
      <c r="I129" t="s">
        <v>1333</v>
      </c>
      <c r="J129">
        <v>1</v>
      </c>
    </row>
    <row r="130" spans="1:10" x14ac:dyDescent="0.25">
      <c r="A130">
        <v>180</v>
      </c>
      <c r="B130" t="s">
        <v>1409</v>
      </c>
      <c r="C130" t="s">
        <v>230</v>
      </c>
      <c r="D130" s="11" t="s">
        <v>1133</v>
      </c>
      <c r="E130" t="s">
        <v>230</v>
      </c>
      <c r="F130">
        <v>12</v>
      </c>
      <c r="G130" t="s">
        <v>1573</v>
      </c>
      <c r="H130" t="s">
        <v>1317</v>
      </c>
      <c r="I130" t="s">
        <v>1333</v>
      </c>
      <c r="J130">
        <v>2</v>
      </c>
    </row>
    <row r="131" spans="1:10" x14ac:dyDescent="0.25">
      <c r="A131">
        <v>181</v>
      </c>
      <c r="B131" t="s">
        <v>1410</v>
      </c>
      <c r="C131" t="s">
        <v>231</v>
      </c>
      <c r="D131" s="11" t="s">
        <v>1134</v>
      </c>
      <c r="E131" t="s">
        <v>231</v>
      </c>
      <c r="F131">
        <v>12</v>
      </c>
      <c r="G131" t="s">
        <v>1573</v>
      </c>
      <c r="H131" t="s">
        <v>1317</v>
      </c>
      <c r="I131" t="s">
        <v>1333</v>
      </c>
      <c r="J131">
        <v>3</v>
      </c>
    </row>
    <row r="132" spans="1:10" x14ac:dyDescent="0.25">
      <c r="A132">
        <v>182</v>
      </c>
      <c r="B132" t="s">
        <v>1411</v>
      </c>
      <c r="C132" t="s">
        <v>232</v>
      </c>
      <c r="D132" s="11" t="s">
        <v>1135</v>
      </c>
      <c r="E132" t="s">
        <v>232</v>
      </c>
      <c r="F132">
        <v>12</v>
      </c>
      <c r="G132" t="s">
        <v>1573</v>
      </c>
      <c r="H132" t="s">
        <v>1317</v>
      </c>
      <c r="I132" t="s">
        <v>1333</v>
      </c>
      <c r="J132">
        <v>4</v>
      </c>
    </row>
    <row r="133" spans="1:10" x14ac:dyDescent="0.25">
      <c r="A133">
        <v>183</v>
      </c>
      <c r="B133" t="s">
        <v>1412</v>
      </c>
      <c r="C133" t="s">
        <v>233</v>
      </c>
      <c r="D133" s="11" t="s">
        <v>1136</v>
      </c>
      <c r="E133" t="s">
        <v>233</v>
      </c>
      <c r="F133">
        <v>12</v>
      </c>
      <c r="G133" t="s">
        <v>1573</v>
      </c>
      <c r="H133" t="s">
        <v>1317</v>
      </c>
      <c r="I133" t="s">
        <v>1333</v>
      </c>
      <c r="J133">
        <v>5</v>
      </c>
    </row>
    <row r="134" spans="1:10" x14ac:dyDescent="0.25">
      <c r="A134">
        <v>184</v>
      </c>
      <c r="B134" t="s">
        <v>1413</v>
      </c>
      <c r="C134" t="s">
        <v>234</v>
      </c>
      <c r="D134" s="11" t="s">
        <v>1137</v>
      </c>
      <c r="E134" t="s">
        <v>234</v>
      </c>
      <c r="F134">
        <v>12</v>
      </c>
      <c r="G134" t="s">
        <v>1573</v>
      </c>
      <c r="H134" t="s">
        <v>1317</v>
      </c>
      <c r="I134" t="s">
        <v>1333</v>
      </c>
      <c r="J134">
        <v>6</v>
      </c>
    </row>
    <row r="135" spans="1:10" x14ac:dyDescent="0.25">
      <c r="A135">
        <v>185</v>
      </c>
      <c r="B135" t="s">
        <v>1414</v>
      </c>
      <c r="C135" t="s">
        <v>235</v>
      </c>
      <c r="D135" s="11" t="s">
        <v>1138</v>
      </c>
      <c r="E135" t="s">
        <v>235</v>
      </c>
      <c r="F135">
        <v>12</v>
      </c>
      <c r="G135" t="s">
        <v>1573</v>
      </c>
      <c r="H135" t="s">
        <v>1317</v>
      </c>
      <c r="I135" t="s">
        <v>1333</v>
      </c>
      <c r="J135">
        <v>7</v>
      </c>
    </row>
    <row r="136" spans="1:10" x14ac:dyDescent="0.25">
      <c r="A136">
        <v>186</v>
      </c>
      <c r="B136" t="s">
        <v>1417</v>
      </c>
      <c r="C136" t="s">
        <v>547</v>
      </c>
      <c r="D136" s="11" t="s">
        <v>1139</v>
      </c>
      <c r="E136" t="s">
        <v>227</v>
      </c>
      <c r="F136">
        <v>12</v>
      </c>
      <c r="G136" t="s">
        <v>1573</v>
      </c>
      <c r="H136" t="s">
        <v>1317</v>
      </c>
      <c r="I136" t="s">
        <v>1333</v>
      </c>
      <c r="J136">
        <v>10</v>
      </c>
    </row>
    <row r="137" spans="1:10" x14ac:dyDescent="0.25">
      <c r="A137">
        <v>187</v>
      </c>
      <c r="B137" t="s">
        <v>1418</v>
      </c>
      <c r="C137" t="s">
        <v>226</v>
      </c>
      <c r="D137" s="11" t="s">
        <v>1140</v>
      </c>
      <c r="E137" t="s">
        <v>226</v>
      </c>
      <c r="F137">
        <v>12</v>
      </c>
      <c r="G137" t="s">
        <v>1573</v>
      </c>
      <c r="H137" t="s">
        <v>1317</v>
      </c>
      <c r="I137" t="s">
        <v>1333</v>
      </c>
      <c r="J137">
        <v>11</v>
      </c>
    </row>
    <row r="138" spans="1:10" x14ac:dyDescent="0.25">
      <c r="A138">
        <v>188</v>
      </c>
      <c r="B138" t="s">
        <v>1415</v>
      </c>
      <c r="C138" t="s">
        <v>548</v>
      </c>
      <c r="D138" s="11" t="s">
        <v>1141</v>
      </c>
      <c r="E138" t="s">
        <v>236</v>
      </c>
      <c r="F138">
        <v>12</v>
      </c>
      <c r="G138" t="s">
        <v>1573</v>
      </c>
      <c r="H138" t="s">
        <v>1317</v>
      </c>
      <c r="I138" t="s">
        <v>1333</v>
      </c>
      <c r="J138">
        <v>8</v>
      </c>
    </row>
    <row r="139" spans="1:10" x14ac:dyDescent="0.25">
      <c r="A139">
        <v>189</v>
      </c>
      <c r="B139" t="s">
        <v>1416</v>
      </c>
      <c r="C139" t="s">
        <v>237</v>
      </c>
      <c r="D139" s="11" t="s">
        <v>1142</v>
      </c>
      <c r="E139" t="s">
        <v>237</v>
      </c>
      <c r="F139">
        <v>12</v>
      </c>
      <c r="G139" t="s">
        <v>1573</v>
      </c>
      <c r="H139" t="s">
        <v>1317</v>
      </c>
      <c r="I139" t="s">
        <v>1333</v>
      </c>
      <c r="J139">
        <v>9</v>
      </c>
    </row>
    <row r="140" spans="1:10" x14ac:dyDescent="0.25">
      <c r="A140">
        <v>190</v>
      </c>
      <c r="B140" t="s">
        <v>1420</v>
      </c>
      <c r="C140" t="s">
        <v>549</v>
      </c>
      <c r="D140" s="11" t="s">
        <v>1143</v>
      </c>
      <c r="E140" t="s">
        <v>228</v>
      </c>
      <c r="F140">
        <v>12</v>
      </c>
      <c r="G140" t="s">
        <v>1573</v>
      </c>
      <c r="H140" t="s">
        <v>1317</v>
      </c>
      <c r="I140" t="s">
        <v>1333</v>
      </c>
      <c r="J140">
        <v>13</v>
      </c>
    </row>
    <row r="141" spans="1:10" x14ac:dyDescent="0.25">
      <c r="A141">
        <v>191</v>
      </c>
      <c r="B141" t="s">
        <v>1419</v>
      </c>
      <c r="C141" t="s">
        <v>550</v>
      </c>
      <c r="D141" s="11" t="s">
        <v>1144</v>
      </c>
      <c r="E141" t="s">
        <v>229</v>
      </c>
      <c r="F141">
        <v>12</v>
      </c>
      <c r="G141" t="s">
        <v>1573</v>
      </c>
      <c r="H141" t="s">
        <v>1317</v>
      </c>
      <c r="I141" t="s">
        <v>1333</v>
      </c>
      <c r="J141">
        <v>12</v>
      </c>
    </row>
    <row r="142" spans="1:10" x14ac:dyDescent="0.25">
      <c r="A142">
        <v>192</v>
      </c>
      <c r="B142" t="s">
        <v>1422</v>
      </c>
      <c r="C142" t="s">
        <v>242</v>
      </c>
      <c r="D142" s="11" t="s">
        <v>1145</v>
      </c>
      <c r="E142" t="s">
        <v>242</v>
      </c>
      <c r="F142">
        <v>12</v>
      </c>
      <c r="G142" t="s">
        <v>1573</v>
      </c>
      <c r="H142" t="s">
        <v>1317</v>
      </c>
      <c r="I142" t="s">
        <v>1333</v>
      </c>
      <c r="J142">
        <v>15</v>
      </c>
    </row>
    <row r="143" spans="1:10" x14ac:dyDescent="0.25">
      <c r="A143">
        <v>193</v>
      </c>
      <c r="B143" t="s">
        <v>1421</v>
      </c>
      <c r="C143" t="s">
        <v>238</v>
      </c>
      <c r="D143" s="11" t="s">
        <v>1146</v>
      </c>
      <c r="E143" t="s">
        <v>238</v>
      </c>
      <c r="F143">
        <v>12</v>
      </c>
      <c r="G143" t="s">
        <v>1573</v>
      </c>
      <c r="H143" t="s">
        <v>1317</v>
      </c>
      <c r="I143" t="s">
        <v>1333</v>
      </c>
      <c r="J143">
        <v>14</v>
      </c>
    </row>
    <row r="144" spans="1:10" x14ac:dyDescent="0.25">
      <c r="A144">
        <v>194</v>
      </c>
      <c r="B144" t="s">
        <v>1424</v>
      </c>
      <c r="C144" t="s">
        <v>239</v>
      </c>
      <c r="D144" s="11" t="s">
        <v>1147</v>
      </c>
      <c r="E144" t="s">
        <v>239</v>
      </c>
      <c r="F144">
        <v>12</v>
      </c>
      <c r="G144" t="s">
        <v>1573</v>
      </c>
      <c r="H144" t="s">
        <v>1317</v>
      </c>
      <c r="I144" t="s">
        <v>1333</v>
      </c>
      <c r="J144">
        <v>17</v>
      </c>
    </row>
    <row r="145" spans="1:10" x14ac:dyDescent="0.25">
      <c r="A145">
        <v>195</v>
      </c>
      <c r="B145" t="s">
        <v>1423</v>
      </c>
      <c r="C145" t="s">
        <v>240</v>
      </c>
      <c r="D145" s="11" t="s">
        <v>1148</v>
      </c>
      <c r="E145" t="s">
        <v>240</v>
      </c>
      <c r="F145">
        <v>12</v>
      </c>
      <c r="G145" t="s">
        <v>1573</v>
      </c>
      <c r="H145" t="s">
        <v>1317</v>
      </c>
      <c r="I145" t="s">
        <v>1333</v>
      </c>
      <c r="J145">
        <v>16</v>
      </c>
    </row>
    <row r="146" spans="1:10" x14ac:dyDescent="0.25">
      <c r="A146">
        <v>196</v>
      </c>
      <c r="B146" t="s">
        <v>1425</v>
      </c>
      <c r="C146" t="s">
        <v>551</v>
      </c>
      <c r="D146" s="11" t="s">
        <v>1149</v>
      </c>
      <c r="E146" t="s">
        <v>241</v>
      </c>
      <c r="F146">
        <v>12</v>
      </c>
      <c r="G146" t="s">
        <v>1573</v>
      </c>
      <c r="H146" t="s">
        <v>1317</v>
      </c>
      <c r="I146" t="s">
        <v>1333</v>
      </c>
      <c r="J146">
        <v>18</v>
      </c>
    </row>
    <row r="147" spans="1:10" x14ac:dyDescent="0.25">
      <c r="A147">
        <v>197</v>
      </c>
      <c r="B147" t="s">
        <v>1426</v>
      </c>
      <c r="C147" t="s">
        <v>547</v>
      </c>
      <c r="D147" s="11" t="s">
        <v>1139</v>
      </c>
      <c r="E147" t="s">
        <v>227</v>
      </c>
      <c r="F147">
        <v>12</v>
      </c>
      <c r="G147" t="s">
        <v>1573</v>
      </c>
      <c r="H147" t="s">
        <v>1317</v>
      </c>
      <c r="I147" t="s">
        <v>1333</v>
      </c>
      <c r="J147">
        <v>19</v>
      </c>
    </row>
    <row r="148" spans="1:10" x14ac:dyDescent="0.25">
      <c r="A148">
        <v>37</v>
      </c>
      <c r="B148" t="s">
        <v>252</v>
      </c>
      <c r="C148" t="s">
        <v>554</v>
      </c>
      <c r="D148" s="11" t="s">
        <v>990</v>
      </c>
      <c r="E148" t="s">
        <v>253</v>
      </c>
      <c r="F148">
        <v>13</v>
      </c>
      <c r="G148" t="s">
        <v>1562</v>
      </c>
      <c r="H148" t="s">
        <v>1318</v>
      </c>
      <c r="I148" t="s">
        <v>1338</v>
      </c>
      <c r="J148">
        <v>1</v>
      </c>
    </row>
    <row r="149" spans="1:10" x14ac:dyDescent="0.25">
      <c r="A149">
        <v>38</v>
      </c>
      <c r="B149" t="s">
        <v>1474</v>
      </c>
      <c r="C149" t="s">
        <v>740</v>
      </c>
      <c r="D149" s="11" t="s">
        <v>991</v>
      </c>
      <c r="E149" t="s">
        <v>254</v>
      </c>
      <c r="F149">
        <v>13</v>
      </c>
      <c r="G149" t="s">
        <v>1562</v>
      </c>
      <c r="H149" t="s">
        <v>1318</v>
      </c>
      <c r="I149" t="s">
        <v>1338</v>
      </c>
      <c r="J149">
        <v>2</v>
      </c>
    </row>
    <row r="150" spans="1:10" x14ac:dyDescent="0.25">
      <c r="A150">
        <v>39</v>
      </c>
      <c r="B150" t="s">
        <v>1475</v>
      </c>
      <c r="C150" t="s">
        <v>555</v>
      </c>
      <c r="D150" s="11" t="s">
        <v>992</v>
      </c>
      <c r="E150" t="s">
        <v>255</v>
      </c>
      <c r="F150">
        <v>13</v>
      </c>
      <c r="G150" t="s">
        <v>1562</v>
      </c>
      <c r="H150" t="s">
        <v>1318</v>
      </c>
      <c r="I150" t="s">
        <v>1338</v>
      </c>
      <c r="J150">
        <v>3</v>
      </c>
    </row>
    <row r="151" spans="1:10" x14ac:dyDescent="0.25">
      <c r="A151">
        <v>40</v>
      </c>
      <c r="B151" t="s">
        <v>1476</v>
      </c>
      <c r="C151" t="s">
        <v>556</v>
      </c>
      <c r="D151" s="11" t="s">
        <v>993</v>
      </c>
      <c r="E151" t="s">
        <v>256</v>
      </c>
      <c r="F151">
        <v>13</v>
      </c>
      <c r="G151" t="s">
        <v>1562</v>
      </c>
      <c r="H151" t="s">
        <v>1318</v>
      </c>
      <c r="I151" t="s">
        <v>1338</v>
      </c>
      <c r="J151">
        <v>4</v>
      </c>
    </row>
    <row r="152" spans="1:10" x14ac:dyDescent="0.25">
      <c r="A152">
        <v>41</v>
      </c>
      <c r="B152" t="s">
        <v>1477</v>
      </c>
      <c r="C152" t="s">
        <v>557</v>
      </c>
      <c r="D152" s="11" t="s">
        <v>994</v>
      </c>
      <c r="E152" t="s">
        <v>257</v>
      </c>
      <c r="F152">
        <v>13</v>
      </c>
      <c r="G152" t="s">
        <v>1562</v>
      </c>
      <c r="H152" t="s">
        <v>1318</v>
      </c>
      <c r="I152" t="s">
        <v>1338</v>
      </c>
      <c r="J152">
        <v>5</v>
      </c>
    </row>
    <row r="153" spans="1:10" x14ac:dyDescent="0.25">
      <c r="A153">
        <v>42</v>
      </c>
      <c r="B153" t="s">
        <v>1474</v>
      </c>
      <c r="C153" t="s">
        <v>558</v>
      </c>
      <c r="D153" s="11" t="s">
        <v>995</v>
      </c>
      <c r="E153" t="s">
        <v>258</v>
      </c>
      <c r="F153">
        <v>13</v>
      </c>
      <c r="G153" t="s">
        <v>1562</v>
      </c>
      <c r="H153" t="s">
        <v>1318</v>
      </c>
      <c r="I153" t="s">
        <v>1338</v>
      </c>
      <c r="J153">
        <v>6</v>
      </c>
    </row>
    <row r="154" spans="1:10" x14ac:dyDescent="0.25">
      <c r="A154">
        <v>43</v>
      </c>
      <c r="B154" t="s">
        <v>1478</v>
      </c>
      <c r="C154" t="s">
        <v>559</v>
      </c>
      <c r="D154" s="11" t="s">
        <v>996</v>
      </c>
      <c r="E154" t="s">
        <v>259</v>
      </c>
      <c r="F154">
        <v>13</v>
      </c>
      <c r="G154" t="s">
        <v>1562</v>
      </c>
      <c r="H154" t="s">
        <v>1318</v>
      </c>
      <c r="I154" t="s">
        <v>1338</v>
      </c>
      <c r="J154">
        <v>7</v>
      </c>
    </row>
    <row r="155" spans="1:10" x14ac:dyDescent="0.25">
      <c r="A155">
        <v>44</v>
      </c>
      <c r="B155" t="s">
        <v>260</v>
      </c>
      <c r="C155" t="s">
        <v>560</v>
      </c>
      <c r="D155" s="11" t="s">
        <v>997</v>
      </c>
      <c r="E155" t="s">
        <v>261</v>
      </c>
      <c r="F155">
        <v>13</v>
      </c>
      <c r="G155" t="s">
        <v>1562</v>
      </c>
      <c r="H155" t="s">
        <v>1318</v>
      </c>
      <c r="I155" t="s">
        <v>1338</v>
      </c>
      <c r="J155">
        <v>8</v>
      </c>
    </row>
    <row r="156" spans="1:10" x14ac:dyDescent="0.25">
      <c r="A156">
        <v>45</v>
      </c>
      <c r="B156" t="s">
        <v>1479</v>
      </c>
      <c r="C156" t="s">
        <v>561</v>
      </c>
      <c r="D156" s="11" t="s">
        <v>998</v>
      </c>
      <c r="E156" t="s">
        <v>262</v>
      </c>
      <c r="F156">
        <v>13</v>
      </c>
      <c r="G156" t="s">
        <v>1562</v>
      </c>
      <c r="H156" t="s">
        <v>1318</v>
      </c>
      <c r="I156" t="s">
        <v>1338</v>
      </c>
      <c r="J156">
        <v>9</v>
      </c>
    </row>
    <row r="157" spans="1:10" x14ac:dyDescent="0.25">
      <c r="A157">
        <v>46</v>
      </c>
      <c r="B157" t="s">
        <v>1480</v>
      </c>
      <c r="C157" t="s">
        <v>722</v>
      </c>
      <c r="D157" s="11" t="s">
        <v>999</v>
      </c>
      <c r="E157" t="s">
        <v>263</v>
      </c>
      <c r="F157">
        <v>13</v>
      </c>
      <c r="G157" t="s">
        <v>1562</v>
      </c>
      <c r="H157" t="s">
        <v>1318</v>
      </c>
      <c r="I157" t="s">
        <v>1338</v>
      </c>
      <c r="J157">
        <v>10</v>
      </c>
    </row>
    <row r="158" spans="1:10" x14ac:dyDescent="0.25">
      <c r="A158">
        <v>47</v>
      </c>
      <c r="B158" t="s">
        <v>1481</v>
      </c>
      <c r="C158" t="s">
        <v>562</v>
      </c>
      <c r="D158" s="11" t="s">
        <v>1000</v>
      </c>
      <c r="E158" t="s">
        <v>264</v>
      </c>
      <c r="F158">
        <v>13</v>
      </c>
      <c r="G158" t="s">
        <v>1562</v>
      </c>
      <c r="H158" t="s">
        <v>1318</v>
      </c>
      <c r="I158" t="s">
        <v>1338</v>
      </c>
      <c r="J158">
        <v>11</v>
      </c>
    </row>
    <row r="159" spans="1:10" x14ac:dyDescent="0.25">
      <c r="A159">
        <v>48</v>
      </c>
      <c r="B159" t="s">
        <v>1482</v>
      </c>
      <c r="C159" t="s">
        <v>563</v>
      </c>
      <c r="D159" s="11" t="s">
        <v>1001</v>
      </c>
      <c r="E159" t="s">
        <v>265</v>
      </c>
      <c r="F159">
        <v>13</v>
      </c>
      <c r="G159" t="s">
        <v>1562</v>
      </c>
      <c r="H159" t="s">
        <v>1318</v>
      </c>
      <c r="I159" t="s">
        <v>1338</v>
      </c>
      <c r="J159">
        <v>12</v>
      </c>
    </row>
    <row r="160" spans="1:10" x14ac:dyDescent="0.25">
      <c r="A160">
        <v>49</v>
      </c>
      <c r="B160" t="s">
        <v>1479</v>
      </c>
      <c r="C160" t="s">
        <v>564</v>
      </c>
      <c r="D160" s="11" t="s">
        <v>1002</v>
      </c>
      <c r="E160" t="s">
        <v>266</v>
      </c>
      <c r="F160">
        <v>13</v>
      </c>
      <c r="G160" t="s">
        <v>1562</v>
      </c>
      <c r="H160" t="s">
        <v>1318</v>
      </c>
      <c r="I160" t="s">
        <v>1338</v>
      </c>
      <c r="J160">
        <v>13</v>
      </c>
    </row>
    <row r="161" spans="1:10" x14ac:dyDescent="0.25">
      <c r="A161">
        <v>50</v>
      </c>
      <c r="B161" t="s">
        <v>1483</v>
      </c>
      <c r="C161" t="s">
        <v>565</v>
      </c>
      <c r="D161" s="11" t="s">
        <v>1003</v>
      </c>
      <c r="E161" t="s">
        <v>267</v>
      </c>
      <c r="F161">
        <v>13</v>
      </c>
      <c r="G161" t="s">
        <v>1562</v>
      </c>
      <c r="H161" t="s">
        <v>1318</v>
      </c>
      <c r="I161" t="s">
        <v>1338</v>
      </c>
      <c r="J161">
        <v>14</v>
      </c>
    </row>
    <row r="162" spans="1:10" x14ac:dyDescent="0.25">
      <c r="A162">
        <v>51</v>
      </c>
      <c r="B162" t="s">
        <v>268</v>
      </c>
      <c r="C162" t="s">
        <v>566</v>
      </c>
      <c r="D162" s="11" t="s">
        <v>1004</v>
      </c>
      <c r="E162" t="s">
        <v>269</v>
      </c>
      <c r="F162">
        <v>13</v>
      </c>
      <c r="G162" t="s">
        <v>1562</v>
      </c>
      <c r="H162" t="s">
        <v>1318</v>
      </c>
      <c r="I162" t="s">
        <v>1338</v>
      </c>
      <c r="J162">
        <v>15</v>
      </c>
    </row>
    <row r="163" spans="1:10" x14ac:dyDescent="0.25">
      <c r="A163">
        <v>52</v>
      </c>
      <c r="B163" t="s">
        <v>1484</v>
      </c>
      <c r="C163" t="s">
        <v>567</v>
      </c>
      <c r="D163" s="11" t="s">
        <v>1005</v>
      </c>
      <c r="E163" t="s">
        <v>270</v>
      </c>
      <c r="F163">
        <v>13</v>
      </c>
      <c r="G163" t="s">
        <v>1562</v>
      </c>
      <c r="H163" t="s">
        <v>1318</v>
      </c>
      <c r="I163" t="s">
        <v>1338</v>
      </c>
      <c r="J163">
        <v>16</v>
      </c>
    </row>
    <row r="164" spans="1:10" x14ac:dyDescent="0.25">
      <c r="A164">
        <v>53</v>
      </c>
      <c r="B164" t="s">
        <v>1485</v>
      </c>
      <c r="C164" t="s">
        <v>568</v>
      </c>
      <c r="D164" s="11" t="s">
        <v>1006</v>
      </c>
      <c r="E164" t="s">
        <v>271</v>
      </c>
      <c r="F164">
        <v>13</v>
      </c>
      <c r="G164" t="s">
        <v>1562</v>
      </c>
      <c r="H164" t="s">
        <v>1318</v>
      </c>
      <c r="I164" t="s">
        <v>1338</v>
      </c>
      <c r="J164">
        <v>17</v>
      </c>
    </row>
    <row r="165" spans="1:10" x14ac:dyDescent="0.25">
      <c r="A165">
        <v>54</v>
      </c>
      <c r="B165" t="s">
        <v>1486</v>
      </c>
      <c r="C165" t="s">
        <v>569</v>
      </c>
      <c r="D165" s="11" t="s">
        <v>1007</v>
      </c>
      <c r="E165" t="s">
        <v>272</v>
      </c>
      <c r="F165">
        <v>13</v>
      </c>
      <c r="G165" t="s">
        <v>1562</v>
      </c>
      <c r="H165" t="s">
        <v>1318</v>
      </c>
      <c r="I165" t="s">
        <v>1338</v>
      </c>
      <c r="J165">
        <v>18</v>
      </c>
    </row>
    <row r="166" spans="1:10" x14ac:dyDescent="0.25">
      <c r="A166">
        <v>55</v>
      </c>
      <c r="B166" t="s">
        <v>1487</v>
      </c>
      <c r="C166" t="s">
        <v>570</v>
      </c>
      <c r="D166" s="11" t="s">
        <v>1008</v>
      </c>
      <c r="E166" t="s">
        <v>273</v>
      </c>
      <c r="F166">
        <v>13</v>
      </c>
      <c r="G166" t="s">
        <v>1562</v>
      </c>
      <c r="H166" t="s">
        <v>1318</v>
      </c>
      <c r="I166" t="s">
        <v>1338</v>
      </c>
      <c r="J166">
        <v>19</v>
      </c>
    </row>
    <row r="167" spans="1:10" x14ac:dyDescent="0.25">
      <c r="A167">
        <v>56</v>
      </c>
      <c r="B167" t="s">
        <v>1484</v>
      </c>
      <c r="C167" t="s">
        <v>571</v>
      </c>
      <c r="D167" s="11" t="s">
        <v>1009</v>
      </c>
      <c r="E167" t="s">
        <v>274</v>
      </c>
      <c r="F167">
        <v>13</v>
      </c>
      <c r="G167" t="s">
        <v>1562</v>
      </c>
      <c r="H167" t="s">
        <v>1318</v>
      </c>
      <c r="I167" t="s">
        <v>1338</v>
      </c>
      <c r="J167">
        <v>20</v>
      </c>
    </row>
    <row r="168" spans="1:10" x14ac:dyDescent="0.25">
      <c r="A168">
        <v>57</v>
      </c>
      <c r="B168" t="s">
        <v>1488</v>
      </c>
      <c r="C168" t="s">
        <v>572</v>
      </c>
      <c r="D168" s="11" t="s">
        <v>1010</v>
      </c>
      <c r="E168" t="s">
        <v>275</v>
      </c>
      <c r="F168">
        <v>13</v>
      </c>
      <c r="G168" t="s">
        <v>1562</v>
      </c>
      <c r="H168" t="s">
        <v>1318</v>
      </c>
      <c r="I168" t="s">
        <v>1338</v>
      </c>
      <c r="J168">
        <v>21</v>
      </c>
    </row>
    <row r="169" spans="1:10" x14ac:dyDescent="0.25">
      <c r="A169">
        <v>301</v>
      </c>
      <c r="B169" t="s">
        <v>243</v>
      </c>
      <c r="C169" t="s">
        <v>244</v>
      </c>
      <c r="D169" s="11" t="s">
        <v>1251</v>
      </c>
      <c r="E169" t="s">
        <v>244</v>
      </c>
      <c r="F169">
        <v>13</v>
      </c>
      <c r="G169" t="s">
        <v>1562</v>
      </c>
      <c r="H169" t="s">
        <v>1314</v>
      </c>
      <c r="I169" t="s">
        <v>1323</v>
      </c>
      <c r="J169">
        <v>1</v>
      </c>
    </row>
    <row r="170" spans="1:10" x14ac:dyDescent="0.25">
      <c r="A170">
        <v>302</v>
      </c>
      <c r="B170" t="s">
        <v>245</v>
      </c>
      <c r="C170" t="s">
        <v>552</v>
      </c>
      <c r="D170" s="11" t="s">
        <v>1252</v>
      </c>
      <c r="E170" t="s">
        <v>246</v>
      </c>
      <c r="F170">
        <v>13</v>
      </c>
      <c r="G170" t="s">
        <v>1562</v>
      </c>
      <c r="H170" t="s">
        <v>1314</v>
      </c>
      <c r="I170" t="s">
        <v>1323</v>
      </c>
      <c r="J170">
        <v>2</v>
      </c>
    </row>
    <row r="171" spans="1:10" x14ac:dyDescent="0.25">
      <c r="A171">
        <v>303</v>
      </c>
      <c r="B171" t="s">
        <v>1367</v>
      </c>
      <c r="C171" t="s">
        <v>247</v>
      </c>
      <c r="D171" s="11" t="s">
        <v>1253</v>
      </c>
      <c r="E171" t="s">
        <v>247</v>
      </c>
      <c r="F171">
        <v>13</v>
      </c>
      <c r="G171" t="s">
        <v>1562</v>
      </c>
      <c r="H171" t="s">
        <v>1314</v>
      </c>
      <c r="I171" t="s">
        <v>1323</v>
      </c>
      <c r="J171">
        <v>3</v>
      </c>
    </row>
    <row r="172" spans="1:10" x14ac:dyDescent="0.25">
      <c r="A172">
        <v>304</v>
      </c>
      <c r="B172" t="s">
        <v>1368</v>
      </c>
      <c r="C172" t="s">
        <v>248</v>
      </c>
      <c r="D172" s="11" t="s">
        <v>1254</v>
      </c>
      <c r="E172" t="s">
        <v>248</v>
      </c>
      <c r="F172">
        <v>13</v>
      </c>
      <c r="G172" t="s">
        <v>1562</v>
      </c>
      <c r="H172" t="s">
        <v>1314</v>
      </c>
      <c r="I172" t="s">
        <v>1323</v>
      </c>
      <c r="J172">
        <v>4</v>
      </c>
    </row>
    <row r="173" spans="1:10" x14ac:dyDescent="0.25">
      <c r="A173">
        <v>305</v>
      </c>
      <c r="B173" t="s">
        <v>1344</v>
      </c>
      <c r="C173" t="s">
        <v>553</v>
      </c>
      <c r="D173" s="11" t="s">
        <v>1255</v>
      </c>
      <c r="E173" t="s">
        <v>249</v>
      </c>
      <c r="F173">
        <v>13</v>
      </c>
      <c r="G173" t="s">
        <v>1562</v>
      </c>
      <c r="H173" t="s">
        <v>1314</v>
      </c>
      <c r="I173" t="s">
        <v>1323</v>
      </c>
      <c r="J173">
        <v>5</v>
      </c>
    </row>
    <row r="174" spans="1:10" x14ac:dyDescent="0.25">
      <c r="A174">
        <v>306</v>
      </c>
      <c r="B174" t="s">
        <v>1369</v>
      </c>
      <c r="C174" t="s">
        <v>250</v>
      </c>
      <c r="D174" s="11" t="s">
        <v>1256</v>
      </c>
      <c r="E174" t="s">
        <v>250</v>
      </c>
      <c r="F174">
        <v>13</v>
      </c>
      <c r="G174" t="s">
        <v>1562</v>
      </c>
      <c r="H174" t="s">
        <v>1314</v>
      </c>
      <c r="I174" t="s">
        <v>1323</v>
      </c>
      <c r="J174">
        <v>6</v>
      </c>
    </row>
    <row r="175" spans="1:10" x14ac:dyDescent="0.25">
      <c r="A175">
        <v>307</v>
      </c>
      <c r="B175" t="s">
        <v>1370</v>
      </c>
      <c r="C175" t="s">
        <v>251</v>
      </c>
      <c r="D175" s="11" t="s">
        <v>1257</v>
      </c>
      <c r="E175" t="s">
        <v>251</v>
      </c>
      <c r="F175">
        <v>13</v>
      </c>
      <c r="G175" t="s">
        <v>1562</v>
      </c>
      <c r="H175" t="s">
        <v>1314</v>
      </c>
      <c r="I175" t="s">
        <v>1323</v>
      </c>
      <c r="J175">
        <v>7</v>
      </c>
    </row>
    <row r="176" spans="1:10" x14ac:dyDescent="0.25">
      <c r="A176">
        <v>147</v>
      </c>
      <c r="B176" t="s">
        <v>276</v>
      </c>
      <c r="C176" t="s">
        <v>573</v>
      </c>
      <c r="D176" s="11" t="s">
        <v>1100</v>
      </c>
      <c r="E176" t="s">
        <v>277</v>
      </c>
      <c r="F176">
        <v>14</v>
      </c>
      <c r="G176" t="s">
        <v>1558</v>
      </c>
      <c r="H176" t="s">
        <v>1314</v>
      </c>
      <c r="I176" t="s">
        <v>1321</v>
      </c>
      <c r="J176">
        <v>1</v>
      </c>
    </row>
    <row r="177" spans="1:10" x14ac:dyDescent="0.25">
      <c r="A177">
        <v>148</v>
      </c>
      <c r="B177" t="s">
        <v>284</v>
      </c>
      <c r="C177" t="s">
        <v>574</v>
      </c>
      <c r="D177" s="11" t="s">
        <v>1101</v>
      </c>
      <c r="E177" t="s">
        <v>278</v>
      </c>
      <c r="F177">
        <v>14</v>
      </c>
      <c r="G177" t="s">
        <v>1558</v>
      </c>
      <c r="H177" t="s">
        <v>1314</v>
      </c>
      <c r="I177" t="s">
        <v>1321</v>
      </c>
      <c r="J177">
        <v>2</v>
      </c>
    </row>
    <row r="178" spans="1:10" x14ac:dyDescent="0.25">
      <c r="A178">
        <v>149</v>
      </c>
      <c r="B178" t="s">
        <v>1547</v>
      </c>
      <c r="C178" t="s">
        <v>575</v>
      </c>
      <c r="D178" s="11" t="s">
        <v>1102</v>
      </c>
      <c r="E178" t="s">
        <v>279</v>
      </c>
      <c r="F178">
        <v>14</v>
      </c>
      <c r="G178" t="s">
        <v>1558</v>
      </c>
      <c r="H178" t="s">
        <v>1314</v>
      </c>
      <c r="I178" t="s">
        <v>1321</v>
      </c>
      <c r="J178">
        <v>3</v>
      </c>
    </row>
    <row r="179" spans="1:10" x14ac:dyDescent="0.25">
      <c r="A179">
        <v>150</v>
      </c>
      <c r="B179" t="s">
        <v>285</v>
      </c>
      <c r="C179" t="s">
        <v>576</v>
      </c>
      <c r="D179" s="11" t="s">
        <v>1103</v>
      </c>
      <c r="E179" t="s">
        <v>280</v>
      </c>
      <c r="F179">
        <v>14</v>
      </c>
      <c r="G179" t="s">
        <v>1558</v>
      </c>
      <c r="H179" t="s">
        <v>1314</v>
      </c>
      <c r="I179" t="s">
        <v>1321</v>
      </c>
      <c r="J179">
        <v>4</v>
      </c>
    </row>
    <row r="180" spans="1:10" x14ac:dyDescent="0.25">
      <c r="A180">
        <v>151</v>
      </c>
      <c r="B180" t="s">
        <v>286</v>
      </c>
      <c r="C180" t="s">
        <v>577</v>
      </c>
      <c r="D180" s="11" t="s">
        <v>1104</v>
      </c>
      <c r="E180" t="s">
        <v>281</v>
      </c>
      <c r="F180">
        <v>14</v>
      </c>
      <c r="G180" t="s">
        <v>1558</v>
      </c>
      <c r="H180" t="s">
        <v>1314</v>
      </c>
      <c r="I180" t="s">
        <v>1321</v>
      </c>
      <c r="J180">
        <v>5</v>
      </c>
    </row>
    <row r="181" spans="1:10" x14ac:dyDescent="0.25">
      <c r="A181">
        <v>152</v>
      </c>
      <c r="B181" t="s">
        <v>287</v>
      </c>
      <c r="C181" t="s">
        <v>282</v>
      </c>
      <c r="D181" s="11" t="s">
        <v>1105</v>
      </c>
      <c r="E181" t="s">
        <v>282</v>
      </c>
      <c r="F181">
        <v>14</v>
      </c>
      <c r="G181" t="s">
        <v>1558</v>
      </c>
      <c r="H181" t="s">
        <v>1314</v>
      </c>
      <c r="I181" t="s">
        <v>1321</v>
      </c>
      <c r="J181">
        <v>6</v>
      </c>
    </row>
    <row r="182" spans="1:10" x14ac:dyDescent="0.25">
      <c r="A182">
        <v>153</v>
      </c>
      <c r="B182" t="s">
        <v>288</v>
      </c>
      <c r="C182" t="s">
        <v>578</v>
      </c>
      <c r="D182" s="11" t="s">
        <v>1106</v>
      </c>
      <c r="E182" t="s">
        <v>283</v>
      </c>
      <c r="F182">
        <v>14</v>
      </c>
      <c r="G182" t="s">
        <v>1558</v>
      </c>
      <c r="H182" t="s">
        <v>1314</v>
      </c>
      <c r="I182" t="s">
        <v>1321</v>
      </c>
      <c r="J182">
        <v>7</v>
      </c>
    </row>
    <row r="183" spans="1:10" x14ac:dyDescent="0.25">
      <c r="A183">
        <v>233</v>
      </c>
      <c r="B183" t="s">
        <v>1398</v>
      </c>
      <c r="C183" t="s">
        <v>579</v>
      </c>
      <c r="D183" s="11" t="s">
        <v>1184</v>
      </c>
      <c r="E183" t="s">
        <v>289</v>
      </c>
      <c r="F183">
        <v>15</v>
      </c>
      <c r="G183" t="s">
        <v>1570</v>
      </c>
      <c r="H183" t="s">
        <v>1316</v>
      </c>
      <c r="I183" t="s">
        <v>1330</v>
      </c>
      <c r="J183">
        <v>5</v>
      </c>
    </row>
    <row r="184" spans="1:10" x14ac:dyDescent="0.25">
      <c r="A184">
        <v>234</v>
      </c>
      <c r="B184" t="s">
        <v>1399</v>
      </c>
      <c r="C184" t="s">
        <v>741</v>
      </c>
      <c r="D184" s="11" t="s">
        <v>1185</v>
      </c>
      <c r="E184" t="s">
        <v>290</v>
      </c>
      <c r="F184">
        <v>15</v>
      </c>
      <c r="G184" t="s">
        <v>1570</v>
      </c>
      <c r="H184" t="s">
        <v>1316</v>
      </c>
      <c r="I184" t="s">
        <v>1330</v>
      </c>
      <c r="J184">
        <v>6</v>
      </c>
    </row>
    <row r="185" spans="1:10" x14ac:dyDescent="0.25">
      <c r="A185">
        <v>235</v>
      </c>
      <c r="B185" t="s">
        <v>1400</v>
      </c>
      <c r="C185" t="s">
        <v>742</v>
      </c>
      <c r="D185" s="11" t="s">
        <v>1186</v>
      </c>
      <c r="E185" t="s">
        <v>291</v>
      </c>
      <c r="F185">
        <v>15</v>
      </c>
      <c r="G185" t="s">
        <v>1570</v>
      </c>
      <c r="H185" t="s">
        <v>1316</v>
      </c>
      <c r="I185" t="s">
        <v>1330</v>
      </c>
      <c r="J185">
        <v>9</v>
      </c>
    </row>
    <row r="186" spans="1:10" x14ac:dyDescent="0.25">
      <c r="A186">
        <v>236</v>
      </c>
      <c r="B186" t="s">
        <v>1401</v>
      </c>
      <c r="C186" t="s">
        <v>743</v>
      </c>
      <c r="D186" s="11" t="s">
        <v>1187</v>
      </c>
      <c r="E186" t="s">
        <v>292</v>
      </c>
      <c r="F186">
        <v>15</v>
      </c>
      <c r="G186" t="s">
        <v>1570</v>
      </c>
      <c r="H186" t="s">
        <v>1316</v>
      </c>
      <c r="I186" t="s">
        <v>1330</v>
      </c>
      <c r="J186">
        <v>10</v>
      </c>
    </row>
    <row r="187" spans="1:10" x14ac:dyDescent="0.25">
      <c r="A187">
        <v>237</v>
      </c>
      <c r="B187" t="s">
        <v>1402</v>
      </c>
      <c r="C187" t="s">
        <v>580</v>
      </c>
      <c r="D187" s="11" t="s">
        <v>1188</v>
      </c>
      <c r="E187" t="s">
        <v>293</v>
      </c>
      <c r="F187">
        <v>15</v>
      </c>
      <c r="G187" t="s">
        <v>1570</v>
      </c>
      <c r="H187" t="s">
        <v>1316</v>
      </c>
      <c r="I187" t="s">
        <v>1330</v>
      </c>
      <c r="J187">
        <v>11</v>
      </c>
    </row>
    <row r="188" spans="1:10" x14ac:dyDescent="0.25">
      <c r="A188">
        <v>238</v>
      </c>
      <c r="B188" t="s">
        <v>1403</v>
      </c>
      <c r="C188" t="s">
        <v>744</v>
      </c>
      <c r="D188" s="11" t="s">
        <v>1189</v>
      </c>
      <c r="E188" t="s">
        <v>294</v>
      </c>
      <c r="F188">
        <v>15</v>
      </c>
      <c r="G188" t="s">
        <v>1570</v>
      </c>
      <c r="H188" t="s">
        <v>1316</v>
      </c>
      <c r="I188" t="s">
        <v>1330</v>
      </c>
      <c r="J188">
        <v>12</v>
      </c>
    </row>
    <row r="189" spans="1:10" x14ac:dyDescent="0.25">
      <c r="A189">
        <v>239</v>
      </c>
      <c r="B189" t="s">
        <v>1404</v>
      </c>
      <c r="C189" t="s">
        <v>745</v>
      </c>
      <c r="D189" s="11" t="s">
        <v>1190</v>
      </c>
      <c r="E189" t="s">
        <v>295</v>
      </c>
      <c r="F189">
        <v>15</v>
      </c>
      <c r="G189" t="s">
        <v>1570</v>
      </c>
      <c r="H189" t="s">
        <v>1316</v>
      </c>
      <c r="I189" t="s">
        <v>1330</v>
      </c>
      <c r="J189">
        <v>13</v>
      </c>
    </row>
    <row r="190" spans="1:10" x14ac:dyDescent="0.25">
      <c r="A190">
        <v>240</v>
      </c>
      <c r="B190" t="s">
        <v>1405</v>
      </c>
      <c r="C190" t="s">
        <v>746</v>
      </c>
      <c r="D190" s="11" t="s">
        <v>1191</v>
      </c>
      <c r="E190" t="s">
        <v>296</v>
      </c>
      <c r="F190">
        <v>15</v>
      </c>
      <c r="G190" t="s">
        <v>1570</v>
      </c>
      <c r="H190" t="s">
        <v>1316</v>
      </c>
      <c r="I190" t="s">
        <v>1330</v>
      </c>
      <c r="J190">
        <v>14</v>
      </c>
    </row>
    <row r="191" spans="1:10" x14ac:dyDescent="0.25">
      <c r="A191">
        <v>241</v>
      </c>
      <c r="B191" t="s">
        <v>1406</v>
      </c>
      <c r="C191" t="s">
        <v>747</v>
      </c>
      <c r="D191" s="11" t="s">
        <v>1192</v>
      </c>
      <c r="E191" t="s">
        <v>297</v>
      </c>
      <c r="F191">
        <v>15</v>
      </c>
      <c r="G191" t="s">
        <v>1570</v>
      </c>
      <c r="H191" t="s">
        <v>1316</v>
      </c>
      <c r="I191" t="s">
        <v>1330</v>
      </c>
      <c r="J191">
        <v>15</v>
      </c>
    </row>
    <row r="192" spans="1:10" x14ac:dyDescent="0.25">
      <c r="A192">
        <v>242</v>
      </c>
      <c r="B192" t="s">
        <v>299</v>
      </c>
      <c r="C192" t="s">
        <v>581</v>
      </c>
      <c r="D192" s="11" t="s">
        <v>1193</v>
      </c>
      <c r="E192" t="s">
        <v>298</v>
      </c>
      <c r="F192">
        <v>15</v>
      </c>
      <c r="G192" t="s">
        <v>1570</v>
      </c>
      <c r="H192" t="s">
        <v>1316</v>
      </c>
      <c r="I192" t="s">
        <v>1330</v>
      </c>
      <c r="J192">
        <v>16</v>
      </c>
    </row>
    <row r="193" spans="1:10" x14ac:dyDescent="0.25">
      <c r="A193">
        <v>58</v>
      </c>
      <c r="B193" t="s">
        <v>300</v>
      </c>
      <c r="C193" t="s">
        <v>582</v>
      </c>
      <c r="D193" s="11" t="s">
        <v>1011</v>
      </c>
      <c r="E193" t="s">
        <v>310</v>
      </c>
      <c r="F193">
        <v>16</v>
      </c>
      <c r="G193" t="s">
        <v>1576</v>
      </c>
      <c r="H193" t="s">
        <v>1318</v>
      </c>
      <c r="I193" t="s">
        <v>1339</v>
      </c>
      <c r="J193">
        <v>1</v>
      </c>
    </row>
    <row r="194" spans="1:10" x14ac:dyDescent="0.25">
      <c r="A194">
        <v>59</v>
      </c>
      <c r="B194" t="s">
        <v>1489</v>
      </c>
      <c r="C194" t="s">
        <v>583</v>
      </c>
      <c r="D194" s="11" t="s">
        <v>1012</v>
      </c>
      <c r="E194" t="s">
        <v>311</v>
      </c>
      <c r="F194">
        <v>16</v>
      </c>
      <c r="G194" t="s">
        <v>1576</v>
      </c>
      <c r="H194" t="s">
        <v>1318</v>
      </c>
      <c r="I194" t="s">
        <v>1339</v>
      </c>
      <c r="J194">
        <v>2</v>
      </c>
    </row>
    <row r="195" spans="1:10" x14ac:dyDescent="0.25">
      <c r="A195">
        <v>60</v>
      </c>
      <c r="B195" t="s">
        <v>1490</v>
      </c>
      <c r="C195" t="s">
        <v>584</v>
      </c>
      <c r="D195" s="11" t="s">
        <v>1013</v>
      </c>
      <c r="E195" t="s">
        <v>312</v>
      </c>
      <c r="F195">
        <v>16</v>
      </c>
      <c r="G195" t="s">
        <v>1576</v>
      </c>
      <c r="H195" t="s">
        <v>1318</v>
      </c>
      <c r="I195" t="s">
        <v>1339</v>
      </c>
      <c r="J195">
        <v>3</v>
      </c>
    </row>
    <row r="196" spans="1:10" x14ac:dyDescent="0.25">
      <c r="A196">
        <v>61</v>
      </c>
      <c r="B196" t="s">
        <v>1491</v>
      </c>
      <c r="C196" t="s">
        <v>586</v>
      </c>
      <c r="D196" s="11" t="s">
        <v>1014</v>
      </c>
      <c r="E196" t="s">
        <v>313</v>
      </c>
      <c r="F196">
        <v>16</v>
      </c>
      <c r="G196" t="s">
        <v>1576</v>
      </c>
      <c r="H196" t="s">
        <v>1318</v>
      </c>
      <c r="I196" t="s">
        <v>1339</v>
      </c>
      <c r="J196">
        <v>4</v>
      </c>
    </row>
    <row r="197" spans="1:10" x14ac:dyDescent="0.25">
      <c r="A197">
        <v>62</v>
      </c>
      <c r="B197" t="s">
        <v>1492</v>
      </c>
      <c r="C197" t="s">
        <v>587</v>
      </c>
      <c r="D197" s="11" t="s">
        <v>1015</v>
      </c>
      <c r="E197" t="s">
        <v>315</v>
      </c>
      <c r="F197">
        <v>16</v>
      </c>
      <c r="G197" t="s">
        <v>1576</v>
      </c>
      <c r="H197" t="s">
        <v>1318</v>
      </c>
      <c r="I197" t="s">
        <v>1339</v>
      </c>
      <c r="J197">
        <v>5</v>
      </c>
    </row>
    <row r="198" spans="1:10" x14ac:dyDescent="0.25">
      <c r="A198">
        <v>63</v>
      </c>
      <c r="B198" t="s">
        <v>1489</v>
      </c>
      <c r="C198" t="s">
        <v>585</v>
      </c>
      <c r="D198" s="11" t="s">
        <v>1016</v>
      </c>
      <c r="E198" t="s">
        <v>314</v>
      </c>
      <c r="F198">
        <v>16</v>
      </c>
      <c r="G198" t="s">
        <v>1576</v>
      </c>
      <c r="H198" t="s">
        <v>1318</v>
      </c>
      <c r="I198" t="s">
        <v>1339</v>
      </c>
      <c r="J198">
        <v>6</v>
      </c>
    </row>
    <row r="199" spans="1:10" x14ac:dyDescent="0.25">
      <c r="A199">
        <v>64</v>
      </c>
      <c r="B199" t="s">
        <v>1493</v>
      </c>
      <c r="C199" t="s">
        <v>588</v>
      </c>
      <c r="D199" s="11" t="s">
        <v>1017</v>
      </c>
      <c r="E199" t="s">
        <v>316</v>
      </c>
      <c r="F199">
        <v>16</v>
      </c>
      <c r="G199" t="s">
        <v>1576</v>
      </c>
      <c r="H199" t="s">
        <v>1318</v>
      </c>
      <c r="I199" t="s">
        <v>1339</v>
      </c>
      <c r="J199">
        <v>7</v>
      </c>
    </row>
    <row r="200" spans="1:10" x14ac:dyDescent="0.25">
      <c r="A200">
        <v>65</v>
      </c>
      <c r="B200" t="s">
        <v>301</v>
      </c>
      <c r="C200" t="s">
        <v>589</v>
      </c>
      <c r="D200" s="11" t="s">
        <v>1018</v>
      </c>
      <c r="E200" t="s">
        <v>303</v>
      </c>
      <c r="F200">
        <v>16</v>
      </c>
      <c r="G200" t="s">
        <v>1576</v>
      </c>
      <c r="H200" t="s">
        <v>1318</v>
      </c>
      <c r="I200" t="s">
        <v>1339</v>
      </c>
      <c r="J200">
        <v>8</v>
      </c>
    </row>
    <row r="201" spans="1:10" x14ac:dyDescent="0.25">
      <c r="A201">
        <v>66</v>
      </c>
      <c r="B201" t="s">
        <v>302</v>
      </c>
      <c r="C201" t="s">
        <v>590</v>
      </c>
      <c r="D201" s="11" t="s">
        <v>1019</v>
      </c>
      <c r="E201" t="s">
        <v>304</v>
      </c>
      <c r="F201">
        <v>16</v>
      </c>
      <c r="G201" t="s">
        <v>1576</v>
      </c>
      <c r="H201" t="s">
        <v>1318</v>
      </c>
      <c r="I201" t="s">
        <v>1339</v>
      </c>
      <c r="J201">
        <v>9</v>
      </c>
    </row>
    <row r="202" spans="1:10" x14ac:dyDescent="0.25">
      <c r="A202">
        <v>67</v>
      </c>
      <c r="B202" t="s">
        <v>1494</v>
      </c>
      <c r="C202" t="s">
        <v>591</v>
      </c>
      <c r="D202" s="11" t="s">
        <v>1020</v>
      </c>
      <c r="E202" t="s">
        <v>305</v>
      </c>
      <c r="F202">
        <v>16</v>
      </c>
      <c r="G202" t="s">
        <v>1576</v>
      </c>
      <c r="H202" t="s">
        <v>1318</v>
      </c>
      <c r="I202" t="s">
        <v>1339</v>
      </c>
      <c r="J202">
        <v>10</v>
      </c>
    </row>
    <row r="203" spans="1:10" x14ac:dyDescent="0.25">
      <c r="A203">
        <v>68</v>
      </c>
      <c r="B203" t="s">
        <v>1495</v>
      </c>
      <c r="C203" t="s">
        <v>306</v>
      </c>
      <c r="D203" s="11" t="s">
        <v>1021</v>
      </c>
      <c r="E203" t="s">
        <v>306</v>
      </c>
      <c r="F203">
        <v>16</v>
      </c>
      <c r="G203" t="s">
        <v>1576</v>
      </c>
      <c r="H203" t="s">
        <v>1318</v>
      </c>
      <c r="I203" t="s">
        <v>1339</v>
      </c>
      <c r="J203">
        <v>11</v>
      </c>
    </row>
    <row r="204" spans="1:10" x14ac:dyDescent="0.25">
      <c r="A204">
        <v>69</v>
      </c>
      <c r="B204" t="s">
        <v>1496</v>
      </c>
      <c r="C204" t="s">
        <v>592</v>
      </c>
      <c r="D204" s="11" t="s">
        <v>1022</v>
      </c>
      <c r="E204" t="s">
        <v>307</v>
      </c>
      <c r="F204">
        <v>16</v>
      </c>
      <c r="G204" t="s">
        <v>1576</v>
      </c>
      <c r="H204" t="s">
        <v>1318</v>
      </c>
      <c r="I204" t="s">
        <v>1339</v>
      </c>
      <c r="J204">
        <v>12</v>
      </c>
    </row>
    <row r="205" spans="1:10" x14ac:dyDescent="0.25">
      <c r="A205">
        <v>70</v>
      </c>
      <c r="B205" t="s">
        <v>302</v>
      </c>
      <c r="C205" t="s">
        <v>593</v>
      </c>
      <c r="D205" s="11" t="s">
        <v>1023</v>
      </c>
      <c r="E205" t="s">
        <v>308</v>
      </c>
      <c r="F205">
        <v>16</v>
      </c>
      <c r="G205" t="s">
        <v>1576</v>
      </c>
      <c r="H205" t="s">
        <v>1318</v>
      </c>
      <c r="I205" t="s">
        <v>1339</v>
      </c>
      <c r="J205">
        <v>13</v>
      </c>
    </row>
    <row r="206" spans="1:10" x14ac:dyDescent="0.25">
      <c r="A206">
        <v>71</v>
      </c>
      <c r="B206" t="s">
        <v>1497</v>
      </c>
      <c r="C206" t="s">
        <v>594</v>
      </c>
      <c r="D206" s="11" t="s">
        <v>1024</v>
      </c>
      <c r="E206" t="s">
        <v>309</v>
      </c>
      <c r="F206">
        <v>16</v>
      </c>
      <c r="G206" t="s">
        <v>1576</v>
      </c>
      <c r="H206" t="s">
        <v>1318</v>
      </c>
      <c r="I206" t="s">
        <v>1339</v>
      </c>
      <c r="J206">
        <v>14</v>
      </c>
    </row>
    <row r="207" spans="1:10" x14ac:dyDescent="0.25">
      <c r="A207">
        <v>72</v>
      </c>
      <c r="B207" t="s">
        <v>317</v>
      </c>
      <c r="C207" t="s">
        <v>318</v>
      </c>
      <c r="D207" s="11" t="s">
        <v>1025</v>
      </c>
      <c r="E207" t="s">
        <v>318</v>
      </c>
      <c r="F207">
        <v>16</v>
      </c>
      <c r="G207" t="s">
        <v>1576</v>
      </c>
      <c r="H207" t="s">
        <v>1318</v>
      </c>
      <c r="I207" t="s">
        <v>1339</v>
      </c>
      <c r="J207">
        <v>15</v>
      </c>
    </row>
    <row r="208" spans="1:10" x14ac:dyDescent="0.25">
      <c r="A208">
        <v>73</v>
      </c>
      <c r="B208" t="s">
        <v>1498</v>
      </c>
      <c r="C208" t="s">
        <v>595</v>
      </c>
      <c r="D208" s="11" t="s">
        <v>1026</v>
      </c>
      <c r="E208" t="s">
        <v>319</v>
      </c>
      <c r="F208">
        <v>16</v>
      </c>
      <c r="G208" t="s">
        <v>1576</v>
      </c>
      <c r="H208" t="s">
        <v>1318</v>
      </c>
      <c r="I208" t="s">
        <v>1339</v>
      </c>
      <c r="J208">
        <v>16</v>
      </c>
    </row>
    <row r="209" spans="1:10" x14ac:dyDescent="0.25">
      <c r="A209">
        <v>74</v>
      </c>
      <c r="B209" t="s">
        <v>1499</v>
      </c>
      <c r="C209" t="s">
        <v>320</v>
      </c>
      <c r="D209" s="11" t="s">
        <v>1027</v>
      </c>
      <c r="E209" t="s">
        <v>320</v>
      </c>
      <c r="F209">
        <v>16</v>
      </c>
      <c r="G209" t="s">
        <v>1576</v>
      </c>
      <c r="H209" t="s">
        <v>1318</v>
      </c>
      <c r="I209" t="s">
        <v>1339</v>
      </c>
      <c r="J209">
        <v>17</v>
      </c>
    </row>
    <row r="210" spans="1:10" x14ac:dyDescent="0.25">
      <c r="A210">
        <v>75</v>
      </c>
      <c r="B210" t="s">
        <v>1500</v>
      </c>
      <c r="C210" t="s">
        <v>321</v>
      </c>
      <c r="D210" s="11" t="s">
        <v>1028</v>
      </c>
      <c r="E210" t="s">
        <v>321</v>
      </c>
      <c r="F210">
        <v>16</v>
      </c>
      <c r="G210" t="s">
        <v>1576</v>
      </c>
      <c r="H210" t="s">
        <v>1318</v>
      </c>
      <c r="I210" t="s">
        <v>1339</v>
      </c>
      <c r="J210">
        <v>18</v>
      </c>
    </row>
    <row r="211" spans="1:10" x14ac:dyDescent="0.25">
      <c r="A211">
        <v>76</v>
      </c>
      <c r="B211" t="s">
        <v>1501</v>
      </c>
      <c r="C211" t="s">
        <v>596</v>
      </c>
      <c r="D211" s="11" t="s">
        <v>1029</v>
      </c>
      <c r="E211" t="s">
        <v>322</v>
      </c>
      <c r="F211">
        <v>16</v>
      </c>
      <c r="G211" t="s">
        <v>1576</v>
      </c>
      <c r="H211" t="s">
        <v>1318</v>
      </c>
      <c r="I211" t="s">
        <v>1339</v>
      </c>
      <c r="J211">
        <v>19</v>
      </c>
    </row>
    <row r="212" spans="1:10" x14ac:dyDescent="0.25">
      <c r="A212">
        <v>77</v>
      </c>
      <c r="B212" t="s">
        <v>1498</v>
      </c>
      <c r="C212" t="s">
        <v>323</v>
      </c>
      <c r="D212" s="11" t="s">
        <v>1030</v>
      </c>
      <c r="E212" t="s">
        <v>323</v>
      </c>
      <c r="F212">
        <v>16</v>
      </c>
      <c r="G212" t="s">
        <v>1576</v>
      </c>
      <c r="H212" t="s">
        <v>1318</v>
      </c>
      <c r="I212" t="s">
        <v>1339</v>
      </c>
      <c r="J212">
        <v>20</v>
      </c>
    </row>
    <row r="213" spans="1:10" x14ac:dyDescent="0.25">
      <c r="A213">
        <v>78</v>
      </c>
      <c r="B213" t="s">
        <v>1502</v>
      </c>
      <c r="C213" t="s">
        <v>324</v>
      </c>
      <c r="D213" s="11" t="s">
        <v>1031</v>
      </c>
      <c r="E213" t="s">
        <v>324</v>
      </c>
      <c r="F213">
        <v>16</v>
      </c>
      <c r="G213" t="s">
        <v>1576</v>
      </c>
      <c r="H213" t="s">
        <v>1318</v>
      </c>
      <c r="I213" t="s">
        <v>1339</v>
      </c>
      <c r="J213">
        <v>21</v>
      </c>
    </row>
    <row r="214" spans="1:10" x14ac:dyDescent="0.25">
      <c r="A214">
        <v>79</v>
      </c>
      <c r="B214" t="s">
        <v>325</v>
      </c>
      <c r="C214" t="s">
        <v>597</v>
      </c>
      <c r="D214" s="11" t="s">
        <v>1032</v>
      </c>
      <c r="E214" t="s">
        <v>326</v>
      </c>
      <c r="F214">
        <v>16</v>
      </c>
      <c r="G214" t="s">
        <v>1576</v>
      </c>
      <c r="H214" t="s">
        <v>1318</v>
      </c>
      <c r="I214" t="s">
        <v>1339</v>
      </c>
      <c r="J214">
        <v>22</v>
      </c>
    </row>
    <row r="215" spans="1:10" x14ac:dyDescent="0.25">
      <c r="A215">
        <v>80</v>
      </c>
      <c r="B215" t="s">
        <v>1503</v>
      </c>
      <c r="C215" t="s">
        <v>598</v>
      </c>
      <c r="D215" s="11" t="s">
        <v>1033</v>
      </c>
      <c r="E215" t="s">
        <v>327</v>
      </c>
      <c r="F215">
        <v>16</v>
      </c>
      <c r="G215" t="s">
        <v>1576</v>
      </c>
      <c r="H215" t="s">
        <v>1318</v>
      </c>
      <c r="I215" t="s">
        <v>1339</v>
      </c>
      <c r="J215">
        <v>23</v>
      </c>
    </row>
    <row r="216" spans="1:10" x14ac:dyDescent="0.25">
      <c r="A216">
        <v>81</v>
      </c>
      <c r="B216" t="s">
        <v>1504</v>
      </c>
      <c r="C216" t="s">
        <v>599</v>
      </c>
      <c r="D216" s="11" t="s">
        <v>1034</v>
      </c>
      <c r="E216" t="s">
        <v>328</v>
      </c>
      <c r="F216">
        <v>16</v>
      </c>
      <c r="G216" t="s">
        <v>1576</v>
      </c>
      <c r="H216" t="s">
        <v>1318</v>
      </c>
      <c r="I216" t="s">
        <v>1339</v>
      </c>
      <c r="J216">
        <v>24</v>
      </c>
    </row>
    <row r="217" spans="1:10" x14ac:dyDescent="0.25">
      <c r="A217">
        <v>82</v>
      </c>
      <c r="B217" t="s">
        <v>1505</v>
      </c>
      <c r="C217" t="s">
        <v>600</v>
      </c>
      <c r="D217" s="11" t="s">
        <v>1035</v>
      </c>
      <c r="E217" t="s">
        <v>329</v>
      </c>
      <c r="F217">
        <v>16</v>
      </c>
      <c r="G217" t="s">
        <v>1576</v>
      </c>
      <c r="H217" t="s">
        <v>1318</v>
      </c>
      <c r="I217" t="s">
        <v>1339</v>
      </c>
      <c r="J217">
        <v>25</v>
      </c>
    </row>
    <row r="218" spans="1:10" x14ac:dyDescent="0.25">
      <c r="A218">
        <v>83</v>
      </c>
      <c r="B218" t="s">
        <v>1506</v>
      </c>
      <c r="C218" t="s">
        <v>601</v>
      </c>
      <c r="D218" s="11" t="s">
        <v>1036</v>
      </c>
      <c r="E218" t="s">
        <v>330</v>
      </c>
      <c r="F218">
        <v>16</v>
      </c>
      <c r="G218" t="s">
        <v>1576</v>
      </c>
      <c r="H218" t="s">
        <v>1318</v>
      </c>
      <c r="I218" t="s">
        <v>1339</v>
      </c>
      <c r="J218">
        <v>26</v>
      </c>
    </row>
    <row r="219" spans="1:10" x14ac:dyDescent="0.25">
      <c r="A219">
        <v>84</v>
      </c>
      <c r="B219" t="s">
        <v>1503</v>
      </c>
      <c r="C219" t="s">
        <v>602</v>
      </c>
      <c r="D219" s="11" t="s">
        <v>1037</v>
      </c>
      <c r="E219" t="s">
        <v>331</v>
      </c>
      <c r="F219">
        <v>16</v>
      </c>
      <c r="G219" t="s">
        <v>1576</v>
      </c>
      <c r="H219" t="s">
        <v>1318</v>
      </c>
      <c r="I219" t="s">
        <v>1339</v>
      </c>
      <c r="J219">
        <v>27</v>
      </c>
    </row>
    <row r="220" spans="1:10" x14ac:dyDescent="0.25">
      <c r="A220">
        <v>85</v>
      </c>
      <c r="B220" t="s">
        <v>1507</v>
      </c>
      <c r="C220" t="s">
        <v>603</v>
      </c>
      <c r="D220" s="11" t="s">
        <v>1038</v>
      </c>
      <c r="E220" t="s">
        <v>332</v>
      </c>
      <c r="F220">
        <v>16</v>
      </c>
      <c r="G220" t="s">
        <v>1576</v>
      </c>
      <c r="H220" t="s">
        <v>1318</v>
      </c>
      <c r="I220" t="s">
        <v>1339</v>
      </c>
      <c r="J220">
        <v>28</v>
      </c>
    </row>
    <row r="221" spans="1:10" x14ac:dyDescent="0.25">
      <c r="A221">
        <v>86</v>
      </c>
      <c r="B221" t="s">
        <v>1548</v>
      </c>
      <c r="C221" t="s">
        <v>604</v>
      </c>
      <c r="D221" s="11" t="s">
        <v>1039</v>
      </c>
      <c r="E221" t="s">
        <v>333</v>
      </c>
      <c r="F221">
        <v>17</v>
      </c>
      <c r="G221" t="s">
        <v>1572</v>
      </c>
      <c r="H221" t="s">
        <v>1316</v>
      </c>
      <c r="I221" t="s">
        <v>1332</v>
      </c>
      <c r="J221">
        <v>11</v>
      </c>
    </row>
    <row r="222" spans="1:10" x14ac:dyDescent="0.25">
      <c r="A222">
        <v>87</v>
      </c>
      <c r="B222" t="s">
        <v>1408</v>
      </c>
      <c r="C222" t="s">
        <v>605</v>
      </c>
      <c r="D222" s="11" t="s">
        <v>1040</v>
      </c>
      <c r="E222" t="s">
        <v>334</v>
      </c>
      <c r="F222">
        <v>17</v>
      </c>
      <c r="G222" t="s">
        <v>1572</v>
      </c>
      <c r="H222" t="s">
        <v>1316</v>
      </c>
      <c r="I222" t="s">
        <v>1332</v>
      </c>
      <c r="J222">
        <v>12</v>
      </c>
    </row>
    <row r="223" spans="1:10" x14ac:dyDescent="0.25">
      <c r="A223">
        <v>88</v>
      </c>
      <c r="B223" t="s">
        <v>335</v>
      </c>
      <c r="C223" t="s">
        <v>606</v>
      </c>
      <c r="D223" s="11" t="s">
        <v>1041</v>
      </c>
      <c r="E223" t="s">
        <v>336</v>
      </c>
      <c r="F223">
        <v>18</v>
      </c>
      <c r="G223" t="s">
        <v>1575</v>
      </c>
      <c r="H223" t="s">
        <v>1318</v>
      </c>
      <c r="I223" t="s">
        <v>1337</v>
      </c>
      <c r="J223">
        <v>1</v>
      </c>
    </row>
    <row r="224" spans="1:10" x14ac:dyDescent="0.25">
      <c r="A224">
        <v>89</v>
      </c>
      <c r="B224" t="s">
        <v>1459</v>
      </c>
      <c r="C224" t="s">
        <v>607</v>
      </c>
      <c r="D224" s="11" t="s">
        <v>1042</v>
      </c>
      <c r="E224" t="s">
        <v>350</v>
      </c>
      <c r="F224">
        <v>18</v>
      </c>
      <c r="G224" t="s">
        <v>1575</v>
      </c>
      <c r="H224" t="s">
        <v>1318</v>
      </c>
      <c r="I224" t="s">
        <v>1337</v>
      </c>
      <c r="J224">
        <v>2</v>
      </c>
    </row>
    <row r="225" spans="1:10" x14ac:dyDescent="0.25">
      <c r="A225">
        <v>90</v>
      </c>
      <c r="B225" t="s">
        <v>1460</v>
      </c>
      <c r="C225" t="s">
        <v>723</v>
      </c>
      <c r="D225" s="11" t="s">
        <v>1043</v>
      </c>
      <c r="E225" t="s">
        <v>337</v>
      </c>
      <c r="F225">
        <v>18</v>
      </c>
      <c r="G225" t="s">
        <v>1575</v>
      </c>
      <c r="H225" t="s">
        <v>1318</v>
      </c>
      <c r="I225" t="s">
        <v>1337</v>
      </c>
      <c r="J225">
        <v>3</v>
      </c>
    </row>
    <row r="226" spans="1:10" x14ac:dyDescent="0.25">
      <c r="A226">
        <v>91</v>
      </c>
      <c r="B226" t="s">
        <v>1461</v>
      </c>
      <c r="C226" t="s">
        <v>608</v>
      </c>
      <c r="D226" s="11" t="s">
        <v>1044</v>
      </c>
      <c r="E226" t="s">
        <v>338</v>
      </c>
      <c r="F226">
        <v>18</v>
      </c>
      <c r="G226" t="s">
        <v>1575</v>
      </c>
      <c r="H226" t="s">
        <v>1318</v>
      </c>
      <c r="I226" t="s">
        <v>1337</v>
      </c>
      <c r="J226">
        <v>4</v>
      </c>
    </row>
    <row r="227" spans="1:10" x14ac:dyDescent="0.25">
      <c r="A227">
        <v>92</v>
      </c>
      <c r="B227" t="s">
        <v>1462</v>
      </c>
      <c r="C227" t="s">
        <v>609</v>
      </c>
      <c r="D227" s="11" t="s">
        <v>1045</v>
      </c>
      <c r="E227" t="s">
        <v>339</v>
      </c>
      <c r="F227">
        <v>18</v>
      </c>
      <c r="G227" t="s">
        <v>1575</v>
      </c>
      <c r="H227" t="s">
        <v>1318</v>
      </c>
      <c r="I227" t="s">
        <v>1337</v>
      </c>
      <c r="J227">
        <v>5</v>
      </c>
    </row>
    <row r="228" spans="1:10" x14ac:dyDescent="0.25">
      <c r="A228">
        <v>93</v>
      </c>
      <c r="B228" t="s">
        <v>1459</v>
      </c>
      <c r="C228" t="s">
        <v>610</v>
      </c>
      <c r="D228" s="11" t="s">
        <v>1046</v>
      </c>
      <c r="E228" t="s">
        <v>340</v>
      </c>
      <c r="F228">
        <v>18</v>
      </c>
      <c r="G228" t="s">
        <v>1575</v>
      </c>
      <c r="H228" t="s">
        <v>1318</v>
      </c>
      <c r="I228" t="s">
        <v>1337</v>
      </c>
      <c r="J228">
        <v>6</v>
      </c>
    </row>
    <row r="229" spans="1:10" x14ac:dyDescent="0.25">
      <c r="A229">
        <v>94</v>
      </c>
      <c r="B229" t="s">
        <v>1463</v>
      </c>
      <c r="C229" t="s">
        <v>611</v>
      </c>
      <c r="D229" s="11" t="s">
        <v>1047</v>
      </c>
      <c r="E229" t="s">
        <v>341</v>
      </c>
      <c r="F229">
        <v>18</v>
      </c>
      <c r="G229" t="s">
        <v>1575</v>
      </c>
      <c r="H229" t="s">
        <v>1318</v>
      </c>
      <c r="I229" t="s">
        <v>1337</v>
      </c>
      <c r="J229">
        <v>7</v>
      </c>
    </row>
    <row r="230" spans="1:10" x14ac:dyDescent="0.25">
      <c r="A230">
        <v>95</v>
      </c>
      <c r="B230" t="s">
        <v>342</v>
      </c>
      <c r="C230" t="s">
        <v>612</v>
      </c>
      <c r="D230" s="11" t="s">
        <v>1048</v>
      </c>
      <c r="E230" t="s">
        <v>343</v>
      </c>
      <c r="F230">
        <v>18</v>
      </c>
      <c r="G230" t="s">
        <v>1575</v>
      </c>
      <c r="H230" t="s">
        <v>1318</v>
      </c>
      <c r="I230" t="s">
        <v>1337</v>
      </c>
      <c r="J230">
        <v>8</v>
      </c>
    </row>
    <row r="231" spans="1:10" x14ac:dyDescent="0.25">
      <c r="A231">
        <v>96</v>
      </c>
      <c r="B231" t="s">
        <v>1464</v>
      </c>
      <c r="C231" t="s">
        <v>613</v>
      </c>
      <c r="D231" s="11" t="s">
        <v>1049</v>
      </c>
      <c r="E231" t="s">
        <v>344</v>
      </c>
      <c r="F231">
        <v>18</v>
      </c>
      <c r="G231" t="s">
        <v>1575</v>
      </c>
      <c r="H231" t="s">
        <v>1318</v>
      </c>
      <c r="I231" t="s">
        <v>1337</v>
      </c>
      <c r="J231">
        <v>9</v>
      </c>
    </row>
    <row r="232" spans="1:10" x14ac:dyDescent="0.25">
      <c r="A232">
        <v>97</v>
      </c>
      <c r="B232" t="s">
        <v>1465</v>
      </c>
      <c r="C232" t="s">
        <v>614</v>
      </c>
      <c r="D232" s="11" t="s">
        <v>1050</v>
      </c>
      <c r="E232" t="s">
        <v>345</v>
      </c>
      <c r="F232">
        <v>18</v>
      </c>
      <c r="G232" t="s">
        <v>1575</v>
      </c>
      <c r="H232" t="s">
        <v>1318</v>
      </c>
      <c r="I232" t="s">
        <v>1337</v>
      </c>
      <c r="J232">
        <v>10</v>
      </c>
    </row>
    <row r="233" spans="1:10" x14ac:dyDescent="0.25">
      <c r="A233">
        <v>98</v>
      </c>
      <c r="B233" t="s">
        <v>1466</v>
      </c>
      <c r="C233" t="s">
        <v>615</v>
      </c>
      <c r="D233" s="11" t="s">
        <v>1051</v>
      </c>
      <c r="E233" t="s">
        <v>346</v>
      </c>
      <c r="F233">
        <v>18</v>
      </c>
      <c r="G233" t="s">
        <v>1575</v>
      </c>
      <c r="H233" t="s">
        <v>1318</v>
      </c>
      <c r="I233" t="s">
        <v>1337</v>
      </c>
      <c r="J233">
        <v>11</v>
      </c>
    </row>
    <row r="234" spans="1:10" x14ac:dyDescent="0.25">
      <c r="A234">
        <v>99</v>
      </c>
      <c r="B234" t="s">
        <v>1467</v>
      </c>
      <c r="C234" t="s">
        <v>616</v>
      </c>
      <c r="D234" s="11" t="s">
        <v>1052</v>
      </c>
      <c r="E234" t="s">
        <v>347</v>
      </c>
      <c r="F234">
        <v>18</v>
      </c>
      <c r="G234" t="s">
        <v>1575</v>
      </c>
      <c r="H234" t="s">
        <v>1318</v>
      </c>
      <c r="I234" t="s">
        <v>1337</v>
      </c>
      <c r="J234">
        <v>12</v>
      </c>
    </row>
    <row r="235" spans="1:10" x14ac:dyDescent="0.25">
      <c r="A235">
        <v>100</v>
      </c>
      <c r="B235" t="s">
        <v>1464</v>
      </c>
      <c r="C235" t="s">
        <v>617</v>
      </c>
      <c r="D235" s="11" t="s">
        <v>1053</v>
      </c>
      <c r="E235" t="s">
        <v>348</v>
      </c>
      <c r="F235">
        <v>18</v>
      </c>
      <c r="G235" t="s">
        <v>1575</v>
      </c>
      <c r="H235" t="s">
        <v>1318</v>
      </c>
      <c r="I235" t="s">
        <v>1337</v>
      </c>
      <c r="J235">
        <v>13</v>
      </c>
    </row>
    <row r="236" spans="1:10" x14ac:dyDescent="0.25">
      <c r="A236">
        <v>101</v>
      </c>
      <c r="B236" t="s">
        <v>1468</v>
      </c>
      <c r="C236" t="s">
        <v>618</v>
      </c>
      <c r="D236" s="11" t="s">
        <v>1054</v>
      </c>
      <c r="E236" t="s">
        <v>349</v>
      </c>
      <c r="F236">
        <v>18</v>
      </c>
      <c r="G236" t="s">
        <v>1575</v>
      </c>
      <c r="H236" t="s">
        <v>1318</v>
      </c>
      <c r="I236" t="s">
        <v>1337</v>
      </c>
      <c r="J236">
        <v>14</v>
      </c>
    </row>
    <row r="237" spans="1:10" x14ac:dyDescent="0.25">
      <c r="A237">
        <v>102</v>
      </c>
      <c r="B237" t="s">
        <v>351</v>
      </c>
      <c r="C237" t="s">
        <v>619</v>
      </c>
      <c r="D237" s="11" t="s">
        <v>1055</v>
      </c>
      <c r="E237" t="s">
        <v>352</v>
      </c>
      <c r="F237">
        <v>18</v>
      </c>
      <c r="G237" t="s">
        <v>1575</v>
      </c>
      <c r="H237" t="s">
        <v>1318</v>
      </c>
      <c r="I237" t="s">
        <v>1337</v>
      </c>
      <c r="J237">
        <v>15</v>
      </c>
    </row>
    <row r="238" spans="1:10" x14ac:dyDescent="0.25">
      <c r="A238">
        <v>103</v>
      </c>
      <c r="B238" t="s">
        <v>1469</v>
      </c>
      <c r="C238" t="s">
        <v>620</v>
      </c>
      <c r="D238" s="11" t="s">
        <v>1056</v>
      </c>
      <c r="E238" t="s">
        <v>353</v>
      </c>
      <c r="F238">
        <v>18</v>
      </c>
      <c r="G238" t="s">
        <v>1575</v>
      </c>
      <c r="H238" t="s">
        <v>1318</v>
      </c>
      <c r="I238" t="s">
        <v>1337</v>
      </c>
      <c r="J238">
        <v>16</v>
      </c>
    </row>
    <row r="239" spans="1:10" x14ac:dyDescent="0.25">
      <c r="A239">
        <v>104</v>
      </c>
      <c r="B239" t="s">
        <v>1470</v>
      </c>
      <c r="C239" t="s">
        <v>621</v>
      </c>
      <c r="D239" s="11" t="s">
        <v>1057</v>
      </c>
      <c r="E239" t="s">
        <v>354</v>
      </c>
      <c r="F239">
        <v>18</v>
      </c>
      <c r="G239" t="s">
        <v>1575</v>
      </c>
      <c r="H239" t="s">
        <v>1318</v>
      </c>
      <c r="I239" t="s">
        <v>1337</v>
      </c>
      <c r="J239">
        <v>17</v>
      </c>
    </row>
    <row r="240" spans="1:10" x14ac:dyDescent="0.25">
      <c r="A240">
        <v>105</v>
      </c>
      <c r="B240" t="s">
        <v>1471</v>
      </c>
      <c r="C240" t="s">
        <v>622</v>
      </c>
      <c r="D240" s="11" t="s">
        <v>1058</v>
      </c>
      <c r="E240" t="s">
        <v>355</v>
      </c>
      <c r="F240">
        <v>18</v>
      </c>
      <c r="G240" t="s">
        <v>1575</v>
      </c>
      <c r="H240" t="s">
        <v>1318</v>
      </c>
      <c r="I240" t="s">
        <v>1337</v>
      </c>
      <c r="J240">
        <v>18</v>
      </c>
    </row>
    <row r="241" spans="1:10" x14ac:dyDescent="0.25">
      <c r="A241">
        <v>106</v>
      </c>
      <c r="B241" t="s">
        <v>1472</v>
      </c>
      <c r="C241" t="s">
        <v>623</v>
      </c>
      <c r="D241" s="11" t="s">
        <v>1059</v>
      </c>
      <c r="E241" t="s">
        <v>356</v>
      </c>
      <c r="F241">
        <v>18</v>
      </c>
      <c r="G241" t="s">
        <v>1575</v>
      </c>
      <c r="H241" t="s">
        <v>1318</v>
      </c>
      <c r="I241" t="s">
        <v>1337</v>
      </c>
      <c r="J241">
        <v>19</v>
      </c>
    </row>
    <row r="242" spans="1:10" x14ac:dyDescent="0.25">
      <c r="A242">
        <v>107</v>
      </c>
      <c r="B242" t="s">
        <v>1469</v>
      </c>
      <c r="C242" t="s">
        <v>624</v>
      </c>
      <c r="D242" s="11" t="s">
        <v>1060</v>
      </c>
      <c r="E242" t="s">
        <v>357</v>
      </c>
      <c r="F242">
        <v>18</v>
      </c>
      <c r="G242" t="s">
        <v>1575</v>
      </c>
      <c r="H242" t="s">
        <v>1318</v>
      </c>
      <c r="I242" t="s">
        <v>1337</v>
      </c>
      <c r="J242">
        <v>20</v>
      </c>
    </row>
    <row r="243" spans="1:10" x14ac:dyDescent="0.25">
      <c r="A243">
        <v>108</v>
      </c>
      <c r="B243" t="s">
        <v>1473</v>
      </c>
      <c r="C243" t="s">
        <v>625</v>
      </c>
      <c r="D243" s="11" t="s">
        <v>1061</v>
      </c>
      <c r="E243" t="s">
        <v>358</v>
      </c>
      <c r="F243">
        <v>18</v>
      </c>
      <c r="G243" t="s">
        <v>1575</v>
      </c>
      <c r="H243" t="s">
        <v>1318</v>
      </c>
      <c r="I243" t="s">
        <v>1337</v>
      </c>
      <c r="J243">
        <v>21</v>
      </c>
    </row>
    <row r="244" spans="1:10" x14ac:dyDescent="0.25">
      <c r="A244">
        <v>109</v>
      </c>
      <c r="B244" t="s">
        <v>365</v>
      </c>
      <c r="C244" t="s">
        <v>626</v>
      </c>
      <c r="D244" s="11" t="s">
        <v>1062</v>
      </c>
      <c r="E244" t="s">
        <v>369</v>
      </c>
      <c r="F244">
        <v>19</v>
      </c>
      <c r="G244" t="s">
        <v>1559</v>
      </c>
      <c r="H244" t="s">
        <v>1318</v>
      </c>
      <c r="I244" t="s">
        <v>1340</v>
      </c>
      <c r="J244">
        <v>1</v>
      </c>
    </row>
    <row r="245" spans="1:10" x14ac:dyDescent="0.25">
      <c r="A245">
        <v>110</v>
      </c>
      <c r="B245" t="s">
        <v>1508</v>
      </c>
      <c r="C245" t="s">
        <v>627</v>
      </c>
      <c r="D245" s="11" t="s">
        <v>1063</v>
      </c>
      <c r="E245" t="s">
        <v>366</v>
      </c>
      <c r="F245">
        <v>19</v>
      </c>
      <c r="G245" t="s">
        <v>1559</v>
      </c>
      <c r="H245" t="s">
        <v>1318</v>
      </c>
      <c r="I245" t="s">
        <v>1340</v>
      </c>
      <c r="J245">
        <v>2</v>
      </c>
    </row>
    <row r="246" spans="1:10" x14ac:dyDescent="0.25">
      <c r="A246">
        <v>111</v>
      </c>
      <c r="B246" t="s">
        <v>1509</v>
      </c>
      <c r="C246" t="s">
        <v>628</v>
      </c>
      <c r="D246" s="11" t="s">
        <v>1064</v>
      </c>
      <c r="E246" t="s">
        <v>370</v>
      </c>
      <c r="F246">
        <v>19</v>
      </c>
      <c r="G246" t="s">
        <v>1559</v>
      </c>
      <c r="H246" t="s">
        <v>1318</v>
      </c>
      <c r="I246" t="s">
        <v>1340</v>
      </c>
      <c r="J246">
        <v>3</v>
      </c>
    </row>
    <row r="247" spans="1:10" x14ac:dyDescent="0.25">
      <c r="A247">
        <v>112</v>
      </c>
      <c r="B247" t="s">
        <v>1510</v>
      </c>
      <c r="C247" t="s">
        <v>629</v>
      </c>
      <c r="D247" s="11" t="s">
        <v>1065</v>
      </c>
      <c r="E247" t="s">
        <v>371</v>
      </c>
      <c r="F247">
        <v>19</v>
      </c>
      <c r="G247" t="s">
        <v>1559</v>
      </c>
      <c r="H247" t="s">
        <v>1318</v>
      </c>
      <c r="I247" t="s">
        <v>1340</v>
      </c>
      <c r="J247">
        <v>4</v>
      </c>
    </row>
    <row r="248" spans="1:10" x14ac:dyDescent="0.25">
      <c r="A248">
        <v>113</v>
      </c>
      <c r="B248" t="s">
        <v>1511</v>
      </c>
      <c r="C248" t="s">
        <v>630</v>
      </c>
      <c r="D248" s="11" t="s">
        <v>1066</v>
      </c>
      <c r="E248" t="s">
        <v>372</v>
      </c>
      <c r="F248">
        <v>19</v>
      </c>
      <c r="G248" t="s">
        <v>1559</v>
      </c>
      <c r="H248" t="s">
        <v>1318</v>
      </c>
      <c r="I248" t="s">
        <v>1340</v>
      </c>
      <c r="J248">
        <v>5</v>
      </c>
    </row>
    <row r="249" spans="1:10" x14ac:dyDescent="0.25">
      <c r="A249">
        <v>114</v>
      </c>
      <c r="B249" t="s">
        <v>1508</v>
      </c>
      <c r="C249" t="s">
        <v>367</v>
      </c>
      <c r="D249" s="11" t="s">
        <v>1067</v>
      </c>
      <c r="E249" t="s">
        <v>367</v>
      </c>
      <c r="F249">
        <v>19</v>
      </c>
      <c r="G249" t="s">
        <v>1559</v>
      </c>
      <c r="H249" t="s">
        <v>1318</v>
      </c>
      <c r="I249" t="s">
        <v>1340</v>
      </c>
      <c r="J249">
        <v>6</v>
      </c>
    </row>
    <row r="250" spans="1:10" x14ac:dyDescent="0.25">
      <c r="A250">
        <v>115</v>
      </c>
      <c r="B250" t="s">
        <v>1512</v>
      </c>
      <c r="C250" t="s">
        <v>368</v>
      </c>
      <c r="D250" s="11" t="s">
        <v>1068</v>
      </c>
      <c r="E250" t="s">
        <v>368</v>
      </c>
      <c r="F250">
        <v>19</v>
      </c>
      <c r="G250" t="s">
        <v>1559</v>
      </c>
      <c r="H250" t="s">
        <v>1318</v>
      </c>
      <c r="I250" t="s">
        <v>1340</v>
      </c>
      <c r="J250">
        <v>7</v>
      </c>
    </row>
    <row r="251" spans="1:10" x14ac:dyDescent="0.25">
      <c r="A251">
        <v>116</v>
      </c>
      <c r="B251" t="s">
        <v>373</v>
      </c>
      <c r="C251" t="s">
        <v>374</v>
      </c>
      <c r="D251" s="11" t="s">
        <v>1069</v>
      </c>
      <c r="E251" t="s">
        <v>374</v>
      </c>
      <c r="F251">
        <v>19</v>
      </c>
      <c r="G251" t="s">
        <v>1559</v>
      </c>
      <c r="H251" t="s">
        <v>1318</v>
      </c>
      <c r="I251" t="s">
        <v>1340</v>
      </c>
      <c r="J251">
        <v>8</v>
      </c>
    </row>
    <row r="252" spans="1:10" x14ac:dyDescent="0.25">
      <c r="A252">
        <v>117</v>
      </c>
      <c r="B252" t="s">
        <v>1513</v>
      </c>
      <c r="C252" t="s">
        <v>631</v>
      </c>
      <c r="D252" s="11" t="s">
        <v>1070</v>
      </c>
      <c r="E252" t="s">
        <v>375</v>
      </c>
      <c r="F252">
        <v>19</v>
      </c>
      <c r="G252" t="s">
        <v>1559</v>
      </c>
      <c r="H252" t="s">
        <v>1318</v>
      </c>
      <c r="I252" t="s">
        <v>1340</v>
      </c>
      <c r="J252">
        <v>9</v>
      </c>
    </row>
    <row r="253" spans="1:10" x14ac:dyDescent="0.25">
      <c r="A253">
        <v>118</v>
      </c>
      <c r="B253" t="s">
        <v>1514</v>
      </c>
      <c r="C253" t="s">
        <v>376</v>
      </c>
      <c r="D253" s="11" t="s">
        <v>1071</v>
      </c>
      <c r="E253" t="s">
        <v>376</v>
      </c>
      <c r="F253">
        <v>19</v>
      </c>
      <c r="G253" t="s">
        <v>1559</v>
      </c>
      <c r="H253" t="s">
        <v>1318</v>
      </c>
      <c r="I253" t="s">
        <v>1340</v>
      </c>
      <c r="J253">
        <v>10</v>
      </c>
    </row>
    <row r="254" spans="1:10" x14ac:dyDescent="0.25">
      <c r="A254">
        <v>119</v>
      </c>
      <c r="B254" t="s">
        <v>1515</v>
      </c>
      <c r="C254" t="s">
        <v>377</v>
      </c>
      <c r="D254" s="11" t="s">
        <v>1072</v>
      </c>
      <c r="E254" t="s">
        <v>377</v>
      </c>
      <c r="F254">
        <v>19</v>
      </c>
      <c r="G254" t="s">
        <v>1559</v>
      </c>
      <c r="H254" t="s">
        <v>1318</v>
      </c>
      <c r="I254" t="s">
        <v>1340</v>
      </c>
      <c r="J254">
        <v>11</v>
      </c>
    </row>
    <row r="255" spans="1:10" x14ac:dyDescent="0.25">
      <c r="A255">
        <v>120</v>
      </c>
      <c r="B255" t="s">
        <v>1516</v>
      </c>
      <c r="C255" t="s">
        <v>632</v>
      </c>
      <c r="D255" s="11" t="s">
        <v>1073</v>
      </c>
      <c r="E255" t="s">
        <v>378</v>
      </c>
      <c r="F255">
        <v>19</v>
      </c>
      <c r="G255" t="s">
        <v>1559</v>
      </c>
      <c r="H255" t="s">
        <v>1318</v>
      </c>
      <c r="I255" t="s">
        <v>1340</v>
      </c>
      <c r="J255">
        <v>12</v>
      </c>
    </row>
    <row r="256" spans="1:10" x14ac:dyDescent="0.25">
      <c r="A256">
        <v>121</v>
      </c>
      <c r="B256" t="s">
        <v>1513</v>
      </c>
      <c r="C256" t="s">
        <v>379</v>
      </c>
      <c r="D256" s="11" t="s">
        <v>1074</v>
      </c>
      <c r="E256" t="s">
        <v>379</v>
      </c>
      <c r="F256">
        <v>19</v>
      </c>
      <c r="G256" t="s">
        <v>1559</v>
      </c>
      <c r="H256" t="s">
        <v>1318</v>
      </c>
      <c r="I256" t="s">
        <v>1340</v>
      </c>
      <c r="J256">
        <v>13</v>
      </c>
    </row>
    <row r="257" spans="1:10" x14ac:dyDescent="0.25">
      <c r="A257">
        <v>122</v>
      </c>
      <c r="B257" t="s">
        <v>1517</v>
      </c>
      <c r="C257" t="s">
        <v>380</v>
      </c>
      <c r="D257" s="11" t="s">
        <v>1075</v>
      </c>
      <c r="E257" t="s">
        <v>380</v>
      </c>
      <c r="F257">
        <v>19</v>
      </c>
      <c r="G257" t="s">
        <v>1559</v>
      </c>
      <c r="H257" t="s">
        <v>1318</v>
      </c>
      <c r="I257" t="s">
        <v>1340</v>
      </c>
      <c r="J257">
        <v>14</v>
      </c>
    </row>
    <row r="258" spans="1:10" x14ac:dyDescent="0.25">
      <c r="A258">
        <v>123</v>
      </c>
      <c r="B258" t="s">
        <v>381</v>
      </c>
      <c r="C258" t="s">
        <v>633</v>
      </c>
      <c r="D258" s="11" t="s">
        <v>1076</v>
      </c>
      <c r="E258" t="s">
        <v>385</v>
      </c>
      <c r="F258">
        <v>19</v>
      </c>
      <c r="G258" t="s">
        <v>1559</v>
      </c>
      <c r="H258" t="s">
        <v>1318</v>
      </c>
      <c r="I258" t="s">
        <v>1340</v>
      </c>
      <c r="J258">
        <v>15</v>
      </c>
    </row>
    <row r="259" spans="1:10" x14ac:dyDescent="0.25">
      <c r="A259">
        <v>124</v>
      </c>
      <c r="B259" t="s">
        <v>1518</v>
      </c>
      <c r="C259" t="s">
        <v>634</v>
      </c>
      <c r="D259" s="11" t="s">
        <v>1077</v>
      </c>
      <c r="E259" t="s">
        <v>382</v>
      </c>
      <c r="F259">
        <v>19</v>
      </c>
      <c r="G259" t="s">
        <v>1559</v>
      </c>
      <c r="H259" t="s">
        <v>1318</v>
      </c>
      <c r="I259" t="s">
        <v>1340</v>
      </c>
      <c r="J259">
        <v>16</v>
      </c>
    </row>
    <row r="260" spans="1:10" x14ac:dyDescent="0.25">
      <c r="A260">
        <v>125</v>
      </c>
      <c r="B260" t="s">
        <v>1519</v>
      </c>
      <c r="C260" t="s">
        <v>635</v>
      </c>
      <c r="D260" s="11" t="s">
        <v>1078</v>
      </c>
      <c r="E260" t="s">
        <v>386</v>
      </c>
      <c r="F260">
        <v>19</v>
      </c>
      <c r="G260" t="s">
        <v>1559</v>
      </c>
      <c r="H260" t="s">
        <v>1318</v>
      </c>
      <c r="I260" t="s">
        <v>1340</v>
      </c>
      <c r="J260">
        <v>17</v>
      </c>
    </row>
    <row r="261" spans="1:10" x14ac:dyDescent="0.25">
      <c r="A261">
        <v>126</v>
      </c>
      <c r="B261" t="s">
        <v>1520</v>
      </c>
      <c r="C261" t="s">
        <v>636</v>
      </c>
      <c r="D261" s="11" t="s">
        <v>1079</v>
      </c>
      <c r="E261" t="s">
        <v>387</v>
      </c>
      <c r="F261">
        <v>19</v>
      </c>
      <c r="G261" t="s">
        <v>1559</v>
      </c>
      <c r="H261" t="s">
        <v>1318</v>
      </c>
      <c r="I261" t="s">
        <v>1340</v>
      </c>
      <c r="J261">
        <v>18</v>
      </c>
    </row>
    <row r="262" spans="1:10" x14ac:dyDescent="0.25">
      <c r="A262">
        <v>127</v>
      </c>
      <c r="B262" t="s">
        <v>1521</v>
      </c>
      <c r="C262" t="s">
        <v>637</v>
      </c>
      <c r="D262" s="11" t="s">
        <v>1080</v>
      </c>
      <c r="E262" t="s">
        <v>388</v>
      </c>
      <c r="F262">
        <v>19</v>
      </c>
      <c r="G262" t="s">
        <v>1559</v>
      </c>
      <c r="H262" t="s">
        <v>1318</v>
      </c>
      <c r="I262" t="s">
        <v>1340</v>
      </c>
      <c r="J262">
        <v>19</v>
      </c>
    </row>
    <row r="263" spans="1:10" x14ac:dyDescent="0.25">
      <c r="A263">
        <v>128</v>
      </c>
      <c r="B263" t="s">
        <v>1518</v>
      </c>
      <c r="C263" t="s">
        <v>383</v>
      </c>
      <c r="D263" s="11" t="s">
        <v>1081</v>
      </c>
      <c r="E263" t="s">
        <v>383</v>
      </c>
      <c r="F263">
        <v>19</v>
      </c>
      <c r="G263" t="s">
        <v>1559</v>
      </c>
      <c r="H263" t="s">
        <v>1318</v>
      </c>
      <c r="I263" t="s">
        <v>1340</v>
      </c>
      <c r="J263">
        <v>20</v>
      </c>
    </row>
    <row r="264" spans="1:10" x14ac:dyDescent="0.25">
      <c r="A264">
        <v>129</v>
      </c>
      <c r="B264" t="s">
        <v>1522</v>
      </c>
      <c r="C264" t="s">
        <v>638</v>
      </c>
      <c r="D264" s="11" t="s">
        <v>1082</v>
      </c>
      <c r="E264" t="s">
        <v>384</v>
      </c>
      <c r="F264">
        <v>19</v>
      </c>
      <c r="G264" t="s">
        <v>1559</v>
      </c>
      <c r="H264" t="s">
        <v>1318</v>
      </c>
      <c r="I264" t="s">
        <v>1340</v>
      </c>
      <c r="J264">
        <v>21</v>
      </c>
    </row>
    <row r="265" spans="1:10" x14ac:dyDescent="0.25">
      <c r="A265">
        <v>130</v>
      </c>
      <c r="B265" t="s">
        <v>389</v>
      </c>
      <c r="C265" t="s">
        <v>639</v>
      </c>
      <c r="D265" s="11" t="s">
        <v>1083</v>
      </c>
      <c r="E265" t="s">
        <v>390</v>
      </c>
      <c r="F265">
        <v>19</v>
      </c>
      <c r="G265" t="s">
        <v>1559</v>
      </c>
      <c r="H265" t="s">
        <v>1318</v>
      </c>
      <c r="I265" t="s">
        <v>1340</v>
      </c>
      <c r="J265">
        <v>22</v>
      </c>
    </row>
    <row r="266" spans="1:10" x14ac:dyDescent="0.25">
      <c r="A266">
        <v>131</v>
      </c>
      <c r="B266" t="s">
        <v>1523</v>
      </c>
      <c r="C266" t="s">
        <v>640</v>
      </c>
      <c r="D266" s="11" t="s">
        <v>1084</v>
      </c>
      <c r="E266" t="s">
        <v>391</v>
      </c>
      <c r="F266">
        <v>19</v>
      </c>
      <c r="G266" t="s">
        <v>1559</v>
      </c>
      <c r="H266" t="s">
        <v>1318</v>
      </c>
      <c r="I266" t="s">
        <v>1340</v>
      </c>
      <c r="J266">
        <v>23</v>
      </c>
    </row>
    <row r="267" spans="1:10" x14ac:dyDescent="0.25">
      <c r="A267">
        <v>132</v>
      </c>
      <c r="B267" t="s">
        <v>1524</v>
      </c>
      <c r="C267" t="s">
        <v>641</v>
      </c>
      <c r="D267" s="11" t="s">
        <v>1085</v>
      </c>
      <c r="E267" t="s">
        <v>396</v>
      </c>
      <c r="F267">
        <v>19</v>
      </c>
      <c r="G267" t="s">
        <v>1559</v>
      </c>
      <c r="H267" t="s">
        <v>1318</v>
      </c>
      <c r="I267" t="s">
        <v>1340</v>
      </c>
      <c r="J267">
        <v>24</v>
      </c>
    </row>
    <row r="268" spans="1:10" x14ac:dyDescent="0.25">
      <c r="A268">
        <v>133</v>
      </c>
      <c r="B268" t="s">
        <v>1525</v>
      </c>
      <c r="C268" t="s">
        <v>642</v>
      </c>
      <c r="D268" s="11" t="s">
        <v>1086</v>
      </c>
      <c r="E268" t="s">
        <v>392</v>
      </c>
      <c r="F268">
        <v>19</v>
      </c>
      <c r="G268" t="s">
        <v>1559</v>
      </c>
      <c r="H268" t="s">
        <v>1318</v>
      </c>
      <c r="I268" t="s">
        <v>1340</v>
      </c>
      <c r="J268">
        <v>25</v>
      </c>
    </row>
    <row r="269" spans="1:10" x14ac:dyDescent="0.25">
      <c r="A269">
        <v>134</v>
      </c>
      <c r="B269" t="s">
        <v>1526</v>
      </c>
      <c r="C269" t="s">
        <v>643</v>
      </c>
      <c r="D269" s="11" t="s">
        <v>1087</v>
      </c>
      <c r="E269" t="s">
        <v>393</v>
      </c>
      <c r="F269">
        <v>19</v>
      </c>
      <c r="G269" t="s">
        <v>1559</v>
      </c>
      <c r="H269" t="s">
        <v>1318</v>
      </c>
      <c r="I269" t="s">
        <v>1340</v>
      </c>
      <c r="J269">
        <v>26</v>
      </c>
    </row>
    <row r="270" spans="1:10" x14ac:dyDescent="0.25">
      <c r="A270">
        <v>135</v>
      </c>
      <c r="B270" t="s">
        <v>1523</v>
      </c>
      <c r="C270" t="s">
        <v>644</v>
      </c>
      <c r="D270" s="11" t="s">
        <v>1088</v>
      </c>
      <c r="E270" t="s">
        <v>394</v>
      </c>
      <c r="F270">
        <v>19</v>
      </c>
      <c r="G270" t="s">
        <v>1559</v>
      </c>
      <c r="H270" t="s">
        <v>1318</v>
      </c>
      <c r="I270" t="s">
        <v>1340</v>
      </c>
      <c r="J270">
        <v>27</v>
      </c>
    </row>
    <row r="271" spans="1:10" x14ac:dyDescent="0.25">
      <c r="A271">
        <v>136</v>
      </c>
      <c r="B271" t="s">
        <v>1527</v>
      </c>
      <c r="C271" t="s">
        <v>645</v>
      </c>
      <c r="D271" s="11" t="s">
        <v>1089</v>
      </c>
      <c r="E271" t="s">
        <v>395</v>
      </c>
      <c r="F271">
        <v>19</v>
      </c>
      <c r="G271" t="s">
        <v>1559</v>
      </c>
      <c r="H271" t="s">
        <v>1318</v>
      </c>
      <c r="I271" t="s">
        <v>1340</v>
      </c>
      <c r="J271">
        <v>28</v>
      </c>
    </row>
    <row r="272" spans="1:10" x14ac:dyDescent="0.25">
      <c r="A272">
        <v>154</v>
      </c>
      <c r="B272" t="s">
        <v>1355</v>
      </c>
      <c r="C272" t="s">
        <v>364</v>
      </c>
      <c r="D272" s="11" t="s">
        <v>1107</v>
      </c>
      <c r="E272" t="s">
        <v>364</v>
      </c>
      <c r="F272">
        <v>19</v>
      </c>
      <c r="G272" t="s">
        <v>1559</v>
      </c>
      <c r="H272" t="s">
        <v>1314</v>
      </c>
      <c r="I272" t="s">
        <v>1321</v>
      </c>
      <c r="J272">
        <v>13</v>
      </c>
    </row>
    <row r="273" spans="1:10" x14ac:dyDescent="0.25">
      <c r="A273">
        <v>337</v>
      </c>
      <c r="B273" t="s">
        <v>1528</v>
      </c>
      <c r="C273" t="s">
        <v>360</v>
      </c>
      <c r="D273" s="11" t="s">
        <v>1286</v>
      </c>
      <c r="E273" t="s">
        <v>360</v>
      </c>
      <c r="F273">
        <v>19</v>
      </c>
      <c r="G273" t="s">
        <v>1559</v>
      </c>
      <c r="H273" t="s">
        <v>1319</v>
      </c>
      <c r="I273" t="s">
        <v>1342</v>
      </c>
      <c r="J273">
        <v>1</v>
      </c>
    </row>
    <row r="274" spans="1:10" x14ac:dyDescent="0.25">
      <c r="A274">
        <v>338</v>
      </c>
      <c r="B274" t="s">
        <v>1529</v>
      </c>
      <c r="C274" t="s">
        <v>361</v>
      </c>
      <c r="D274" s="11" t="s">
        <v>1287</v>
      </c>
      <c r="E274" t="s">
        <v>361</v>
      </c>
      <c r="F274">
        <v>19</v>
      </c>
      <c r="G274" t="s">
        <v>1559</v>
      </c>
      <c r="H274" t="s">
        <v>1319</v>
      </c>
      <c r="I274" t="s">
        <v>1342</v>
      </c>
      <c r="J274">
        <v>2</v>
      </c>
    </row>
    <row r="275" spans="1:10" x14ac:dyDescent="0.25">
      <c r="A275">
        <v>339</v>
      </c>
      <c r="B275" t="s">
        <v>1530</v>
      </c>
      <c r="C275" t="s">
        <v>362</v>
      </c>
      <c r="D275" s="11" t="s">
        <v>1288</v>
      </c>
      <c r="E275" t="s">
        <v>362</v>
      </c>
      <c r="F275">
        <v>19</v>
      </c>
      <c r="G275" t="s">
        <v>1559</v>
      </c>
      <c r="H275" t="s">
        <v>1319</v>
      </c>
      <c r="I275" t="s">
        <v>1342</v>
      </c>
      <c r="J275">
        <v>3</v>
      </c>
    </row>
    <row r="276" spans="1:10" x14ac:dyDescent="0.25">
      <c r="A276">
        <v>340</v>
      </c>
      <c r="B276" t="s">
        <v>1531</v>
      </c>
      <c r="C276" t="s">
        <v>363</v>
      </c>
      <c r="D276" s="11" t="s">
        <v>1289</v>
      </c>
      <c r="E276" t="s">
        <v>363</v>
      </c>
      <c r="F276">
        <v>19</v>
      </c>
      <c r="G276" t="s">
        <v>1559</v>
      </c>
      <c r="H276" t="s">
        <v>1319</v>
      </c>
      <c r="I276" t="s">
        <v>1342</v>
      </c>
      <c r="J276">
        <v>4</v>
      </c>
    </row>
    <row r="277" spans="1:10" x14ac:dyDescent="0.25">
      <c r="A277">
        <v>156</v>
      </c>
      <c r="B277" t="s">
        <v>1439</v>
      </c>
      <c r="C277" t="s">
        <v>646</v>
      </c>
      <c r="D277" s="11" t="s">
        <v>1109</v>
      </c>
      <c r="E277" t="s">
        <v>397</v>
      </c>
      <c r="F277">
        <v>20</v>
      </c>
      <c r="G277" t="s">
        <v>1574</v>
      </c>
      <c r="H277" t="s">
        <v>1317</v>
      </c>
      <c r="I277" t="s">
        <v>1336</v>
      </c>
      <c r="J277">
        <v>1</v>
      </c>
    </row>
    <row r="278" spans="1:10" x14ac:dyDescent="0.25">
      <c r="A278">
        <v>157</v>
      </c>
      <c r="B278" t="s">
        <v>1440</v>
      </c>
      <c r="C278" t="s">
        <v>647</v>
      </c>
      <c r="D278" s="11" t="s">
        <v>1110</v>
      </c>
      <c r="E278" t="s">
        <v>398</v>
      </c>
      <c r="F278">
        <v>20</v>
      </c>
      <c r="G278" t="s">
        <v>1574</v>
      </c>
      <c r="H278" t="s">
        <v>1317</v>
      </c>
      <c r="I278" t="s">
        <v>1336</v>
      </c>
      <c r="J278">
        <v>2</v>
      </c>
    </row>
    <row r="279" spans="1:10" x14ac:dyDescent="0.25">
      <c r="A279">
        <v>158</v>
      </c>
      <c r="B279" t="s">
        <v>1441</v>
      </c>
      <c r="C279" t="s">
        <v>648</v>
      </c>
      <c r="D279" s="11" t="s">
        <v>1111</v>
      </c>
      <c r="E279" t="s">
        <v>399</v>
      </c>
      <c r="F279">
        <v>20</v>
      </c>
      <c r="G279" t="s">
        <v>1574</v>
      </c>
      <c r="H279" t="s">
        <v>1317</v>
      </c>
      <c r="I279" t="s">
        <v>1336</v>
      </c>
      <c r="J279">
        <v>3</v>
      </c>
    </row>
    <row r="280" spans="1:10" x14ac:dyDescent="0.25">
      <c r="A280">
        <v>159</v>
      </c>
      <c r="B280" t="s">
        <v>400</v>
      </c>
      <c r="C280" t="s">
        <v>649</v>
      </c>
      <c r="D280" s="11" t="s">
        <v>1112</v>
      </c>
      <c r="E280" t="s">
        <v>401</v>
      </c>
      <c r="F280">
        <v>20</v>
      </c>
      <c r="G280" t="s">
        <v>1574</v>
      </c>
      <c r="H280" t="s">
        <v>1317</v>
      </c>
      <c r="I280" t="s">
        <v>1336</v>
      </c>
      <c r="J280">
        <v>13</v>
      </c>
    </row>
    <row r="281" spans="1:10" x14ac:dyDescent="0.25">
      <c r="A281">
        <v>160</v>
      </c>
      <c r="B281" t="s">
        <v>1442</v>
      </c>
      <c r="C281" t="s">
        <v>650</v>
      </c>
      <c r="D281" s="11" t="s">
        <v>1113</v>
      </c>
      <c r="E281" t="s">
        <v>402</v>
      </c>
      <c r="F281">
        <v>20</v>
      </c>
      <c r="G281" t="s">
        <v>1574</v>
      </c>
      <c r="H281" t="s">
        <v>1317</v>
      </c>
      <c r="I281" t="s">
        <v>1336</v>
      </c>
      <c r="J281">
        <v>4</v>
      </c>
    </row>
    <row r="282" spans="1:10" x14ac:dyDescent="0.25">
      <c r="A282">
        <v>161</v>
      </c>
      <c r="B282" t="s">
        <v>1451</v>
      </c>
      <c r="C282" t="s">
        <v>651</v>
      </c>
      <c r="D282" s="11" t="s">
        <v>1114</v>
      </c>
      <c r="E282" t="s">
        <v>725</v>
      </c>
      <c r="F282">
        <v>20</v>
      </c>
      <c r="G282" t="s">
        <v>1574</v>
      </c>
      <c r="H282" t="s">
        <v>1317</v>
      </c>
      <c r="I282" t="s">
        <v>1336</v>
      </c>
      <c r="J282">
        <v>14</v>
      </c>
    </row>
    <row r="283" spans="1:10" x14ac:dyDescent="0.25">
      <c r="A283">
        <v>162</v>
      </c>
      <c r="B283" t="s">
        <v>1452</v>
      </c>
      <c r="C283" t="s">
        <v>652</v>
      </c>
      <c r="D283" s="11" t="s">
        <v>1115</v>
      </c>
      <c r="E283" t="s">
        <v>403</v>
      </c>
      <c r="F283">
        <v>20</v>
      </c>
      <c r="G283" t="s">
        <v>1574</v>
      </c>
      <c r="H283" t="s">
        <v>1317</v>
      </c>
      <c r="I283" t="s">
        <v>1336</v>
      </c>
      <c r="J283">
        <v>15</v>
      </c>
    </row>
    <row r="284" spans="1:10" x14ac:dyDescent="0.25">
      <c r="A284">
        <v>163</v>
      </c>
      <c r="B284" t="s">
        <v>1443</v>
      </c>
      <c r="C284" t="s">
        <v>653</v>
      </c>
      <c r="D284" s="11" t="s">
        <v>1116</v>
      </c>
      <c r="E284" t="s">
        <v>404</v>
      </c>
      <c r="F284">
        <v>20</v>
      </c>
      <c r="G284" t="s">
        <v>1574</v>
      </c>
      <c r="H284" t="s">
        <v>1317</v>
      </c>
      <c r="I284" t="s">
        <v>1336</v>
      </c>
      <c r="J284">
        <v>5</v>
      </c>
    </row>
    <row r="285" spans="1:10" x14ac:dyDescent="0.25">
      <c r="A285">
        <v>164</v>
      </c>
      <c r="B285" t="s">
        <v>1453</v>
      </c>
      <c r="C285" t="s">
        <v>729</v>
      </c>
      <c r="D285" s="11" t="s">
        <v>1117</v>
      </c>
      <c r="E285" t="s">
        <v>728</v>
      </c>
      <c r="F285">
        <v>20</v>
      </c>
      <c r="G285" t="s">
        <v>1574</v>
      </c>
      <c r="H285" t="s">
        <v>1317</v>
      </c>
      <c r="I285" t="s">
        <v>1336</v>
      </c>
      <c r="J285">
        <v>16</v>
      </c>
    </row>
    <row r="286" spans="1:10" x14ac:dyDescent="0.25">
      <c r="A286">
        <v>165</v>
      </c>
      <c r="B286" t="s">
        <v>1444</v>
      </c>
      <c r="C286" t="s">
        <v>654</v>
      </c>
      <c r="D286" s="11" t="s">
        <v>1118</v>
      </c>
      <c r="E286" t="s">
        <v>405</v>
      </c>
      <c r="F286">
        <v>20</v>
      </c>
      <c r="G286" t="s">
        <v>1574</v>
      </c>
      <c r="H286" t="s">
        <v>1317</v>
      </c>
      <c r="I286" t="s">
        <v>1336</v>
      </c>
      <c r="J286">
        <v>6</v>
      </c>
    </row>
    <row r="287" spans="1:10" x14ac:dyDescent="0.25">
      <c r="A287">
        <v>166</v>
      </c>
      <c r="B287" t="s">
        <v>1454</v>
      </c>
      <c r="C287" t="s">
        <v>655</v>
      </c>
      <c r="D287" s="11" t="s">
        <v>1119</v>
      </c>
      <c r="E287" t="s">
        <v>406</v>
      </c>
      <c r="F287">
        <v>20</v>
      </c>
      <c r="G287" t="s">
        <v>1574</v>
      </c>
      <c r="H287" t="s">
        <v>1317</v>
      </c>
      <c r="I287" t="s">
        <v>1336</v>
      </c>
      <c r="J287">
        <v>17</v>
      </c>
    </row>
    <row r="288" spans="1:10" x14ac:dyDescent="0.25">
      <c r="A288">
        <v>167</v>
      </c>
      <c r="B288" t="s">
        <v>1445</v>
      </c>
      <c r="C288" t="s">
        <v>656</v>
      </c>
      <c r="D288" s="11" t="s">
        <v>1120</v>
      </c>
      <c r="E288" t="s">
        <v>407</v>
      </c>
      <c r="F288">
        <v>20</v>
      </c>
      <c r="G288" t="s">
        <v>1574</v>
      </c>
      <c r="H288" t="s">
        <v>1317</v>
      </c>
      <c r="I288" t="s">
        <v>1336</v>
      </c>
      <c r="J288">
        <v>7</v>
      </c>
    </row>
    <row r="289" spans="1:10" x14ac:dyDescent="0.25">
      <c r="A289">
        <v>168</v>
      </c>
      <c r="B289" t="s">
        <v>1455</v>
      </c>
      <c r="C289" t="s">
        <v>657</v>
      </c>
      <c r="D289" s="11" t="s">
        <v>1121</v>
      </c>
      <c r="E289" t="s">
        <v>408</v>
      </c>
      <c r="F289">
        <v>20</v>
      </c>
      <c r="G289" t="s">
        <v>1574</v>
      </c>
      <c r="H289" t="s">
        <v>1317</v>
      </c>
      <c r="I289" t="s">
        <v>1336</v>
      </c>
      <c r="J289">
        <v>18</v>
      </c>
    </row>
    <row r="290" spans="1:10" x14ac:dyDescent="0.25">
      <c r="A290">
        <v>169</v>
      </c>
      <c r="B290" t="s">
        <v>1446</v>
      </c>
      <c r="C290" t="s">
        <v>658</v>
      </c>
      <c r="D290" s="11" t="s">
        <v>1122</v>
      </c>
      <c r="E290" t="s">
        <v>409</v>
      </c>
      <c r="F290">
        <v>20</v>
      </c>
      <c r="G290" t="s">
        <v>1574</v>
      </c>
      <c r="H290" t="s">
        <v>1317</v>
      </c>
      <c r="I290" t="s">
        <v>1336</v>
      </c>
      <c r="J290">
        <v>8</v>
      </c>
    </row>
    <row r="291" spans="1:10" x14ac:dyDescent="0.25">
      <c r="A291">
        <v>170</v>
      </c>
      <c r="B291" t="s">
        <v>1456</v>
      </c>
      <c r="C291" t="s">
        <v>659</v>
      </c>
      <c r="D291" s="11" t="s">
        <v>1123</v>
      </c>
      <c r="E291" t="s">
        <v>410</v>
      </c>
      <c r="F291">
        <v>20</v>
      </c>
      <c r="G291" t="s">
        <v>1574</v>
      </c>
      <c r="H291" t="s">
        <v>1317</v>
      </c>
      <c r="I291" t="s">
        <v>1336</v>
      </c>
      <c r="J291">
        <v>19</v>
      </c>
    </row>
    <row r="292" spans="1:10" x14ac:dyDescent="0.25">
      <c r="A292">
        <v>171</v>
      </c>
      <c r="B292" t="s">
        <v>1447</v>
      </c>
      <c r="C292" t="s">
        <v>411</v>
      </c>
      <c r="D292" s="11" t="s">
        <v>1124</v>
      </c>
      <c r="E292" t="s">
        <v>411</v>
      </c>
      <c r="F292">
        <v>20</v>
      </c>
      <c r="G292" t="s">
        <v>1574</v>
      </c>
      <c r="H292" t="s">
        <v>1317</v>
      </c>
      <c r="I292" t="s">
        <v>1336</v>
      </c>
      <c r="J292">
        <v>9</v>
      </c>
    </row>
    <row r="293" spans="1:10" x14ac:dyDescent="0.25">
      <c r="A293">
        <v>172</v>
      </c>
      <c r="B293" t="s">
        <v>1448</v>
      </c>
      <c r="C293" t="s">
        <v>412</v>
      </c>
      <c r="D293" s="11" t="s">
        <v>1125</v>
      </c>
      <c r="E293" t="s">
        <v>412</v>
      </c>
      <c r="F293">
        <v>20</v>
      </c>
      <c r="G293" t="s">
        <v>1574</v>
      </c>
      <c r="H293" t="s">
        <v>1317</v>
      </c>
      <c r="I293" t="s">
        <v>1336</v>
      </c>
      <c r="J293">
        <v>10</v>
      </c>
    </row>
    <row r="294" spans="1:10" x14ac:dyDescent="0.25">
      <c r="A294">
        <v>173</v>
      </c>
      <c r="B294" t="s">
        <v>1449</v>
      </c>
      <c r="C294" t="s">
        <v>413</v>
      </c>
      <c r="D294" s="11" t="s">
        <v>1126</v>
      </c>
      <c r="E294" t="s">
        <v>413</v>
      </c>
      <c r="F294">
        <v>20</v>
      </c>
      <c r="G294" t="s">
        <v>1574</v>
      </c>
      <c r="H294" t="s">
        <v>1317</v>
      </c>
      <c r="I294" t="s">
        <v>1336</v>
      </c>
      <c r="J294">
        <v>11</v>
      </c>
    </row>
    <row r="295" spans="1:10" x14ac:dyDescent="0.25">
      <c r="A295">
        <v>174</v>
      </c>
      <c r="B295" t="s">
        <v>1457</v>
      </c>
      <c r="C295" t="s">
        <v>660</v>
      </c>
      <c r="D295" s="11" t="s">
        <v>1127</v>
      </c>
      <c r="E295" t="s">
        <v>724</v>
      </c>
      <c r="F295">
        <v>20</v>
      </c>
      <c r="G295" t="s">
        <v>1574</v>
      </c>
      <c r="H295" t="s">
        <v>1317</v>
      </c>
      <c r="I295" t="s">
        <v>1336</v>
      </c>
      <c r="J295">
        <v>20</v>
      </c>
    </row>
    <row r="296" spans="1:10" x14ac:dyDescent="0.25">
      <c r="A296">
        <v>175</v>
      </c>
      <c r="B296" t="s">
        <v>1450</v>
      </c>
      <c r="C296" t="s">
        <v>414</v>
      </c>
      <c r="D296" s="11" t="s">
        <v>1128</v>
      </c>
      <c r="E296" t="s">
        <v>414</v>
      </c>
      <c r="F296">
        <v>20</v>
      </c>
      <c r="G296" t="s">
        <v>1574</v>
      </c>
      <c r="H296" t="s">
        <v>1317</v>
      </c>
      <c r="I296" t="s">
        <v>1336</v>
      </c>
      <c r="J296">
        <v>12</v>
      </c>
    </row>
    <row r="297" spans="1:10" x14ac:dyDescent="0.25">
      <c r="A297">
        <v>176</v>
      </c>
      <c r="B297" t="s">
        <v>1458</v>
      </c>
      <c r="C297" t="s">
        <v>661</v>
      </c>
      <c r="D297" s="11" t="s">
        <v>1129</v>
      </c>
      <c r="E297" t="s">
        <v>415</v>
      </c>
      <c r="F297">
        <v>20</v>
      </c>
      <c r="G297" t="s">
        <v>1574</v>
      </c>
      <c r="H297" t="s">
        <v>1317</v>
      </c>
      <c r="I297" t="s">
        <v>1336</v>
      </c>
      <c r="J297">
        <v>21</v>
      </c>
    </row>
    <row r="298" spans="1:10" x14ac:dyDescent="0.25">
      <c r="A298">
        <v>155</v>
      </c>
      <c r="B298" t="s">
        <v>1356</v>
      </c>
      <c r="C298" t="s">
        <v>420</v>
      </c>
      <c r="D298" s="11" t="s">
        <v>1108</v>
      </c>
      <c r="E298" t="s">
        <v>420</v>
      </c>
      <c r="F298">
        <v>21</v>
      </c>
      <c r="G298" t="s">
        <v>1556</v>
      </c>
      <c r="H298" t="s">
        <v>1314</v>
      </c>
      <c r="I298" t="s">
        <v>1321</v>
      </c>
      <c r="J298">
        <v>14</v>
      </c>
    </row>
    <row r="299" spans="1:10" x14ac:dyDescent="0.25">
      <c r="A299">
        <v>332</v>
      </c>
      <c r="B299" t="s">
        <v>1354</v>
      </c>
      <c r="C299" t="s">
        <v>418</v>
      </c>
      <c r="D299" s="11" t="s">
        <v>1279</v>
      </c>
      <c r="E299" t="s">
        <v>418</v>
      </c>
      <c r="F299">
        <v>21</v>
      </c>
      <c r="G299" t="s">
        <v>1556</v>
      </c>
      <c r="H299" t="s">
        <v>752</v>
      </c>
      <c r="I299" t="s">
        <v>752</v>
      </c>
    </row>
    <row r="300" spans="1:10" x14ac:dyDescent="0.25">
      <c r="A300">
        <v>341</v>
      </c>
      <c r="B300" t="s">
        <v>1532</v>
      </c>
      <c r="C300" t="s">
        <v>416</v>
      </c>
      <c r="D300" s="11" t="s">
        <v>1290</v>
      </c>
      <c r="E300" t="s">
        <v>416</v>
      </c>
      <c r="F300">
        <v>21</v>
      </c>
      <c r="G300" t="s">
        <v>1556</v>
      </c>
      <c r="H300" t="s">
        <v>1319</v>
      </c>
      <c r="I300" t="s">
        <v>1342</v>
      </c>
      <c r="J300">
        <v>5</v>
      </c>
    </row>
    <row r="301" spans="1:10" x14ac:dyDescent="0.25">
      <c r="A301">
        <v>342</v>
      </c>
      <c r="B301" t="s">
        <v>1533</v>
      </c>
      <c r="C301" t="s">
        <v>662</v>
      </c>
      <c r="D301" s="11" t="s">
        <v>1291</v>
      </c>
      <c r="E301" t="s">
        <v>417</v>
      </c>
      <c r="F301">
        <v>21</v>
      </c>
      <c r="G301" t="s">
        <v>1556</v>
      </c>
      <c r="H301" t="s">
        <v>1319</v>
      </c>
      <c r="I301" t="s">
        <v>1342</v>
      </c>
      <c r="J301">
        <v>6</v>
      </c>
    </row>
    <row r="302" spans="1:10" x14ac:dyDescent="0.25">
      <c r="A302">
        <v>343</v>
      </c>
      <c r="B302" t="s">
        <v>1534</v>
      </c>
      <c r="C302" t="s">
        <v>663</v>
      </c>
      <c r="D302" s="11" t="s">
        <v>1292</v>
      </c>
      <c r="E302" t="s">
        <v>419</v>
      </c>
      <c r="F302">
        <v>21</v>
      </c>
      <c r="G302" t="s">
        <v>1556</v>
      </c>
      <c r="H302" t="s">
        <v>1319</v>
      </c>
      <c r="I302" t="s">
        <v>1342</v>
      </c>
      <c r="J302">
        <v>7</v>
      </c>
    </row>
    <row r="303" spans="1:10" x14ac:dyDescent="0.25">
      <c r="A303">
        <v>18</v>
      </c>
      <c r="B303" t="s">
        <v>1343</v>
      </c>
      <c r="C303" t="s">
        <v>459</v>
      </c>
      <c r="D303" s="11" t="s">
        <v>972</v>
      </c>
      <c r="E303" t="s">
        <v>421</v>
      </c>
      <c r="F303">
        <v>22</v>
      </c>
      <c r="G303" t="s">
        <v>1561</v>
      </c>
      <c r="H303" t="s">
        <v>1314</v>
      </c>
      <c r="I303" t="s">
        <v>1322</v>
      </c>
      <c r="J303">
        <v>1</v>
      </c>
    </row>
    <row r="304" spans="1:10" x14ac:dyDescent="0.25">
      <c r="A304">
        <v>19</v>
      </c>
      <c r="B304" t="s">
        <v>1358</v>
      </c>
      <c r="C304" t="s">
        <v>664</v>
      </c>
      <c r="D304" s="11" t="s">
        <v>973</v>
      </c>
      <c r="E304" t="s">
        <v>422</v>
      </c>
      <c r="F304">
        <v>22</v>
      </c>
      <c r="G304" t="s">
        <v>1561</v>
      </c>
      <c r="H304" t="s">
        <v>1314</v>
      </c>
      <c r="I304" t="s">
        <v>1322</v>
      </c>
      <c r="J304">
        <v>2</v>
      </c>
    </row>
    <row r="305" spans="1:10" x14ac:dyDescent="0.25">
      <c r="A305">
        <v>20</v>
      </c>
      <c r="B305" t="s">
        <v>1359</v>
      </c>
      <c r="C305" t="s">
        <v>665</v>
      </c>
      <c r="D305" s="11" t="s">
        <v>974</v>
      </c>
      <c r="E305" t="s">
        <v>423</v>
      </c>
      <c r="F305">
        <v>22</v>
      </c>
      <c r="G305" t="s">
        <v>1561</v>
      </c>
      <c r="H305" t="s">
        <v>1314</v>
      </c>
      <c r="I305" t="s">
        <v>1322</v>
      </c>
      <c r="J305">
        <v>3</v>
      </c>
    </row>
    <row r="306" spans="1:10" x14ac:dyDescent="0.25">
      <c r="A306">
        <v>21</v>
      </c>
      <c r="B306" t="s">
        <v>1360</v>
      </c>
      <c r="C306" t="s">
        <v>666</v>
      </c>
      <c r="D306" s="11" t="s">
        <v>975</v>
      </c>
      <c r="E306" t="s">
        <v>424</v>
      </c>
      <c r="F306">
        <v>22</v>
      </c>
      <c r="G306" t="s">
        <v>1561</v>
      </c>
      <c r="H306" t="s">
        <v>1314</v>
      </c>
      <c r="I306" t="s">
        <v>1322</v>
      </c>
      <c r="J306">
        <v>4</v>
      </c>
    </row>
    <row r="307" spans="1:10" x14ac:dyDescent="0.25">
      <c r="A307">
        <v>22</v>
      </c>
      <c r="B307" t="s">
        <v>1361</v>
      </c>
      <c r="C307" t="s">
        <v>667</v>
      </c>
      <c r="D307" s="11" t="s">
        <v>976</v>
      </c>
      <c r="E307" t="s">
        <v>425</v>
      </c>
      <c r="F307">
        <v>22</v>
      </c>
      <c r="G307" t="s">
        <v>1561</v>
      </c>
      <c r="H307" t="s">
        <v>1314</v>
      </c>
      <c r="I307" t="s">
        <v>1322</v>
      </c>
      <c r="J307">
        <v>5</v>
      </c>
    </row>
    <row r="308" spans="1:10" x14ac:dyDescent="0.25">
      <c r="A308">
        <v>23</v>
      </c>
      <c r="B308" t="s">
        <v>1362</v>
      </c>
      <c r="C308" t="s">
        <v>668</v>
      </c>
      <c r="D308" s="11" t="s">
        <v>977</v>
      </c>
      <c r="E308" t="s">
        <v>426</v>
      </c>
      <c r="F308">
        <v>22</v>
      </c>
      <c r="G308" t="s">
        <v>1561</v>
      </c>
      <c r="H308" t="s">
        <v>1314</v>
      </c>
      <c r="I308" t="s">
        <v>1322</v>
      </c>
      <c r="J308">
        <v>6</v>
      </c>
    </row>
    <row r="309" spans="1:10" x14ac:dyDescent="0.25">
      <c r="A309">
        <v>24</v>
      </c>
      <c r="B309" t="s">
        <v>1363</v>
      </c>
      <c r="C309" t="s">
        <v>669</v>
      </c>
      <c r="D309" s="11" t="s">
        <v>978</v>
      </c>
      <c r="E309" t="s">
        <v>427</v>
      </c>
      <c r="F309">
        <v>22</v>
      </c>
      <c r="G309" t="s">
        <v>1561</v>
      </c>
      <c r="H309" t="s">
        <v>1314</v>
      </c>
      <c r="I309" t="s">
        <v>1322</v>
      </c>
      <c r="J309">
        <v>7</v>
      </c>
    </row>
    <row r="310" spans="1:10" x14ac:dyDescent="0.25">
      <c r="A310">
        <v>25</v>
      </c>
      <c r="B310" t="s">
        <v>1364</v>
      </c>
      <c r="C310" t="s">
        <v>428</v>
      </c>
      <c r="D310" s="11" t="s">
        <v>979</v>
      </c>
      <c r="E310" t="s">
        <v>428</v>
      </c>
      <c r="F310">
        <v>22</v>
      </c>
      <c r="G310" t="s">
        <v>1561</v>
      </c>
      <c r="H310" t="s">
        <v>1314</v>
      </c>
      <c r="I310" t="s">
        <v>1322</v>
      </c>
      <c r="J310">
        <v>8</v>
      </c>
    </row>
    <row r="311" spans="1:10" x14ac:dyDescent="0.25">
      <c r="A311">
        <v>26</v>
      </c>
      <c r="B311" t="s">
        <v>1365</v>
      </c>
      <c r="C311" t="s">
        <v>429</v>
      </c>
      <c r="D311" s="11" t="s">
        <v>980</v>
      </c>
      <c r="E311" t="s">
        <v>429</v>
      </c>
      <c r="F311">
        <v>22</v>
      </c>
      <c r="G311" t="s">
        <v>1561</v>
      </c>
      <c r="H311" t="s">
        <v>1314</v>
      </c>
      <c r="I311" t="s">
        <v>1322</v>
      </c>
      <c r="J311">
        <v>9</v>
      </c>
    </row>
    <row r="312" spans="1:10" x14ac:dyDescent="0.25">
      <c r="A312">
        <v>27</v>
      </c>
      <c r="B312" t="s">
        <v>1366</v>
      </c>
      <c r="C312" t="s">
        <v>430</v>
      </c>
      <c r="D312" s="11" t="s">
        <v>981</v>
      </c>
      <c r="E312" t="s">
        <v>430</v>
      </c>
      <c r="F312">
        <v>22</v>
      </c>
      <c r="G312" t="s">
        <v>1561</v>
      </c>
      <c r="H312" t="s">
        <v>1314</v>
      </c>
      <c r="I312" t="s">
        <v>1322</v>
      </c>
      <c r="J312">
        <v>10</v>
      </c>
    </row>
    <row r="313" spans="1:10" x14ac:dyDescent="0.25">
      <c r="A313">
        <v>308</v>
      </c>
      <c r="B313" t="s">
        <v>128</v>
      </c>
      <c r="C313" t="s">
        <v>670</v>
      </c>
      <c r="D313" s="11" t="s">
        <v>1258</v>
      </c>
      <c r="E313" t="s">
        <v>431</v>
      </c>
      <c r="F313">
        <v>23</v>
      </c>
      <c r="G313" t="s">
        <v>1560</v>
      </c>
      <c r="H313" t="s">
        <v>1314</v>
      </c>
      <c r="I313" t="s">
        <v>1321</v>
      </c>
      <c r="J313">
        <v>18</v>
      </c>
    </row>
    <row r="314" spans="1:10" x14ac:dyDescent="0.25">
      <c r="A314">
        <v>309</v>
      </c>
      <c r="B314" t="s">
        <v>1542</v>
      </c>
      <c r="C314" t="s">
        <v>671</v>
      </c>
      <c r="D314" s="11" t="s">
        <v>1259</v>
      </c>
      <c r="E314" t="s">
        <v>432</v>
      </c>
      <c r="F314">
        <v>23</v>
      </c>
      <c r="G314" t="s">
        <v>1560</v>
      </c>
      <c r="H314" t="s">
        <v>1319</v>
      </c>
      <c r="I314" t="s">
        <v>1342</v>
      </c>
      <c r="J314">
        <v>20</v>
      </c>
    </row>
    <row r="315" spans="1:10" x14ac:dyDescent="0.25">
      <c r="A315">
        <v>310</v>
      </c>
      <c r="B315" t="s">
        <v>1543</v>
      </c>
      <c r="C315" t="s">
        <v>672</v>
      </c>
      <c r="D315" s="11" t="s">
        <v>1260</v>
      </c>
      <c r="E315" t="s">
        <v>433</v>
      </c>
      <c r="F315">
        <v>23</v>
      </c>
      <c r="G315" t="s">
        <v>1560</v>
      </c>
      <c r="H315" t="s">
        <v>1319</v>
      </c>
      <c r="I315" t="s">
        <v>1342</v>
      </c>
      <c r="J315">
        <v>21</v>
      </c>
    </row>
    <row r="316" spans="1:10" x14ac:dyDescent="0.25">
      <c r="A316">
        <v>311</v>
      </c>
      <c r="B316" t="s">
        <v>434</v>
      </c>
      <c r="C316" t="s">
        <v>673</v>
      </c>
      <c r="D316" s="11" t="s">
        <v>1261</v>
      </c>
      <c r="E316" t="s">
        <v>435</v>
      </c>
      <c r="F316">
        <v>23</v>
      </c>
      <c r="G316" t="s">
        <v>1560</v>
      </c>
      <c r="H316" t="s">
        <v>1319</v>
      </c>
      <c r="I316" t="s">
        <v>1342</v>
      </c>
      <c r="J316">
        <v>22</v>
      </c>
    </row>
    <row r="317" spans="1:10" x14ac:dyDescent="0.25">
      <c r="A317">
        <v>312</v>
      </c>
      <c r="B317" t="s">
        <v>1544</v>
      </c>
      <c r="C317" t="s">
        <v>674</v>
      </c>
      <c r="D317" s="11" t="s">
        <v>1262</v>
      </c>
      <c r="E317" t="s">
        <v>436</v>
      </c>
      <c r="F317">
        <v>23</v>
      </c>
      <c r="G317" t="s">
        <v>1560</v>
      </c>
      <c r="H317" t="s">
        <v>1319</v>
      </c>
      <c r="I317" t="s">
        <v>1342</v>
      </c>
      <c r="J317">
        <v>23</v>
      </c>
    </row>
    <row r="318" spans="1:10" x14ac:dyDescent="0.25">
      <c r="A318">
        <v>313</v>
      </c>
      <c r="B318" t="s">
        <v>1545</v>
      </c>
      <c r="C318" t="s">
        <v>675</v>
      </c>
      <c r="D318" s="11" t="s">
        <v>1263</v>
      </c>
      <c r="E318" t="s">
        <v>437</v>
      </c>
      <c r="F318">
        <v>23</v>
      </c>
      <c r="G318" t="s">
        <v>1560</v>
      </c>
      <c r="H318" t="s">
        <v>1319</v>
      </c>
      <c r="I318" t="s">
        <v>1342</v>
      </c>
      <c r="J318">
        <v>24</v>
      </c>
    </row>
    <row r="319" spans="1:10" x14ac:dyDescent="0.25">
      <c r="A319">
        <v>28</v>
      </c>
      <c r="B319" t="s">
        <v>1353</v>
      </c>
      <c r="C319" t="s">
        <v>456</v>
      </c>
      <c r="D319" s="11" t="s">
        <v>970</v>
      </c>
      <c r="E319" t="s">
        <v>691</v>
      </c>
      <c r="F319">
        <v>24</v>
      </c>
      <c r="G319" t="s">
        <v>1554</v>
      </c>
      <c r="H319" t="s">
        <v>752</v>
      </c>
      <c r="I319" t="s">
        <v>752</v>
      </c>
    </row>
    <row r="320" spans="1:10" x14ac:dyDescent="0.25">
      <c r="A320">
        <v>198</v>
      </c>
      <c r="B320" t="s">
        <v>1427</v>
      </c>
      <c r="C320" t="s">
        <v>714</v>
      </c>
      <c r="D320" s="11" t="s">
        <v>1150</v>
      </c>
      <c r="E320" t="s">
        <v>727</v>
      </c>
      <c r="F320">
        <v>24</v>
      </c>
      <c r="G320" t="s">
        <v>1554</v>
      </c>
      <c r="H320" t="s">
        <v>1317</v>
      </c>
      <c r="I320" t="s">
        <v>1334</v>
      </c>
      <c r="J320">
        <v>1</v>
      </c>
    </row>
    <row r="321" spans="1:10" x14ac:dyDescent="0.25">
      <c r="A321">
        <v>199</v>
      </c>
      <c r="B321" t="s">
        <v>1428</v>
      </c>
      <c r="C321" t="s">
        <v>715</v>
      </c>
      <c r="D321" s="11" t="s">
        <v>1151</v>
      </c>
      <c r="E321" t="s">
        <v>693</v>
      </c>
      <c r="F321">
        <v>24</v>
      </c>
      <c r="G321" t="s">
        <v>1554</v>
      </c>
      <c r="H321" t="s">
        <v>1317</v>
      </c>
      <c r="I321" t="s">
        <v>1334</v>
      </c>
      <c r="J321">
        <v>2</v>
      </c>
    </row>
    <row r="322" spans="1:10" x14ac:dyDescent="0.25">
      <c r="A322">
        <v>200</v>
      </c>
      <c r="B322" t="s">
        <v>1429</v>
      </c>
      <c r="C322" t="s">
        <v>716</v>
      </c>
      <c r="D322" s="11" t="s">
        <v>1152</v>
      </c>
      <c r="E322" t="s">
        <v>694</v>
      </c>
      <c r="F322">
        <v>24</v>
      </c>
      <c r="G322" t="s">
        <v>1554</v>
      </c>
      <c r="H322" t="s">
        <v>1317</v>
      </c>
      <c r="I322" t="s">
        <v>1334</v>
      </c>
      <c r="J322">
        <v>3</v>
      </c>
    </row>
    <row r="323" spans="1:10" x14ac:dyDescent="0.25">
      <c r="A323">
        <v>201</v>
      </c>
      <c r="B323" t="s">
        <v>1430</v>
      </c>
      <c r="C323" t="s">
        <v>717</v>
      </c>
      <c r="D323" s="11" t="s">
        <v>1153</v>
      </c>
      <c r="E323" t="s">
        <v>726</v>
      </c>
      <c r="F323">
        <v>24</v>
      </c>
      <c r="G323" t="s">
        <v>1554</v>
      </c>
      <c r="H323" t="s">
        <v>1317</v>
      </c>
      <c r="I323" t="s">
        <v>1334</v>
      </c>
      <c r="J323">
        <v>4</v>
      </c>
    </row>
    <row r="324" spans="1:10" x14ac:dyDescent="0.25">
      <c r="A324">
        <v>202</v>
      </c>
      <c r="B324" t="s">
        <v>1432</v>
      </c>
      <c r="C324" t="s">
        <v>718</v>
      </c>
      <c r="D324" s="11" t="s">
        <v>1154</v>
      </c>
      <c r="E324" t="s">
        <v>695</v>
      </c>
      <c r="F324">
        <v>24</v>
      </c>
      <c r="G324" t="s">
        <v>1554</v>
      </c>
      <c r="H324" t="s">
        <v>1317</v>
      </c>
      <c r="I324" t="s">
        <v>1334</v>
      </c>
      <c r="J324">
        <v>6</v>
      </c>
    </row>
    <row r="325" spans="1:10" x14ac:dyDescent="0.25">
      <c r="A325">
        <v>203</v>
      </c>
      <c r="B325" t="s">
        <v>1431</v>
      </c>
      <c r="C325" t="s">
        <v>696</v>
      </c>
      <c r="D325" s="11" t="s">
        <v>1155</v>
      </c>
      <c r="E325" t="s">
        <v>696</v>
      </c>
      <c r="F325">
        <v>24</v>
      </c>
      <c r="G325" t="s">
        <v>1554</v>
      </c>
      <c r="H325" t="s">
        <v>1317</v>
      </c>
      <c r="I325" t="s">
        <v>1334</v>
      </c>
      <c r="J325">
        <v>5</v>
      </c>
    </row>
    <row r="326" spans="1:10" x14ac:dyDescent="0.25">
      <c r="A326">
        <v>204</v>
      </c>
      <c r="B326" t="s">
        <v>1437</v>
      </c>
      <c r="C326" t="s">
        <v>697</v>
      </c>
      <c r="D326" s="11" t="s">
        <v>1156</v>
      </c>
      <c r="E326" t="s">
        <v>697</v>
      </c>
      <c r="F326">
        <v>24</v>
      </c>
      <c r="G326" t="s">
        <v>1554</v>
      </c>
      <c r="H326" t="s">
        <v>1317</v>
      </c>
      <c r="I326" t="s">
        <v>1334</v>
      </c>
      <c r="J326">
        <v>11</v>
      </c>
    </row>
    <row r="327" spans="1:10" x14ac:dyDescent="0.25">
      <c r="A327">
        <v>205</v>
      </c>
      <c r="B327" t="s">
        <v>1433</v>
      </c>
      <c r="C327" t="s">
        <v>698</v>
      </c>
      <c r="D327" s="11" t="s">
        <v>1157</v>
      </c>
      <c r="E327" t="s">
        <v>698</v>
      </c>
      <c r="F327">
        <v>24</v>
      </c>
      <c r="G327" t="s">
        <v>1554</v>
      </c>
      <c r="H327" t="s">
        <v>1317</v>
      </c>
      <c r="I327" t="s">
        <v>1334</v>
      </c>
      <c r="J327">
        <v>7</v>
      </c>
    </row>
    <row r="328" spans="1:10" x14ac:dyDescent="0.25">
      <c r="A328">
        <v>206</v>
      </c>
      <c r="B328" t="s">
        <v>1438</v>
      </c>
      <c r="C328" t="s">
        <v>705</v>
      </c>
      <c r="D328" s="11" t="s">
        <v>1158</v>
      </c>
      <c r="E328" t="s">
        <v>705</v>
      </c>
      <c r="F328">
        <v>24</v>
      </c>
      <c r="G328" t="s">
        <v>1554</v>
      </c>
      <c r="H328" t="s">
        <v>1317</v>
      </c>
      <c r="I328" t="s">
        <v>1334</v>
      </c>
      <c r="J328">
        <v>12</v>
      </c>
    </row>
    <row r="329" spans="1:10" x14ac:dyDescent="0.25">
      <c r="A329">
        <v>207</v>
      </c>
      <c r="B329" t="s">
        <v>1434</v>
      </c>
      <c r="C329" t="s">
        <v>699</v>
      </c>
      <c r="D329" s="11" t="s">
        <v>1159</v>
      </c>
      <c r="E329" t="s">
        <v>699</v>
      </c>
      <c r="F329">
        <v>24</v>
      </c>
      <c r="G329" t="s">
        <v>1554</v>
      </c>
      <c r="H329" t="s">
        <v>1317</v>
      </c>
      <c r="I329" t="s">
        <v>1334</v>
      </c>
      <c r="J329">
        <v>8</v>
      </c>
    </row>
    <row r="330" spans="1:10" x14ac:dyDescent="0.25">
      <c r="A330">
        <v>208</v>
      </c>
      <c r="B330" t="s">
        <v>1435</v>
      </c>
      <c r="C330" t="s">
        <v>700</v>
      </c>
      <c r="D330" s="11" t="s">
        <v>1160</v>
      </c>
      <c r="E330" t="s">
        <v>700</v>
      </c>
      <c r="F330">
        <v>24</v>
      </c>
      <c r="G330" t="s">
        <v>1554</v>
      </c>
      <c r="H330" t="s">
        <v>1317</v>
      </c>
      <c r="I330" t="s">
        <v>1334</v>
      </c>
      <c r="J330">
        <v>9</v>
      </c>
    </row>
    <row r="331" spans="1:10" x14ac:dyDescent="0.25">
      <c r="A331">
        <v>209</v>
      </c>
      <c r="B331" t="s">
        <v>701</v>
      </c>
      <c r="C331" t="s">
        <v>702</v>
      </c>
      <c r="D331" s="11" t="s">
        <v>1161</v>
      </c>
      <c r="E331" t="s">
        <v>702</v>
      </c>
      <c r="F331">
        <v>24</v>
      </c>
      <c r="G331" t="s">
        <v>1554</v>
      </c>
      <c r="H331" t="s">
        <v>1317</v>
      </c>
      <c r="I331" t="s">
        <v>1334</v>
      </c>
      <c r="J331">
        <v>14</v>
      </c>
    </row>
    <row r="332" spans="1:10" x14ac:dyDescent="0.25">
      <c r="A332">
        <v>210</v>
      </c>
      <c r="B332" t="s">
        <v>1436</v>
      </c>
      <c r="C332" t="s">
        <v>719</v>
      </c>
      <c r="D332" s="11" t="s">
        <v>1162</v>
      </c>
      <c r="E332" t="s">
        <v>703</v>
      </c>
      <c r="F332">
        <v>24</v>
      </c>
      <c r="G332" t="s">
        <v>1554</v>
      </c>
      <c r="H332" t="s">
        <v>1317</v>
      </c>
      <c r="I332" t="s">
        <v>1334</v>
      </c>
      <c r="J332">
        <v>10</v>
      </c>
    </row>
    <row r="333" spans="1:10" x14ac:dyDescent="0.25">
      <c r="A333">
        <v>211</v>
      </c>
      <c r="B333" t="s">
        <v>1549</v>
      </c>
      <c r="C333" t="s">
        <v>720</v>
      </c>
      <c r="D333" s="11" t="s">
        <v>1163</v>
      </c>
      <c r="E333" t="s">
        <v>704</v>
      </c>
      <c r="F333">
        <v>24</v>
      </c>
      <c r="G333" t="s">
        <v>1554</v>
      </c>
      <c r="H333" t="s">
        <v>1317</v>
      </c>
      <c r="I333" t="s">
        <v>1334</v>
      </c>
      <c r="J333">
        <v>13</v>
      </c>
    </row>
    <row r="334" spans="1:10" x14ac:dyDescent="0.25">
      <c r="A334">
        <v>345</v>
      </c>
      <c r="B334" t="s">
        <v>1536</v>
      </c>
      <c r="C334" t="s">
        <v>692</v>
      </c>
      <c r="D334" s="11" t="s">
        <v>1294</v>
      </c>
      <c r="E334" t="s">
        <v>692</v>
      </c>
      <c r="F334">
        <v>24</v>
      </c>
      <c r="G334" t="s">
        <v>1554</v>
      </c>
      <c r="H334" t="s">
        <v>1319</v>
      </c>
      <c r="I334" t="s">
        <v>1342</v>
      </c>
      <c r="J334">
        <v>9</v>
      </c>
    </row>
    <row r="335" spans="1:10" x14ac:dyDescent="0.25">
      <c r="A335">
        <v>257</v>
      </c>
      <c r="B335" t="s">
        <v>677</v>
      </c>
      <c r="C335" t="s">
        <v>678</v>
      </c>
      <c r="D335" s="11" t="s">
        <v>1208</v>
      </c>
      <c r="E335" t="s">
        <v>678</v>
      </c>
      <c r="F335" t="s">
        <v>1553</v>
      </c>
      <c r="G335" t="s">
        <v>1577</v>
      </c>
      <c r="H335" t="s">
        <v>1319</v>
      </c>
      <c r="I335" t="s">
        <v>1342</v>
      </c>
      <c r="J335">
        <v>11</v>
      </c>
    </row>
    <row r="336" spans="1:10" x14ac:dyDescent="0.25">
      <c r="A336">
        <v>258</v>
      </c>
      <c r="B336" t="s">
        <v>679</v>
      </c>
      <c r="C336" t="s">
        <v>706</v>
      </c>
      <c r="D336" s="11" t="s">
        <v>1209</v>
      </c>
      <c r="E336" t="s">
        <v>681</v>
      </c>
      <c r="F336" t="s">
        <v>1553</v>
      </c>
      <c r="G336" t="s">
        <v>1577</v>
      </c>
      <c r="H336" t="s">
        <v>1319</v>
      </c>
      <c r="I336" t="s">
        <v>1342</v>
      </c>
      <c r="J336">
        <v>12</v>
      </c>
    </row>
    <row r="337" spans="1:10" x14ac:dyDescent="0.25">
      <c r="A337">
        <v>259</v>
      </c>
      <c r="B337" t="s">
        <v>1538</v>
      </c>
      <c r="C337" t="s">
        <v>707</v>
      </c>
      <c r="D337" s="11" t="s">
        <v>1210</v>
      </c>
      <c r="E337" t="s">
        <v>680</v>
      </c>
      <c r="F337" t="s">
        <v>1553</v>
      </c>
      <c r="G337" t="s">
        <v>1577</v>
      </c>
      <c r="H337" t="s">
        <v>1319</v>
      </c>
      <c r="I337" t="s">
        <v>1342</v>
      </c>
      <c r="J337">
        <v>13</v>
      </c>
    </row>
    <row r="338" spans="1:10" x14ac:dyDescent="0.25">
      <c r="A338">
        <v>260</v>
      </c>
      <c r="B338" t="s">
        <v>682</v>
      </c>
      <c r="C338" t="s">
        <v>712</v>
      </c>
      <c r="D338" s="11" t="s">
        <v>1211</v>
      </c>
      <c r="E338" t="s">
        <v>683</v>
      </c>
      <c r="F338" t="s">
        <v>1553</v>
      </c>
      <c r="G338" t="s">
        <v>1577</v>
      </c>
      <c r="H338" t="s">
        <v>1319</v>
      </c>
      <c r="I338" t="s">
        <v>1342</v>
      </c>
      <c r="J338">
        <v>14</v>
      </c>
    </row>
    <row r="339" spans="1:10" x14ac:dyDescent="0.25">
      <c r="A339">
        <v>261</v>
      </c>
      <c r="B339" t="s">
        <v>1539</v>
      </c>
      <c r="C339" t="s">
        <v>708</v>
      </c>
      <c r="D339" s="11" t="s">
        <v>1212</v>
      </c>
      <c r="E339" t="s">
        <v>684</v>
      </c>
      <c r="F339" t="s">
        <v>1553</v>
      </c>
      <c r="G339" t="s">
        <v>1577</v>
      </c>
      <c r="H339" t="s">
        <v>1319</v>
      </c>
      <c r="I339" t="s">
        <v>1342</v>
      </c>
      <c r="J339">
        <v>15</v>
      </c>
    </row>
    <row r="340" spans="1:10" x14ac:dyDescent="0.25">
      <c r="A340">
        <v>262</v>
      </c>
      <c r="B340" t="s">
        <v>1550</v>
      </c>
      <c r="C340" t="s">
        <v>709</v>
      </c>
      <c r="D340" s="11" t="s">
        <v>1213</v>
      </c>
      <c r="E340" t="s">
        <v>686</v>
      </c>
      <c r="F340" t="s">
        <v>1553</v>
      </c>
      <c r="G340" t="s">
        <v>1577</v>
      </c>
      <c r="H340" t="s">
        <v>1319</v>
      </c>
      <c r="I340" t="s">
        <v>1342</v>
      </c>
      <c r="J340">
        <v>16</v>
      </c>
    </row>
    <row r="341" spans="1:10" x14ac:dyDescent="0.25">
      <c r="A341">
        <v>263</v>
      </c>
      <c r="B341" t="s">
        <v>1540</v>
      </c>
      <c r="C341" t="s">
        <v>710</v>
      </c>
      <c r="D341" s="11" t="s">
        <v>1214</v>
      </c>
      <c r="E341" t="s">
        <v>687</v>
      </c>
      <c r="F341" t="s">
        <v>1553</v>
      </c>
      <c r="G341" t="s">
        <v>1577</v>
      </c>
      <c r="H341" t="s">
        <v>1319</v>
      </c>
      <c r="I341" t="s">
        <v>1342</v>
      </c>
      <c r="J341">
        <v>17</v>
      </c>
    </row>
    <row r="342" spans="1:10" x14ac:dyDescent="0.25">
      <c r="A342">
        <v>264</v>
      </c>
      <c r="B342" t="s">
        <v>1541</v>
      </c>
      <c r="C342" t="s">
        <v>689</v>
      </c>
      <c r="D342" s="11" t="s">
        <v>1215</v>
      </c>
      <c r="E342" t="s">
        <v>689</v>
      </c>
      <c r="F342" t="s">
        <v>1553</v>
      </c>
      <c r="G342" t="s">
        <v>1577</v>
      </c>
      <c r="H342" t="s">
        <v>1319</v>
      </c>
      <c r="I342" t="s">
        <v>1342</v>
      </c>
      <c r="J342">
        <v>18</v>
      </c>
    </row>
    <row r="343" spans="1:10" x14ac:dyDescent="0.25">
      <c r="A343">
        <v>265</v>
      </c>
      <c r="B343" t="s">
        <v>1551</v>
      </c>
      <c r="C343" t="s">
        <v>713</v>
      </c>
      <c r="D343" s="11" t="s">
        <v>1216</v>
      </c>
      <c r="E343" t="s">
        <v>690</v>
      </c>
      <c r="F343" t="s">
        <v>1553</v>
      </c>
      <c r="G343" t="s">
        <v>1577</v>
      </c>
      <c r="H343" t="s">
        <v>1319</v>
      </c>
      <c r="I343" t="s">
        <v>1342</v>
      </c>
      <c r="J343">
        <v>19</v>
      </c>
    </row>
    <row r="344" spans="1:10" x14ac:dyDescent="0.25">
      <c r="A344">
        <v>314</v>
      </c>
      <c r="B344" t="s">
        <v>1546</v>
      </c>
      <c r="C344" t="s">
        <v>711</v>
      </c>
      <c r="D344" s="11" t="s">
        <v>1264</v>
      </c>
      <c r="E344" t="s">
        <v>688</v>
      </c>
      <c r="F344" t="s">
        <v>1553</v>
      </c>
      <c r="G344" t="s">
        <v>1577</v>
      </c>
      <c r="H344" t="s">
        <v>1319</v>
      </c>
      <c r="I344" t="s">
        <v>1342</v>
      </c>
      <c r="J344">
        <v>25</v>
      </c>
    </row>
    <row r="345" spans="1:10" x14ac:dyDescent="0.25">
      <c r="A345">
        <v>344</v>
      </c>
      <c r="B345" t="s">
        <v>1535</v>
      </c>
      <c r="C345" t="s">
        <v>685</v>
      </c>
      <c r="D345" s="11" t="s">
        <v>1293</v>
      </c>
      <c r="E345" t="s">
        <v>685</v>
      </c>
      <c r="F345" t="s">
        <v>1553</v>
      </c>
      <c r="G345" t="s">
        <v>1577</v>
      </c>
      <c r="H345" t="s">
        <v>1319</v>
      </c>
      <c r="I345" t="s">
        <v>1342</v>
      </c>
      <c r="J345">
        <v>8</v>
      </c>
    </row>
    <row r="346" spans="1:10" x14ac:dyDescent="0.25">
      <c r="A346">
        <v>15</v>
      </c>
      <c r="B346" t="s">
        <v>34</v>
      </c>
      <c r="C346" t="s">
        <v>459</v>
      </c>
      <c r="D346" s="11" t="s">
        <v>969</v>
      </c>
      <c r="E346" t="s">
        <v>35</v>
      </c>
      <c r="F346" t="s">
        <v>438</v>
      </c>
      <c r="G346" t="s">
        <v>1578</v>
      </c>
      <c r="H346" t="s">
        <v>752</v>
      </c>
      <c r="I346" t="s">
        <v>752</v>
      </c>
    </row>
    <row r="347" spans="1:10" x14ac:dyDescent="0.25">
      <c r="A347">
        <v>16</v>
      </c>
      <c r="B347" t="s">
        <v>36</v>
      </c>
      <c r="C347" t="s">
        <v>456</v>
      </c>
      <c r="D347" s="11" t="s">
        <v>970</v>
      </c>
      <c r="E347" t="s">
        <v>1296</v>
      </c>
      <c r="F347" t="s">
        <v>438</v>
      </c>
      <c r="G347" t="s">
        <v>1578</v>
      </c>
      <c r="H347" t="s">
        <v>1314</v>
      </c>
      <c r="I347" t="s">
        <v>1322</v>
      </c>
      <c r="J347">
        <v>12</v>
      </c>
    </row>
    <row r="348" spans="1:10" x14ac:dyDescent="0.25">
      <c r="A348">
        <v>17</v>
      </c>
      <c r="B348" t="s">
        <v>37</v>
      </c>
      <c r="C348" t="s">
        <v>457</v>
      </c>
      <c r="D348" s="11" t="s">
        <v>971</v>
      </c>
      <c r="E348" t="s">
        <v>38</v>
      </c>
      <c r="F348" t="s">
        <v>438</v>
      </c>
      <c r="G348" t="s">
        <v>1578</v>
      </c>
      <c r="H348" t="s">
        <v>1314</v>
      </c>
      <c r="I348" t="s">
        <v>1322</v>
      </c>
      <c r="J348">
        <v>11</v>
      </c>
    </row>
    <row r="349" spans="1:10" x14ac:dyDescent="0.25">
      <c r="A349">
        <v>252</v>
      </c>
      <c r="B349" t="s">
        <v>32</v>
      </c>
      <c r="C349" t="s">
        <v>455</v>
      </c>
      <c r="D349" s="11" t="s">
        <v>1203</v>
      </c>
      <c r="E349" t="s">
        <v>33</v>
      </c>
      <c r="F349" t="s">
        <v>438</v>
      </c>
      <c r="G349" t="s">
        <v>1578</v>
      </c>
      <c r="H349" t="s">
        <v>1317</v>
      </c>
      <c r="I349" t="s">
        <v>1335</v>
      </c>
      <c r="J349">
        <v>1</v>
      </c>
    </row>
    <row r="350" spans="1:10" x14ac:dyDescent="0.25">
      <c r="A350">
        <v>253</v>
      </c>
      <c r="B350" t="s">
        <v>39</v>
      </c>
      <c r="C350" t="s">
        <v>458</v>
      </c>
      <c r="D350" s="11" t="s">
        <v>1204</v>
      </c>
      <c r="E350" t="s">
        <v>40</v>
      </c>
      <c r="F350" t="s">
        <v>438</v>
      </c>
      <c r="G350" t="s">
        <v>1578</v>
      </c>
      <c r="H350" t="s">
        <v>1317</v>
      </c>
      <c r="I350" t="s">
        <v>1335</v>
      </c>
      <c r="J350">
        <v>5</v>
      </c>
    </row>
    <row r="351" spans="1:10" x14ac:dyDescent="0.25">
      <c r="A351">
        <v>254</v>
      </c>
      <c r="B351" t="s">
        <v>41</v>
      </c>
      <c r="C351" t="s">
        <v>735</v>
      </c>
      <c r="D351" s="11" t="s">
        <v>1205</v>
      </c>
      <c r="E351" t="s">
        <v>42</v>
      </c>
      <c r="F351" t="s">
        <v>438</v>
      </c>
      <c r="G351" t="s">
        <v>1578</v>
      </c>
      <c r="H351" t="s">
        <v>1317</v>
      </c>
      <c r="I351" t="s">
        <v>1335</v>
      </c>
      <c r="J351">
        <v>2</v>
      </c>
    </row>
    <row r="352" spans="1:10" x14ac:dyDescent="0.25">
      <c r="A352">
        <v>255</v>
      </c>
      <c r="B352" t="s">
        <v>43</v>
      </c>
      <c r="C352" t="s">
        <v>736</v>
      </c>
      <c r="D352" s="11" t="s">
        <v>1206</v>
      </c>
      <c r="E352" t="s">
        <v>44</v>
      </c>
      <c r="F352" t="s">
        <v>438</v>
      </c>
      <c r="G352" t="s">
        <v>1578</v>
      </c>
      <c r="H352" t="s">
        <v>1317</v>
      </c>
      <c r="I352" t="s">
        <v>1335</v>
      </c>
      <c r="J352">
        <v>3</v>
      </c>
    </row>
    <row r="353" spans="1:10" x14ac:dyDescent="0.25">
      <c r="A353">
        <v>256</v>
      </c>
      <c r="B353" t="s">
        <v>45</v>
      </c>
      <c r="C353" t="s">
        <v>460</v>
      </c>
      <c r="D353" s="11" t="s">
        <v>1207</v>
      </c>
      <c r="E353" t="s">
        <v>46</v>
      </c>
      <c r="F353" t="s">
        <v>438</v>
      </c>
      <c r="G353" t="s">
        <v>1578</v>
      </c>
      <c r="H353" t="s">
        <v>1317</v>
      </c>
      <c r="I353" t="s">
        <v>1335</v>
      </c>
      <c r="J353">
        <v>4</v>
      </c>
    </row>
    <row r="354" spans="1:10" x14ac:dyDescent="0.25">
      <c r="A354">
        <v>336</v>
      </c>
      <c r="B354" t="s">
        <v>1537</v>
      </c>
      <c r="C354" t="s">
        <v>359</v>
      </c>
      <c r="D354" s="11" t="s">
        <v>1285</v>
      </c>
      <c r="E354" t="s">
        <v>359</v>
      </c>
      <c r="F354" t="s">
        <v>676</v>
      </c>
      <c r="G354" t="s">
        <v>1579</v>
      </c>
      <c r="H354" t="s">
        <v>1319</v>
      </c>
      <c r="I354" t="s">
        <v>1342</v>
      </c>
      <c r="J354">
        <v>10</v>
      </c>
    </row>
    <row r="355" spans="1:10" x14ac:dyDescent="0.25">
      <c r="A355" t="s">
        <v>750</v>
      </c>
      <c r="B355" t="s">
        <v>439</v>
      </c>
      <c r="C355" t="s">
        <v>749</v>
      </c>
      <c r="D355" s="11" t="s">
        <v>954</v>
      </c>
      <c r="E355" t="s">
        <v>440</v>
      </c>
      <c r="F355" t="s">
        <v>441</v>
      </c>
      <c r="H355" t="s">
        <v>1313</v>
      </c>
      <c r="I355" t="s">
        <v>751</v>
      </c>
    </row>
  </sheetData>
  <sortState ref="A1:K354">
    <sortCondition ref="F1:F354"/>
    <sortCondition ref="A1:A35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3" workbookViewId="0">
      <selection activeCell="A29" sqref="A29:A30"/>
    </sheetView>
  </sheetViews>
  <sheetFormatPr defaultRowHeight="15" x14ac:dyDescent="0.25"/>
  <sheetData>
    <row r="1" spans="1:7" ht="15.75" thickBot="1" x14ac:dyDescent="0.3">
      <c r="A1" s="17" t="s">
        <v>753</v>
      </c>
      <c r="B1" s="19" t="s">
        <v>754</v>
      </c>
      <c r="C1" s="19" t="s">
        <v>755</v>
      </c>
      <c r="D1" s="21" t="s">
        <v>756</v>
      </c>
      <c r="E1" s="22"/>
      <c r="F1" s="23"/>
      <c r="G1" s="17" t="s">
        <v>757</v>
      </c>
    </row>
    <row r="2" spans="1:7" ht="15.75" thickBot="1" x14ac:dyDescent="0.3">
      <c r="A2" s="18"/>
      <c r="B2" s="20"/>
      <c r="C2" s="20"/>
      <c r="D2" s="1" t="s">
        <v>758</v>
      </c>
      <c r="E2" s="1" t="s">
        <v>759</v>
      </c>
      <c r="F2" s="1" t="s">
        <v>760</v>
      </c>
      <c r="G2" s="18"/>
    </row>
    <row r="3" spans="1:7" x14ac:dyDescent="0.25">
      <c r="A3" s="26" t="s">
        <v>761</v>
      </c>
      <c r="B3" s="28" t="s">
        <v>762</v>
      </c>
      <c r="C3" s="2" t="s">
        <v>763</v>
      </c>
      <c r="D3" s="30" t="s">
        <v>765</v>
      </c>
      <c r="E3" s="30" t="s">
        <v>765</v>
      </c>
      <c r="F3" s="30" t="s">
        <v>766</v>
      </c>
      <c r="G3" s="24" t="s">
        <v>766</v>
      </c>
    </row>
    <row r="4" spans="1:7" ht="30.75" thickBot="1" x14ac:dyDescent="0.3">
      <c r="A4" s="27"/>
      <c r="B4" s="29"/>
      <c r="C4" s="3" t="s">
        <v>764</v>
      </c>
      <c r="D4" s="31"/>
      <c r="E4" s="31"/>
      <c r="F4" s="31"/>
      <c r="G4" s="25"/>
    </row>
    <row r="5" spans="1:7" x14ac:dyDescent="0.25">
      <c r="A5" s="26" t="s">
        <v>767</v>
      </c>
      <c r="B5" s="28" t="s">
        <v>768</v>
      </c>
      <c r="C5" s="4" t="s">
        <v>769</v>
      </c>
      <c r="D5" s="30" t="s">
        <v>771</v>
      </c>
      <c r="E5" s="30" t="s">
        <v>772</v>
      </c>
      <c r="F5" s="30" t="s">
        <v>773</v>
      </c>
      <c r="G5" s="24" t="s">
        <v>774</v>
      </c>
    </row>
    <row r="6" spans="1:7" ht="54" thickBot="1" x14ac:dyDescent="0.3">
      <c r="A6" s="27"/>
      <c r="B6" s="29"/>
      <c r="C6" s="5" t="s">
        <v>770</v>
      </c>
      <c r="D6" s="31"/>
      <c r="E6" s="31"/>
      <c r="F6" s="31"/>
      <c r="G6" s="25"/>
    </row>
    <row r="7" spans="1:7" ht="24" thickBot="1" x14ac:dyDescent="0.4">
      <c r="A7" s="6" t="s">
        <v>775</v>
      </c>
      <c r="B7" s="7" t="s">
        <v>776</v>
      </c>
      <c r="C7" s="8" t="s">
        <v>777</v>
      </c>
      <c r="D7" s="9" t="s">
        <v>778</v>
      </c>
      <c r="E7" s="9" t="s">
        <v>779</v>
      </c>
      <c r="F7" s="9" t="s">
        <v>780</v>
      </c>
      <c r="G7" s="8" t="s">
        <v>781</v>
      </c>
    </row>
    <row r="8" spans="1:7" ht="28.5" thickBot="1" x14ac:dyDescent="0.4">
      <c r="A8" s="6" t="s">
        <v>782</v>
      </c>
      <c r="B8" s="7" t="s">
        <v>783</v>
      </c>
      <c r="C8" s="8" t="s">
        <v>784</v>
      </c>
      <c r="D8" s="9" t="s">
        <v>785</v>
      </c>
      <c r="E8" s="9" t="s">
        <v>786</v>
      </c>
      <c r="F8" s="9" t="s">
        <v>787</v>
      </c>
      <c r="G8" s="8" t="s">
        <v>788</v>
      </c>
    </row>
    <row r="9" spans="1:7" ht="30" thickBot="1" x14ac:dyDescent="0.4">
      <c r="A9" s="6" t="s">
        <v>789</v>
      </c>
      <c r="B9" s="7" t="s">
        <v>790</v>
      </c>
      <c r="C9" s="6" t="s">
        <v>791</v>
      </c>
      <c r="D9" s="9" t="s">
        <v>792</v>
      </c>
      <c r="E9" s="9" t="s">
        <v>793</v>
      </c>
      <c r="F9" s="9" t="s">
        <v>794</v>
      </c>
      <c r="G9" s="8" t="s">
        <v>795</v>
      </c>
    </row>
    <row r="10" spans="1:7" ht="24" thickBot="1" x14ac:dyDescent="0.4">
      <c r="A10" s="6" t="s">
        <v>796</v>
      </c>
      <c r="B10" s="7" t="s">
        <v>797</v>
      </c>
      <c r="C10" s="8" t="s">
        <v>798</v>
      </c>
      <c r="D10" s="9" t="s">
        <v>799</v>
      </c>
      <c r="E10" s="9" t="s">
        <v>800</v>
      </c>
      <c r="F10" s="9" t="s">
        <v>801</v>
      </c>
      <c r="G10" s="8" t="s">
        <v>802</v>
      </c>
    </row>
    <row r="11" spans="1:7" ht="28.5" thickBot="1" x14ac:dyDescent="0.4">
      <c r="A11" s="6" t="s">
        <v>803</v>
      </c>
      <c r="B11" s="7" t="s">
        <v>804</v>
      </c>
      <c r="C11" s="8" t="s">
        <v>805</v>
      </c>
      <c r="D11" s="9" t="s">
        <v>806</v>
      </c>
      <c r="E11" s="9" t="s">
        <v>807</v>
      </c>
      <c r="F11" s="9" t="s">
        <v>808</v>
      </c>
      <c r="G11" s="8" t="s">
        <v>809</v>
      </c>
    </row>
    <row r="12" spans="1:7" ht="24" thickBot="1" x14ac:dyDescent="0.4">
      <c r="A12" s="6" t="s">
        <v>810</v>
      </c>
      <c r="B12" s="7" t="s">
        <v>811</v>
      </c>
      <c r="C12" s="8" t="s">
        <v>812</v>
      </c>
      <c r="D12" s="9" t="s">
        <v>813</v>
      </c>
      <c r="E12" s="9" t="s">
        <v>813</v>
      </c>
      <c r="F12" s="9" t="s">
        <v>814</v>
      </c>
      <c r="G12" s="8" t="s">
        <v>814</v>
      </c>
    </row>
    <row r="13" spans="1:7" ht="28.5" thickBot="1" x14ac:dyDescent="0.4">
      <c r="A13" s="6" t="s">
        <v>815</v>
      </c>
      <c r="B13" s="7" t="s">
        <v>816</v>
      </c>
      <c r="C13" s="8" t="s">
        <v>817</v>
      </c>
      <c r="D13" s="9" t="s">
        <v>818</v>
      </c>
      <c r="E13" s="9" t="s">
        <v>818</v>
      </c>
      <c r="F13" s="9" t="s">
        <v>819</v>
      </c>
      <c r="G13" s="8" t="s">
        <v>819</v>
      </c>
    </row>
    <row r="14" spans="1:7" ht="24" thickBot="1" x14ac:dyDescent="0.4">
      <c r="A14" s="6" t="s">
        <v>820</v>
      </c>
      <c r="B14" s="7" t="s">
        <v>821</v>
      </c>
      <c r="C14" s="8" t="s">
        <v>822</v>
      </c>
      <c r="D14" s="9" t="s">
        <v>823</v>
      </c>
      <c r="E14" s="9" t="s">
        <v>823</v>
      </c>
      <c r="F14" s="9" t="s">
        <v>824</v>
      </c>
      <c r="G14" s="8" t="s">
        <v>824</v>
      </c>
    </row>
    <row r="15" spans="1:7" ht="28.5" thickBot="1" x14ac:dyDescent="0.4">
      <c r="A15" s="6" t="s">
        <v>825</v>
      </c>
      <c r="B15" s="7" t="s">
        <v>826</v>
      </c>
      <c r="C15" s="8" t="s">
        <v>827</v>
      </c>
      <c r="D15" s="9" t="s">
        <v>828</v>
      </c>
      <c r="E15" s="9" t="s">
        <v>828</v>
      </c>
      <c r="F15" s="9" t="s">
        <v>829</v>
      </c>
      <c r="G15" s="8" t="s">
        <v>829</v>
      </c>
    </row>
    <row r="16" spans="1:7" ht="24" thickBot="1" x14ac:dyDescent="0.4">
      <c r="A16" s="6" t="s">
        <v>830</v>
      </c>
      <c r="B16" s="7" t="s">
        <v>831</v>
      </c>
      <c r="C16" s="8" t="s">
        <v>832</v>
      </c>
      <c r="D16" s="9" t="s">
        <v>833</v>
      </c>
      <c r="E16" s="9" t="s">
        <v>834</v>
      </c>
      <c r="F16" s="9" t="s">
        <v>835</v>
      </c>
      <c r="G16" s="8" t="s">
        <v>836</v>
      </c>
    </row>
    <row r="17" spans="1:7" ht="28.5" thickBot="1" x14ac:dyDescent="0.4">
      <c r="A17" s="6" t="s">
        <v>837</v>
      </c>
      <c r="B17" s="7" t="s">
        <v>838</v>
      </c>
      <c r="C17" s="8" t="s">
        <v>839</v>
      </c>
      <c r="D17" s="9" t="s">
        <v>840</v>
      </c>
      <c r="E17" s="9" t="s">
        <v>841</v>
      </c>
      <c r="F17" s="9" t="s">
        <v>842</v>
      </c>
      <c r="G17" s="8" t="s">
        <v>843</v>
      </c>
    </row>
    <row r="18" spans="1:7" ht="24" thickBot="1" x14ac:dyDescent="0.4">
      <c r="A18" s="6" t="s">
        <v>844</v>
      </c>
      <c r="B18" s="7" t="s">
        <v>845</v>
      </c>
      <c r="C18" s="8" t="s">
        <v>846</v>
      </c>
      <c r="D18" s="9" t="s">
        <v>847</v>
      </c>
      <c r="E18" s="9" t="s">
        <v>848</v>
      </c>
      <c r="F18" s="9" t="s">
        <v>849</v>
      </c>
      <c r="G18" s="8" t="s">
        <v>850</v>
      </c>
    </row>
    <row r="19" spans="1:7" ht="24" thickBot="1" x14ac:dyDescent="0.4">
      <c r="A19" s="6" t="s">
        <v>851</v>
      </c>
      <c r="B19" s="7" t="s">
        <v>852</v>
      </c>
      <c r="C19" s="8" t="s">
        <v>853</v>
      </c>
      <c r="D19" s="9" t="s">
        <v>854</v>
      </c>
      <c r="E19" s="9" t="s">
        <v>855</v>
      </c>
      <c r="F19" s="9" t="s">
        <v>856</v>
      </c>
      <c r="G19" s="8" t="s">
        <v>857</v>
      </c>
    </row>
    <row r="20" spans="1:7" ht="24" thickBot="1" x14ac:dyDescent="0.4">
      <c r="A20" s="6" t="s">
        <v>858</v>
      </c>
      <c r="B20" s="7" t="s">
        <v>859</v>
      </c>
      <c r="C20" s="8" t="s">
        <v>860</v>
      </c>
      <c r="D20" s="9" t="s">
        <v>861</v>
      </c>
      <c r="E20" s="9" t="s">
        <v>862</v>
      </c>
      <c r="F20" s="9" t="s">
        <v>863</v>
      </c>
      <c r="G20" s="8" t="s">
        <v>864</v>
      </c>
    </row>
    <row r="21" spans="1:7" ht="24" thickBot="1" x14ac:dyDescent="0.4">
      <c r="A21" s="6" t="s">
        <v>865</v>
      </c>
      <c r="B21" s="7" t="s">
        <v>866</v>
      </c>
      <c r="C21" s="6" t="s">
        <v>867</v>
      </c>
      <c r="D21" s="9" t="s">
        <v>868</v>
      </c>
      <c r="E21" s="9" t="s">
        <v>869</v>
      </c>
      <c r="F21" s="9" t="s">
        <v>870</v>
      </c>
      <c r="G21" s="8" t="s">
        <v>871</v>
      </c>
    </row>
    <row r="22" spans="1:7" ht="33" thickBot="1" x14ac:dyDescent="0.4">
      <c r="A22" s="6" t="s">
        <v>872</v>
      </c>
      <c r="B22" s="10" t="s">
        <v>873</v>
      </c>
      <c r="C22" s="8" t="s">
        <v>874</v>
      </c>
      <c r="D22" s="9" t="s">
        <v>875</v>
      </c>
      <c r="E22" s="9" t="s">
        <v>876</v>
      </c>
      <c r="F22" s="9" t="s">
        <v>877</v>
      </c>
      <c r="G22" s="8" t="s">
        <v>878</v>
      </c>
    </row>
    <row r="23" spans="1:7" x14ac:dyDescent="0.25">
      <c r="A23" s="26" t="s">
        <v>879</v>
      </c>
      <c r="B23" s="28" t="s">
        <v>880</v>
      </c>
      <c r="C23" s="4" t="s">
        <v>881</v>
      </c>
      <c r="D23" s="30" t="s">
        <v>883</v>
      </c>
      <c r="E23" s="30" t="s">
        <v>884</v>
      </c>
      <c r="F23" s="30" t="s">
        <v>885</v>
      </c>
      <c r="G23" s="24" t="s">
        <v>886</v>
      </c>
    </row>
    <row r="24" spans="1:7" ht="54" thickBot="1" x14ac:dyDescent="0.3">
      <c r="A24" s="27"/>
      <c r="B24" s="29"/>
      <c r="C24" s="5" t="s">
        <v>882</v>
      </c>
      <c r="D24" s="31"/>
      <c r="E24" s="31"/>
      <c r="F24" s="31"/>
      <c r="G24" s="25"/>
    </row>
    <row r="25" spans="1:7" x14ac:dyDescent="0.25">
      <c r="A25" s="26" t="s">
        <v>887</v>
      </c>
      <c r="B25" s="28" t="s">
        <v>888</v>
      </c>
      <c r="C25" s="4" t="s">
        <v>889</v>
      </c>
      <c r="D25" s="30" t="s">
        <v>891</v>
      </c>
      <c r="E25" s="30" t="s">
        <v>892</v>
      </c>
      <c r="F25" s="30" t="s">
        <v>893</v>
      </c>
      <c r="G25" s="32" t="s">
        <v>894</v>
      </c>
    </row>
    <row r="26" spans="1:7" ht="54" thickBot="1" x14ac:dyDescent="0.3">
      <c r="A26" s="27"/>
      <c r="B26" s="29"/>
      <c r="C26" s="5" t="s">
        <v>890</v>
      </c>
      <c r="D26" s="31"/>
      <c r="E26" s="31"/>
      <c r="F26" s="31"/>
      <c r="G26" s="33"/>
    </row>
    <row r="27" spans="1:7" x14ac:dyDescent="0.25">
      <c r="A27" s="26" t="s">
        <v>895</v>
      </c>
      <c r="B27" s="28" t="s">
        <v>896</v>
      </c>
      <c r="C27" s="4" t="s">
        <v>897</v>
      </c>
      <c r="D27" s="30" t="s">
        <v>898</v>
      </c>
      <c r="E27" s="30" t="s">
        <v>899</v>
      </c>
      <c r="F27" s="30" t="s">
        <v>900</v>
      </c>
      <c r="G27" s="32" t="s">
        <v>901</v>
      </c>
    </row>
    <row r="28" spans="1:7" ht="54" thickBot="1" x14ac:dyDescent="0.3">
      <c r="A28" s="27"/>
      <c r="B28" s="29"/>
      <c r="C28" s="5" t="s">
        <v>882</v>
      </c>
      <c r="D28" s="31"/>
      <c r="E28" s="31"/>
      <c r="F28" s="31"/>
      <c r="G28" s="33"/>
    </row>
    <row r="29" spans="1:7" x14ac:dyDescent="0.25">
      <c r="A29" s="26" t="s">
        <v>902</v>
      </c>
      <c r="B29" s="28" t="s">
        <v>903</v>
      </c>
      <c r="C29" s="4" t="s">
        <v>904</v>
      </c>
      <c r="D29" s="30" t="s">
        <v>905</v>
      </c>
      <c r="E29" s="30" t="s">
        <v>906</v>
      </c>
      <c r="F29" s="30" t="s">
        <v>907</v>
      </c>
      <c r="G29" s="24" t="s">
        <v>908</v>
      </c>
    </row>
    <row r="30" spans="1:7" ht="54" thickBot="1" x14ac:dyDescent="0.3">
      <c r="A30" s="27"/>
      <c r="B30" s="29"/>
      <c r="C30" s="5" t="s">
        <v>882</v>
      </c>
      <c r="D30" s="31"/>
      <c r="E30" s="31"/>
      <c r="F30" s="31"/>
      <c r="G30" s="25"/>
    </row>
    <row r="31" spans="1:7" ht="24" thickBot="1" x14ac:dyDescent="0.4">
      <c r="A31" s="6" t="s">
        <v>909</v>
      </c>
      <c r="B31" s="7" t="s">
        <v>910</v>
      </c>
      <c r="C31" s="8" t="s">
        <v>911</v>
      </c>
      <c r="D31" s="9" t="s">
        <v>912</v>
      </c>
      <c r="E31" s="9" t="s">
        <v>913</v>
      </c>
      <c r="F31" s="9" t="s">
        <v>914</v>
      </c>
      <c r="G31" s="8" t="s">
        <v>915</v>
      </c>
    </row>
    <row r="32" spans="1:7" ht="24" thickBot="1" x14ac:dyDescent="0.4">
      <c r="A32" s="6" t="s">
        <v>916</v>
      </c>
      <c r="B32" s="7" t="s">
        <v>917</v>
      </c>
      <c r="C32" s="8" t="s">
        <v>918</v>
      </c>
      <c r="D32" s="9" t="s">
        <v>919</v>
      </c>
      <c r="E32" s="9" t="s">
        <v>920</v>
      </c>
      <c r="F32" s="9" t="s">
        <v>921</v>
      </c>
      <c r="G32" s="8" t="s">
        <v>922</v>
      </c>
    </row>
    <row r="33" spans="1:7" ht="24" thickBot="1" x14ac:dyDescent="0.4">
      <c r="A33" s="6" t="s">
        <v>923</v>
      </c>
      <c r="B33" s="7" t="s">
        <v>924</v>
      </c>
      <c r="C33" s="8" t="s">
        <v>925</v>
      </c>
      <c r="D33" s="9" t="s">
        <v>926</v>
      </c>
      <c r="E33" s="9" t="s">
        <v>927</v>
      </c>
      <c r="F33" s="9" t="s">
        <v>928</v>
      </c>
      <c r="G33" s="8" t="s">
        <v>929</v>
      </c>
    </row>
    <row r="34" spans="1:7" ht="24" thickBot="1" x14ac:dyDescent="0.4">
      <c r="A34" s="6" t="s">
        <v>930</v>
      </c>
      <c r="B34" s="7" t="s">
        <v>931</v>
      </c>
      <c r="C34" s="8" t="s">
        <v>932</v>
      </c>
      <c r="D34" s="9" t="s">
        <v>933</v>
      </c>
      <c r="E34" s="9" t="s">
        <v>934</v>
      </c>
      <c r="F34" s="9" t="s">
        <v>935</v>
      </c>
      <c r="G34" s="8" t="s">
        <v>936</v>
      </c>
    </row>
    <row r="35" spans="1:7" ht="30" x14ac:dyDescent="0.25">
      <c r="A35" s="26" t="s">
        <v>937</v>
      </c>
      <c r="B35" s="28" t="s">
        <v>938</v>
      </c>
      <c r="C35" s="4" t="s">
        <v>939</v>
      </c>
      <c r="D35" s="30" t="s">
        <v>941</v>
      </c>
      <c r="E35" s="30" t="s">
        <v>941</v>
      </c>
      <c r="F35" s="30" t="s">
        <v>942</v>
      </c>
      <c r="G35" s="24" t="s">
        <v>942</v>
      </c>
    </row>
    <row r="36" spans="1:7" ht="78" thickBot="1" x14ac:dyDescent="0.3">
      <c r="A36" s="27"/>
      <c r="B36" s="29"/>
      <c r="C36" s="5" t="s">
        <v>940</v>
      </c>
      <c r="D36" s="31"/>
      <c r="E36" s="31"/>
      <c r="F36" s="31"/>
      <c r="G36" s="25"/>
    </row>
    <row r="37" spans="1:7" ht="30" x14ac:dyDescent="0.25">
      <c r="A37" s="26" t="s">
        <v>943</v>
      </c>
      <c r="B37" s="28" t="s">
        <v>944</v>
      </c>
      <c r="C37" s="4" t="s">
        <v>945</v>
      </c>
      <c r="D37" s="30" t="s">
        <v>947</v>
      </c>
      <c r="E37" s="30" t="s">
        <v>948</v>
      </c>
      <c r="F37" s="30" t="s">
        <v>949</v>
      </c>
      <c r="G37" s="32" t="s">
        <v>950</v>
      </c>
    </row>
    <row r="38" spans="1:7" ht="78" thickBot="1" x14ac:dyDescent="0.3">
      <c r="A38" s="27"/>
      <c r="B38" s="29"/>
      <c r="C38" s="5" t="s">
        <v>946</v>
      </c>
      <c r="D38" s="31"/>
      <c r="E38" s="31"/>
      <c r="F38" s="31"/>
      <c r="G38" s="33"/>
    </row>
  </sheetData>
  <mergeCells count="53"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A1:A2"/>
    <mergeCell ref="B1:B2"/>
    <mergeCell ref="C1:C2"/>
    <mergeCell ref="D1:F1"/>
    <mergeCell ref="G1:G2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t="s">
        <v>766</v>
      </c>
    </row>
    <row r="2" spans="1:1" x14ac:dyDescent="0.25">
      <c r="A2" t="s">
        <v>774</v>
      </c>
    </row>
    <row r="3" spans="1:1" x14ac:dyDescent="0.25">
      <c r="A3" t="s">
        <v>781</v>
      </c>
    </row>
    <row r="4" spans="1:1" x14ac:dyDescent="0.25">
      <c r="A4" t="s">
        <v>788</v>
      </c>
    </row>
    <row r="5" spans="1:1" x14ac:dyDescent="0.25">
      <c r="A5" t="s">
        <v>795</v>
      </c>
    </row>
    <row r="6" spans="1:1" x14ac:dyDescent="0.25">
      <c r="A6" t="s">
        <v>802</v>
      </c>
    </row>
    <row r="7" spans="1:1" x14ac:dyDescent="0.25">
      <c r="A7" t="s">
        <v>809</v>
      </c>
    </row>
    <row r="8" spans="1:1" x14ac:dyDescent="0.25">
      <c r="A8" t="s">
        <v>814</v>
      </c>
    </row>
    <row r="9" spans="1:1" x14ac:dyDescent="0.25">
      <c r="A9" t="s">
        <v>819</v>
      </c>
    </row>
    <row r="10" spans="1:1" x14ac:dyDescent="0.25">
      <c r="A10" t="s">
        <v>824</v>
      </c>
    </row>
    <row r="11" spans="1:1" x14ac:dyDescent="0.25">
      <c r="A11" t="s">
        <v>829</v>
      </c>
    </row>
    <row r="12" spans="1:1" x14ac:dyDescent="0.25">
      <c r="A12" t="s">
        <v>836</v>
      </c>
    </row>
    <row r="13" spans="1:1" x14ac:dyDescent="0.25">
      <c r="A13" t="s">
        <v>843</v>
      </c>
    </row>
    <row r="14" spans="1:1" x14ac:dyDescent="0.25">
      <c r="A14" t="s">
        <v>850</v>
      </c>
    </row>
    <row r="15" spans="1:1" x14ac:dyDescent="0.25">
      <c r="A15" t="s">
        <v>857</v>
      </c>
    </row>
    <row r="16" spans="1:1" x14ac:dyDescent="0.25">
      <c r="A16" t="s">
        <v>864</v>
      </c>
    </row>
    <row r="17" spans="1:1" x14ac:dyDescent="0.25">
      <c r="A17" t="s">
        <v>871</v>
      </c>
    </row>
    <row r="18" spans="1:1" x14ac:dyDescent="0.25">
      <c r="A18" t="s">
        <v>878</v>
      </c>
    </row>
    <row r="19" spans="1:1" x14ac:dyDescent="0.25">
      <c r="A19" t="s">
        <v>886</v>
      </c>
    </row>
    <row r="20" spans="1:1" x14ac:dyDescent="0.25">
      <c r="A20" t="s">
        <v>951</v>
      </c>
    </row>
    <row r="21" spans="1:1" x14ac:dyDescent="0.25">
      <c r="A21" t="s">
        <v>952</v>
      </c>
    </row>
    <row r="22" spans="1:1" x14ac:dyDescent="0.25">
      <c r="A22" t="s">
        <v>908</v>
      </c>
    </row>
    <row r="23" spans="1:1" x14ac:dyDescent="0.25">
      <c r="A23" t="s">
        <v>915</v>
      </c>
    </row>
    <row r="24" spans="1:1" x14ac:dyDescent="0.25">
      <c r="A24" t="s">
        <v>922</v>
      </c>
    </row>
    <row r="25" spans="1:1" x14ac:dyDescent="0.25">
      <c r="A25" t="s">
        <v>929</v>
      </c>
    </row>
    <row r="26" spans="1:1" x14ac:dyDescent="0.25">
      <c r="A26" t="s">
        <v>936</v>
      </c>
    </row>
    <row r="27" spans="1:1" x14ac:dyDescent="0.25">
      <c r="A27" t="s">
        <v>942</v>
      </c>
    </row>
    <row r="28" spans="1:1" x14ac:dyDescent="0.25">
      <c r="A28" t="s">
        <v>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workbookViewId="0">
      <selection activeCell="G699" sqref="G699"/>
    </sheetView>
  </sheetViews>
  <sheetFormatPr defaultRowHeight="15" x14ac:dyDescent="0.25"/>
  <cols>
    <col min="1" max="1" width="19.85546875" style="16" customWidth="1"/>
    <col min="6" max="6" width="35.140625" customWidth="1"/>
    <col min="7" max="7" width="31.42578125" style="12" customWidth="1"/>
    <col min="13" max="13" width="28.7109375" customWidth="1"/>
  </cols>
  <sheetData>
    <row r="1" spans="1:13" x14ac:dyDescent="0.25">
      <c r="A1" s="15" t="str">
        <f>HYPERLINK("https://www.youtube.com/watch?v=e_dFFaECK5E","Video Lesson 4")</f>
        <v>Video Lesson 4</v>
      </c>
      <c r="B1" t="s">
        <v>1314</v>
      </c>
      <c r="C1" t="s">
        <v>1320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1611</v>
      </c>
      <c r="H1" s="12" t="s">
        <v>1603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3" t="str">
        <f>HYPERLINK("https://www.youtube.com/watch?v=EWu4a7ogxVA","Video Lesson 'Improvisation'")</f>
        <v>Video Lesson 'Improvisation'</v>
      </c>
      <c r="G2" t="s">
        <v>1612</v>
      </c>
      <c r="H2" s="12" t="s">
        <v>1609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5" t="str">
        <f>HYPERLINK("https://www.youtube.com/watch?v=e_dFFaECK5E","Video Lesson 4")</f>
        <v>Video Lesson 4</v>
      </c>
      <c r="B3" t="s">
        <v>1314</v>
      </c>
      <c r="C3" t="s">
        <v>1320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1613</v>
      </c>
      <c r="H3" s="12" t="s">
        <v>1583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3" t="str">
        <f>HYPERLINK("https://www.youtube.com/watch?v=7iovf94e4uU","Video Lesson 1")</f>
        <v>Video Lesson 1</v>
      </c>
      <c r="G4" t="s">
        <v>1569</v>
      </c>
      <c r="H4" s="12" t="s">
        <v>1581</v>
      </c>
      <c r="M4" t="str">
        <f t="shared" si="0"/>
        <v>=hyperlink("https://www.youtube.com/watch?v=7iovf94e4uU","Video Lesson 1")</v>
      </c>
    </row>
    <row r="5" spans="1:13" x14ac:dyDescent="0.25">
      <c r="A5" s="15" t="str">
        <f>HYPERLINK("https://www.youtube.com/watch?v=e_dFFaECK5E","Video Lesson 4")</f>
        <v>Video Lesson 4</v>
      </c>
      <c r="B5" t="s">
        <v>1314</v>
      </c>
      <c r="C5" t="s">
        <v>1320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1563</v>
      </c>
      <c r="H5" s="12" t="s">
        <v>1594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3" t="str">
        <f>HYPERLINK("https://www.youtube.com/watch?v=1G46tEJOrww","Video Lesson 11")</f>
        <v>Video Lesson 11</v>
      </c>
      <c r="G6" t="s">
        <v>1568</v>
      </c>
      <c r="H6" s="12" t="s">
        <v>1595</v>
      </c>
      <c r="M6" t="str">
        <f t="shared" si="0"/>
        <v>=hyperlink("https://www.youtube.com/watch?v=1G46tEJOrww","Video Lesson 11")</v>
      </c>
    </row>
    <row r="7" spans="1:13" x14ac:dyDescent="0.25">
      <c r="A7" s="15" t="str">
        <f>HYPERLINK("https://www.youtube.com/watch?v=e_dFFaECK5E","Video Lesson 4")</f>
        <v>Video Lesson 4</v>
      </c>
      <c r="B7" t="s">
        <v>1314</v>
      </c>
      <c r="C7" t="s">
        <v>1320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1573</v>
      </c>
      <c r="H7" s="12" t="s">
        <v>1596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3" t="str">
        <f>HYPERLINK("https://www.youtube.com/watch?v=CuxAdMsjkyY","Video Lesson 13")</f>
        <v>Video Lesson 13</v>
      </c>
      <c r="G8" t="s">
        <v>1562</v>
      </c>
      <c r="H8" s="12" t="s">
        <v>1597</v>
      </c>
      <c r="M8" t="str">
        <f t="shared" si="0"/>
        <v>=hyperlink("https://www.youtube.com/watch?v=CuxAdMsjkyY","Video Lesson 13")</v>
      </c>
    </row>
    <row r="9" spans="1:13" x14ac:dyDescent="0.25">
      <c r="A9" s="15" t="str">
        <f>HYPERLINK("https://www.youtube.com/watch?v=e_dFFaECK5E","Video Lesson 4")</f>
        <v>Video Lesson 4</v>
      </c>
      <c r="B9" t="s">
        <v>1314</v>
      </c>
      <c r="C9" t="s">
        <v>1320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1558</v>
      </c>
      <c r="H9" s="12" t="s">
        <v>1598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3" t="str">
        <f>HYPERLINK("https://www.youtube.com/watch?v=mlf3S2Z-yzM","Video Lesson 15")</f>
        <v>Video Lesson 15</v>
      </c>
      <c r="G10" t="s">
        <v>1570</v>
      </c>
      <c r="H10" s="12" t="s">
        <v>1599</v>
      </c>
      <c r="M10" t="str">
        <f t="shared" si="0"/>
        <v>=hyperlink("https://www.youtube.com/watch?v=mlf3S2Z-yzM","Video Lesson 15")</v>
      </c>
    </row>
    <row r="11" spans="1:13" x14ac:dyDescent="0.25">
      <c r="A11" s="15" t="str">
        <f>HYPERLINK("https://www.youtube.com/watch?v=e_dFFaECK5E","Video Lesson 4")</f>
        <v>Video Lesson 4</v>
      </c>
      <c r="B11" t="s">
        <v>1314</v>
      </c>
      <c r="C11" t="s">
        <v>1320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1576</v>
      </c>
      <c r="H11" s="12" t="s">
        <v>1600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3" t="str">
        <f>HYPERLINK("https://www.youtube.com/watch?v=FpQEAG3hsdA","Video Lesson 17")</f>
        <v>Video Lesson 17</v>
      </c>
      <c r="G12" t="s">
        <v>1572</v>
      </c>
      <c r="H12" s="12" t="s">
        <v>1601</v>
      </c>
      <c r="M12" t="str">
        <f t="shared" si="0"/>
        <v>=hyperlink("https://www.youtube.com/watch?v=FpQEAG3hsdA","Video Lesson 17")</v>
      </c>
    </row>
    <row r="13" spans="1:13" x14ac:dyDescent="0.25">
      <c r="A13" s="15" t="str">
        <f>HYPERLINK("https://www.youtube.com/watch?v=e_dFFaECK5E","Video Lesson 4")</f>
        <v>Video Lesson 4</v>
      </c>
      <c r="B13" t="s">
        <v>1314</v>
      </c>
      <c r="C13" t="s">
        <v>1320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1575</v>
      </c>
      <c r="H13" s="12" t="s">
        <v>1602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3" t="str">
        <f>HYPERLINK("https://www.youtube.com/watch?v=Xop5dt-yhOA","Video Lesson 19")</f>
        <v>Video Lesson 19</v>
      </c>
      <c r="G14" t="s">
        <v>1559</v>
      </c>
      <c r="H14" t="s">
        <v>1604</v>
      </c>
      <c r="M14" t="str">
        <f t="shared" si="0"/>
        <v>=hyperlink("https://www.youtube.com/watch?v=Xop5dt-yhOA","Video Lesson 19")</v>
      </c>
    </row>
    <row r="15" spans="1:13" x14ac:dyDescent="0.25">
      <c r="A15" s="15" t="str">
        <f>HYPERLINK("https://www.youtube.com/watch?v=e_dFFaECK5E","Video Lesson 4")</f>
        <v>Video Lesson 4</v>
      </c>
      <c r="B15" t="s">
        <v>1314</v>
      </c>
      <c r="C15" t="s">
        <v>1320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1564</v>
      </c>
      <c r="H15" s="13" t="s">
        <v>1582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3" t="str">
        <f>HYPERLINK("https://www.youtube.com/watch?v=Sjl8iPAcNo0","Video Lesson 20")</f>
        <v>Video Lesson 20</v>
      </c>
      <c r="G16" t="s">
        <v>1574</v>
      </c>
      <c r="H16" t="s">
        <v>1605</v>
      </c>
      <c r="M16" t="str">
        <f t="shared" si="0"/>
        <v>=hyperlink("https://www.youtube.com/watch?v=Sjl8iPAcNo0","Video Lesson 20")</v>
      </c>
    </row>
    <row r="17" spans="1:13" x14ac:dyDescent="0.25">
      <c r="A17" s="15" t="str">
        <f>HYPERLINK("https://www.youtube.com/watch?v=e_dFFaECK5E","Video Lesson 4")</f>
        <v>Video Lesson 4</v>
      </c>
      <c r="B17" t="s">
        <v>1314</v>
      </c>
      <c r="C17" t="s">
        <v>1320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1556</v>
      </c>
      <c r="H17" t="s">
        <v>1606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3" t="str">
        <f>HYPERLINK("https://www.youtube.com/watch?v=kLZmQK8CWFU","Video Lesson 22")</f>
        <v>Video Lesson 22</v>
      </c>
      <c r="G18" t="s">
        <v>1561</v>
      </c>
      <c r="H18" t="s">
        <v>1607</v>
      </c>
      <c r="M18" t="str">
        <f t="shared" si="0"/>
        <v>=hyperlink("https://www.youtube.com/watch?v=kLZmQK8CWFU","Video Lesson 22")</v>
      </c>
    </row>
    <row r="19" spans="1:13" x14ac:dyDescent="0.25">
      <c r="A19" s="15" t="str">
        <f>HYPERLINK("https://www.youtube.com/watch?v=e_dFFaECK5E","Video Lesson 4")</f>
        <v>Video Lesson 4</v>
      </c>
      <c r="B19" t="s">
        <v>1314</v>
      </c>
      <c r="C19" t="s">
        <v>1320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1560</v>
      </c>
      <c r="H19" s="13" t="s">
        <v>1608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3" t="str">
        <f>HYPERLINK("https://www.youtube.com/watch?v=M-mxlyVa6iM","Video Lesson 24")</f>
        <v>Video Lesson 24</v>
      </c>
      <c r="G20" t="s">
        <v>1554</v>
      </c>
      <c r="H20" t="s">
        <v>1610</v>
      </c>
      <c r="M20" t="str">
        <f t="shared" si="0"/>
        <v>=hyperlink("https://www.youtube.com/watch?v=M-mxlyVa6iM","Video Lesson 24")</v>
      </c>
    </row>
    <row r="21" spans="1:13" x14ac:dyDescent="0.25">
      <c r="A21" s="15" t="str">
        <f>HYPERLINK("https://www.youtube.com/watch?v=e_dFFaECK5E","Video Lesson 4")</f>
        <v>Video Lesson 4</v>
      </c>
      <c r="B21" t="s">
        <v>1314</v>
      </c>
      <c r="C21" t="s">
        <v>1320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1585</v>
      </c>
      <c r="H21" t="s">
        <v>1586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3" t="str">
        <f>HYPERLINK("https://www.youtube.com/watch?v=bbpaAUOv8dE","Video Lesson 3.2")</f>
        <v>Video Lesson 3.2</v>
      </c>
      <c r="G22" t="s">
        <v>1584</v>
      </c>
      <c r="H22" t="s">
        <v>1587</v>
      </c>
      <c r="M22" t="str">
        <f t="shared" si="0"/>
        <v>=hyperlink("https://www.youtube.com/watch?v=bbpaAUOv8dE","Video Lesson 3.2")</v>
      </c>
    </row>
    <row r="23" spans="1:13" x14ac:dyDescent="0.25">
      <c r="A23" s="15" t="str">
        <f>HYPERLINK("https://www.youtube.com/watch?v=CIw5yuG2h7k","Video Lesson 14")</f>
        <v>Video Lesson 14</v>
      </c>
      <c r="B23" t="s">
        <v>1314</v>
      </c>
      <c r="C23" t="s">
        <v>1321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1557</v>
      </c>
      <c r="H23" t="s">
        <v>1588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3" t="str">
        <f>HYPERLINK("https://www.youtube.com/watch?v=HPUSR1ERIv0","Video Lesson 5")</f>
        <v>Video Lesson 5</v>
      </c>
      <c r="G24" t="s">
        <v>1565</v>
      </c>
      <c r="H24" t="s">
        <v>1589</v>
      </c>
      <c r="M24" t="str">
        <f t="shared" si="0"/>
        <v>=hyperlink("https://www.youtube.com/watch?v=HPUSR1ERIv0","Video Lesson 5")</v>
      </c>
    </row>
    <row r="25" spans="1:13" x14ac:dyDescent="0.25">
      <c r="A25" s="15" t="str">
        <f>HYPERLINK("https://www.youtube.com/watch?v=CIw5yuG2h7k","Video Lesson 14")</f>
        <v>Video Lesson 14</v>
      </c>
      <c r="B25" t="s">
        <v>1314</v>
      </c>
      <c r="C25" t="s">
        <v>1321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1580</v>
      </c>
      <c r="H25" t="s">
        <v>1590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3" t="str">
        <f>HYPERLINK("https://www.youtube.com/watch?v=kN_Mk1vvvzI","Video Lesson 7")</f>
        <v>Video Lesson 7</v>
      </c>
      <c r="G26" t="s">
        <v>1571</v>
      </c>
      <c r="H26" t="s">
        <v>1591</v>
      </c>
      <c r="M26" t="str">
        <f t="shared" si="0"/>
        <v>=hyperlink("https://www.youtube.com/watch?v=kN_Mk1vvvzI","Video Lesson 7")</v>
      </c>
    </row>
    <row r="27" spans="1:13" x14ac:dyDescent="0.25">
      <c r="A27" s="15" t="str">
        <f>HYPERLINK("https://www.youtube.com/watch?v=CIw5yuG2h7k","Video Lesson 14")</f>
        <v>Video Lesson 14</v>
      </c>
      <c r="B27" t="s">
        <v>1314</v>
      </c>
      <c r="C27" t="s">
        <v>1321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1555</v>
      </c>
      <c r="H27" s="13" t="s">
        <v>1592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3" t="str">
        <f>HYPERLINK("https://www.youtube.com/watch?v=KUWhrhaqHsg","Video Lesson 9")</f>
        <v>Video Lesson 9</v>
      </c>
      <c r="G28" t="s">
        <v>1567</v>
      </c>
      <c r="H28" t="s">
        <v>1593</v>
      </c>
      <c r="M28" t="str">
        <f t="shared" si="0"/>
        <v>=hyperlink("https://www.youtube.com/watch?v=KUWhrhaqHsg","Video Lesson 9")</v>
      </c>
    </row>
    <row r="29" spans="1:13" x14ac:dyDescent="0.25">
      <c r="A29" s="15" t="str">
        <f>HYPERLINK("https://www.youtube.com/watch?v=CIw5yuG2h7k","Video Lesson 14")</f>
        <v>Video Lesson 14</v>
      </c>
      <c r="B29" t="s">
        <v>1314</v>
      </c>
      <c r="C29" t="s">
        <v>1321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5" t="str">
        <f>HYPERLINK("https://www.youtube.com/watch?v=CIw5yuG2h7k","Video Lesson 14")</f>
        <v>Video Lesson 14</v>
      </c>
      <c r="B31" t="s">
        <v>1314</v>
      </c>
      <c r="C31" t="s">
        <v>1321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5" t="str">
        <f>HYPERLINK("https://www.youtube.com/watch?v=CIw5yuG2h7k","Video Lesson 14")</f>
        <v>Video Lesson 14</v>
      </c>
      <c r="B33" t="s">
        <v>1314</v>
      </c>
      <c r="C33" t="s">
        <v>1321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5" t="str">
        <f>HYPERLINK("https://www.youtube.com/watch?v=CIw5yuG2h7k","Video Lesson 14")</f>
        <v>Video Lesson 14</v>
      </c>
      <c r="B35" t="s">
        <v>1314</v>
      </c>
      <c r="C35" t="s">
        <v>1321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5" t="str">
        <f>HYPERLINK("https://www.youtube.com/watch?v=kN_Mk1vvvzI","Video Lesson 7")</f>
        <v>Video Lesson 7</v>
      </c>
      <c r="B37" t="s">
        <v>1314</v>
      </c>
      <c r="C37" t="s">
        <v>1321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5" t="str">
        <f>HYPERLINK("https://www.youtube.com/watch?v=kN_Mk1vvvzI","Video Lesson 7")</f>
        <v>Video Lesson 7</v>
      </c>
      <c r="B39" t="s">
        <v>1314</v>
      </c>
      <c r="C39" t="s">
        <v>1321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5" t="str">
        <f>HYPERLINK("https://www.youtube.com/watch?v=kN_Mk1vvvzI","Video Lesson 7")</f>
        <v>Video Lesson 7</v>
      </c>
      <c r="B41" t="s">
        <v>1314</v>
      </c>
      <c r="C41" t="s">
        <v>1321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5" t="str">
        <f>HYPERLINK("https://www.youtube.com/watch?v=kN_Mk1vvvzI","Video Lesson 7")</f>
        <v>Video Lesson 7</v>
      </c>
      <c r="B43" t="s">
        <v>1314</v>
      </c>
      <c r="C43" t="s">
        <v>1321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5" t="str">
        <f>HYPERLINK("https://www.youtube.com/watch?v=kN_Mk1vvvzI","Video Lesson 7")</f>
        <v>Video Lesson 7</v>
      </c>
      <c r="B45" t="s">
        <v>1314</v>
      </c>
      <c r="C45" t="s">
        <v>1321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5" t="str">
        <f>HYPERLINK("https://www.youtube.com/watch?v=Xop5dt-yhOA","Video Lesson 19")</f>
        <v>Video Lesson 19</v>
      </c>
      <c r="B47" t="s">
        <v>1314</v>
      </c>
      <c r="C47" t="s">
        <v>1321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5" t="str">
        <f>HYPERLINK("https://www.youtube.com/watch?v=jVxw8JRCMDk","Video Lesson 21")</f>
        <v>Video Lesson 21</v>
      </c>
      <c r="B49" t="s">
        <v>1314</v>
      </c>
      <c r="C49" t="s">
        <v>1321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5" t="str">
        <f>HYPERLINK("https://www.youtube.com/watch?v=kN_Mk1vvvzI","Video Lesson 7")</f>
        <v>Video Lesson 7</v>
      </c>
      <c r="B51" t="s">
        <v>1314</v>
      </c>
      <c r="C51" t="s">
        <v>1321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5" t="str">
        <f>HYPERLINK("https://www.youtube.com/watch?v=kN_Mk1vvvzI","Video Lesson 7")</f>
        <v>Video Lesson 7</v>
      </c>
      <c r="B53" t="s">
        <v>1314</v>
      </c>
      <c r="C53" t="s">
        <v>1321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5" t="str">
        <f>HYPERLINK("https://www.youtube.com/watch?v=kN_Mk1vvvzI","Video Lesson 7")</f>
        <v>Video Lesson 7</v>
      </c>
      <c r="B55" t="s">
        <v>1314</v>
      </c>
      <c r="C55" t="s">
        <v>1321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5" t="str">
        <f>HYPERLINK("https://www.youtube.com/watch?v=RmEAQDsTTaE","Video Lesson 23")</f>
        <v>Video Lesson 23</v>
      </c>
      <c r="B57" t="s">
        <v>1314</v>
      </c>
      <c r="C57" t="s">
        <v>1321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5" t="str">
        <f>HYPERLINK("https://www.youtube.com/watch?v=kN_Mk1vvvzI","Video Lesson 7")</f>
        <v>Video Lesson 7</v>
      </c>
      <c r="B59" t="s">
        <v>1314</v>
      </c>
      <c r="C59" t="s">
        <v>1321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5" t="str">
        <f>HYPERLINK("https://www.youtube.com/watch?v=kN_Mk1vvvzI","Video Lesson 7")</f>
        <v>Video Lesson 7</v>
      </c>
      <c r="B61" t="s">
        <v>1314</v>
      </c>
      <c r="C61" t="s">
        <v>1321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5" t="str">
        <f>HYPERLINK("https://www.youtube.com/watch?v=kN_Mk1vvvzI","Video Lesson 7")</f>
        <v>Video Lesson 7</v>
      </c>
      <c r="B63" t="s">
        <v>1314</v>
      </c>
      <c r="C63" t="s">
        <v>1321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5" t="str">
        <f>HYPERLINK("https://www.youtube.com/watch?v=kN_Mk1vvvzI","Video Lesson 7")</f>
        <v>Video Lesson 7</v>
      </c>
      <c r="B65" t="s">
        <v>1314</v>
      </c>
      <c r="C65" t="s">
        <v>1321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5" t="str">
        <f>HYPERLINK("https://www.youtube.com/watch?v=kLZmQK8CWFU","Video Lesson 22")</f>
        <v>Video Lesson 22</v>
      </c>
      <c r="B67" t="s">
        <v>1314</v>
      </c>
      <c r="C67" t="s">
        <v>1322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5" t="str">
        <f>HYPERLINK("https://www.youtube.com/watch?v=kLZmQK8CWFU","Video Lesson 22")</f>
        <v>Video Lesson 22</v>
      </c>
      <c r="B69" t="s">
        <v>1314</v>
      </c>
      <c r="C69" t="s">
        <v>1322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5" t="str">
        <f>HYPERLINK("https://www.youtube.com/watch?v=kLZmQK8CWFU","Video Lesson 22")</f>
        <v>Video Lesson 22</v>
      </c>
      <c r="B71" t="s">
        <v>1314</v>
      </c>
      <c r="C71" t="s">
        <v>1322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5" t="str">
        <f>HYPERLINK("https://www.youtube.com/watch?v=kLZmQK8CWFU","Video Lesson 22")</f>
        <v>Video Lesson 22</v>
      </c>
      <c r="B73" t="s">
        <v>1314</v>
      </c>
      <c r="C73" t="s">
        <v>1322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5" t="str">
        <f>HYPERLINK("https://www.youtube.com/watch?v=kLZmQK8CWFU","Video Lesson 22")</f>
        <v>Video Lesson 22</v>
      </c>
      <c r="B75" t="s">
        <v>1314</v>
      </c>
      <c r="C75" t="s">
        <v>1322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5" t="str">
        <f>HYPERLINK("https://www.youtube.com/watch?v=kLZmQK8CWFU","Video Lesson 22")</f>
        <v>Video Lesson 22</v>
      </c>
      <c r="B77" t="s">
        <v>1314</v>
      </c>
      <c r="C77" t="s">
        <v>1322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5" t="str">
        <f>HYPERLINK("https://www.youtube.com/watch?v=kLZmQK8CWFU","Video Lesson 22")</f>
        <v>Video Lesson 22</v>
      </c>
      <c r="B79" t="s">
        <v>1314</v>
      </c>
      <c r="C79" t="s">
        <v>1322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5" t="str">
        <f>HYPERLINK("https://www.youtube.com/watch?v=kLZmQK8CWFU","Video Lesson 22")</f>
        <v>Video Lesson 22</v>
      </c>
      <c r="B81" t="s">
        <v>1314</v>
      </c>
      <c r="C81" t="s">
        <v>1322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5" t="str">
        <f>HYPERLINK("https://www.youtube.com/watch?v=kLZmQK8CWFU","Video Lesson 22")</f>
        <v>Video Lesson 22</v>
      </c>
      <c r="B83" t="s">
        <v>1314</v>
      </c>
      <c r="C83" t="s">
        <v>1322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5" t="str">
        <f>HYPERLINK("https://www.youtube.com/watch?v=kLZmQK8CWFU","Video Lesson 22")</f>
        <v>Video Lesson 22</v>
      </c>
      <c r="B85" t="s">
        <v>1314</v>
      </c>
      <c r="C85" t="s">
        <v>1322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5" t="str">
        <f>HYPERLINK("https://www.youtube.com/watch?v=QAEGmTKhMo4","Video Lesson 'Valentine'")</f>
        <v>Video Lesson 'Valentine'</v>
      </c>
      <c r="B87" t="s">
        <v>1314</v>
      </c>
      <c r="C87" t="s">
        <v>1322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5" t="str">
        <f>HYPERLINK("https://www.youtube.com/watch?v=QAEGmTKhMo4","Video Lesson 'Valentine'")</f>
        <v>Video Lesson 'Valentine'</v>
      </c>
      <c r="B89" t="s">
        <v>1314</v>
      </c>
      <c r="C89" t="s">
        <v>1322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5" t="str">
        <f>HYPERLINK("https://www.youtube.com/watch?v=CuxAdMsjkyY","Video Lesson 13")</f>
        <v>Video Lesson 13</v>
      </c>
      <c r="B91" t="s">
        <v>1314</v>
      </c>
      <c r="C91" t="s">
        <v>1323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5" t="str">
        <f>HYPERLINK("https://www.youtube.com/watch?v=CuxAdMsjkyY","Video Lesson 13")</f>
        <v>Video Lesson 13</v>
      </c>
      <c r="B93" t="s">
        <v>1314</v>
      </c>
      <c r="C93" t="s">
        <v>1323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5" t="str">
        <f>HYPERLINK("https://www.youtube.com/watch?v=CuxAdMsjkyY","Video Lesson 13")</f>
        <v>Video Lesson 13</v>
      </c>
      <c r="B95" t="s">
        <v>1314</v>
      </c>
      <c r="C95" t="s">
        <v>1323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5" t="str">
        <f>HYPERLINK("https://www.youtube.com/watch?v=CuxAdMsjkyY","Video Lesson 13")</f>
        <v>Video Lesson 13</v>
      </c>
      <c r="B97" t="s">
        <v>1314</v>
      </c>
      <c r="C97" t="s">
        <v>1323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5" t="str">
        <f>HYPERLINK("https://www.youtube.com/watch?v=CuxAdMsjkyY","Video Lesson 13")</f>
        <v>Video Lesson 13</v>
      </c>
      <c r="B99" t="s">
        <v>1314</v>
      </c>
      <c r="C99" t="s">
        <v>1323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5" t="str">
        <f>HYPERLINK("https://www.youtube.com/watch?v=CuxAdMsjkyY","Video Lesson 13")</f>
        <v>Video Lesson 13</v>
      </c>
      <c r="B101" t="s">
        <v>1314</v>
      </c>
      <c r="C101" t="s">
        <v>1323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5" t="str">
        <f>HYPERLINK("https://www.youtube.com/watch?v=CuxAdMsjkyY","Video Lesson 13")</f>
        <v>Video Lesson 13</v>
      </c>
      <c r="B103" t="s">
        <v>1314</v>
      </c>
      <c r="C103" t="s">
        <v>1323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5" t="str">
        <f>HYPERLINK("https://www.youtube.com/watch?v=Ivl-D6m04C4","Video Lesson 10")</f>
        <v>Video Lesson 10</v>
      </c>
      <c r="B105" t="s">
        <v>1314</v>
      </c>
      <c r="C105" t="s">
        <v>1324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5" t="str">
        <f>HYPERLINK("https://www.youtube.com/watch?v=Ivl-D6m04C4","Video Lesson 10")</f>
        <v>Video Lesson 10</v>
      </c>
      <c r="B107" t="s">
        <v>1314</v>
      </c>
      <c r="C107" t="s">
        <v>1324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5" t="str">
        <f>HYPERLINK("https://www.youtube.com/watch?v=Ivl-D6m04C4","Video Lesson 10")</f>
        <v>Video Lesson 10</v>
      </c>
      <c r="B109" t="s">
        <v>1314</v>
      </c>
      <c r="C109" t="s">
        <v>1324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5" t="str">
        <f>HYPERLINK("https://www.youtube.com/watch?v=Ivl-D6m04C4","Video Lesson 10")</f>
        <v>Video Lesson 10</v>
      </c>
      <c r="B111" t="s">
        <v>1314</v>
      </c>
      <c r="C111" t="s">
        <v>1324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5" t="str">
        <f>HYPERLINK("https://www.youtube.com/watch?v=Ivl-D6m04C4","Video Lesson 10")</f>
        <v>Video Lesson 10</v>
      </c>
      <c r="B113" t="s">
        <v>1314</v>
      </c>
      <c r="C113" t="s">
        <v>1324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5" t="str">
        <f>HYPERLINK("https://www.youtube.com/watch?v=Ivl-D6m04C4","Video Lesson 10")</f>
        <v>Video Lesson 10</v>
      </c>
      <c r="B115" t="s">
        <v>1314</v>
      </c>
      <c r="C115" t="s">
        <v>1324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5" t="str">
        <f>HYPERLINK("https://www.youtube.com/watch?v=Ivl-D6m04C4","Video Lesson 10")</f>
        <v>Video Lesson 10</v>
      </c>
      <c r="B117" t="s">
        <v>1314</v>
      </c>
      <c r="C117" t="s">
        <v>1324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5" t="str">
        <f>HYPERLINK("https://www.youtube.com/watch?v=Ivl-D6m04C4","Video Lesson 10")</f>
        <v>Video Lesson 10</v>
      </c>
      <c r="B119" t="s">
        <v>1314</v>
      </c>
      <c r="C119" t="s">
        <v>1324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5" t="str">
        <f>HYPERLINK("https://www.youtube.com/watch?v=Ivl-D6m04C4","Video Lesson 10")</f>
        <v>Video Lesson 10</v>
      </c>
      <c r="B121" t="s">
        <v>1314</v>
      </c>
      <c r="C121" t="s">
        <v>1324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5" t="str">
        <f>HYPERLINK("https://www.youtube.com/watch?v=Ivl-D6m04C4","Video Lesson 10")</f>
        <v>Video Lesson 10</v>
      </c>
      <c r="B123" t="s">
        <v>1314</v>
      </c>
      <c r="C123" t="s">
        <v>1324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5" t="str">
        <f>HYPERLINK("https://www.youtube.com/watch?v=Ivl-D6m04C4","Video Lesson 10")</f>
        <v>Video Lesson 10</v>
      </c>
      <c r="B125" t="s">
        <v>1314</v>
      </c>
      <c r="C125" t="s">
        <v>1324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5" t="str">
        <f>HYPERLINK("https://www.youtube.com/watch?v=Ivl-D6m04C4","Video Lesson 10")</f>
        <v>Video Lesson 10</v>
      </c>
      <c r="B127" t="s">
        <v>1314</v>
      </c>
      <c r="C127" t="s">
        <v>1324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5" t="str">
        <f>HYPERLINK("https://www.youtube.com/watch?v=Ivl-D6m04C4","Video Lesson 10")</f>
        <v>Video Lesson 10</v>
      </c>
      <c r="B129" t="s">
        <v>1314</v>
      </c>
      <c r="C129" t="s">
        <v>1324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5" t="str">
        <f>HYPERLINK("https://www.youtube.com/watch?v=Ivl-D6m04C4","Video Lesson 10")</f>
        <v>Video Lesson 10</v>
      </c>
      <c r="B131" t="s">
        <v>1314</v>
      </c>
      <c r="C131" t="s">
        <v>1324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5" t="str">
        <f>HYPERLINK("https://www.youtube.com/watch?v=Ivl-D6m04C4","Video Lesson 10")</f>
        <v>Video Lesson 10</v>
      </c>
      <c r="B133" t="s">
        <v>1314</v>
      </c>
      <c r="C133" t="s">
        <v>1324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5" t="str">
        <f>HYPERLINK("https://www.youtube.com/watch?v=Ivl-D6m04C4","Video Lesson 10")</f>
        <v>Video Lesson 10</v>
      </c>
      <c r="B135" t="s">
        <v>1314</v>
      </c>
      <c r="C135" t="s">
        <v>1324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5" t="str">
        <f>HYPERLINK("https://www.youtube.com/watch?v=Ivl-D6m04C4","Video Lesson 10")</f>
        <v>Video Lesson 10</v>
      </c>
      <c r="B137" t="s">
        <v>1314</v>
      </c>
      <c r="C137" t="s">
        <v>1324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5" t="str">
        <f>HYPERLINK("https://www.youtube.com/watch?v=Ivl-D6m04C4","Video Lesson 10")</f>
        <v>Video Lesson 10</v>
      </c>
      <c r="B139" t="s">
        <v>1314</v>
      </c>
      <c r="C139" t="s">
        <v>1324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5" t="str">
        <f>HYPERLINK("https://www.youtube.com/watch?v=Ivl-D6m04C4","Video Lesson 10")</f>
        <v>Video Lesson 10</v>
      </c>
      <c r="B141" t="s">
        <v>1314</v>
      </c>
      <c r="C141" t="s">
        <v>1324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5" t="str">
        <f>HYPERLINK("https://www.youtube.com/watch?v=Ivl-D6m04C4","Video Lesson 10")</f>
        <v>Video Lesson 10</v>
      </c>
      <c r="B143" t="s">
        <v>1314</v>
      </c>
      <c r="C143" t="s">
        <v>1324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5" t="str">
        <f>HYPERLINK("https://www.youtube.com/watch?v=Ivl-D6m04C4","Video Lesson 10")</f>
        <v>Video Lesson 10</v>
      </c>
      <c r="B145" t="s">
        <v>1314</v>
      </c>
      <c r="C145" t="s">
        <v>1324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5" t="str">
        <f>HYPERLINK("https://www.youtube.com/watch?v=Ivl-D6m04C4","Video Lesson 10")</f>
        <v>Video Lesson 10</v>
      </c>
      <c r="B147" t="s">
        <v>1314</v>
      </c>
      <c r="C147" t="s">
        <v>1324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5" t="str">
        <f>HYPERLINK("https://www.youtube.com/watch?v=Ivl-D6m04C4","Video Lesson 10")</f>
        <v>Video Lesson 10</v>
      </c>
      <c r="B149" t="s">
        <v>1314</v>
      </c>
      <c r="C149" t="s">
        <v>1324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5" t="str">
        <f>HYPERLINK("https://www.youtube.com/watch?v=E-TjOWZ5YQ0","Video Lesson 2")</f>
        <v>Video Lesson 2</v>
      </c>
      <c r="B151" t="s">
        <v>1315</v>
      </c>
      <c r="C151" t="s">
        <v>1325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5" t="str">
        <f>HYPERLINK("https://www.youtube.com/watch?v=E-TjOWZ5YQ0","Video Lesson 2")</f>
        <v>Video Lesson 2</v>
      </c>
      <c r="B153" t="s">
        <v>1315</v>
      </c>
      <c r="C153" t="s">
        <v>1325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5" t="str">
        <f>HYPERLINK("https://www.youtube.com/watch?v=E-TjOWZ5YQ0","Video Lesson 2")</f>
        <v>Video Lesson 2</v>
      </c>
      <c r="B155" t="s">
        <v>1315</v>
      </c>
      <c r="C155" t="s">
        <v>1325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5" t="str">
        <f>HYPERLINK("https://www.youtube.com/watch?v=E-TjOWZ5YQ0","Video Lesson 2")</f>
        <v>Video Lesson 2</v>
      </c>
      <c r="B157" t="s">
        <v>1315</v>
      </c>
      <c r="C157" t="s">
        <v>1325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5" t="str">
        <f>HYPERLINK("https://www.youtube.com/watch?v=E-TjOWZ5YQ0","Video Lesson 2")</f>
        <v>Video Lesson 2</v>
      </c>
      <c r="B159" t="s">
        <v>1315</v>
      </c>
      <c r="C159" t="s">
        <v>1325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5" t="str">
        <f>HYPERLINK("https://www.youtube.com/watch?v=HPUSR1ERIv0","Video Lesson 5")</f>
        <v>Video Lesson 5</v>
      </c>
      <c r="B161" t="s">
        <v>1315</v>
      </c>
      <c r="C161" t="s">
        <v>1326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5" t="str">
        <f>HYPERLINK("https://www.youtube.com/watch?v=HPUSR1ERIv0","Video Lesson 5")</f>
        <v>Video Lesson 5</v>
      </c>
      <c r="B163" t="s">
        <v>1315</v>
      </c>
      <c r="C163" t="s">
        <v>1326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5" t="str">
        <f>HYPERLINK("https://www.youtube.com/watch?v=HPUSR1ERIv0","Video Lesson 5")</f>
        <v>Video Lesson 5</v>
      </c>
      <c r="B165" t="s">
        <v>1315</v>
      </c>
      <c r="C165" t="s">
        <v>1326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5" t="str">
        <f>HYPERLINK("https://www.youtube.com/watch?v=HPUSR1ERIv0","Video Lesson 5")</f>
        <v>Video Lesson 5</v>
      </c>
      <c r="B167" t="s">
        <v>1315</v>
      </c>
      <c r="C167" t="s">
        <v>1326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5" t="str">
        <f>HYPERLINK("https://www.youtube.com/watch?v=HPUSR1ERIv0","Video Lesson 5")</f>
        <v>Video Lesson 5</v>
      </c>
      <c r="B169" t="s">
        <v>1315</v>
      </c>
      <c r="C169" t="s">
        <v>1326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5" t="str">
        <f>HYPERLINK("https://www.youtube.com/watch?v=HPUSR1ERIv0","Video Lesson 5")</f>
        <v>Video Lesson 5</v>
      </c>
      <c r="B171" t="s">
        <v>1315</v>
      </c>
      <c r="C171" t="s">
        <v>1326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5" t="str">
        <f>HYPERLINK("https://www.youtube.com/watch?v=HPUSR1ERIv0","Video Lesson 5")</f>
        <v>Video Lesson 5</v>
      </c>
      <c r="B173" t="s">
        <v>1315</v>
      </c>
      <c r="C173" t="s">
        <v>1326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5" t="str">
        <f>HYPERLINK("https://www.youtube.com/watch?v=HPUSR1ERIv0","Video Lesson 5")</f>
        <v>Video Lesson 5</v>
      </c>
      <c r="B175" t="s">
        <v>1315</v>
      </c>
      <c r="C175" t="s">
        <v>1326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5" t="str">
        <f>HYPERLINK("https://www.youtube.com/watch?v=HPUSR1ERIv0","Video Lesson 5")</f>
        <v>Video Lesson 5</v>
      </c>
      <c r="B177" t="s">
        <v>1315</v>
      </c>
      <c r="C177" t="s">
        <v>1326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5" t="str">
        <f>HYPERLINK("https://www.youtube.com/watch?v=bbpaAUOv8dE","Video Lesson 3.2")</f>
        <v>Video Lesson 3.2</v>
      </c>
      <c r="B179" t="s">
        <v>1315</v>
      </c>
      <c r="C179" t="s">
        <v>1326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5" t="str">
        <f>HYPERLINK("https://www.youtube.com/watch?v=HPUSR1ERIv0","Video Lesson 5")</f>
        <v>Video Lesson 5</v>
      </c>
      <c r="B181" t="s">
        <v>1315</v>
      </c>
      <c r="C181" t="s">
        <v>1326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5" t="str">
        <f>HYPERLINK("https://www.youtube.com/watch?v=bbpaAUOv8dE","Video Lesson 3.2")</f>
        <v>Video Lesson 3.2</v>
      </c>
      <c r="B183" t="s">
        <v>1315</v>
      </c>
      <c r="C183" t="s">
        <v>1326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5" t="str">
        <f>HYPERLINK("https://www.youtube.com/watch?v=e_dFFaECK5E","Video Lesson 4")</f>
        <v>Video Lesson 4</v>
      </c>
      <c r="B185" t="s">
        <v>1315</v>
      </c>
      <c r="C185" t="s">
        <v>1327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5" t="str">
        <f>HYPERLINK("https://www.youtube.com/watch?v=e_dFFaECK5E","Video Lesson 4")</f>
        <v>Video Lesson 4</v>
      </c>
      <c r="B187" t="s">
        <v>1315</v>
      </c>
      <c r="C187" t="s">
        <v>1327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5" t="str">
        <f>HYPERLINK("https://www.youtube.com/watch?v=e_dFFaECK5E","Video Lesson 4")</f>
        <v>Video Lesson 4</v>
      </c>
      <c r="B189" t="s">
        <v>1315</v>
      </c>
      <c r="C189" t="s">
        <v>1327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5" t="str">
        <f>HYPERLINK("https://www.youtube.com/watch?v=e_dFFaECK5E","Video Lesson 4")</f>
        <v>Video Lesson 4</v>
      </c>
      <c r="B191" t="s">
        <v>1315</v>
      </c>
      <c r="C191" t="s">
        <v>1327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5" t="str">
        <f>HYPERLINK("https://www.youtube.com/watch?v=e_dFFaECK5E","Video Lesson 4")</f>
        <v>Video Lesson 4</v>
      </c>
      <c r="B193" t="s">
        <v>1315</v>
      </c>
      <c r="C193" t="s">
        <v>1327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5" t="str">
        <f>HYPERLINK("https://www.youtube.com/watch?v=e_dFFaECK5E","Video Lesson 4")</f>
        <v>Video Lesson 4</v>
      </c>
      <c r="B195" t="s">
        <v>1315</v>
      </c>
      <c r="C195" t="s">
        <v>1327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5" t="str">
        <f>HYPERLINK("https://www.youtube.com/watch?v=e_dFFaECK5E","Video Lesson 4")</f>
        <v>Video Lesson 4</v>
      </c>
      <c r="B197" t="s">
        <v>1315</v>
      </c>
      <c r="C197" t="s">
        <v>1327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5" t="str">
        <f>HYPERLINK("https://www.youtube.com/watch?v=e_dFFaECK5E","Video Lesson 4")</f>
        <v>Video Lesson 4</v>
      </c>
      <c r="B199" t="s">
        <v>1315</v>
      </c>
      <c r="C199" t="s">
        <v>1327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5" t="str">
        <f>HYPERLINK("https://www.youtube.com/watch?v=QXklxwQ4px8","Video Lesson 3.1")</f>
        <v>Video Lesson 3.1</v>
      </c>
      <c r="B201" t="s">
        <v>1315</v>
      </c>
      <c r="C201" t="s">
        <v>1328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5" t="str">
        <f>HYPERLINK("https://www.youtube.com/watch?v=SGeR9HfhVRA","Video Lesson 8")</f>
        <v>Video Lesson 8</v>
      </c>
      <c r="B203" t="s">
        <v>1315</v>
      </c>
      <c r="C203" t="s">
        <v>1328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5" t="str">
        <f>HYPERLINK("https://www.youtube.com/watch?v=QXklxwQ4px8","Video Lesson 3.1")</f>
        <v>Video Lesson 3.1</v>
      </c>
      <c r="B205" t="s">
        <v>1315</v>
      </c>
      <c r="C205" t="s">
        <v>1328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5" t="str">
        <f>HYPERLINK("https://www.youtube.com/watch?v=QXklxwQ4px8","Video Lesson 3.1")</f>
        <v>Video Lesson 3.1</v>
      </c>
      <c r="B207" t="s">
        <v>1315</v>
      </c>
      <c r="C207" t="s">
        <v>1328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5" t="str">
        <f>HYPERLINK("https://www.youtube.com/watch?v=QXklxwQ4px8","Video Lesson 3.1")</f>
        <v>Video Lesson 3.1</v>
      </c>
      <c r="B209" t="s">
        <v>1315</v>
      </c>
      <c r="C209" t="s">
        <v>1328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5" t="str">
        <f>HYPERLINK("https://www.youtube.com/watch?v=QXklxwQ4px8","Video Lesson 3.1")</f>
        <v>Video Lesson 3.1</v>
      </c>
      <c r="B211" t="s">
        <v>1315</v>
      </c>
      <c r="C211" t="s">
        <v>1328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5" t="str">
        <f>HYPERLINK("https://www.youtube.com/watch?v=SGeR9HfhVRA","Video Lesson 8")</f>
        <v>Video Lesson 8</v>
      </c>
      <c r="B213" t="s">
        <v>1315</v>
      </c>
      <c r="C213" t="s">
        <v>1328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5" t="str">
        <f>HYPERLINK("https://www.youtube.com/watch?v=SGeR9HfhVRA","Video Lesson 8")</f>
        <v>Video Lesson 8</v>
      </c>
      <c r="B215" t="s">
        <v>1315</v>
      </c>
      <c r="C215" t="s">
        <v>1328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5" t="str">
        <f>HYPERLINK("https://www.youtube.com/watch?v=SGeR9HfhVRA","Video Lesson 8")</f>
        <v>Video Lesson 8</v>
      </c>
      <c r="B217" t="s">
        <v>1315</v>
      </c>
      <c r="C217" t="s">
        <v>1328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5" t="str">
        <f>HYPERLINK("https://www.youtube.com/watch?v=SGeR9HfhVRA","Video Lesson 8")</f>
        <v>Video Lesson 8</v>
      </c>
      <c r="B219" t="s">
        <v>1315</v>
      </c>
      <c r="C219" t="s">
        <v>1328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5" t="str">
        <f>HYPERLINK("https://www.youtube.com/watch?v=SGeR9HfhVRA","Video Lesson 8")</f>
        <v>Video Lesson 8</v>
      </c>
      <c r="B221" t="s">
        <v>1315</v>
      </c>
      <c r="C221" t="s">
        <v>1328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5" t="str">
        <f>HYPERLINK("https://www.youtube.com/watch?v=SGeR9HfhVRA","Video Lesson 8")</f>
        <v>Video Lesson 8</v>
      </c>
      <c r="B223" t="s">
        <v>1315</v>
      </c>
      <c r="C223" t="s">
        <v>1328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5" t="str">
        <f>HYPERLINK("https://www.youtube.com/watch?v=SGeR9HfhVRA","Video Lesson 8")</f>
        <v>Video Lesson 8</v>
      </c>
      <c r="B225" t="s">
        <v>1315</v>
      </c>
      <c r="C225" t="s">
        <v>1328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5" t="str">
        <f>HYPERLINK("https://www.youtube.com/watch?v=SGeR9HfhVRA","Video Lesson 8")</f>
        <v>Video Lesson 8</v>
      </c>
      <c r="B227" t="s">
        <v>1315</v>
      </c>
      <c r="C227" t="s">
        <v>1328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5" t="str">
        <f>HYPERLINK("https://www.youtube.com/watch?v=1G46tEJOrww","Video Lesson 11")</f>
        <v>Video Lesson 11</v>
      </c>
      <c r="B229" t="s">
        <v>1315</v>
      </c>
      <c r="C229" t="s">
        <v>1329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5" t="str">
        <f>HYPERLINK("https://www.youtube.com/watch?v=1G46tEJOrww","Video Lesson 11")</f>
        <v>Video Lesson 11</v>
      </c>
      <c r="B231" t="s">
        <v>1315</v>
      </c>
      <c r="C231" t="s">
        <v>1329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5" t="str">
        <f>HYPERLINK("https://www.youtube.com/watch?v=1G46tEJOrww","Video Lesson 11")</f>
        <v>Video Lesson 11</v>
      </c>
      <c r="B233" t="s">
        <v>1315</v>
      </c>
      <c r="C233" t="s">
        <v>1329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5" t="str">
        <f>HYPERLINK("https://www.youtube.com/watch?v=1G46tEJOrww","Video Lesson 11")</f>
        <v>Video Lesson 11</v>
      </c>
      <c r="B235" t="s">
        <v>1315</v>
      </c>
      <c r="C235" t="s">
        <v>1329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5" t="str">
        <f>HYPERLINK("https://www.youtube.com/watch?v=1G46tEJOrww","Video Lesson 11")</f>
        <v>Video Lesson 11</v>
      </c>
      <c r="B237" t="s">
        <v>1315</v>
      </c>
      <c r="C237" t="s">
        <v>1329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5" t="str">
        <f>HYPERLINK("https://www.youtube.com/watch?v=1G46tEJOrww","Video Lesson 11")</f>
        <v>Video Lesson 11</v>
      </c>
      <c r="B239" t="s">
        <v>1315</v>
      </c>
      <c r="C239" t="s">
        <v>1329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5" t="str">
        <f>HYPERLINK("https://www.youtube.com/watch?v=E-TjOWZ5YQ0","Video Lesson 2")</f>
        <v>Video Lesson 2</v>
      </c>
      <c r="B241" t="s">
        <v>1315</v>
      </c>
      <c r="C241" t="s">
        <v>1329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5" t="str">
        <f>HYPERLINK("https://www.youtube.com/watch?v=1G46tEJOrww","Video Lesson 11")</f>
        <v>Video Lesson 11</v>
      </c>
      <c r="B243" t="s">
        <v>1315</v>
      </c>
      <c r="C243" t="s">
        <v>1329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5" t="str">
        <f>HYPERLINK("https://www.youtube.com/watch?v=1G46tEJOrww","Video Lesson 11")</f>
        <v>Video Lesson 11</v>
      </c>
      <c r="B245" t="s">
        <v>1315</v>
      </c>
      <c r="C245" t="s">
        <v>1329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5" t="str">
        <f>HYPERLINK("https://www.youtube.com/watch?v=1G46tEJOrww","Video Lesson 11")</f>
        <v>Video Lesson 11</v>
      </c>
      <c r="B247" t="s">
        <v>1315</v>
      </c>
      <c r="C247" t="s">
        <v>1329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5" t="str">
        <f>HYPERLINK("https://www.youtube.com/watch?v=1G46tEJOrww","Video Lesson 11")</f>
        <v>Video Lesson 11</v>
      </c>
      <c r="B249" t="s">
        <v>1315</v>
      </c>
      <c r="C249" t="s">
        <v>1329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5" t="str">
        <f>HYPERLINK("https://www.youtube.com/watch?v=1G46tEJOrww","Video Lesson 11")</f>
        <v>Video Lesson 11</v>
      </c>
      <c r="B251" t="s">
        <v>1315</v>
      </c>
      <c r="C251" t="s">
        <v>1329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5" t="str">
        <f>HYPERLINK("https://www.youtube.com/watch?v=1G46tEJOrww","Video Lesson 11")</f>
        <v>Video Lesson 11</v>
      </c>
      <c r="B253" t="s">
        <v>1315</v>
      </c>
      <c r="C253" t="s">
        <v>1329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5" t="str">
        <f>HYPERLINK("https://www.youtube.com/watch?v=1G46tEJOrww","Video Lesson 11")</f>
        <v>Video Lesson 11</v>
      </c>
      <c r="B255" t="s">
        <v>1315</v>
      </c>
      <c r="C255" t="s">
        <v>1329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5" t="str">
        <f>HYPERLINK("https://www.youtube.com/watch?v=7iovf94e4uU","Video Lesson 1")</f>
        <v>Video Lesson 1</v>
      </c>
      <c r="B257" t="s">
        <v>1316</v>
      </c>
      <c r="C257" t="s">
        <v>1330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5" t="str">
        <f>HYPERLINK("https://www.youtube.com/watch?v=KUWhrhaqHsg","Video Lesson 9")</f>
        <v>Video Lesson 9</v>
      </c>
      <c r="B259" t="s">
        <v>1316</v>
      </c>
      <c r="C259" t="s">
        <v>1330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5" t="str">
        <f>HYPERLINK("https://www.youtube.com/watch?v=KUWhrhaqHsg","Video Lesson 9")</f>
        <v>Video Lesson 9</v>
      </c>
      <c r="B261" t="s">
        <v>1316</v>
      </c>
      <c r="C261" t="s">
        <v>1330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5" t="str">
        <f>HYPERLINK("https://www.youtube.com/watch?v=KUWhrhaqHsg","Video Lesson 9")</f>
        <v>Video Lesson 9</v>
      </c>
      <c r="B263" t="s">
        <v>1316</v>
      </c>
      <c r="C263" t="s">
        <v>1330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5" t="str">
        <f>HYPERLINK("https://www.youtube.com/watch?v=mlf3S2Z-yzM","Video Lesson 15")</f>
        <v>Video Lesson 15</v>
      </c>
      <c r="B265" t="s">
        <v>1316</v>
      </c>
      <c r="C265" t="s">
        <v>1330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5" t="str">
        <f>HYPERLINK("https://www.youtube.com/watch?v=mlf3S2Z-yzM","Video Lesson 15")</f>
        <v>Video Lesson 15</v>
      </c>
      <c r="B267" t="s">
        <v>1316</v>
      </c>
      <c r="C267" t="s">
        <v>1330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5" t="str">
        <f>HYPERLINK("https://www.youtube.com/watch?v=7iovf94e4uU","Video Lesson 1")</f>
        <v>Video Lesson 1</v>
      </c>
      <c r="B269" t="s">
        <v>1316</v>
      </c>
      <c r="C269" t="s">
        <v>1330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5" t="str">
        <f>HYPERLINK("https://www.youtube.com/watch?v=7iovf94e4uU","Video Lesson 1")</f>
        <v>Video Lesson 1</v>
      </c>
      <c r="B271" t="s">
        <v>1316</v>
      </c>
      <c r="C271" t="s">
        <v>1330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5" t="str">
        <f>HYPERLINK("https://www.youtube.com/watch?v=mlf3S2Z-yzM","Video Lesson 15")</f>
        <v>Video Lesson 15</v>
      </c>
      <c r="B273" t="s">
        <v>1316</v>
      </c>
      <c r="C273" t="s">
        <v>1330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5" t="str">
        <f>HYPERLINK("https://www.youtube.com/watch?v=mlf3S2Z-yzM","Video Lesson 15")</f>
        <v>Video Lesson 15</v>
      </c>
      <c r="B275" t="s">
        <v>1316</v>
      </c>
      <c r="C275" t="s">
        <v>1330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5" t="str">
        <f>HYPERLINK("https://www.youtube.com/watch?v=mlf3S2Z-yzM","Video Lesson 15")</f>
        <v>Video Lesson 15</v>
      </c>
      <c r="B277" t="s">
        <v>1316</v>
      </c>
      <c r="C277" t="s">
        <v>1330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5" t="str">
        <f>HYPERLINK("https://www.youtube.com/watch?v=mlf3S2Z-yzM","Video Lesson 15")</f>
        <v>Video Lesson 15</v>
      </c>
      <c r="B279" t="s">
        <v>1316</v>
      </c>
      <c r="C279" t="s">
        <v>1330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5" t="str">
        <f>HYPERLINK("https://www.youtube.com/watch?v=mlf3S2Z-yzM","Video Lesson 15")</f>
        <v>Video Lesson 15</v>
      </c>
      <c r="B281" t="s">
        <v>1316</v>
      </c>
      <c r="C281" t="s">
        <v>1330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5" t="str">
        <f>HYPERLINK("https://www.youtube.com/watch?v=mlf3S2Z-yzM","Video Lesson 15")</f>
        <v>Video Lesson 15</v>
      </c>
      <c r="B283" t="s">
        <v>1316</v>
      </c>
      <c r="C283" t="s">
        <v>1330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5" t="str">
        <f>HYPERLINK("https://www.youtube.com/watch?v=mlf3S2Z-yzM","Video Lesson 15")</f>
        <v>Video Lesson 15</v>
      </c>
      <c r="B285" t="s">
        <v>1316</v>
      </c>
      <c r="C285" t="s">
        <v>1330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5" t="str">
        <f>HYPERLINK("https://www.youtube.com/watch?v=mlf3S2Z-yzM","Video Lesson 15")</f>
        <v>Video Lesson 15</v>
      </c>
      <c r="B287" t="s">
        <v>1316</v>
      </c>
      <c r="C287" t="s">
        <v>1330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5" t="str">
        <f>HYPERLINK("https://www.youtube.com/watch?v=KUWhrhaqHsg","Video Lesson 9")</f>
        <v>Video Lesson 9</v>
      </c>
      <c r="B289" t="s">
        <v>1316</v>
      </c>
      <c r="C289" t="s">
        <v>1330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5" t="str">
        <f>HYPERLINK("https://www.youtube.com/watch?v=KUWhrhaqHsg","Video Lesson 9")</f>
        <v>Video Lesson 9</v>
      </c>
      <c r="B291" t="s">
        <v>1316</v>
      </c>
      <c r="C291" t="s">
        <v>1330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5" t="str">
        <f>HYPERLINK("https://www.youtube.com/watch?v=DfQwYS9JfME","Video Lesson 6")</f>
        <v>Video Lesson 6</v>
      </c>
      <c r="B293" t="s">
        <v>1316</v>
      </c>
      <c r="C293" t="s">
        <v>1331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5" t="str">
        <f>HYPERLINK("https://www.youtube.com/watch?v=DfQwYS9JfME","Video Lesson 6")</f>
        <v>Video Lesson 6</v>
      </c>
      <c r="B295" t="s">
        <v>1316</v>
      </c>
      <c r="C295" t="s">
        <v>1331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5" t="str">
        <f>HYPERLINK("https://www.youtube.com/watch?v=1G46tEJOrww","Video Lesson 11")</f>
        <v>Video Lesson 11</v>
      </c>
      <c r="B297" t="s">
        <v>1316</v>
      </c>
      <c r="C297" t="s">
        <v>1331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5" t="str">
        <f>HYPERLINK("https://www.youtube.com/watch?v=KUWhrhaqHsg","Video Lesson 9")</f>
        <v>Video Lesson 9</v>
      </c>
      <c r="B299" t="s">
        <v>1316</v>
      </c>
      <c r="C299" t="s">
        <v>1331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5" t="str">
        <f>HYPERLINK("https://www.youtube.com/watch?v=KUWhrhaqHsg","Video Lesson 9")</f>
        <v>Video Lesson 9</v>
      </c>
      <c r="B301" t="s">
        <v>1316</v>
      </c>
      <c r="C301" t="s">
        <v>1331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5" t="str">
        <f>HYPERLINK("https://www.youtube.com/watch?v=KUWhrhaqHsg","Video Lesson 9")</f>
        <v>Video Lesson 9</v>
      </c>
      <c r="B303" t="s">
        <v>1316</v>
      </c>
      <c r="C303" t="s">
        <v>1331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5" t="str">
        <f>HYPERLINK("https://www.youtube.com/watch?v=KUWhrhaqHsg","Video Lesson 9")</f>
        <v>Video Lesson 9</v>
      </c>
      <c r="B305" t="s">
        <v>1316</v>
      </c>
      <c r="C305" t="s">
        <v>1331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5" t="str">
        <f>HYPERLINK("https://www.youtube.com/watch?v=KUWhrhaqHsg","Video Lesson 9")</f>
        <v>Video Lesson 9</v>
      </c>
      <c r="B307" t="s">
        <v>1316</v>
      </c>
      <c r="C307" t="s">
        <v>1331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5" t="str">
        <f>HYPERLINK("https://www.youtube.com/watch?v=KUWhrhaqHsg","Video Lesson 9")</f>
        <v>Video Lesson 9</v>
      </c>
      <c r="B309" t="s">
        <v>1316</v>
      </c>
      <c r="C309" t="s">
        <v>1331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5" t="str">
        <f>HYPERLINK("https://www.youtube.com/watch?v=Ivl-D6m04C4","Video Lesson 10")</f>
        <v>Video Lesson 10</v>
      </c>
      <c r="B311" t="s">
        <v>1316</v>
      </c>
      <c r="C311" t="s">
        <v>1331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5" t="str">
        <f>HYPERLINK("https://www.youtube.com/watch?v=FpQEAG3hsdA","Video Lesson 17")</f>
        <v>Video Lesson 17</v>
      </c>
      <c r="B313" t="s">
        <v>1316</v>
      </c>
      <c r="C313" t="s">
        <v>1332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5" t="str">
        <f>HYPERLINK("https://www.youtube.com/watch?v=FpQEAG3hsdA","Video Lesson 17")</f>
        <v>Video Lesson 17</v>
      </c>
      <c r="B315" t="s">
        <v>1316</v>
      </c>
      <c r="C315" t="s">
        <v>1332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5" t="str">
        <f>HYPERLINK("https://www.youtube.com/watch?v=4qB8qVfkH4A","Video Lesson 12")</f>
        <v>Video Lesson 12</v>
      </c>
      <c r="B317" t="s">
        <v>1317</v>
      </c>
      <c r="C317" t="s">
        <v>1333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5" t="str">
        <f>HYPERLINK("https://www.youtube.com/watch?v=4qB8qVfkH4A","Video Lesson 12")</f>
        <v>Video Lesson 12</v>
      </c>
      <c r="B319" t="s">
        <v>1317</v>
      </c>
      <c r="C319" t="s">
        <v>1333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5" t="str">
        <f>HYPERLINK("https://www.youtube.com/watch?v=4qB8qVfkH4A","Video Lesson 12")</f>
        <v>Video Lesson 12</v>
      </c>
      <c r="B321" t="s">
        <v>1317</v>
      </c>
      <c r="C321" t="s">
        <v>1333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5" t="str">
        <f>HYPERLINK("https://www.youtube.com/watch?v=4qB8qVfkH4A","Video Lesson 12")</f>
        <v>Video Lesson 12</v>
      </c>
      <c r="B323" t="s">
        <v>1317</v>
      </c>
      <c r="C323" t="s">
        <v>1333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5" t="str">
        <f>HYPERLINK("https://www.youtube.com/watch?v=4qB8qVfkH4A","Video Lesson 12")</f>
        <v>Video Lesson 12</v>
      </c>
      <c r="B325" t="s">
        <v>1317</v>
      </c>
      <c r="C325" t="s">
        <v>1333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5" t="str">
        <f>HYPERLINK("https://www.youtube.com/watch?v=4qB8qVfkH4A","Video Lesson 12")</f>
        <v>Video Lesson 12</v>
      </c>
      <c r="B327" t="s">
        <v>1317</v>
      </c>
      <c r="C327" t="s">
        <v>1333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5" t="str">
        <f>HYPERLINK("https://www.youtube.com/watch?v=4qB8qVfkH4A","Video Lesson 12")</f>
        <v>Video Lesson 12</v>
      </c>
      <c r="B329" t="s">
        <v>1317</v>
      </c>
      <c r="C329" t="s">
        <v>1333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5" t="str">
        <f>HYPERLINK("https://www.youtube.com/watch?v=4qB8qVfkH4A","Video Lesson 12")</f>
        <v>Video Lesson 12</v>
      </c>
      <c r="B331" t="s">
        <v>1317</v>
      </c>
      <c r="C331" t="s">
        <v>1333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5" t="str">
        <f>HYPERLINK("https://www.youtube.com/watch?v=4qB8qVfkH4A","Video Lesson 12")</f>
        <v>Video Lesson 12</v>
      </c>
      <c r="B333" t="s">
        <v>1317</v>
      </c>
      <c r="C333" t="s">
        <v>1333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5" t="str">
        <f>HYPERLINK("https://www.youtube.com/watch?v=4qB8qVfkH4A","Video Lesson 12")</f>
        <v>Video Lesson 12</v>
      </c>
      <c r="B335" t="s">
        <v>1317</v>
      </c>
      <c r="C335" t="s">
        <v>1333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5" t="str">
        <f>HYPERLINK("https://www.youtube.com/watch?v=4qB8qVfkH4A","Video Lesson 12")</f>
        <v>Video Lesson 12</v>
      </c>
      <c r="B337" t="s">
        <v>1317</v>
      </c>
      <c r="C337" t="s">
        <v>1333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5" t="str">
        <f>HYPERLINK("https://www.youtube.com/watch?v=4qB8qVfkH4A","Video Lesson 12")</f>
        <v>Video Lesson 12</v>
      </c>
      <c r="B339" t="s">
        <v>1317</v>
      </c>
      <c r="C339" t="s">
        <v>1333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5" t="str">
        <f>HYPERLINK("https://www.youtube.com/watch?v=4qB8qVfkH4A","Video Lesson 12")</f>
        <v>Video Lesson 12</v>
      </c>
      <c r="B341" t="s">
        <v>1317</v>
      </c>
      <c r="C341" t="s">
        <v>1333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5" t="str">
        <f>HYPERLINK("https://www.youtube.com/watch?v=4qB8qVfkH4A","Video Lesson 12")</f>
        <v>Video Lesson 12</v>
      </c>
      <c r="B343" t="s">
        <v>1317</v>
      </c>
      <c r="C343" t="s">
        <v>1333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5" t="str">
        <f>HYPERLINK("https://www.youtube.com/watch?v=4qB8qVfkH4A","Video Lesson 12")</f>
        <v>Video Lesson 12</v>
      </c>
      <c r="B345" t="s">
        <v>1317</v>
      </c>
      <c r="C345" t="s">
        <v>1333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5" t="str">
        <f>HYPERLINK("https://www.youtube.com/watch?v=4qB8qVfkH4A","Video Lesson 12")</f>
        <v>Video Lesson 12</v>
      </c>
      <c r="B347" t="s">
        <v>1317</v>
      </c>
      <c r="C347" t="s">
        <v>1333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5" t="str">
        <f>HYPERLINK("https://www.youtube.com/watch?v=4qB8qVfkH4A","Video Lesson 12")</f>
        <v>Video Lesson 12</v>
      </c>
      <c r="B349" t="s">
        <v>1317</v>
      </c>
      <c r="C349" t="s">
        <v>1333</v>
      </c>
      <c r="D349">
        <v>17</v>
      </c>
      <c r="E349">
        <v>175</v>
      </c>
      <c r="G349"/>
      <c r="H349" s="12"/>
    </row>
    <row r="350" spans="1:8" x14ac:dyDescent="0.25">
      <c r="E350">
        <v>175</v>
      </c>
      <c r="G350"/>
      <c r="H350" s="12"/>
    </row>
    <row r="351" spans="1:8" x14ac:dyDescent="0.25">
      <c r="A351" s="15" t="str">
        <f>HYPERLINK("https://www.youtube.com/watch?v=4qB8qVfkH4A","Video Lesson 12")</f>
        <v>Video Lesson 12</v>
      </c>
      <c r="B351" t="s">
        <v>1317</v>
      </c>
      <c r="C351" t="s">
        <v>1333</v>
      </c>
      <c r="D351">
        <v>18</v>
      </c>
      <c r="E351">
        <v>176</v>
      </c>
      <c r="G351"/>
      <c r="H351" s="12"/>
    </row>
    <row r="352" spans="1:8" x14ac:dyDescent="0.25">
      <c r="E352">
        <v>176</v>
      </c>
      <c r="G352"/>
      <c r="H352" s="12"/>
    </row>
    <row r="353" spans="1:8" x14ac:dyDescent="0.25">
      <c r="A353" s="15" t="str">
        <f>HYPERLINK("https://www.youtube.com/watch?v=4qB8qVfkH4A","Video Lesson 12")</f>
        <v>Video Lesson 12</v>
      </c>
      <c r="B353" t="s">
        <v>1317</v>
      </c>
      <c r="C353" t="s">
        <v>1333</v>
      </c>
      <c r="D353">
        <v>19</v>
      </c>
      <c r="E353">
        <v>177</v>
      </c>
      <c r="G353"/>
      <c r="H353" s="12"/>
    </row>
    <row r="354" spans="1:8" x14ac:dyDescent="0.25">
      <c r="E354">
        <v>177</v>
      </c>
      <c r="G354"/>
      <c r="H354" s="12"/>
    </row>
    <row r="355" spans="1:8" x14ac:dyDescent="0.25">
      <c r="A355" s="15" t="str">
        <f>HYPERLINK("https://www.youtube.com/watch?v=M-mxlyVa6iM","Video Lesson 24")</f>
        <v>Video Lesson 24</v>
      </c>
      <c r="B355" t="s">
        <v>1317</v>
      </c>
      <c r="C355" t="s">
        <v>1334</v>
      </c>
      <c r="D355">
        <v>1</v>
      </c>
      <c r="E355">
        <v>178</v>
      </c>
      <c r="G355"/>
      <c r="H355" s="12"/>
    </row>
    <row r="356" spans="1:8" x14ac:dyDescent="0.25">
      <c r="E356">
        <v>178</v>
      </c>
      <c r="G356"/>
      <c r="H356" s="12"/>
    </row>
    <row r="357" spans="1:8" x14ac:dyDescent="0.25">
      <c r="A357" s="15" t="str">
        <f>HYPERLINK("https://www.youtube.com/watch?v=M-mxlyVa6iM","Video Lesson 24")</f>
        <v>Video Lesson 24</v>
      </c>
      <c r="B357" t="s">
        <v>1317</v>
      </c>
      <c r="C357" t="s">
        <v>1334</v>
      </c>
      <c r="D357">
        <v>2</v>
      </c>
      <c r="E357">
        <v>179</v>
      </c>
      <c r="G357"/>
      <c r="H357" s="12"/>
    </row>
    <row r="358" spans="1:8" x14ac:dyDescent="0.25">
      <c r="E358">
        <v>179</v>
      </c>
      <c r="G358"/>
      <c r="H358" s="12"/>
    </row>
    <row r="359" spans="1:8" x14ac:dyDescent="0.25">
      <c r="A359" s="15" t="str">
        <f>HYPERLINK("https://www.youtube.com/watch?v=M-mxlyVa6iM","Video Lesson 24")</f>
        <v>Video Lesson 24</v>
      </c>
      <c r="B359" t="s">
        <v>1317</v>
      </c>
      <c r="C359" t="s">
        <v>1334</v>
      </c>
      <c r="D359">
        <v>3</v>
      </c>
      <c r="E359">
        <v>180</v>
      </c>
      <c r="G359"/>
      <c r="H359" s="12"/>
    </row>
    <row r="360" spans="1:8" x14ac:dyDescent="0.25">
      <c r="E360">
        <v>180</v>
      </c>
      <c r="G360"/>
      <c r="H360" s="12"/>
    </row>
    <row r="361" spans="1:8" x14ac:dyDescent="0.25">
      <c r="A361" s="15" t="str">
        <f>HYPERLINK("https://www.youtube.com/watch?v=M-mxlyVa6iM","Video Lesson 24")</f>
        <v>Video Lesson 24</v>
      </c>
      <c r="B361" t="s">
        <v>1317</v>
      </c>
      <c r="C361" t="s">
        <v>1334</v>
      </c>
      <c r="D361">
        <v>4</v>
      </c>
      <c r="E361">
        <v>181</v>
      </c>
      <c r="G361"/>
      <c r="H361" s="12"/>
    </row>
    <row r="362" spans="1:8" x14ac:dyDescent="0.25">
      <c r="E362">
        <v>181</v>
      </c>
      <c r="G362"/>
    </row>
    <row r="363" spans="1:8" x14ac:dyDescent="0.25">
      <c r="A363" s="15" t="str">
        <f>HYPERLINK("https://www.youtube.com/watch?v=M-mxlyVa6iM","Video Lesson 24")</f>
        <v>Video Lesson 24</v>
      </c>
      <c r="B363" t="s">
        <v>1317</v>
      </c>
      <c r="C363" t="s">
        <v>1334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5" t="str">
        <f>HYPERLINK("https://www.youtube.com/watch?v=M-mxlyVa6iM","Video Lesson 24")</f>
        <v>Video Lesson 24</v>
      </c>
      <c r="B365" t="s">
        <v>1317</v>
      </c>
      <c r="C365" t="s">
        <v>1334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5" t="str">
        <f>HYPERLINK("https://www.youtube.com/watch?v=M-mxlyVa6iM","Video Lesson 24")</f>
        <v>Video Lesson 24</v>
      </c>
      <c r="B367" t="s">
        <v>1317</v>
      </c>
      <c r="C367" t="s">
        <v>1334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5" t="str">
        <f>HYPERLINK("https://www.youtube.com/watch?v=M-mxlyVa6iM","Video Lesson 24")</f>
        <v>Video Lesson 24</v>
      </c>
      <c r="B369" t="s">
        <v>1317</v>
      </c>
      <c r="C369" t="s">
        <v>1334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5" t="str">
        <f>HYPERLINK("https://www.youtube.com/watch?v=M-mxlyVa6iM","Video Lesson 24")</f>
        <v>Video Lesson 24</v>
      </c>
      <c r="B371" t="s">
        <v>1317</v>
      </c>
      <c r="C371" t="s">
        <v>1334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5" t="str">
        <f>HYPERLINK("https://www.youtube.com/watch?v=M-mxlyVa6iM","Video Lesson 24")</f>
        <v>Video Lesson 24</v>
      </c>
      <c r="B373" t="s">
        <v>1317</v>
      </c>
      <c r="C373" t="s">
        <v>1334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5" t="str">
        <f>HYPERLINK("https://www.youtube.com/watch?v=M-mxlyVa6iM","Video Lesson 24")</f>
        <v>Video Lesson 24</v>
      </c>
      <c r="B375" t="s">
        <v>1317</v>
      </c>
      <c r="C375" t="s">
        <v>1334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5" t="str">
        <f>HYPERLINK("https://www.youtube.com/watch?v=M-mxlyVa6iM","Video Lesson 24")</f>
        <v>Video Lesson 24</v>
      </c>
      <c r="B377" t="s">
        <v>1317</v>
      </c>
      <c r="C377" t="s">
        <v>1334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5" t="str">
        <f>HYPERLINK("https://www.youtube.com/watch?v=M-mxlyVa6iM","Video Lesson 24")</f>
        <v>Video Lesson 24</v>
      </c>
      <c r="B379" t="s">
        <v>1317</v>
      </c>
      <c r="C379" t="s">
        <v>1334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5" t="str">
        <f>HYPERLINK("https://www.youtube.com/watch?v=M-mxlyVa6iM","Video Lesson 24")</f>
        <v>Video Lesson 24</v>
      </c>
      <c r="B381" t="s">
        <v>1317</v>
      </c>
      <c r="C381" t="s">
        <v>1334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5" t="str">
        <f>HYPERLINK("https://www.youtube.com/watch?v=QAEGmTKhMo4","Video Lesson 'Valentine'")</f>
        <v>Video Lesson 'Valentine'</v>
      </c>
      <c r="B383" t="s">
        <v>1317</v>
      </c>
      <c r="C383" t="s">
        <v>1335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5" t="str">
        <f>HYPERLINK("https://www.youtube.com/watch?v=QAEGmTKhMo4","Video Lesson 'Valentine'")</f>
        <v>Video Lesson 'Valentine'</v>
      </c>
      <c r="B385" t="s">
        <v>1317</v>
      </c>
      <c r="C385" t="s">
        <v>1335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5" t="str">
        <f>HYPERLINK("https://www.youtube.com/watch?v=QAEGmTKhMo4","Video Lesson 'Valentine'")</f>
        <v>Video Lesson 'Valentine'</v>
      </c>
      <c r="B387" t="s">
        <v>1317</v>
      </c>
      <c r="C387" t="s">
        <v>1335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5" t="str">
        <f>HYPERLINK("https://www.youtube.com/watch?v=QAEGmTKhMo4","Video Lesson 'Valentine'")</f>
        <v>Video Lesson 'Valentine'</v>
      </c>
      <c r="B389" t="s">
        <v>1317</v>
      </c>
      <c r="C389" t="s">
        <v>1335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5" t="str">
        <f>HYPERLINK("https://www.youtube.com/watch?v=QAEGmTKhMo4","Video Lesson 'Valentine'")</f>
        <v>Video Lesson 'Valentine'</v>
      </c>
      <c r="B391" t="s">
        <v>1317</v>
      </c>
      <c r="C391" t="s">
        <v>1335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5" t="str">
        <f>HYPERLINK("https://www.youtube.com/watch?v=Sjl8iPAcNo0","Video Lesson 20")</f>
        <v>Video Lesson 20</v>
      </c>
      <c r="B393" t="s">
        <v>1317</v>
      </c>
      <c r="C393" t="s">
        <v>1336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5" t="str">
        <f>HYPERLINK("https://www.youtube.com/watch?v=Sjl8iPAcNo0","Video Lesson 20")</f>
        <v>Video Lesson 20</v>
      </c>
      <c r="B395" t="s">
        <v>1317</v>
      </c>
      <c r="C395" t="s">
        <v>1336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5" t="str">
        <f>HYPERLINK("https://www.youtube.com/watch?v=Sjl8iPAcNo0","Video Lesson 20")</f>
        <v>Video Lesson 20</v>
      </c>
      <c r="B397" t="s">
        <v>1317</v>
      </c>
      <c r="C397" t="s">
        <v>1336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5" t="str">
        <f>HYPERLINK("https://www.youtube.com/watch?v=Sjl8iPAcNo0","Video Lesson 20")</f>
        <v>Video Lesson 20</v>
      </c>
      <c r="B399" t="s">
        <v>1317</v>
      </c>
      <c r="C399" t="s">
        <v>1336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5" t="str">
        <f>HYPERLINK("https://www.youtube.com/watch?v=Sjl8iPAcNo0","Video Lesson 20")</f>
        <v>Video Lesson 20</v>
      </c>
      <c r="B401" t="s">
        <v>1317</v>
      </c>
      <c r="C401" t="s">
        <v>1336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5" t="str">
        <f>HYPERLINK("https://www.youtube.com/watch?v=Sjl8iPAcNo0","Video Lesson 20")</f>
        <v>Video Lesson 20</v>
      </c>
      <c r="B403" t="s">
        <v>1317</v>
      </c>
      <c r="C403" t="s">
        <v>1336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5" t="str">
        <f>HYPERLINK("https://www.youtube.com/watch?v=Sjl8iPAcNo0","Video Lesson 20")</f>
        <v>Video Lesson 20</v>
      </c>
      <c r="B405" t="s">
        <v>1317</v>
      </c>
      <c r="C405" t="s">
        <v>1336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5" t="str">
        <f>HYPERLINK("https://www.youtube.com/watch?v=Sjl8iPAcNo0","Video Lesson 20")</f>
        <v>Video Lesson 20</v>
      </c>
      <c r="B407" t="s">
        <v>1317</v>
      </c>
      <c r="C407" t="s">
        <v>1336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5" t="str">
        <f>HYPERLINK("https://www.youtube.com/watch?v=Sjl8iPAcNo0","Video Lesson 20")</f>
        <v>Video Lesson 20</v>
      </c>
      <c r="B409" t="s">
        <v>1317</v>
      </c>
      <c r="C409" t="s">
        <v>1336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5" t="str">
        <f>HYPERLINK("https://www.youtube.com/watch?v=Sjl8iPAcNo0","Video Lesson 20")</f>
        <v>Video Lesson 20</v>
      </c>
      <c r="B411" t="s">
        <v>1317</v>
      </c>
      <c r="C411" t="s">
        <v>1336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5" t="str">
        <f>HYPERLINK("https://www.youtube.com/watch?v=Sjl8iPAcNo0","Video Lesson 20")</f>
        <v>Video Lesson 20</v>
      </c>
      <c r="B413" t="s">
        <v>1317</v>
      </c>
      <c r="C413" t="s">
        <v>1336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5" t="str">
        <f>HYPERLINK("https://www.youtube.com/watch?v=Sjl8iPAcNo0","Video Lesson 20")</f>
        <v>Video Lesson 20</v>
      </c>
      <c r="B415" t="s">
        <v>1317</v>
      </c>
      <c r="C415" t="s">
        <v>1336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5" t="str">
        <f>HYPERLINK("https://www.youtube.com/watch?v=Sjl8iPAcNo0","Video Lesson 20")</f>
        <v>Video Lesson 20</v>
      </c>
      <c r="B417" t="s">
        <v>1317</v>
      </c>
      <c r="C417" t="s">
        <v>1336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5" t="str">
        <f>HYPERLINK("https://www.youtube.com/watch?v=Sjl8iPAcNo0","Video Lesson 20")</f>
        <v>Video Lesson 20</v>
      </c>
      <c r="B419" t="s">
        <v>1317</v>
      </c>
      <c r="C419" t="s">
        <v>1336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5" t="str">
        <f>HYPERLINK("https://www.youtube.com/watch?v=Sjl8iPAcNo0","Video Lesson 20")</f>
        <v>Video Lesson 20</v>
      </c>
      <c r="B421" t="s">
        <v>1317</v>
      </c>
      <c r="C421" t="s">
        <v>1336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5" t="str">
        <f>HYPERLINK("https://www.youtube.com/watch?v=Sjl8iPAcNo0","Video Lesson 20")</f>
        <v>Video Lesson 20</v>
      </c>
      <c r="B423" t="s">
        <v>1317</v>
      </c>
      <c r="C423" t="s">
        <v>1336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5" t="str">
        <f>HYPERLINK("https://www.youtube.com/watch?v=Sjl8iPAcNo0","Video Lesson 20")</f>
        <v>Video Lesson 20</v>
      </c>
      <c r="B425" t="s">
        <v>1317</v>
      </c>
      <c r="C425" t="s">
        <v>1336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5" t="str">
        <f>HYPERLINK("https://www.youtube.com/watch?v=Sjl8iPAcNo0","Video Lesson 20")</f>
        <v>Video Lesson 20</v>
      </c>
      <c r="B427" t="s">
        <v>1317</v>
      </c>
      <c r="C427" t="s">
        <v>1336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5" t="str">
        <f>HYPERLINK("https://www.youtube.com/watch?v=Sjl8iPAcNo0","Video Lesson 20")</f>
        <v>Video Lesson 20</v>
      </c>
      <c r="B429" t="s">
        <v>1317</v>
      </c>
      <c r="C429" t="s">
        <v>1336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5" t="str">
        <f>HYPERLINK("https://www.youtube.com/watch?v=Sjl8iPAcNo0","Video Lesson 20")</f>
        <v>Video Lesson 20</v>
      </c>
      <c r="B431" t="s">
        <v>1317</v>
      </c>
      <c r="C431" t="s">
        <v>1336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5" t="str">
        <f>HYPERLINK("https://www.youtube.com/watch?v=Sjl8iPAcNo0","Video Lesson 20")</f>
        <v>Video Lesson 20</v>
      </c>
      <c r="B433" t="s">
        <v>1317</v>
      </c>
      <c r="C433" t="s">
        <v>1336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5" t="str">
        <f>HYPERLINK("https://www.youtube.com/watch?v=Y56hvBhqBaQ","Video Lesson 18")</f>
        <v>Video Lesson 18</v>
      </c>
      <c r="B435" t="s">
        <v>1318</v>
      </c>
      <c r="C435" t="s">
        <v>1337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5" t="str">
        <f>HYPERLINK("https://www.youtube.com/watch?v=Y56hvBhqBaQ","Video Lesson 18")</f>
        <v>Video Lesson 18</v>
      </c>
      <c r="B437" t="s">
        <v>1318</v>
      </c>
      <c r="C437" t="s">
        <v>1337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5" t="str">
        <f>HYPERLINK("https://www.youtube.com/watch?v=Y56hvBhqBaQ","Video Lesson 18")</f>
        <v>Video Lesson 18</v>
      </c>
      <c r="B439" t="s">
        <v>1318</v>
      </c>
      <c r="C439" t="s">
        <v>1337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5" t="str">
        <f>HYPERLINK("https://www.youtube.com/watch?v=Y56hvBhqBaQ","Video Lesson 18")</f>
        <v>Video Lesson 18</v>
      </c>
      <c r="B441" t="s">
        <v>1318</v>
      </c>
      <c r="C441" t="s">
        <v>1337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5" t="str">
        <f>HYPERLINK("https://www.youtube.com/watch?v=Y56hvBhqBaQ","Video Lesson 18")</f>
        <v>Video Lesson 18</v>
      </c>
      <c r="B443" t="s">
        <v>1318</v>
      </c>
      <c r="C443" t="s">
        <v>1337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5" t="str">
        <f>HYPERLINK("https://www.youtube.com/watch?v=Y56hvBhqBaQ","Video Lesson 18")</f>
        <v>Video Lesson 18</v>
      </c>
      <c r="B445" t="s">
        <v>1318</v>
      </c>
      <c r="C445" t="s">
        <v>1337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5" t="str">
        <f>HYPERLINK("https://www.youtube.com/watch?v=Y56hvBhqBaQ","Video Lesson 18")</f>
        <v>Video Lesson 18</v>
      </c>
      <c r="B447" t="s">
        <v>1318</v>
      </c>
      <c r="C447" t="s">
        <v>1337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5" t="str">
        <f>HYPERLINK("https://www.youtube.com/watch?v=Y56hvBhqBaQ","Video Lesson 18")</f>
        <v>Video Lesson 18</v>
      </c>
      <c r="B449" t="s">
        <v>1318</v>
      </c>
      <c r="C449" t="s">
        <v>1337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5" t="str">
        <f>HYPERLINK("https://www.youtube.com/watch?v=Y56hvBhqBaQ","Video Lesson 18")</f>
        <v>Video Lesson 18</v>
      </c>
      <c r="B451" t="s">
        <v>1318</v>
      </c>
      <c r="C451" t="s">
        <v>1337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5" t="str">
        <f>HYPERLINK("https://www.youtube.com/watch?v=Y56hvBhqBaQ","Video Lesson 18")</f>
        <v>Video Lesson 18</v>
      </c>
      <c r="B453" t="s">
        <v>1318</v>
      </c>
      <c r="C453" t="s">
        <v>1337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5" t="str">
        <f>HYPERLINK("https://www.youtube.com/watch?v=Y56hvBhqBaQ","Video Lesson 18")</f>
        <v>Video Lesson 18</v>
      </c>
      <c r="B455" t="s">
        <v>1318</v>
      </c>
      <c r="C455" t="s">
        <v>1337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5" t="str">
        <f>HYPERLINK("https://www.youtube.com/watch?v=Y56hvBhqBaQ","Video Lesson 18")</f>
        <v>Video Lesson 18</v>
      </c>
      <c r="B457" t="s">
        <v>1318</v>
      </c>
      <c r="C457" t="s">
        <v>1337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5" t="str">
        <f>HYPERLINK("https://www.youtube.com/watch?v=Y56hvBhqBaQ","Video Lesson 18")</f>
        <v>Video Lesson 18</v>
      </c>
      <c r="B459" t="s">
        <v>1318</v>
      </c>
      <c r="C459" t="s">
        <v>1337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5" t="str">
        <f>HYPERLINK("https://www.youtube.com/watch?v=Y56hvBhqBaQ","Video Lesson 18")</f>
        <v>Video Lesson 18</v>
      </c>
      <c r="B461" t="s">
        <v>1318</v>
      </c>
      <c r="C461" t="s">
        <v>1337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5" t="str">
        <f>HYPERLINK("https://www.youtube.com/watch?v=Y56hvBhqBaQ","Video Lesson 18")</f>
        <v>Video Lesson 18</v>
      </c>
      <c r="B463" t="s">
        <v>1318</v>
      </c>
      <c r="C463" t="s">
        <v>1337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5" t="str">
        <f>HYPERLINK("https://www.youtube.com/watch?v=Y56hvBhqBaQ","Video Lesson 18")</f>
        <v>Video Lesson 18</v>
      </c>
      <c r="B465" t="s">
        <v>1318</v>
      </c>
      <c r="C465" t="s">
        <v>1337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5" t="str">
        <f>HYPERLINK("https://www.youtube.com/watch?v=Y56hvBhqBaQ","Video Lesson 18")</f>
        <v>Video Lesson 18</v>
      </c>
      <c r="B467" t="s">
        <v>1318</v>
      </c>
      <c r="C467" t="s">
        <v>1337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5" t="str">
        <f>HYPERLINK("https://www.youtube.com/watch?v=Y56hvBhqBaQ","Video Lesson 18")</f>
        <v>Video Lesson 18</v>
      </c>
      <c r="B469" t="s">
        <v>1318</v>
      </c>
      <c r="C469" t="s">
        <v>1337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5" t="str">
        <f>HYPERLINK("https://www.youtube.com/watch?v=Y56hvBhqBaQ","Video Lesson 18")</f>
        <v>Video Lesson 18</v>
      </c>
      <c r="B471" t="s">
        <v>1318</v>
      </c>
      <c r="C471" t="s">
        <v>1337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5" t="str">
        <f>HYPERLINK("https://www.youtube.com/watch?v=Y56hvBhqBaQ","Video Lesson 18")</f>
        <v>Video Lesson 18</v>
      </c>
      <c r="B473" t="s">
        <v>1318</v>
      </c>
      <c r="C473" t="s">
        <v>1337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5" t="str">
        <f>HYPERLINK("https://www.youtube.com/watch?v=Y56hvBhqBaQ","Video Lesson 18")</f>
        <v>Video Lesson 18</v>
      </c>
      <c r="B475" t="s">
        <v>1318</v>
      </c>
      <c r="C475" t="s">
        <v>1337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5" t="str">
        <f>HYPERLINK("https://www.youtube.com/watch?v=CuxAdMsjkyY","Video Lesson 13")</f>
        <v>Video Lesson 13</v>
      </c>
      <c r="B477" t="s">
        <v>1318</v>
      </c>
      <c r="C477" t="s">
        <v>1338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5" t="str">
        <f>HYPERLINK("https://www.youtube.com/watch?v=CuxAdMsjkyY","Video Lesson 13")</f>
        <v>Video Lesson 13</v>
      </c>
      <c r="B479" t="s">
        <v>1318</v>
      </c>
      <c r="C479" t="s">
        <v>1338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5" t="str">
        <f>HYPERLINK("https://www.youtube.com/watch?v=CuxAdMsjkyY","Video Lesson 13")</f>
        <v>Video Lesson 13</v>
      </c>
      <c r="B481" t="s">
        <v>1318</v>
      </c>
      <c r="C481" t="s">
        <v>1338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5" t="str">
        <f>HYPERLINK("https://www.youtube.com/watch?v=CuxAdMsjkyY","Video Lesson 13")</f>
        <v>Video Lesson 13</v>
      </c>
      <c r="B483" t="s">
        <v>1318</v>
      </c>
      <c r="C483" t="s">
        <v>1338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5" t="str">
        <f>HYPERLINK("https://www.youtube.com/watch?v=CuxAdMsjkyY","Video Lesson 13")</f>
        <v>Video Lesson 13</v>
      </c>
      <c r="B485" t="s">
        <v>1318</v>
      </c>
      <c r="C485" t="s">
        <v>1338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5" t="str">
        <f>HYPERLINK("https://www.youtube.com/watch?v=CuxAdMsjkyY","Video Lesson 13")</f>
        <v>Video Lesson 13</v>
      </c>
      <c r="B487" t="s">
        <v>1318</v>
      </c>
      <c r="C487" t="s">
        <v>1338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5" t="str">
        <f>HYPERLINK("https://www.youtube.com/watch?v=CuxAdMsjkyY","Video Lesson 13")</f>
        <v>Video Lesson 13</v>
      </c>
      <c r="B489" t="s">
        <v>1318</v>
      </c>
      <c r="C489" t="s">
        <v>1338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5" t="str">
        <f>HYPERLINK("https://www.youtube.com/watch?v=CuxAdMsjkyY","Video Lesson 13")</f>
        <v>Video Lesson 13</v>
      </c>
      <c r="B491" t="s">
        <v>1318</v>
      </c>
      <c r="C491" t="s">
        <v>1338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5" t="str">
        <f>HYPERLINK("https://www.youtube.com/watch?v=CuxAdMsjkyY","Video Lesson 13")</f>
        <v>Video Lesson 13</v>
      </c>
      <c r="B493" t="s">
        <v>1318</v>
      </c>
      <c r="C493" t="s">
        <v>1338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5" t="str">
        <f>HYPERLINK("https://www.youtube.com/watch?v=CuxAdMsjkyY","Video Lesson 13")</f>
        <v>Video Lesson 13</v>
      </c>
      <c r="B495" t="s">
        <v>1318</v>
      </c>
      <c r="C495" t="s">
        <v>1338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5" t="str">
        <f>HYPERLINK("https://www.youtube.com/watch?v=CuxAdMsjkyY","Video Lesson 13")</f>
        <v>Video Lesson 13</v>
      </c>
      <c r="B497" t="s">
        <v>1318</v>
      </c>
      <c r="C497" t="s">
        <v>1338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5" t="str">
        <f>HYPERLINK("https://www.youtube.com/watch?v=CuxAdMsjkyY","Video Lesson 13")</f>
        <v>Video Lesson 13</v>
      </c>
      <c r="B499" t="s">
        <v>1318</v>
      </c>
      <c r="C499" t="s">
        <v>1338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5" t="str">
        <f>HYPERLINK("https://www.youtube.com/watch?v=CuxAdMsjkyY","Video Lesson 13")</f>
        <v>Video Lesson 13</v>
      </c>
      <c r="B501" t="s">
        <v>1318</v>
      </c>
      <c r="C501" t="s">
        <v>1338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5" t="str">
        <f>HYPERLINK("https://www.youtube.com/watch?v=CuxAdMsjkyY","Video Lesson 13")</f>
        <v>Video Lesson 13</v>
      </c>
      <c r="B503" t="s">
        <v>1318</v>
      </c>
      <c r="C503" t="s">
        <v>1338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5" t="str">
        <f>HYPERLINK("https://www.youtube.com/watch?v=CuxAdMsjkyY","Video Lesson 13")</f>
        <v>Video Lesson 13</v>
      </c>
      <c r="B505" t="s">
        <v>1318</v>
      </c>
      <c r="C505" t="s">
        <v>1338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5" t="str">
        <f>HYPERLINK("https://www.youtube.com/watch?v=CuxAdMsjkyY","Video Lesson 13")</f>
        <v>Video Lesson 13</v>
      </c>
      <c r="B507" t="s">
        <v>1318</v>
      </c>
      <c r="C507" t="s">
        <v>1338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5" t="str">
        <f>HYPERLINK("https://www.youtube.com/watch?v=CuxAdMsjkyY","Video Lesson 13")</f>
        <v>Video Lesson 13</v>
      </c>
      <c r="B509" t="s">
        <v>1318</v>
      </c>
      <c r="C509" t="s">
        <v>1338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5" t="str">
        <f>HYPERLINK("https://www.youtube.com/watch?v=CuxAdMsjkyY","Video Lesson 13")</f>
        <v>Video Lesson 13</v>
      </c>
      <c r="B511" t="s">
        <v>1318</v>
      </c>
      <c r="C511" t="s">
        <v>1338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5" t="str">
        <f>HYPERLINK("https://www.youtube.com/watch?v=CuxAdMsjkyY","Video Lesson 13")</f>
        <v>Video Lesson 13</v>
      </c>
      <c r="B513" t="s">
        <v>1318</v>
      </c>
      <c r="C513" t="s">
        <v>1338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5" t="str">
        <f>HYPERLINK("https://www.youtube.com/watch?v=CuxAdMsjkyY","Video Lesson 13")</f>
        <v>Video Lesson 13</v>
      </c>
      <c r="B515" t="s">
        <v>1318</v>
      </c>
      <c r="C515" t="s">
        <v>1338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5" t="str">
        <f>HYPERLINK("https://www.youtube.com/watch?v=CuxAdMsjkyY","Video Lesson 13")</f>
        <v>Video Lesson 13</v>
      </c>
      <c r="B517" t="s">
        <v>1318</v>
      </c>
      <c r="C517" t="s">
        <v>1338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5" t="str">
        <f>HYPERLINK("https://www.youtube.com/watch?v=-9H0tokUVvc","Video Lesson 16")</f>
        <v>Video Lesson 16</v>
      </c>
      <c r="B519" t="s">
        <v>1318</v>
      </c>
      <c r="C519" t="s">
        <v>1339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5" t="str">
        <f>HYPERLINK("https://www.youtube.com/watch?v=-9H0tokUVvc","Video Lesson 16")</f>
        <v>Video Lesson 16</v>
      </c>
      <c r="B521" t="s">
        <v>1318</v>
      </c>
      <c r="C521" t="s">
        <v>1339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5" t="str">
        <f>HYPERLINK("https://www.youtube.com/watch?v=-9H0tokUVvc","Video Lesson 16")</f>
        <v>Video Lesson 16</v>
      </c>
      <c r="B523" t="s">
        <v>1318</v>
      </c>
      <c r="C523" t="s">
        <v>1339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5" t="str">
        <f>HYPERLINK("https://www.youtube.com/watch?v=-9H0tokUVvc","Video Lesson 16")</f>
        <v>Video Lesson 16</v>
      </c>
      <c r="B525" t="s">
        <v>1318</v>
      </c>
      <c r="C525" t="s">
        <v>1339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5" t="str">
        <f>HYPERLINK("https://www.youtube.com/watch?v=-9H0tokUVvc","Video Lesson 16")</f>
        <v>Video Lesson 16</v>
      </c>
      <c r="B527" t="s">
        <v>1318</v>
      </c>
      <c r="C527" t="s">
        <v>1339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5" t="str">
        <f>HYPERLINK("https://www.youtube.com/watch?v=-9H0tokUVvc","Video Lesson 16")</f>
        <v>Video Lesson 16</v>
      </c>
      <c r="B529" t="s">
        <v>1318</v>
      </c>
      <c r="C529" t="s">
        <v>1339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5" t="str">
        <f>HYPERLINK("https://www.youtube.com/watch?v=-9H0tokUVvc","Video Lesson 16")</f>
        <v>Video Lesson 16</v>
      </c>
      <c r="B531" t="s">
        <v>1318</v>
      </c>
      <c r="C531" t="s">
        <v>1339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5" t="str">
        <f>HYPERLINK("https://www.youtube.com/watch?v=-9H0tokUVvc","Video Lesson 16")</f>
        <v>Video Lesson 16</v>
      </c>
      <c r="B533" t="s">
        <v>1318</v>
      </c>
      <c r="C533" t="s">
        <v>1339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5" t="str">
        <f>HYPERLINK("https://www.youtube.com/watch?v=-9H0tokUVvc","Video Lesson 16")</f>
        <v>Video Lesson 16</v>
      </c>
      <c r="B535" t="s">
        <v>1318</v>
      </c>
      <c r="C535" t="s">
        <v>1339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5" t="str">
        <f>HYPERLINK("https://www.youtube.com/watch?v=-9H0tokUVvc","Video Lesson 16")</f>
        <v>Video Lesson 16</v>
      </c>
      <c r="B537" t="s">
        <v>1318</v>
      </c>
      <c r="C537" t="s">
        <v>1339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5" t="str">
        <f>HYPERLINK("https://www.youtube.com/watch?v=-9H0tokUVvc","Video Lesson 16")</f>
        <v>Video Lesson 16</v>
      </c>
      <c r="B539" t="s">
        <v>1318</v>
      </c>
      <c r="C539" t="s">
        <v>1339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5" t="str">
        <f>HYPERLINK("https://www.youtube.com/watch?v=-9H0tokUVvc","Video Lesson 16")</f>
        <v>Video Lesson 16</v>
      </c>
      <c r="B541" t="s">
        <v>1318</v>
      </c>
      <c r="C541" t="s">
        <v>1339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5" t="str">
        <f>HYPERLINK("https://www.youtube.com/watch?v=-9H0tokUVvc","Video Lesson 16")</f>
        <v>Video Lesson 16</v>
      </c>
      <c r="B543" t="s">
        <v>1318</v>
      </c>
      <c r="C543" t="s">
        <v>1339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5" t="str">
        <f>HYPERLINK("https://www.youtube.com/watch?v=-9H0tokUVvc","Video Lesson 16")</f>
        <v>Video Lesson 16</v>
      </c>
      <c r="B545" t="s">
        <v>1318</v>
      </c>
      <c r="C545" t="s">
        <v>1339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5" t="str">
        <f>HYPERLINK("https://www.youtube.com/watch?v=-9H0tokUVvc","Video Lesson 16")</f>
        <v>Video Lesson 16</v>
      </c>
      <c r="B547" t="s">
        <v>1318</v>
      </c>
      <c r="C547" t="s">
        <v>1339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5" t="str">
        <f>HYPERLINK("https://www.youtube.com/watch?v=-9H0tokUVvc","Video Lesson 16")</f>
        <v>Video Lesson 16</v>
      </c>
      <c r="B549" t="s">
        <v>1318</v>
      </c>
      <c r="C549" t="s">
        <v>1339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5" t="str">
        <f>HYPERLINK("https://www.youtube.com/watch?v=-9H0tokUVvc","Video Lesson 16")</f>
        <v>Video Lesson 16</v>
      </c>
      <c r="B551" t="s">
        <v>1318</v>
      </c>
      <c r="C551" t="s">
        <v>1339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5" t="str">
        <f>HYPERLINK("https://www.youtube.com/watch?v=-9H0tokUVvc","Video Lesson 16")</f>
        <v>Video Lesson 16</v>
      </c>
      <c r="B553" t="s">
        <v>1318</v>
      </c>
      <c r="C553" t="s">
        <v>1339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5" t="str">
        <f>HYPERLINK("https://www.youtube.com/watch?v=-9H0tokUVvc","Video Lesson 16")</f>
        <v>Video Lesson 16</v>
      </c>
      <c r="B555" t="s">
        <v>1318</v>
      </c>
      <c r="C555" t="s">
        <v>1339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5" t="str">
        <f>HYPERLINK("https://www.youtube.com/watch?v=-9H0tokUVvc","Video Lesson 16")</f>
        <v>Video Lesson 16</v>
      </c>
      <c r="B557" t="s">
        <v>1318</v>
      </c>
      <c r="C557" t="s">
        <v>1339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5" t="str">
        <f>HYPERLINK("https://www.youtube.com/watch?v=-9H0tokUVvc","Video Lesson 16")</f>
        <v>Video Lesson 16</v>
      </c>
      <c r="B559" t="s">
        <v>1318</v>
      </c>
      <c r="C559" t="s">
        <v>1339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5" t="str">
        <f>HYPERLINK("https://www.youtube.com/watch?v=-9H0tokUVvc","Video Lesson 16")</f>
        <v>Video Lesson 16</v>
      </c>
      <c r="B561" t="s">
        <v>1318</v>
      </c>
      <c r="C561" t="s">
        <v>1339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5" t="str">
        <f>HYPERLINK("https://www.youtube.com/watch?v=-9H0tokUVvc","Video Lesson 16")</f>
        <v>Video Lesson 16</v>
      </c>
      <c r="B563" t="s">
        <v>1318</v>
      </c>
      <c r="C563" t="s">
        <v>1339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5" t="str">
        <f>HYPERLINK("https://www.youtube.com/watch?v=-9H0tokUVvc","Video Lesson 16")</f>
        <v>Video Lesson 16</v>
      </c>
      <c r="B565" t="s">
        <v>1318</v>
      </c>
      <c r="C565" t="s">
        <v>1339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5" t="str">
        <f>HYPERLINK("https://www.youtube.com/watch?v=-9H0tokUVvc","Video Lesson 16")</f>
        <v>Video Lesson 16</v>
      </c>
      <c r="B567" t="s">
        <v>1318</v>
      </c>
      <c r="C567" t="s">
        <v>1339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5" t="str">
        <f>HYPERLINK("https://www.youtube.com/watch?v=-9H0tokUVvc","Video Lesson 16")</f>
        <v>Video Lesson 16</v>
      </c>
      <c r="B569" t="s">
        <v>1318</v>
      </c>
      <c r="C569" t="s">
        <v>1339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5" t="str">
        <f>HYPERLINK("https://www.youtube.com/watch?v=-9H0tokUVvc","Video Lesson 16")</f>
        <v>Video Lesson 16</v>
      </c>
      <c r="B571" t="s">
        <v>1318</v>
      </c>
      <c r="C571" t="s">
        <v>1339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5" t="str">
        <f>HYPERLINK("https://www.youtube.com/watch?v=-9H0tokUVvc","Video Lesson 16")</f>
        <v>Video Lesson 16</v>
      </c>
      <c r="B573" t="s">
        <v>1318</v>
      </c>
      <c r="C573" t="s">
        <v>1339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5" t="str">
        <f>HYPERLINK("https://www.youtube.com/watch?v=Xop5dt-yhOA","Video Lesson 19")</f>
        <v>Video Lesson 19</v>
      </c>
      <c r="B575" t="s">
        <v>1318</v>
      </c>
      <c r="C575" t="s">
        <v>1340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5" t="str">
        <f>HYPERLINK("https://www.youtube.com/watch?v=Xop5dt-yhOA","Video Lesson 19")</f>
        <v>Video Lesson 19</v>
      </c>
      <c r="B577" t="s">
        <v>1318</v>
      </c>
      <c r="C577" t="s">
        <v>1340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5" t="str">
        <f>HYPERLINK("https://www.youtube.com/watch?v=Xop5dt-yhOA","Video Lesson 19")</f>
        <v>Video Lesson 19</v>
      </c>
      <c r="B579" t="s">
        <v>1318</v>
      </c>
      <c r="C579" t="s">
        <v>1340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5" t="str">
        <f>HYPERLINK("https://www.youtube.com/watch?v=Xop5dt-yhOA","Video Lesson 19")</f>
        <v>Video Lesson 19</v>
      </c>
      <c r="B581" t="s">
        <v>1318</v>
      </c>
      <c r="C581" t="s">
        <v>1340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5" t="str">
        <f>HYPERLINK("https://www.youtube.com/watch?v=Xop5dt-yhOA","Video Lesson 19")</f>
        <v>Video Lesson 19</v>
      </c>
      <c r="B583" t="s">
        <v>1318</v>
      </c>
      <c r="C583" t="s">
        <v>1340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5" t="str">
        <f>HYPERLINK("https://www.youtube.com/watch?v=Xop5dt-yhOA","Video Lesson 19")</f>
        <v>Video Lesson 19</v>
      </c>
      <c r="B585" t="s">
        <v>1318</v>
      </c>
      <c r="C585" t="s">
        <v>1340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5" t="str">
        <f>HYPERLINK("https://www.youtube.com/watch?v=Xop5dt-yhOA","Video Lesson 19")</f>
        <v>Video Lesson 19</v>
      </c>
      <c r="B587" t="s">
        <v>1318</v>
      </c>
      <c r="C587" t="s">
        <v>1340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5" t="str">
        <f>HYPERLINK("https://www.youtube.com/watch?v=Xop5dt-yhOA","Video Lesson 19")</f>
        <v>Video Lesson 19</v>
      </c>
      <c r="B589" t="s">
        <v>1318</v>
      </c>
      <c r="C589" t="s">
        <v>1340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5" t="str">
        <f>HYPERLINK("https://www.youtube.com/watch?v=Xop5dt-yhOA","Video Lesson 19")</f>
        <v>Video Lesson 19</v>
      </c>
      <c r="B591" t="s">
        <v>1318</v>
      </c>
      <c r="C591" t="s">
        <v>1340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5" t="str">
        <f>HYPERLINK("https://www.youtube.com/watch?v=Xop5dt-yhOA","Video Lesson 19")</f>
        <v>Video Lesson 19</v>
      </c>
      <c r="B593" t="s">
        <v>1318</v>
      </c>
      <c r="C593" t="s">
        <v>1340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5" t="str">
        <f>HYPERLINK("https://www.youtube.com/watch?v=Xop5dt-yhOA","Video Lesson 19")</f>
        <v>Video Lesson 19</v>
      </c>
      <c r="B595" t="s">
        <v>1318</v>
      </c>
      <c r="C595" t="s">
        <v>1340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5" t="str">
        <f>HYPERLINK("https://www.youtube.com/watch?v=Xop5dt-yhOA","Video Lesson 19")</f>
        <v>Video Lesson 19</v>
      </c>
      <c r="B597" t="s">
        <v>1318</v>
      </c>
      <c r="C597" t="s">
        <v>1340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5" t="str">
        <f>HYPERLINK("https://www.youtube.com/watch?v=Xop5dt-yhOA","Video Lesson 19")</f>
        <v>Video Lesson 19</v>
      </c>
      <c r="B599" t="s">
        <v>1318</v>
      </c>
      <c r="C599" t="s">
        <v>1340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5" t="str">
        <f>HYPERLINK("https://www.youtube.com/watch?v=Xop5dt-yhOA","Video Lesson 19")</f>
        <v>Video Lesson 19</v>
      </c>
      <c r="B601" t="s">
        <v>1318</v>
      </c>
      <c r="C601" t="s">
        <v>1340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5" t="str">
        <f>HYPERLINK("https://www.youtube.com/watch?v=Xop5dt-yhOA","Video Lesson 19")</f>
        <v>Video Lesson 19</v>
      </c>
      <c r="B603" t="s">
        <v>1318</v>
      </c>
      <c r="C603" t="s">
        <v>1340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5" t="str">
        <f>HYPERLINK("https://www.youtube.com/watch?v=Xop5dt-yhOA","Video Lesson 19")</f>
        <v>Video Lesson 19</v>
      </c>
      <c r="B605" t="s">
        <v>1318</v>
      </c>
      <c r="C605" t="s">
        <v>1340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5" t="str">
        <f>HYPERLINK("https://www.youtube.com/watch?v=Xop5dt-yhOA","Video Lesson 19")</f>
        <v>Video Lesson 19</v>
      </c>
      <c r="B607" t="s">
        <v>1318</v>
      </c>
      <c r="C607" t="s">
        <v>1340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5" t="str">
        <f>HYPERLINK("https://www.youtube.com/watch?v=Xop5dt-yhOA","Video Lesson 19")</f>
        <v>Video Lesson 19</v>
      </c>
      <c r="B609" t="s">
        <v>1318</v>
      </c>
      <c r="C609" t="s">
        <v>1340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5" t="str">
        <f>HYPERLINK("https://www.youtube.com/watch?v=Xop5dt-yhOA","Video Lesson 19")</f>
        <v>Video Lesson 19</v>
      </c>
      <c r="B611" t="s">
        <v>1318</v>
      </c>
      <c r="C611" t="s">
        <v>1340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5" t="str">
        <f>HYPERLINK("https://www.youtube.com/watch?v=Xop5dt-yhOA","Video Lesson 19")</f>
        <v>Video Lesson 19</v>
      </c>
      <c r="B613" t="s">
        <v>1318</v>
      </c>
      <c r="C613" t="s">
        <v>1340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5" t="str">
        <f>HYPERLINK("https://www.youtube.com/watch?v=Xop5dt-yhOA","Video Lesson 19")</f>
        <v>Video Lesson 19</v>
      </c>
      <c r="B615" t="s">
        <v>1318</v>
      </c>
      <c r="C615" t="s">
        <v>1340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5" t="str">
        <f>HYPERLINK("https://www.youtube.com/watch?v=Xop5dt-yhOA","Video Lesson 19")</f>
        <v>Video Lesson 19</v>
      </c>
      <c r="B617" t="s">
        <v>1318</v>
      </c>
      <c r="C617" t="s">
        <v>1340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5" t="str">
        <f>HYPERLINK("https://www.youtube.com/watch?v=Xop5dt-yhOA","Video Lesson 19")</f>
        <v>Video Lesson 19</v>
      </c>
      <c r="B619" t="s">
        <v>1318</v>
      </c>
      <c r="C619" t="s">
        <v>1340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5" t="str">
        <f>HYPERLINK("https://www.youtube.com/watch?v=Xop5dt-yhOA","Video Lesson 19")</f>
        <v>Video Lesson 19</v>
      </c>
      <c r="B621" t="s">
        <v>1318</v>
      </c>
      <c r="C621" t="s">
        <v>1340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5" t="str">
        <f>HYPERLINK("https://www.youtube.com/watch?v=Xop5dt-yhOA","Video Lesson 19")</f>
        <v>Video Lesson 19</v>
      </c>
      <c r="B623" t="s">
        <v>1318</v>
      </c>
      <c r="C623" t="s">
        <v>1340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5" t="str">
        <f>HYPERLINK("https://www.youtube.com/watch?v=Xop5dt-yhOA","Video Lesson 19")</f>
        <v>Video Lesson 19</v>
      </c>
      <c r="B625" t="s">
        <v>1318</v>
      </c>
      <c r="C625" t="s">
        <v>1340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5" t="str">
        <f>HYPERLINK("https://www.youtube.com/watch?v=Xop5dt-yhOA","Video Lesson 19")</f>
        <v>Video Lesson 19</v>
      </c>
      <c r="B627" t="s">
        <v>1318</v>
      </c>
      <c r="C627" t="s">
        <v>1340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5" t="str">
        <f>HYPERLINK("https://www.youtube.com/watch?v=Xop5dt-yhOA","Video Lesson 19")</f>
        <v>Video Lesson 19</v>
      </c>
      <c r="B629" t="s">
        <v>1318</v>
      </c>
      <c r="C629" t="s">
        <v>1340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5" t="str">
        <f>HYPERLINK("https://www.youtube.com/watch?v=DfQwYS9JfME","Video Lesson 6")</f>
        <v>Video Lesson 6</v>
      </c>
      <c r="B631" t="s">
        <v>1318</v>
      </c>
      <c r="C631" t="s">
        <v>1341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5" t="str">
        <f>HYPERLINK("https://www.youtube.com/watch?v=DfQwYS9JfME","Video Lesson 6")</f>
        <v>Video Lesson 6</v>
      </c>
      <c r="B633" t="s">
        <v>1318</v>
      </c>
      <c r="C633" t="s">
        <v>1341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5" t="str">
        <f>HYPERLINK("https://www.youtube.com/watch?v=DfQwYS9JfME","Video Lesson 6")</f>
        <v>Video Lesson 6</v>
      </c>
      <c r="B635" t="s">
        <v>1318</v>
      </c>
      <c r="C635" t="s">
        <v>1341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5" t="str">
        <f>HYPERLINK("https://www.youtube.com/watch?v=DfQwYS9JfME","Video Lesson 6")</f>
        <v>Video Lesson 6</v>
      </c>
      <c r="B637" t="s">
        <v>1318</v>
      </c>
      <c r="C637" t="s">
        <v>1341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5" t="str">
        <f>HYPERLINK("https://www.youtube.com/watch?v=DfQwYS9JfME","Video Lesson 6")</f>
        <v>Video Lesson 6</v>
      </c>
      <c r="B639" t="s">
        <v>1318</v>
      </c>
      <c r="C639" t="s">
        <v>1341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5" t="str">
        <f>HYPERLINK("https://www.youtube.com/watch?v=DfQwYS9JfME","Video Lesson 6")</f>
        <v>Video Lesson 6</v>
      </c>
      <c r="B641" t="s">
        <v>1318</v>
      </c>
      <c r="C641" t="s">
        <v>1341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5" t="str">
        <f>HYPERLINK("https://www.youtube.com/watch?v=DfQwYS9JfME","Video Lesson 6")</f>
        <v>Video Lesson 6</v>
      </c>
      <c r="B643" t="s">
        <v>1318</v>
      </c>
      <c r="C643" t="s">
        <v>1341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5" t="str">
        <f>HYPERLINK("https://www.youtube.com/watch?v=DfQwYS9JfME","Video Lesson 6")</f>
        <v>Video Lesson 6</v>
      </c>
      <c r="B645" t="s">
        <v>1318</v>
      </c>
      <c r="C645" t="s">
        <v>1341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5" t="str">
        <f>HYPERLINK("https://www.youtube.com/watch?v=Xop5dt-yhOA","Video Lesson 19")</f>
        <v>Video Lesson 19</v>
      </c>
      <c r="B647" t="s">
        <v>1319</v>
      </c>
      <c r="C647" t="s">
        <v>1342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5" t="str">
        <f>HYPERLINK("https://www.youtube.com/watch?v=Xop5dt-yhOA","Video Lesson 19")</f>
        <v>Video Lesson 19</v>
      </c>
      <c r="B649" t="s">
        <v>1319</v>
      </c>
      <c r="C649" t="s">
        <v>1342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5" t="str">
        <f>HYPERLINK("https://www.youtube.com/watch?v=Xop5dt-yhOA","Video Lesson 19")</f>
        <v>Video Lesson 19</v>
      </c>
      <c r="B651" t="s">
        <v>1319</v>
      </c>
      <c r="C651" t="s">
        <v>1342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5" t="str">
        <f>HYPERLINK("https://www.youtube.com/watch?v=Xop5dt-yhOA","Video Lesson 19")</f>
        <v>Video Lesson 19</v>
      </c>
      <c r="B653" t="s">
        <v>1319</v>
      </c>
      <c r="C653" t="s">
        <v>1342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5" t="str">
        <f>HYPERLINK("https://www.youtube.com/watch?v=jVxw8JRCMDk","Video Lesson 21")</f>
        <v>Video Lesson 21</v>
      </c>
      <c r="B655" t="s">
        <v>1319</v>
      </c>
      <c r="C655" t="s">
        <v>1342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5" t="str">
        <f>HYPERLINK("https://www.youtube.com/watch?v=jVxw8JRCMDk","Video Lesson 21")</f>
        <v>Video Lesson 21</v>
      </c>
      <c r="B657" t="s">
        <v>1319</v>
      </c>
      <c r="C657" t="s">
        <v>1342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5" t="str">
        <f>HYPERLINK("https://www.youtube.com/watch?v=jVxw8JRCMDk","Video Lesson 21")</f>
        <v>Video Lesson 21</v>
      </c>
      <c r="B659" t="s">
        <v>1319</v>
      </c>
      <c r="C659" t="s">
        <v>1342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5" t="str">
        <f>HYPERLINK("https://www.youtube.com/watch?v=EWu4a7ogxVA","Video Lesson 'Improvisation'")</f>
        <v>Video Lesson 'Improvisation'</v>
      </c>
      <c r="B661" t="s">
        <v>1319</v>
      </c>
      <c r="C661" t="s">
        <v>1342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5" t="str">
        <f>HYPERLINK("https://www.youtube.com/watch?v=M-mxlyVa6iM","Video Lesson 24")</f>
        <v>Video Lesson 24</v>
      </c>
      <c r="B663" t="s">
        <v>1319</v>
      </c>
      <c r="C663" t="s">
        <v>1342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5" t="str">
        <f>HYPERLINK("https://www.youtube.com/watch?v=YMwQ4agNMPI","Video Lesson '2nd Valentine'")</f>
        <v>Video Lesson '2nd Valentine'</v>
      </c>
      <c r="B665" t="s">
        <v>1319</v>
      </c>
      <c r="C665" t="s">
        <v>1342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5" t="str">
        <f>HYPERLINK("https://www.youtube.com/watch?v=EWu4a7ogxVA","Video Lesson 'Improvisation'")</f>
        <v>Video Lesson 'Improvisation'</v>
      </c>
      <c r="B667" t="s">
        <v>1319</v>
      </c>
      <c r="C667" t="s">
        <v>1342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5" t="str">
        <f>HYPERLINK("https://www.youtube.com/watch?v=EWu4a7ogxVA","Video Lesson 'Improvisation'")</f>
        <v>Video Lesson 'Improvisation'</v>
      </c>
      <c r="B669" t="s">
        <v>1319</v>
      </c>
      <c r="C669" t="s">
        <v>1342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5" t="str">
        <f>HYPERLINK("https://www.youtube.com/watch?v=EWu4a7ogxVA","Video Lesson 'Improvisation'")</f>
        <v>Video Lesson 'Improvisation'</v>
      </c>
      <c r="B671" t="s">
        <v>1319</v>
      </c>
      <c r="C671" t="s">
        <v>1342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5" t="str">
        <f>HYPERLINK("https://www.youtube.com/watch?v=EWu4a7ogxVA","Video Lesson 'Improvisation'")</f>
        <v>Video Lesson 'Improvisation'</v>
      </c>
      <c r="B673" t="s">
        <v>1319</v>
      </c>
      <c r="C673" t="s">
        <v>1342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5" t="str">
        <f>HYPERLINK("https://www.youtube.com/watch?v=EWu4a7ogxVA","Video Lesson 'Improvisation'")</f>
        <v>Video Lesson 'Improvisation'</v>
      </c>
      <c r="B675" t="s">
        <v>1319</v>
      </c>
      <c r="C675" t="s">
        <v>1342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5" t="str">
        <f>HYPERLINK("https://www.youtube.com/watch?v=EWu4a7ogxVA","Video Lesson 'Improvisation'")</f>
        <v>Video Lesson 'Improvisation'</v>
      </c>
      <c r="B677" t="s">
        <v>1319</v>
      </c>
      <c r="C677" t="s">
        <v>1342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5" t="str">
        <f>HYPERLINK("https://www.youtube.com/watch?v=EWu4a7ogxVA","Video Lesson 'Improvisation'")</f>
        <v>Video Lesson 'Improvisation'</v>
      </c>
      <c r="B679" t="s">
        <v>1319</v>
      </c>
      <c r="C679" t="s">
        <v>1342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5" t="str">
        <f>HYPERLINK("https://www.youtube.com/watch?v=EWu4a7ogxVA","Video Lesson 'Improvisation'")</f>
        <v>Video Lesson 'Improvisation'</v>
      </c>
      <c r="B681" t="s">
        <v>1319</v>
      </c>
      <c r="C681" t="s">
        <v>1342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5" t="str">
        <f>HYPERLINK("https://www.youtube.com/watch?v=EWu4a7ogxVA","Video Lesson 'Improvisation'")</f>
        <v>Video Lesson 'Improvisation'</v>
      </c>
      <c r="B683" t="s">
        <v>1319</v>
      </c>
      <c r="C683" t="s">
        <v>1342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5" t="str">
        <f>HYPERLINK("https://www.youtube.com/watch?v=RmEAQDsTTaE","Video Lesson 23")</f>
        <v>Video Lesson 23</v>
      </c>
      <c r="B685" t="s">
        <v>1319</v>
      </c>
      <c r="C685" t="s">
        <v>1342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5" t="str">
        <f>HYPERLINK("https://www.youtube.com/watch?v=RmEAQDsTTaE","Video Lesson 23")</f>
        <v>Video Lesson 23</v>
      </c>
      <c r="B687" t="s">
        <v>1319</v>
      </c>
      <c r="C687" t="s">
        <v>1342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5" t="str">
        <f>HYPERLINK("https://www.youtube.com/watch?v=RmEAQDsTTaE","Video Lesson 23")</f>
        <v>Video Lesson 23</v>
      </c>
      <c r="B689" t="s">
        <v>1319</v>
      </c>
      <c r="C689" t="s">
        <v>1342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5" t="str">
        <f>HYPERLINK("https://www.youtube.com/watch?v=RmEAQDsTTaE","Video Lesson 23")</f>
        <v>Video Lesson 23</v>
      </c>
      <c r="B691" t="s">
        <v>1319</v>
      </c>
      <c r="C691" t="s">
        <v>1342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5" t="str">
        <f>HYPERLINK("https://www.youtube.com/watch?v=RmEAQDsTTaE","Video Lesson 23")</f>
        <v>Video Lesson 23</v>
      </c>
      <c r="B693" t="s">
        <v>1319</v>
      </c>
      <c r="C693" t="s">
        <v>1342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5" t="str">
        <f>HYPERLINK("https://www.youtube.com/watch?v=EWu4a7ogxVA","Video Lesson 'Improvisation'")</f>
        <v>Video Lesson 'Improvisation'</v>
      </c>
      <c r="B695" t="s">
        <v>1319</v>
      </c>
      <c r="C695" t="s">
        <v>1342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8515625" bestFit="1" customWidth="1"/>
    <col min="2" max="2" width="28.28515625" customWidth="1"/>
  </cols>
  <sheetData>
    <row r="1" spans="1:16" x14ac:dyDescent="0.25">
      <c r="A1" t="s">
        <v>1614</v>
      </c>
      <c r="B1" t="s">
        <v>1615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1723</v>
      </c>
      <c r="L1">
        <v>1</v>
      </c>
      <c r="M1" t="s">
        <v>1877</v>
      </c>
      <c r="O1" t="s">
        <v>39</v>
      </c>
      <c r="P1" t="s">
        <v>458</v>
      </c>
    </row>
    <row r="2" spans="1:16" x14ac:dyDescent="0.25">
      <c r="A2" t="s">
        <v>1617</v>
      </c>
      <c r="B2" t="s">
        <v>1616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1748</v>
      </c>
      <c r="L2">
        <v>1</v>
      </c>
      <c r="M2" t="s">
        <v>1774</v>
      </c>
      <c r="O2" t="s">
        <v>1617</v>
      </c>
      <c r="P2" t="s">
        <v>1616</v>
      </c>
    </row>
    <row r="3" spans="1:16" x14ac:dyDescent="0.25">
      <c r="A3" t="s">
        <v>1618</v>
      </c>
      <c r="B3" t="s">
        <v>1619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1762</v>
      </c>
      <c r="L3">
        <v>1</v>
      </c>
      <c r="M3" t="s">
        <v>1775</v>
      </c>
      <c r="O3" t="s">
        <v>1661</v>
      </c>
      <c r="P3" t="s">
        <v>1662</v>
      </c>
    </row>
    <row r="4" spans="1:16" x14ac:dyDescent="0.25">
      <c r="A4" t="s">
        <v>1620</v>
      </c>
      <c r="B4" t="s">
        <v>1621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1729</v>
      </c>
      <c r="L4">
        <v>1</v>
      </c>
      <c r="M4" t="s">
        <v>1776</v>
      </c>
      <c r="O4" t="s">
        <v>1528</v>
      </c>
      <c r="P4" t="s">
        <v>360</v>
      </c>
    </row>
    <row r="5" spans="1:16" x14ac:dyDescent="0.25">
      <c r="A5" t="s">
        <v>1622</v>
      </c>
      <c r="B5" t="s">
        <v>1623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1730</v>
      </c>
      <c r="L5">
        <v>1</v>
      </c>
      <c r="M5" t="s">
        <v>1777</v>
      </c>
      <c r="O5" t="s">
        <v>1643</v>
      </c>
      <c r="P5" t="s">
        <v>1644</v>
      </c>
    </row>
    <row r="6" spans="1:16" x14ac:dyDescent="0.25">
      <c r="A6" t="s">
        <v>1624</v>
      </c>
      <c r="B6" t="s">
        <v>1625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1727</v>
      </c>
      <c r="L6">
        <v>1</v>
      </c>
      <c r="M6" t="s">
        <v>1778</v>
      </c>
      <c r="O6" t="s">
        <v>118</v>
      </c>
      <c r="P6" t="s">
        <v>496</v>
      </c>
    </row>
    <row r="7" spans="1:16" x14ac:dyDescent="0.25">
      <c r="A7" t="s">
        <v>1626</v>
      </c>
      <c r="B7" t="s">
        <v>1627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1771</v>
      </c>
      <c r="L7">
        <v>1</v>
      </c>
      <c r="M7" t="s">
        <v>1779</v>
      </c>
      <c r="O7" t="s">
        <v>1371</v>
      </c>
      <c r="P7" t="s">
        <v>183</v>
      </c>
    </row>
    <row r="8" spans="1:16" x14ac:dyDescent="0.25">
      <c r="A8" t="s">
        <v>1630</v>
      </c>
      <c r="B8" t="s">
        <v>1631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1693</v>
      </c>
      <c r="L8">
        <v>1</v>
      </c>
      <c r="M8" t="s">
        <v>1780</v>
      </c>
      <c r="O8" t="s">
        <v>57</v>
      </c>
      <c r="P8" t="s">
        <v>466</v>
      </c>
    </row>
    <row r="9" spans="1:16" x14ac:dyDescent="0.25">
      <c r="A9" t="s">
        <v>1628</v>
      </c>
      <c r="B9" t="s">
        <v>1629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1743</v>
      </c>
      <c r="L9">
        <v>1</v>
      </c>
      <c r="M9" t="s">
        <v>1781</v>
      </c>
      <c r="O9" t="s">
        <v>1614</v>
      </c>
      <c r="P9" t="s">
        <v>1615</v>
      </c>
    </row>
    <row r="10" spans="1:16" x14ac:dyDescent="0.25">
      <c r="A10" t="s">
        <v>1632</v>
      </c>
      <c r="B10" t="s">
        <v>1633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1754</v>
      </c>
      <c r="L10">
        <v>2</v>
      </c>
      <c r="M10" t="s">
        <v>1782</v>
      </c>
      <c r="O10" t="s">
        <v>243</v>
      </c>
      <c r="P10" t="s">
        <v>244</v>
      </c>
    </row>
    <row r="11" spans="1:16" x14ac:dyDescent="0.25">
      <c r="A11" t="s">
        <v>1634</v>
      </c>
      <c r="B11" t="s">
        <v>577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1689</v>
      </c>
      <c r="L11">
        <v>2</v>
      </c>
      <c r="M11" t="s">
        <v>1783</v>
      </c>
      <c r="O11" t="s">
        <v>141</v>
      </c>
      <c r="P11" t="s">
        <v>507</v>
      </c>
    </row>
    <row r="12" spans="1:16" x14ac:dyDescent="0.25">
      <c r="A12" t="s">
        <v>1635</v>
      </c>
      <c r="B12" t="s">
        <v>1636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1758</v>
      </c>
      <c r="L12">
        <v>2</v>
      </c>
      <c r="M12" t="s">
        <v>1784</v>
      </c>
      <c r="O12" t="s">
        <v>67</v>
      </c>
      <c r="P12" t="s">
        <v>470</v>
      </c>
    </row>
    <row r="13" spans="1:16" x14ac:dyDescent="0.25">
      <c r="A13" t="s">
        <v>1637</v>
      </c>
      <c r="B13" t="s">
        <v>1638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1711</v>
      </c>
      <c r="L13">
        <v>2</v>
      </c>
      <c r="M13" t="s">
        <v>1785</v>
      </c>
      <c r="O13" t="s">
        <v>95</v>
      </c>
      <c r="P13" t="s">
        <v>485</v>
      </c>
    </row>
    <row r="14" spans="1:16" x14ac:dyDescent="0.25">
      <c r="A14" t="s">
        <v>49</v>
      </c>
      <c r="B14" t="s">
        <v>462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1772</v>
      </c>
      <c r="L14">
        <v>2</v>
      </c>
      <c r="M14" t="s">
        <v>1786</v>
      </c>
      <c r="O14" t="s">
        <v>128</v>
      </c>
      <c r="P14" t="s">
        <v>500</v>
      </c>
    </row>
    <row r="15" spans="1:16" x14ac:dyDescent="0.25">
      <c r="A15" t="s">
        <v>51</v>
      </c>
      <c r="B15" t="s">
        <v>463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1675</v>
      </c>
      <c r="L15">
        <v>2</v>
      </c>
      <c r="M15" t="s">
        <v>1787</v>
      </c>
      <c r="O15" t="s">
        <v>1657</v>
      </c>
      <c r="P15" t="s">
        <v>1658</v>
      </c>
    </row>
    <row r="16" spans="1:16" x14ac:dyDescent="0.25">
      <c r="A16" t="s">
        <v>53</v>
      </c>
      <c r="B16" t="s">
        <v>464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1699</v>
      </c>
      <c r="L16">
        <v>2</v>
      </c>
      <c r="M16" t="s">
        <v>1788</v>
      </c>
      <c r="O16" t="s">
        <v>286</v>
      </c>
      <c r="P16" t="s">
        <v>577</v>
      </c>
    </row>
    <row r="17" spans="1:16" x14ac:dyDescent="0.25">
      <c r="A17" t="s">
        <v>55</v>
      </c>
      <c r="B17" t="s">
        <v>465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1726</v>
      </c>
      <c r="L17">
        <v>2</v>
      </c>
      <c r="M17" t="s">
        <v>1789</v>
      </c>
      <c r="O17" t="s">
        <v>1659</v>
      </c>
      <c r="P17" t="s">
        <v>1660</v>
      </c>
    </row>
    <row r="18" spans="1:16" x14ac:dyDescent="0.25">
      <c r="A18" t="s">
        <v>57</v>
      </c>
      <c r="B18" t="s">
        <v>466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1691</v>
      </c>
      <c r="L18">
        <v>2</v>
      </c>
      <c r="M18" t="s">
        <v>1790</v>
      </c>
      <c r="O18" t="s">
        <v>139</v>
      </c>
      <c r="P18" t="s">
        <v>506</v>
      </c>
    </row>
    <row r="19" spans="1:16" x14ac:dyDescent="0.25">
      <c r="A19" t="s">
        <v>59</v>
      </c>
      <c r="B19" t="s">
        <v>467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1712</v>
      </c>
      <c r="L19">
        <v>3</v>
      </c>
      <c r="M19" t="s">
        <v>1791</v>
      </c>
      <c r="O19" t="s">
        <v>89</v>
      </c>
      <c r="P19" t="s">
        <v>483</v>
      </c>
    </row>
    <row r="20" spans="1:16" x14ac:dyDescent="0.25">
      <c r="A20" t="s">
        <v>61</v>
      </c>
      <c r="B20" t="s">
        <v>234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1718</v>
      </c>
      <c r="L20">
        <v>3</v>
      </c>
      <c r="M20" t="s">
        <v>1792</v>
      </c>
      <c r="O20" t="s">
        <v>1356</v>
      </c>
      <c r="P20" t="s">
        <v>420</v>
      </c>
    </row>
    <row r="21" spans="1:16" x14ac:dyDescent="0.25">
      <c r="A21" t="s">
        <v>63</v>
      </c>
      <c r="B21" t="s">
        <v>468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1672</v>
      </c>
      <c r="L21">
        <v>3</v>
      </c>
      <c r="M21" t="s">
        <v>1793</v>
      </c>
      <c r="O21" t="s">
        <v>284</v>
      </c>
      <c r="P21" t="s">
        <v>574</v>
      </c>
    </row>
    <row r="22" spans="1:16" x14ac:dyDescent="0.25">
      <c r="A22" t="s">
        <v>65</v>
      </c>
      <c r="B22" t="s">
        <v>469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1759</v>
      </c>
      <c r="L22">
        <v>3</v>
      </c>
      <c r="M22" t="s">
        <v>1794</v>
      </c>
      <c r="O22" t="s">
        <v>1651</v>
      </c>
      <c r="P22" t="s">
        <v>1652</v>
      </c>
    </row>
    <row r="23" spans="1:16" x14ac:dyDescent="0.25">
      <c r="A23" t="s">
        <v>67</v>
      </c>
      <c r="B23" t="s">
        <v>470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1746</v>
      </c>
      <c r="L23">
        <v>3</v>
      </c>
      <c r="M23" t="s">
        <v>1795</v>
      </c>
      <c r="O23" t="s">
        <v>1427</v>
      </c>
      <c r="P23" t="s">
        <v>714</v>
      </c>
    </row>
    <row r="24" spans="1:16" x14ac:dyDescent="0.25">
      <c r="A24" t="s">
        <v>69</v>
      </c>
      <c r="B24" t="s">
        <v>471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1737</v>
      </c>
      <c r="L24">
        <v>3</v>
      </c>
      <c r="M24" t="s">
        <v>1796</v>
      </c>
      <c r="O24" t="s">
        <v>1379</v>
      </c>
      <c r="P24" t="s">
        <v>528</v>
      </c>
    </row>
    <row r="25" spans="1:16" x14ac:dyDescent="0.25">
      <c r="A25" t="s">
        <v>1639</v>
      </c>
      <c r="B25" t="s">
        <v>1640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1728</v>
      </c>
      <c r="L25">
        <v>3</v>
      </c>
      <c r="M25" t="s">
        <v>1797</v>
      </c>
      <c r="O25" t="s">
        <v>1632</v>
      </c>
      <c r="P25" t="s">
        <v>1633</v>
      </c>
    </row>
    <row r="26" spans="1:16" x14ac:dyDescent="0.25">
      <c r="A26" t="s">
        <v>93</v>
      </c>
      <c r="B26" t="s">
        <v>418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1724</v>
      </c>
      <c r="L26">
        <v>3</v>
      </c>
      <c r="M26" t="s">
        <v>1798</v>
      </c>
      <c r="O26" t="s">
        <v>53</v>
      </c>
      <c r="P26" t="s">
        <v>464</v>
      </c>
    </row>
    <row r="27" spans="1:16" x14ac:dyDescent="0.25">
      <c r="A27" t="s">
        <v>95</v>
      </c>
      <c r="B27" t="s">
        <v>485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1707</v>
      </c>
      <c r="L27">
        <v>4</v>
      </c>
      <c r="M27" t="s">
        <v>1799</v>
      </c>
      <c r="O27" t="s">
        <v>1378</v>
      </c>
      <c r="P27" t="s">
        <v>1299</v>
      </c>
    </row>
    <row r="28" spans="1:16" x14ac:dyDescent="0.25">
      <c r="A28" t="s">
        <v>97</v>
      </c>
      <c r="B28" t="s">
        <v>486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1745</v>
      </c>
      <c r="L28">
        <v>4</v>
      </c>
      <c r="M28" t="s">
        <v>1800</v>
      </c>
      <c r="O28" t="s">
        <v>1535</v>
      </c>
      <c r="P28" t="s">
        <v>685</v>
      </c>
    </row>
    <row r="29" spans="1:16" x14ac:dyDescent="0.25">
      <c r="A29" t="s">
        <v>89</v>
      </c>
      <c r="B29" t="s">
        <v>483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1731</v>
      </c>
      <c r="L29">
        <v>4</v>
      </c>
      <c r="M29" t="s">
        <v>1801</v>
      </c>
      <c r="O29" t="s">
        <v>51</v>
      </c>
      <c r="P29" t="s">
        <v>463</v>
      </c>
    </row>
    <row r="30" spans="1:16" x14ac:dyDescent="0.25">
      <c r="A30" t="s">
        <v>1641</v>
      </c>
      <c r="B30" t="s">
        <v>1642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1757</v>
      </c>
      <c r="L30">
        <v>4</v>
      </c>
      <c r="M30" t="s">
        <v>1802</v>
      </c>
      <c r="O30" t="s">
        <v>1353</v>
      </c>
      <c r="P30" t="s">
        <v>691</v>
      </c>
    </row>
    <row r="31" spans="1:16" x14ac:dyDescent="0.25">
      <c r="A31" t="s">
        <v>1643</v>
      </c>
      <c r="B31" t="s">
        <v>1644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1674</v>
      </c>
      <c r="L31">
        <v>4</v>
      </c>
      <c r="M31" t="s">
        <v>1803</v>
      </c>
      <c r="O31" t="s">
        <v>1344</v>
      </c>
      <c r="P31" t="s">
        <v>553</v>
      </c>
    </row>
    <row r="32" spans="1:16" x14ac:dyDescent="0.25">
      <c r="A32" t="s">
        <v>1645</v>
      </c>
      <c r="B32" t="s">
        <v>1646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1673</v>
      </c>
      <c r="L32">
        <v>4</v>
      </c>
      <c r="M32" t="s">
        <v>1804</v>
      </c>
      <c r="O32" t="s">
        <v>1637</v>
      </c>
      <c r="P32" t="s">
        <v>1638</v>
      </c>
    </row>
    <row r="33" spans="1:16" x14ac:dyDescent="0.25">
      <c r="A33" t="s">
        <v>1647</v>
      </c>
      <c r="B33" t="s">
        <v>1648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1753</v>
      </c>
      <c r="L33">
        <v>4</v>
      </c>
      <c r="M33" t="s">
        <v>1805</v>
      </c>
      <c r="O33" t="s">
        <v>1445</v>
      </c>
      <c r="P33" t="s">
        <v>656</v>
      </c>
    </row>
    <row r="34" spans="1:16" x14ac:dyDescent="0.25">
      <c r="A34" t="s">
        <v>1649</v>
      </c>
      <c r="B34" t="s">
        <v>1650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1701</v>
      </c>
      <c r="L34">
        <v>4</v>
      </c>
      <c r="M34" t="s">
        <v>1806</v>
      </c>
      <c r="O34" t="s">
        <v>287</v>
      </c>
      <c r="P34" t="s">
        <v>282</v>
      </c>
    </row>
    <row r="35" spans="1:16" x14ac:dyDescent="0.25">
      <c r="A35" t="s">
        <v>128</v>
      </c>
      <c r="B35" t="s">
        <v>500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1736</v>
      </c>
      <c r="L35">
        <v>4</v>
      </c>
      <c r="M35" t="s">
        <v>1807</v>
      </c>
      <c r="O35" t="s">
        <v>1547</v>
      </c>
      <c r="P35" t="s">
        <v>575</v>
      </c>
    </row>
    <row r="36" spans="1:16" x14ac:dyDescent="0.25">
      <c r="A36" t="s">
        <v>118</v>
      </c>
      <c r="B36" t="s">
        <v>496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1714</v>
      </c>
      <c r="L36">
        <v>5</v>
      </c>
      <c r="M36" t="s">
        <v>1808</v>
      </c>
      <c r="O36" t="s">
        <v>63</v>
      </c>
      <c r="P36" t="s">
        <v>468</v>
      </c>
    </row>
    <row r="37" spans="1:16" x14ac:dyDescent="0.25">
      <c r="A37" t="s">
        <v>137</v>
      </c>
      <c r="B37" t="s">
        <v>505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1679</v>
      </c>
      <c r="L37">
        <v>5</v>
      </c>
      <c r="M37" t="s">
        <v>1809</v>
      </c>
      <c r="O37" t="s">
        <v>1634</v>
      </c>
      <c r="P37" t="s">
        <v>577</v>
      </c>
    </row>
    <row r="38" spans="1:16" x14ac:dyDescent="0.25">
      <c r="A38" t="s">
        <v>139</v>
      </c>
      <c r="B38" t="s">
        <v>506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1756</v>
      </c>
      <c r="L38">
        <v>5</v>
      </c>
      <c r="M38" t="s">
        <v>1810</v>
      </c>
      <c r="O38" t="s">
        <v>1368</v>
      </c>
      <c r="P38" t="s">
        <v>248</v>
      </c>
    </row>
    <row r="39" spans="1:16" x14ac:dyDescent="0.25">
      <c r="A39" t="s">
        <v>141</v>
      </c>
      <c r="B39" t="s">
        <v>507</v>
      </c>
      <c r="G39" t="str">
        <f t="shared" si="3"/>
        <v>Night :leil</v>
      </c>
      <c r="J39" t="s">
        <v>1747</v>
      </c>
      <c r="L39">
        <v>5</v>
      </c>
      <c r="M39" t="s">
        <v>1811</v>
      </c>
      <c r="O39" t="s">
        <v>1620</v>
      </c>
      <c r="P39" t="s">
        <v>1621</v>
      </c>
    </row>
    <row r="40" spans="1:16" x14ac:dyDescent="0.25">
      <c r="A40" t="s">
        <v>122</v>
      </c>
      <c r="B40" t="s">
        <v>498</v>
      </c>
      <c r="G40" t="str">
        <f t="shared" si="3"/>
        <v>Autumn :khareef</v>
      </c>
      <c r="J40" t="s">
        <v>1697</v>
      </c>
      <c r="L40">
        <v>5</v>
      </c>
      <c r="M40" t="s">
        <v>1812</v>
      </c>
      <c r="O40" t="s">
        <v>1447</v>
      </c>
      <c r="P40" t="s">
        <v>411</v>
      </c>
    </row>
    <row r="41" spans="1:16" x14ac:dyDescent="0.25">
      <c r="A41" t="s">
        <v>124</v>
      </c>
      <c r="B41" t="s">
        <v>1312</v>
      </c>
      <c r="G41" t="str">
        <f t="shared" si="3"/>
        <v>Winter :sheteh</v>
      </c>
      <c r="J41" t="s">
        <v>1704</v>
      </c>
      <c r="L41">
        <v>5</v>
      </c>
      <c r="M41" t="s">
        <v>1813</v>
      </c>
      <c r="O41" t="s">
        <v>1647</v>
      </c>
      <c r="P41" t="s">
        <v>1648</v>
      </c>
    </row>
    <row r="42" spans="1:16" x14ac:dyDescent="0.25">
      <c r="A42" t="s">
        <v>126</v>
      </c>
      <c r="B42" t="s">
        <v>499</v>
      </c>
      <c r="G42" t="str">
        <f t="shared" si="3"/>
        <v>Spring :rabee3</v>
      </c>
      <c r="J42" t="s">
        <v>1709</v>
      </c>
      <c r="L42">
        <v>5</v>
      </c>
      <c r="M42" t="s">
        <v>1814</v>
      </c>
      <c r="O42" t="s">
        <v>1446</v>
      </c>
      <c r="P42" t="s">
        <v>658</v>
      </c>
    </row>
    <row r="43" spans="1:16" x14ac:dyDescent="0.25">
      <c r="A43" t="s">
        <v>1651</v>
      </c>
      <c r="B43" t="s">
        <v>1652</v>
      </c>
      <c r="G43" t="str">
        <f t="shared" si="3"/>
        <v>bed :takhet</v>
      </c>
      <c r="J43" t="s">
        <v>1684</v>
      </c>
      <c r="L43">
        <v>5</v>
      </c>
      <c r="M43" t="s">
        <v>1815</v>
      </c>
      <c r="O43" t="s">
        <v>1377</v>
      </c>
      <c r="P43" t="s">
        <v>1298</v>
      </c>
    </row>
    <row r="44" spans="1:16" x14ac:dyDescent="0.25">
      <c r="A44" t="s">
        <v>143</v>
      </c>
      <c r="B44" t="s">
        <v>508</v>
      </c>
      <c r="G44" t="str">
        <f t="shared" si="3"/>
        <v>Home :beit</v>
      </c>
      <c r="J44" t="s">
        <v>1769</v>
      </c>
      <c r="L44">
        <v>6</v>
      </c>
      <c r="M44" t="s">
        <v>1816</v>
      </c>
      <c r="O44" t="s">
        <v>1365</v>
      </c>
      <c r="P44" t="s">
        <v>429</v>
      </c>
    </row>
    <row r="45" spans="1:16" x14ac:dyDescent="0.25">
      <c r="A45" t="s">
        <v>145</v>
      </c>
      <c r="B45" t="s">
        <v>509</v>
      </c>
      <c r="G45" t="str">
        <f t="shared" si="3"/>
        <v>Apartement :she'a</v>
      </c>
      <c r="J45" t="s">
        <v>1686</v>
      </c>
      <c r="L45">
        <v>6</v>
      </c>
      <c r="M45" t="s">
        <v>1817</v>
      </c>
      <c r="O45" t="s">
        <v>61</v>
      </c>
      <c r="P45" t="s">
        <v>234</v>
      </c>
    </row>
    <row r="46" spans="1:16" x14ac:dyDescent="0.25">
      <c r="A46" t="s">
        <v>1653</v>
      </c>
      <c r="B46" t="s">
        <v>1654</v>
      </c>
      <c r="G46" t="str">
        <f t="shared" si="3"/>
        <v>rent :ajaar</v>
      </c>
      <c r="J46" t="s">
        <v>1733</v>
      </c>
      <c r="L46">
        <v>6</v>
      </c>
      <c r="M46" t="s">
        <v>1818</v>
      </c>
      <c r="O46" t="s">
        <v>1639</v>
      </c>
      <c r="P46" t="s">
        <v>1640</v>
      </c>
    </row>
    <row r="47" spans="1:16" x14ac:dyDescent="0.25">
      <c r="A47" t="s">
        <v>1655</v>
      </c>
      <c r="B47" t="s">
        <v>1656</v>
      </c>
      <c r="G47" t="str">
        <f t="shared" si="3"/>
        <v>bathroom:Hemmeim</v>
      </c>
      <c r="J47" t="s">
        <v>1770</v>
      </c>
      <c r="L47">
        <v>6</v>
      </c>
      <c r="M47" t="s">
        <v>1819</v>
      </c>
      <c r="O47" t="s">
        <v>1372</v>
      </c>
      <c r="P47" t="s">
        <v>186</v>
      </c>
    </row>
    <row r="48" spans="1:16" x14ac:dyDescent="0.25">
      <c r="A48" t="s">
        <v>1657</v>
      </c>
      <c r="B48" t="s">
        <v>1658</v>
      </c>
      <c r="G48" t="str">
        <f t="shared" si="3"/>
        <v>tomorrow :bukra</v>
      </c>
      <c r="J48" t="s">
        <v>1670</v>
      </c>
      <c r="L48">
        <v>6</v>
      </c>
      <c r="M48" t="s">
        <v>1820</v>
      </c>
      <c r="O48" t="s">
        <v>124</v>
      </c>
      <c r="P48" t="s">
        <v>1312</v>
      </c>
    </row>
    <row r="49" spans="1:16" x14ac:dyDescent="0.25">
      <c r="A49" t="s">
        <v>1371</v>
      </c>
      <c r="B49" t="s">
        <v>183</v>
      </c>
      <c r="G49" t="str">
        <f t="shared" si="3"/>
        <v>And:wa</v>
      </c>
      <c r="J49" t="s">
        <v>1695</v>
      </c>
      <c r="L49">
        <v>6</v>
      </c>
      <c r="M49" t="s">
        <v>1821</v>
      </c>
      <c r="O49" t="s">
        <v>1448</v>
      </c>
      <c r="P49" t="s">
        <v>412</v>
      </c>
    </row>
    <row r="50" spans="1:16" x14ac:dyDescent="0.25">
      <c r="A50" t="s">
        <v>1372</v>
      </c>
      <c r="B50" t="s">
        <v>186</v>
      </c>
      <c r="G50" t="str">
        <f t="shared" si="3"/>
        <v>So:fa</v>
      </c>
      <c r="J50" t="s">
        <v>1740</v>
      </c>
      <c r="L50">
        <v>6</v>
      </c>
      <c r="M50" t="s">
        <v>1822</v>
      </c>
      <c r="O50" t="s">
        <v>49</v>
      </c>
      <c r="P50" t="s">
        <v>462</v>
      </c>
    </row>
    <row r="51" spans="1:16" x14ac:dyDescent="0.25">
      <c r="A51" t="s">
        <v>1373</v>
      </c>
      <c r="B51" t="s">
        <v>187</v>
      </c>
      <c r="G51" t="str">
        <f t="shared" si="3"/>
        <v>But:bas</v>
      </c>
      <c r="J51" t="s">
        <v>1719</v>
      </c>
      <c r="L51">
        <v>7</v>
      </c>
      <c r="M51" t="s">
        <v>1823</v>
      </c>
      <c r="O51" t="s">
        <v>1364</v>
      </c>
      <c r="P51" t="s">
        <v>428</v>
      </c>
    </row>
    <row r="52" spans="1:16" x14ac:dyDescent="0.25">
      <c r="A52" t="s">
        <v>1376</v>
      </c>
      <c r="B52" t="s">
        <v>1305</v>
      </c>
      <c r="G52" t="str">
        <f t="shared" si="3"/>
        <v>After:ba3dein</v>
      </c>
      <c r="J52" t="s">
        <v>1725</v>
      </c>
      <c r="L52">
        <v>7</v>
      </c>
      <c r="M52" t="s">
        <v>1824</v>
      </c>
      <c r="O52" t="s">
        <v>1628</v>
      </c>
      <c r="P52" t="s">
        <v>1629</v>
      </c>
    </row>
    <row r="53" spans="1:16" x14ac:dyDescent="0.25">
      <c r="A53" t="s">
        <v>1377</v>
      </c>
      <c r="B53" t="s">
        <v>1298</v>
      </c>
      <c r="G53" t="str">
        <f t="shared" si="3"/>
        <v>When:lamma</v>
      </c>
      <c r="J53" t="s">
        <v>1767</v>
      </c>
      <c r="L53">
        <v>7</v>
      </c>
      <c r="M53" t="s">
        <v>1825</v>
      </c>
      <c r="O53" t="s">
        <v>1653</v>
      </c>
      <c r="P53" t="s">
        <v>1654</v>
      </c>
    </row>
    <row r="54" spans="1:16" x14ac:dyDescent="0.25">
      <c r="A54" t="s">
        <v>1378</v>
      </c>
      <c r="B54" t="s">
        <v>1299</v>
      </c>
      <c r="G54" t="str">
        <f t="shared" si="3"/>
        <v>From:men</v>
      </c>
      <c r="J54" t="s">
        <v>1773</v>
      </c>
      <c r="L54">
        <v>7</v>
      </c>
      <c r="M54" t="s">
        <v>1826</v>
      </c>
    </row>
    <row r="55" spans="1:16" x14ac:dyDescent="0.25">
      <c r="A55" t="s">
        <v>1379</v>
      </c>
      <c r="B55" t="s">
        <v>528</v>
      </c>
      <c r="G55" t="str">
        <f t="shared" si="3"/>
        <v>On:3ala</v>
      </c>
      <c r="J55" t="s">
        <v>1669</v>
      </c>
      <c r="L55">
        <v>7</v>
      </c>
      <c r="M55" t="s">
        <v>1827</v>
      </c>
    </row>
    <row r="56" spans="1:16" x14ac:dyDescent="0.25">
      <c r="A56" t="s">
        <v>1380</v>
      </c>
      <c r="B56" t="s">
        <v>1300</v>
      </c>
      <c r="G56" t="str">
        <f t="shared" si="3"/>
        <v>About:3an</v>
      </c>
      <c r="J56" t="s">
        <v>1764</v>
      </c>
      <c r="L56">
        <v>7</v>
      </c>
      <c r="M56" t="s">
        <v>1828</v>
      </c>
    </row>
    <row r="57" spans="1:16" x14ac:dyDescent="0.25">
      <c r="A57" t="s">
        <v>1381</v>
      </c>
      <c r="B57" t="s">
        <v>1301</v>
      </c>
      <c r="G57" t="str">
        <f t="shared" si="3"/>
        <v>That:enno</v>
      </c>
      <c r="J57" t="s">
        <v>1744</v>
      </c>
      <c r="L57">
        <v>7</v>
      </c>
      <c r="M57" t="s">
        <v>1829</v>
      </c>
    </row>
    <row r="58" spans="1:16" x14ac:dyDescent="0.25">
      <c r="A58" t="s">
        <v>1382</v>
      </c>
      <c r="B58" t="s">
        <v>1302</v>
      </c>
      <c r="G58" t="str">
        <f t="shared" si="3"/>
        <v>Because:la'enno</v>
      </c>
      <c r="J58" t="s">
        <v>1698</v>
      </c>
      <c r="L58">
        <v>7</v>
      </c>
      <c r="M58" t="s">
        <v>1830</v>
      </c>
    </row>
    <row r="59" spans="1:16" x14ac:dyDescent="0.25">
      <c r="A59" t="s">
        <v>1389</v>
      </c>
      <c r="B59" t="s">
        <v>535</v>
      </c>
      <c r="G59" t="str">
        <f t="shared" si="3"/>
        <v>Shirt:ameess</v>
      </c>
      <c r="J59" t="s">
        <v>1703</v>
      </c>
      <c r="L59">
        <v>7</v>
      </c>
      <c r="M59" t="s">
        <v>1831</v>
      </c>
    </row>
    <row r="60" spans="1:16" x14ac:dyDescent="0.25">
      <c r="A60" t="s">
        <v>1390</v>
      </c>
      <c r="B60" t="s">
        <v>536</v>
      </c>
      <c r="G60" t="str">
        <f t="shared" si="3"/>
        <v>High heels:scarbeeneh</v>
      </c>
      <c r="J60" t="s">
        <v>1716</v>
      </c>
      <c r="L60">
        <v>8</v>
      </c>
      <c r="M60" t="s">
        <v>1832</v>
      </c>
    </row>
    <row r="61" spans="1:16" x14ac:dyDescent="0.25">
      <c r="A61" t="s">
        <v>1391</v>
      </c>
      <c r="B61" t="s">
        <v>208</v>
      </c>
      <c r="G61" t="str">
        <f t="shared" si="3"/>
        <v>Shoe:sobbat</v>
      </c>
      <c r="J61" t="s">
        <v>1685</v>
      </c>
      <c r="L61">
        <v>8</v>
      </c>
      <c r="M61" t="s">
        <v>1833</v>
      </c>
    </row>
    <row r="62" spans="1:16" x14ac:dyDescent="0.25">
      <c r="A62" t="s">
        <v>209</v>
      </c>
      <c r="B62" t="s">
        <v>210</v>
      </c>
      <c r="G62" t="str">
        <f t="shared" si="3"/>
        <v>Dress:fostan</v>
      </c>
      <c r="J62" t="s">
        <v>1668</v>
      </c>
      <c r="L62">
        <v>8</v>
      </c>
      <c r="M62" t="s">
        <v>1834</v>
      </c>
    </row>
    <row r="63" spans="1:16" x14ac:dyDescent="0.25">
      <c r="A63" t="s">
        <v>1392</v>
      </c>
      <c r="B63" t="s">
        <v>537</v>
      </c>
      <c r="G63" t="str">
        <f t="shared" si="3"/>
        <v>Glasses:3wayneit</v>
      </c>
      <c r="J63" t="s">
        <v>1732</v>
      </c>
      <c r="L63">
        <v>8</v>
      </c>
      <c r="M63" t="s">
        <v>1835</v>
      </c>
    </row>
    <row r="64" spans="1:16" x14ac:dyDescent="0.25">
      <c r="A64" t="s">
        <v>224</v>
      </c>
      <c r="B64" t="s">
        <v>546</v>
      </c>
      <c r="G64" t="str">
        <f t="shared" si="3"/>
        <v>Family:3ayleh</v>
      </c>
      <c r="J64" t="s">
        <v>1706</v>
      </c>
      <c r="L64">
        <v>8</v>
      </c>
      <c r="M64" t="s">
        <v>1836</v>
      </c>
    </row>
    <row r="65" spans="1:13" x14ac:dyDescent="0.25">
      <c r="A65" t="s">
        <v>243</v>
      </c>
      <c r="B65" t="s">
        <v>244</v>
      </c>
      <c r="G65" t="str">
        <f t="shared" ref="G65:G96" si="4">A65&amp;":"&amp;B65</f>
        <v>I:ana</v>
      </c>
      <c r="J65" t="s">
        <v>1690</v>
      </c>
      <c r="L65">
        <v>8</v>
      </c>
      <c r="M65" t="s">
        <v>1837</v>
      </c>
    </row>
    <row r="66" spans="1:13" x14ac:dyDescent="0.25">
      <c r="A66" t="s">
        <v>1367</v>
      </c>
      <c r="B66" t="s">
        <v>247</v>
      </c>
      <c r="G66" t="str">
        <f t="shared" si="4"/>
        <v>He:howeh</v>
      </c>
      <c r="J66" t="s">
        <v>1694</v>
      </c>
      <c r="L66">
        <v>8</v>
      </c>
      <c r="M66" t="s">
        <v>1838</v>
      </c>
    </row>
    <row r="67" spans="1:13" x14ac:dyDescent="0.25">
      <c r="A67" t="s">
        <v>1368</v>
      </c>
      <c r="B67" t="s">
        <v>248</v>
      </c>
      <c r="G67" t="str">
        <f t="shared" si="4"/>
        <v>She:hiyeh</v>
      </c>
      <c r="J67" t="s">
        <v>1702</v>
      </c>
      <c r="L67">
        <v>8</v>
      </c>
      <c r="M67" t="s">
        <v>1839</v>
      </c>
    </row>
    <row r="68" spans="1:13" x14ac:dyDescent="0.25">
      <c r="A68" t="s">
        <v>1344</v>
      </c>
      <c r="B68" t="s">
        <v>553</v>
      </c>
      <c r="G68" t="str">
        <f t="shared" si="4"/>
        <v>We:neHna</v>
      </c>
      <c r="J68" t="s">
        <v>1715</v>
      </c>
      <c r="L68">
        <v>8</v>
      </c>
      <c r="M68" t="s">
        <v>1840</v>
      </c>
    </row>
    <row r="69" spans="1:13" x14ac:dyDescent="0.25">
      <c r="A69" t="s">
        <v>1370</v>
      </c>
      <c r="B69" t="s">
        <v>251</v>
      </c>
      <c r="G69" t="str">
        <f t="shared" si="4"/>
        <v>They:henneh</v>
      </c>
      <c r="J69" t="s">
        <v>1741</v>
      </c>
      <c r="L69">
        <v>9</v>
      </c>
      <c r="M69" t="s">
        <v>1841</v>
      </c>
    </row>
    <row r="70" spans="1:13" x14ac:dyDescent="0.25">
      <c r="A70" t="s">
        <v>276</v>
      </c>
      <c r="B70" t="s">
        <v>573</v>
      </c>
      <c r="G70" t="str">
        <f t="shared" si="4"/>
        <v>Monday:tanein</v>
      </c>
      <c r="J70" t="s">
        <v>1763</v>
      </c>
      <c r="L70">
        <v>9</v>
      </c>
      <c r="M70" t="s">
        <v>1842</v>
      </c>
    </row>
    <row r="71" spans="1:13" x14ac:dyDescent="0.25">
      <c r="A71" t="s">
        <v>284</v>
      </c>
      <c r="B71" t="s">
        <v>574</v>
      </c>
      <c r="G71" t="str">
        <f t="shared" si="4"/>
        <v>Tuesday:taleita</v>
      </c>
      <c r="J71" t="s">
        <v>1705</v>
      </c>
      <c r="L71">
        <v>9</v>
      </c>
      <c r="M71" t="s">
        <v>1843</v>
      </c>
    </row>
    <row r="72" spans="1:13" x14ac:dyDescent="0.25">
      <c r="A72" t="s">
        <v>1547</v>
      </c>
      <c r="B72" t="s">
        <v>575</v>
      </c>
      <c r="G72" t="str">
        <f t="shared" si="4"/>
        <v>Wednsday:orb3a</v>
      </c>
      <c r="J72" t="s">
        <v>1696</v>
      </c>
      <c r="L72">
        <v>9</v>
      </c>
      <c r="M72" t="s">
        <v>1844</v>
      </c>
    </row>
    <row r="73" spans="1:13" x14ac:dyDescent="0.25">
      <c r="A73" t="s">
        <v>285</v>
      </c>
      <c r="B73" t="s">
        <v>576</v>
      </c>
      <c r="G73" t="str">
        <f t="shared" si="4"/>
        <v>Thursday:khamees</v>
      </c>
      <c r="J73" t="s">
        <v>1755</v>
      </c>
      <c r="L73">
        <v>9</v>
      </c>
      <c r="M73" t="s">
        <v>1845</v>
      </c>
    </row>
    <row r="74" spans="1:13" x14ac:dyDescent="0.25">
      <c r="A74" t="s">
        <v>286</v>
      </c>
      <c r="B74" t="s">
        <v>577</v>
      </c>
      <c r="G74" t="str">
        <f t="shared" si="4"/>
        <v>Friday:jem3a</v>
      </c>
      <c r="J74" t="s">
        <v>1738</v>
      </c>
      <c r="L74">
        <v>9</v>
      </c>
      <c r="M74" t="s">
        <v>1846</v>
      </c>
    </row>
    <row r="75" spans="1:13" x14ac:dyDescent="0.25">
      <c r="A75" t="s">
        <v>287</v>
      </c>
      <c r="B75" t="s">
        <v>282</v>
      </c>
      <c r="G75" t="str">
        <f t="shared" si="4"/>
        <v>Saturday:sabet</v>
      </c>
      <c r="J75" t="s">
        <v>1710</v>
      </c>
      <c r="L75">
        <v>10</v>
      </c>
      <c r="M75" t="s">
        <v>1847</v>
      </c>
    </row>
    <row r="76" spans="1:13" x14ac:dyDescent="0.25">
      <c r="A76" t="s">
        <v>288</v>
      </c>
      <c r="B76" t="s">
        <v>578</v>
      </c>
      <c r="G76" t="str">
        <f t="shared" si="4"/>
        <v>Sunday:aHad</v>
      </c>
      <c r="J76" t="s">
        <v>1766</v>
      </c>
      <c r="L76">
        <v>10</v>
      </c>
      <c r="M76" t="s">
        <v>1848</v>
      </c>
    </row>
    <row r="77" spans="1:13" x14ac:dyDescent="0.25">
      <c r="A77" t="s">
        <v>1528</v>
      </c>
      <c r="B77" t="s">
        <v>360</v>
      </c>
      <c r="G77" t="str">
        <f t="shared" si="4"/>
        <v>Rice:rezz</v>
      </c>
      <c r="J77" t="s">
        <v>1722</v>
      </c>
      <c r="L77">
        <v>10</v>
      </c>
      <c r="M77" t="s">
        <v>1849</v>
      </c>
    </row>
    <row r="78" spans="1:13" x14ac:dyDescent="0.25">
      <c r="A78" t="s">
        <v>1529</v>
      </c>
      <c r="B78" t="s">
        <v>361</v>
      </c>
      <c r="G78" t="str">
        <f t="shared" si="4"/>
        <v>Button:zerr</v>
      </c>
      <c r="J78" t="s">
        <v>1677</v>
      </c>
      <c r="L78">
        <v>10</v>
      </c>
      <c r="M78" t="s">
        <v>1850</v>
      </c>
    </row>
    <row r="79" spans="1:13" x14ac:dyDescent="0.25">
      <c r="A79" t="s">
        <v>1530</v>
      </c>
      <c r="B79" t="s">
        <v>362</v>
      </c>
      <c r="G79" t="str">
        <f t="shared" si="4"/>
        <v>Horn:zammour</v>
      </c>
      <c r="J79" t="s">
        <v>1683</v>
      </c>
      <c r="L79">
        <v>10</v>
      </c>
      <c r="M79" t="s">
        <v>1851</v>
      </c>
    </row>
    <row r="80" spans="1:13" x14ac:dyDescent="0.25">
      <c r="A80" t="s">
        <v>1531</v>
      </c>
      <c r="B80" t="s">
        <v>363</v>
      </c>
      <c r="G80" t="str">
        <f t="shared" si="4"/>
        <v>Gun:fared</v>
      </c>
      <c r="J80" t="s">
        <v>1721</v>
      </c>
      <c r="L80">
        <v>11</v>
      </c>
      <c r="M80" t="s">
        <v>1852</v>
      </c>
    </row>
    <row r="81" spans="1:13" x14ac:dyDescent="0.25">
      <c r="A81" t="s">
        <v>1443</v>
      </c>
      <c r="B81" t="s">
        <v>653</v>
      </c>
      <c r="G81" t="str">
        <f t="shared" si="4"/>
        <v>Anger:to3seeb</v>
      </c>
      <c r="J81" t="s">
        <v>1768</v>
      </c>
      <c r="L81">
        <v>11</v>
      </c>
      <c r="M81" t="s">
        <v>1853</v>
      </c>
    </row>
    <row r="82" spans="1:13" x14ac:dyDescent="0.25">
      <c r="A82" t="s">
        <v>1445</v>
      </c>
      <c r="B82" t="s">
        <v>656</v>
      </c>
      <c r="G82" t="str">
        <f t="shared" si="4"/>
        <v>Optimism:tafei'oul</v>
      </c>
      <c r="J82" t="s">
        <v>1682</v>
      </c>
      <c r="L82">
        <v>11</v>
      </c>
      <c r="M82" t="s">
        <v>1854</v>
      </c>
    </row>
    <row r="83" spans="1:13" x14ac:dyDescent="0.25">
      <c r="A83" t="s">
        <v>1446</v>
      </c>
      <c r="B83" t="s">
        <v>658</v>
      </c>
      <c r="G83" t="str">
        <f t="shared" si="4"/>
        <v>Pessimism:tashei'oum</v>
      </c>
      <c r="J83" t="s">
        <v>1765</v>
      </c>
      <c r="L83">
        <v>11</v>
      </c>
      <c r="M83" t="s">
        <v>1855</v>
      </c>
    </row>
    <row r="84" spans="1:13" x14ac:dyDescent="0.25">
      <c r="A84" t="s">
        <v>1447</v>
      </c>
      <c r="B84" t="s">
        <v>411</v>
      </c>
      <c r="G84" t="str">
        <f t="shared" si="4"/>
        <v>Orgasm:nashweh</v>
      </c>
      <c r="J84" t="s">
        <v>1735</v>
      </c>
      <c r="L84">
        <v>11</v>
      </c>
      <c r="M84" t="s">
        <v>1856</v>
      </c>
    </row>
    <row r="85" spans="1:13" x14ac:dyDescent="0.25">
      <c r="A85" t="s">
        <v>1448</v>
      </c>
      <c r="B85" t="s">
        <v>412</v>
      </c>
      <c r="G85" t="str">
        <f t="shared" si="4"/>
        <v>Pride:fakher</v>
      </c>
      <c r="J85" t="s">
        <v>1680</v>
      </c>
      <c r="L85">
        <v>12</v>
      </c>
      <c r="M85" t="s">
        <v>1857</v>
      </c>
    </row>
    <row r="86" spans="1:13" x14ac:dyDescent="0.25">
      <c r="A86" t="s">
        <v>1449</v>
      </c>
      <c r="B86" t="s">
        <v>413</v>
      </c>
      <c r="G86" t="str">
        <f t="shared" si="4"/>
        <v>Shyness:khajal</v>
      </c>
      <c r="J86" t="s">
        <v>1749</v>
      </c>
      <c r="L86">
        <v>12</v>
      </c>
      <c r="M86" t="s">
        <v>1858</v>
      </c>
    </row>
    <row r="87" spans="1:13" x14ac:dyDescent="0.25">
      <c r="A87" t="s">
        <v>1450</v>
      </c>
      <c r="B87" t="s">
        <v>414</v>
      </c>
      <c r="G87" t="str">
        <f t="shared" si="4"/>
        <v>Anxiety:ala'</v>
      </c>
      <c r="J87" t="s">
        <v>1742</v>
      </c>
      <c r="L87">
        <v>12</v>
      </c>
      <c r="M87" t="s">
        <v>1859</v>
      </c>
    </row>
    <row r="88" spans="1:13" x14ac:dyDescent="0.25">
      <c r="A88" t="s">
        <v>1356</v>
      </c>
      <c r="B88" t="s">
        <v>420</v>
      </c>
      <c r="G88" t="str">
        <f t="shared" si="4"/>
        <v>Sun:shames</v>
      </c>
      <c r="J88" t="s">
        <v>1739</v>
      </c>
      <c r="L88">
        <v>12</v>
      </c>
      <c r="M88" t="s">
        <v>1860</v>
      </c>
    </row>
    <row r="89" spans="1:13" x14ac:dyDescent="0.25">
      <c r="A89" t="s">
        <v>1532</v>
      </c>
      <c r="B89" t="s">
        <v>416</v>
      </c>
      <c r="G89" t="str">
        <f t="shared" si="4"/>
        <v>Fish:samak</v>
      </c>
      <c r="J89" t="s">
        <v>1688</v>
      </c>
      <c r="L89">
        <v>13</v>
      </c>
      <c r="M89" t="s">
        <v>1861</v>
      </c>
    </row>
    <row r="90" spans="1:13" x14ac:dyDescent="0.25">
      <c r="A90" t="s">
        <v>1533</v>
      </c>
      <c r="B90" t="s">
        <v>662</v>
      </c>
      <c r="G90" t="str">
        <f t="shared" si="4"/>
        <v>Guardian:Haares</v>
      </c>
      <c r="J90" t="s">
        <v>1678</v>
      </c>
      <c r="L90">
        <v>13</v>
      </c>
      <c r="M90" t="s">
        <v>1862</v>
      </c>
    </row>
    <row r="91" spans="1:13" x14ac:dyDescent="0.25">
      <c r="A91" t="s">
        <v>1534</v>
      </c>
      <c r="B91" t="s">
        <v>663</v>
      </c>
      <c r="G91" t="str">
        <f t="shared" si="4"/>
        <v>Grass:hasheesh</v>
      </c>
      <c r="J91" t="s">
        <v>1734</v>
      </c>
      <c r="L91">
        <v>14</v>
      </c>
      <c r="M91" t="s">
        <v>1863</v>
      </c>
    </row>
    <row r="92" spans="1:13" x14ac:dyDescent="0.25">
      <c r="A92" t="s">
        <v>1363</v>
      </c>
      <c r="B92" t="s">
        <v>669</v>
      </c>
      <c r="G92" t="str">
        <f t="shared" si="4"/>
        <v>Grey:rmeideh</v>
      </c>
      <c r="J92" t="s">
        <v>1671</v>
      </c>
      <c r="L92">
        <v>14</v>
      </c>
      <c r="M92" t="s">
        <v>1864</v>
      </c>
    </row>
    <row r="93" spans="1:13" x14ac:dyDescent="0.25">
      <c r="A93" t="s">
        <v>1364</v>
      </c>
      <c r="B93" t="s">
        <v>428</v>
      </c>
      <c r="G93" t="str">
        <f t="shared" si="4"/>
        <v>Purple:banafsajeh</v>
      </c>
      <c r="J93" t="s">
        <v>1751</v>
      </c>
      <c r="L93">
        <v>15</v>
      </c>
      <c r="M93" t="s">
        <v>1865</v>
      </c>
    </row>
    <row r="94" spans="1:13" x14ac:dyDescent="0.25">
      <c r="A94" t="s">
        <v>1365</v>
      </c>
      <c r="B94" t="s">
        <v>429</v>
      </c>
      <c r="G94" t="str">
        <f t="shared" si="4"/>
        <v>Pink:zahreh</v>
      </c>
      <c r="J94" t="s">
        <v>1700</v>
      </c>
      <c r="L94">
        <v>15</v>
      </c>
      <c r="M94" t="s">
        <v>1866</v>
      </c>
    </row>
    <row r="95" spans="1:13" x14ac:dyDescent="0.25">
      <c r="A95" t="s">
        <v>1366</v>
      </c>
      <c r="B95" t="s">
        <v>430</v>
      </c>
      <c r="G95" t="str">
        <f t="shared" si="4"/>
        <v>Brown:benneh</v>
      </c>
      <c r="J95" t="s">
        <v>1750</v>
      </c>
      <c r="L95">
        <v>16</v>
      </c>
      <c r="M95" t="s">
        <v>1867</v>
      </c>
    </row>
    <row r="96" spans="1:13" x14ac:dyDescent="0.25">
      <c r="A96" t="s">
        <v>1659</v>
      </c>
      <c r="B96" t="s">
        <v>1660</v>
      </c>
      <c r="G96" t="str">
        <f t="shared" si="4"/>
        <v>ice cream:bouza</v>
      </c>
      <c r="J96" t="s">
        <v>1720</v>
      </c>
      <c r="L96">
        <v>16</v>
      </c>
      <c r="M96" t="s">
        <v>1868</v>
      </c>
    </row>
    <row r="97" spans="1:13" x14ac:dyDescent="0.25">
      <c r="A97" t="s">
        <v>1661</v>
      </c>
      <c r="B97" t="s">
        <v>1662</v>
      </c>
      <c r="G97" t="str">
        <f t="shared" ref="G97:G106" si="5">A97&amp;":"&amp;B97</f>
        <v>nearest:a'rab</v>
      </c>
      <c r="J97" t="s">
        <v>1761</v>
      </c>
      <c r="L97">
        <v>17</v>
      </c>
      <c r="M97" t="s">
        <v>1869</v>
      </c>
    </row>
    <row r="98" spans="1:13" x14ac:dyDescent="0.25">
      <c r="A98" t="s">
        <v>1353</v>
      </c>
      <c r="B98" t="s">
        <v>691</v>
      </c>
      <c r="G98" t="str">
        <f t="shared" si="5"/>
        <v>Rose:wardeh</v>
      </c>
      <c r="J98" t="s">
        <v>1687</v>
      </c>
      <c r="L98">
        <v>17</v>
      </c>
      <c r="M98" t="s">
        <v>1870</v>
      </c>
    </row>
    <row r="99" spans="1:13" x14ac:dyDescent="0.25">
      <c r="A99" t="s">
        <v>1427</v>
      </c>
      <c r="B99" t="s">
        <v>714</v>
      </c>
      <c r="G99" t="str">
        <f t="shared" si="5"/>
        <v>Friendship:sadaa'a</v>
      </c>
      <c r="J99" t="s">
        <v>1692</v>
      </c>
      <c r="L99">
        <v>17</v>
      </c>
      <c r="M99" t="s">
        <v>1871</v>
      </c>
    </row>
    <row r="100" spans="1:13" x14ac:dyDescent="0.25">
      <c r="A100" t="s">
        <v>1536</v>
      </c>
      <c r="B100" t="s">
        <v>692</v>
      </c>
      <c r="G100" t="str">
        <f t="shared" si="5"/>
        <v>Flower:zahra</v>
      </c>
      <c r="J100" t="s">
        <v>1717</v>
      </c>
      <c r="L100">
        <v>18</v>
      </c>
      <c r="M100" t="s">
        <v>1872</v>
      </c>
    </row>
    <row r="101" spans="1:13" x14ac:dyDescent="0.25">
      <c r="A101" t="s">
        <v>1535</v>
      </c>
      <c r="B101" t="s">
        <v>685</v>
      </c>
      <c r="G101" t="str">
        <f t="shared" si="5"/>
        <v>Improvisation:ertijeil</v>
      </c>
      <c r="J101" t="s">
        <v>1708</v>
      </c>
      <c r="L101">
        <v>18</v>
      </c>
      <c r="M101" t="s">
        <v>1873</v>
      </c>
    </row>
    <row r="102" spans="1:13" x14ac:dyDescent="0.25">
      <c r="A102" t="s">
        <v>1663</v>
      </c>
      <c r="B102" t="s">
        <v>1664</v>
      </c>
      <c r="G102" t="str">
        <f t="shared" si="5"/>
        <v>coffee:ahweh</v>
      </c>
      <c r="J102" t="s">
        <v>1752</v>
      </c>
      <c r="L102">
        <v>19</v>
      </c>
      <c r="M102" t="s">
        <v>1874</v>
      </c>
    </row>
    <row r="103" spans="1:13" x14ac:dyDescent="0.25">
      <c r="A103" t="s">
        <v>679</v>
      </c>
      <c r="B103" t="s">
        <v>706</v>
      </c>
      <c r="G103" t="str">
        <f t="shared" si="5"/>
        <v>I drink coffee everyday:beshrab ahweh kel yom</v>
      </c>
      <c r="J103" t="s">
        <v>1681</v>
      </c>
      <c r="L103">
        <v>19</v>
      </c>
      <c r="M103" t="s">
        <v>1875</v>
      </c>
    </row>
    <row r="104" spans="1:13" x14ac:dyDescent="0.25">
      <c r="A104" t="s">
        <v>1665</v>
      </c>
      <c r="B104" t="s">
        <v>1666</v>
      </c>
      <c r="G104" t="str">
        <f t="shared" si="5"/>
        <v>kids:wleid</v>
      </c>
      <c r="J104" t="s">
        <v>1760</v>
      </c>
      <c r="L104">
        <v>20</v>
      </c>
      <c r="M104" t="s">
        <v>1876</v>
      </c>
    </row>
    <row r="105" spans="1:13" x14ac:dyDescent="0.25">
      <c r="A105" t="s">
        <v>1667</v>
      </c>
      <c r="B105" t="s">
        <v>460</v>
      </c>
      <c r="G105" t="str">
        <f t="shared" si="5"/>
        <v>kiss :bawseh</v>
      </c>
      <c r="J105" t="s">
        <v>1676</v>
      </c>
      <c r="L105">
        <v>21</v>
      </c>
    </row>
    <row r="106" spans="1:13" x14ac:dyDescent="0.25">
      <c r="A106" t="s">
        <v>39</v>
      </c>
      <c r="B106" t="s">
        <v>458</v>
      </c>
      <c r="G106" t="str">
        <f t="shared" si="5"/>
        <v>Heart :aleb</v>
      </c>
      <c r="J106" t="s">
        <v>1713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230</v>
      </c>
      <c r="B1">
        <v>1</v>
      </c>
      <c r="F1">
        <v>1</v>
      </c>
    </row>
    <row r="2" spans="1:6" x14ac:dyDescent="0.25">
      <c r="A2" t="s">
        <v>1881</v>
      </c>
      <c r="B2">
        <v>1</v>
      </c>
      <c r="F2">
        <v>1</v>
      </c>
    </row>
    <row r="3" spans="1:6" x14ac:dyDescent="0.25">
      <c r="A3" t="s">
        <v>1625</v>
      </c>
      <c r="B3">
        <v>1</v>
      </c>
      <c r="F3">
        <v>1</v>
      </c>
    </row>
    <row r="4" spans="1:6" x14ac:dyDescent="0.25">
      <c r="A4" t="s">
        <v>1894</v>
      </c>
      <c r="B4">
        <v>1</v>
      </c>
      <c r="F4">
        <v>1</v>
      </c>
    </row>
    <row r="5" spans="1:6" x14ac:dyDescent="0.25">
      <c r="A5" t="s">
        <v>474</v>
      </c>
      <c r="B5">
        <v>2</v>
      </c>
      <c r="F5">
        <v>1</v>
      </c>
    </row>
    <row r="6" spans="1:6" x14ac:dyDescent="0.25">
      <c r="A6" t="s">
        <v>250</v>
      </c>
      <c r="B6">
        <v>2</v>
      </c>
      <c r="F6">
        <v>1</v>
      </c>
    </row>
    <row r="7" spans="1:6" x14ac:dyDescent="0.25">
      <c r="A7" t="s">
        <v>1885</v>
      </c>
      <c r="B7">
        <v>2</v>
      </c>
      <c r="F7">
        <v>1</v>
      </c>
    </row>
    <row r="8" spans="1:6" x14ac:dyDescent="0.25">
      <c r="A8" t="s">
        <v>1633</v>
      </c>
      <c r="B8">
        <v>2</v>
      </c>
      <c r="F8">
        <v>1</v>
      </c>
    </row>
    <row r="9" spans="1:6" x14ac:dyDescent="0.25">
      <c r="A9" t="s">
        <v>1654</v>
      </c>
      <c r="B9">
        <v>3</v>
      </c>
      <c r="F9">
        <v>1</v>
      </c>
    </row>
    <row r="10" spans="1:6" x14ac:dyDescent="0.25">
      <c r="A10" t="s">
        <v>506</v>
      </c>
      <c r="B10">
        <v>3</v>
      </c>
      <c r="F10">
        <v>1</v>
      </c>
    </row>
    <row r="11" spans="1:6" x14ac:dyDescent="0.25">
      <c r="A11" t="s">
        <v>576</v>
      </c>
      <c r="B11">
        <v>3</v>
      </c>
      <c r="F11">
        <v>1</v>
      </c>
    </row>
    <row r="12" spans="1:6" x14ac:dyDescent="0.25">
      <c r="A12" t="s">
        <v>1889</v>
      </c>
      <c r="B12">
        <v>3</v>
      </c>
      <c r="F12">
        <v>1</v>
      </c>
    </row>
    <row r="13" spans="1:6" x14ac:dyDescent="0.25">
      <c r="A13" t="s">
        <v>1896</v>
      </c>
      <c r="B13">
        <v>3</v>
      </c>
      <c r="F13">
        <v>1</v>
      </c>
    </row>
    <row r="14" spans="1:6" x14ac:dyDescent="0.25">
      <c r="A14" t="s">
        <v>1887</v>
      </c>
      <c r="B14">
        <v>1</v>
      </c>
      <c r="F14">
        <v>2</v>
      </c>
    </row>
    <row r="15" spans="1:6" x14ac:dyDescent="0.25">
      <c r="A15" t="s">
        <v>1892</v>
      </c>
      <c r="B15">
        <v>1</v>
      </c>
      <c r="F15">
        <v>2</v>
      </c>
    </row>
    <row r="16" spans="1:6" x14ac:dyDescent="0.25">
      <c r="A16" t="s">
        <v>696</v>
      </c>
      <c r="B16">
        <v>1</v>
      </c>
      <c r="F16">
        <v>2</v>
      </c>
    </row>
    <row r="17" spans="1:6" x14ac:dyDescent="0.25">
      <c r="A17" t="s">
        <v>573</v>
      </c>
      <c r="B17">
        <v>1</v>
      </c>
      <c r="F17">
        <v>2</v>
      </c>
    </row>
    <row r="18" spans="1:6" x14ac:dyDescent="0.25">
      <c r="A18" t="s">
        <v>1660</v>
      </c>
      <c r="B18">
        <v>2</v>
      </c>
      <c r="F18">
        <v>2</v>
      </c>
    </row>
    <row r="19" spans="1:6" x14ac:dyDescent="0.25">
      <c r="A19" t="s">
        <v>251</v>
      </c>
      <c r="B19">
        <v>2</v>
      </c>
      <c r="F19">
        <v>2</v>
      </c>
    </row>
    <row r="20" spans="1:6" x14ac:dyDescent="0.25">
      <c r="A20" t="s">
        <v>1884</v>
      </c>
      <c r="B20">
        <v>2</v>
      </c>
      <c r="F20">
        <v>2</v>
      </c>
    </row>
    <row r="21" spans="1:6" x14ac:dyDescent="0.25">
      <c r="A21" t="s">
        <v>536</v>
      </c>
      <c r="B21">
        <v>2</v>
      </c>
      <c r="F21">
        <v>2</v>
      </c>
    </row>
    <row r="22" spans="1:6" x14ac:dyDescent="0.25">
      <c r="A22" t="s">
        <v>244</v>
      </c>
      <c r="B22">
        <v>3</v>
      </c>
      <c r="F22">
        <v>2</v>
      </c>
    </row>
    <row r="23" spans="1:6" x14ac:dyDescent="0.25">
      <c r="A23" t="s">
        <v>1879</v>
      </c>
      <c r="B23">
        <v>3</v>
      </c>
      <c r="F23">
        <v>2</v>
      </c>
    </row>
    <row r="24" spans="1:6" x14ac:dyDescent="0.25">
      <c r="A24" t="s">
        <v>1886</v>
      </c>
      <c r="B24">
        <v>3</v>
      </c>
      <c r="F24">
        <v>2</v>
      </c>
    </row>
    <row r="25" spans="1:6" x14ac:dyDescent="0.25">
      <c r="A25" t="s">
        <v>1888</v>
      </c>
      <c r="B25">
        <v>3</v>
      </c>
      <c r="F25">
        <v>2</v>
      </c>
    </row>
    <row r="26" spans="1:6" x14ac:dyDescent="0.25">
      <c r="A26" t="s">
        <v>1890</v>
      </c>
      <c r="B26">
        <v>1</v>
      </c>
      <c r="F26">
        <v>3</v>
      </c>
    </row>
    <row r="27" spans="1:6" x14ac:dyDescent="0.25">
      <c r="A27" t="s">
        <v>1878</v>
      </c>
      <c r="B27">
        <v>1</v>
      </c>
      <c r="F27">
        <v>3</v>
      </c>
    </row>
    <row r="28" spans="1:6" x14ac:dyDescent="0.25">
      <c r="A28" t="s">
        <v>1883</v>
      </c>
      <c r="B28">
        <v>1</v>
      </c>
      <c r="F28">
        <v>3</v>
      </c>
    </row>
    <row r="29" spans="1:6" x14ac:dyDescent="0.25">
      <c r="A29" t="s">
        <v>1880</v>
      </c>
      <c r="B29">
        <v>1</v>
      </c>
      <c r="F29">
        <v>3</v>
      </c>
    </row>
    <row r="30" spans="1:6" x14ac:dyDescent="0.25">
      <c r="A30" t="s">
        <v>1882</v>
      </c>
      <c r="B30">
        <v>1</v>
      </c>
      <c r="F30">
        <v>3</v>
      </c>
    </row>
    <row r="31" spans="1:6" x14ac:dyDescent="0.25">
      <c r="A31" t="s">
        <v>486</v>
      </c>
      <c r="B31">
        <v>2</v>
      </c>
      <c r="F31">
        <v>3</v>
      </c>
    </row>
    <row r="32" spans="1:6" x14ac:dyDescent="0.25">
      <c r="A32" t="s">
        <v>226</v>
      </c>
      <c r="B32">
        <v>2</v>
      </c>
      <c r="F32">
        <v>3</v>
      </c>
    </row>
    <row r="33" spans="1:6" x14ac:dyDescent="0.25">
      <c r="A33" t="s">
        <v>1895</v>
      </c>
      <c r="B33">
        <v>2</v>
      </c>
      <c r="F33">
        <v>3</v>
      </c>
    </row>
    <row r="34" spans="1:6" x14ac:dyDescent="0.25">
      <c r="A34" t="s">
        <v>1893</v>
      </c>
      <c r="B34">
        <v>2</v>
      </c>
      <c r="F34">
        <v>3</v>
      </c>
    </row>
    <row r="35" spans="1:6" x14ac:dyDescent="0.25">
      <c r="A35" t="s">
        <v>1891</v>
      </c>
      <c r="B35">
        <v>3</v>
      </c>
      <c r="F35">
        <v>3</v>
      </c>
    </row>
    <row r="36" spans="1:6" x14ac:dyDescent="0.25">
      <c r="A36" t="s">
        <v>248</v>
      </c>
      <c r="B36">
        <v>3</v>
      </c>
      <c r="F36">
        <v>3</v>
      </c>
    </row>
    <row r="37" spans="1:6" x14ac:dyDescent="0.25">
      <c r="A37" t="s">
        <v>416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2015-12-01T16:02:16Z</dcterms:modified>
</cp:coreProperties>
</file>