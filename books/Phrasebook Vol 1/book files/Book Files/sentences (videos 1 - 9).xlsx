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Lebanese Arabic\Phrasebook Vol 1\book files\Book Files\"/>
    </mc:Choice>
  </mc:AlternateContent>
  <bookViews>
    <workbookView xWindow="240" yWindow="105" windowWidth="7815" windowHeight="9285"/>
  </bookViews>
  <sheets>
    <sheet name="Sheet1" sheetId="1" r:id="rId1"/>
    <sheet name="Sheet2" sheetId="2" r:id="rId2"/>
    <sheet name="Sheet3" sheetId="3" r:id="rId3"/>
    <sheet name="Sheet4" sheetId="4" r:id="rId4"/>
    <sheet name="crosswords" sheetId="5" r:id="rId5"/>
    <sheet name="wordsearch" sheetId="6" r:id="rId6"/>
  </sheets>
  <calcPr calcId="152511"/>
</workbook>
</file>

<file path=xl/calcChain.xml><?xml version="1.0" encoding="utf-8"?>
<calcChain xmlns="http://schemas.openxmlformats.org/spreadsheetml/2006/main">
  <c r="G52" i="5" l="1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1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1" i="5"/>
  <c r="A665" i="4"/>
  <c r="A693" i="4"/>
  <c r="A691" i="4"/>
  <c r="A689" i="4"/>
  <c r="A687" i="4"/>
  <c r="A685" i="4"/>
  <c r="A663" i="4"/>
  <c r="A659" i="4"/>
  <c r="A657" i="4"/>
  <c r="A655" i="4"/>
  <c r="A315" i="4"/>
  <c r="A313" i="4"/>
  <c r="A295" i="4"/>
  <c r="A293" i="4"/>
  <c r="A311" i="4"/>
  <c r="A241" i="4"/>
  <c r="A271" i="4"/>
  <c r="A269" i="4"/>
  <c r="A257" i="4"/>
  <c r="A695" i="4"/>
  <c r="A661" i="4"/>
  <c r="A683" i="4"/>
  <c r="A681" i="4"/>
  <c r="A679" i="4"/>
  <c r="A677" i="4"/>
  <c r="A675" i="4"/>
  <c r="A673" i="4"/>
  <c r="A671" i="4"/>
  <c r="A669" i="4"/>
  <c r="A667" i="4"/>
  <c r="A653" i="4"/>
  <c r="A651" i="4"/>
  <c r="A649" i="4"/>
  <c r="A647" i="4"/>
  <c r="A645" i="4"/>
  <c r="A643" i="4"/>
  <c r="A641" i="4"/>
  <c r="A639" i="4"/>
  <c r="A637" i="4"/>
  <c r="A635" i="4"/>
  <c r="A633" i="4"/>
  <c r="A631" i="4"/>
  <c r="A629" i="4"/>
  <c r="A627" i="4"/>
  <c r="A625" i="4"/>
  <c r="A623" i="4"/>
  <c r="A621" i="4"/>
  <c r="A619" i="4"/>
  <c r="A617" i="4"/>
  <c r="A615" i="4"/>
  <c r="A613" i="4"/>
  <c r="A611" i="4"/>
  <c r="A609" i="4"/>
  <c r="A607" i="4"/>
  <c r="A605" i="4"/>
  <c r="A603" i="4"/>
  <c r="A601" i="4"/>
  <c r="A599" i="4"/>
  <c r="A597" i="4"/>
  <c r="A595" i="4"/>
  <c r="A593" i="4"/>
  <c r="A591" i="4"/>
  <c r="A589" i="4"/>
  <c r="A587" i="4"/>
  <c r="A585" i="4"/>
  <c r="A583" i="4"/>
  <c r="A581" i="4"/>
  <c r="A579" i="4"/>
  <c r="A577" i="4"/>
  <c r="A575" i="4"/>
  <c r="A573" i="4"/>
  <c r="A571" i="4"/>
  <c r="A569" i="4"/>
  <c r="A567" i="4"/>
  <c r="A565" i="4"/>
  <c r="A563" i="4"/>
  <c r="A561" i="4"/>
  <c r="A559" i="4"/>
  <c r="A557" i="4"/>
  <c r="A555" i="4"/>
  <c r="A553" i="4"/>
  <c r="A551" i="4"/>
  <c r="A549" i="4"/>
  <c r="A547" i="4"/>
  <c r="A545" i="4"/>
  <c r="A543" i="4"/>
  <c r="A541" i="4"/>
  <c r="A539" i="4"/>
  <c r="A537" i="4"/>
  <c r="A535" i="4"/>
  <c r="A533" i="4"/>
  <c r="A531" i="4"/>
  <c r="A529" i="4"/>
  <c r="A527" i="4"/>
  <c r="A525" i="4"/>
  <c r="A523" i="4"/>
  <c r="A521" i="4"/>
  <c r="A519" i="4"/>
  <c r="A517" i="4"/>
  <c r="A515" i="4"/>
  <c r="A513" i="4"/>
  <c r="A511" i="4"/>
  <c r="A509" i="4"/>
  <c r="A507" i="4"/>
  <c r="A505" i="4"/>
  <c r="A503" i="4"/>
  <c r="A501" i="4"/>
  <c r="A499" i="4"/>
  <c r="A497" i="4"/>
  <c r="A495" i="4"/>
  <c r="A493" i="4"/>
  <c r="A491" i="4"/>
  <c r="A489" i="4"/>
  <c r="A487" i="4"/>
  <c r="A485" i="4"/>
  <c r="A483" i="4"/>
  <c r="A481" i="4"/>
  <c r="A479" i="4"/>
  <c r="A477" i="4"/>
  <c r="A475" i="4"/>
  <c r="A473" i="4"/>
  <c r="A471" i="4"/>
  <c r="A469" i="4"/>
  <c r="A467" i="4"/>
  <c r="A465" i="4"/>
  <c r="A463" i="4"/>
  <c r="A461" i="4"/>
  <c r="A459" i="4"/>
  <c r="A457" i="4"/>
  <c r="A455" i="4"/>
  <c r="A453" i="4"/>
  <c r="A451" i="4"/>
  <c r="A449" i="4"/>
  <c r="A447" i="4"/>
  <c r="A445" i="4"/>
  <c r="A443" i="4"/>
  <c r="A441" i="4"/>
  <c r="A439" i="4"/>
  <c r="A437" i="4"/>
  <c r="A435" i="4"/>
  <c r="A391" i="4"/>
  <c r="A389" i="4"/>
  <c r="A387" i="4"/>
  <c r="A385" i="4"/>
  <c r="A383" i="4"/>
  <c r="A433" i="4"/>
  <c r="A431" i="4"/>
  <c r="A429" i="4"/>
  <c r="A427" i="4"/>
  <c r="A425" i="4"/>
  <c r="A423" i="4"/>
  <c r="A421" i="4"/>
  <c r="A419" i="4"/>
  <c r="A417" i="4"/>
  <c r="A415" i="4"/>
  <c r="A413" i="4"/>
  <c r="A411" i="4"/>
  <c r="A409" i="4"/>
  <c r="A407" i="4"/>
  <c r="A405" i="4"/>
  <c r="A403" i="4"/>
  <c r="A401" i="4"/>
  <c r="A399" i="4"/>
  <c r="A397" i="4"/>
  <c r="A395" i="4"/>
  <c r="A393" i="4"/>
  <c r="A381" i="4"/>
  <c r="A379" i="4"/>
  <c r="A377" i="4"/>
  <c r="A375" i="4"/>
  <c r="A373" i="4"/>
  <c r="A371" i="4"/>
  <c r="A369" i="4"/>
  <c r="A367" i="4"/>
  <c r="A365" i="4"/>
  <c r="A363" i="4"/>
  <c r="A361" i="4"/>
  <c r="A359" i="4"/>
  <c r="A357" i="4"/>
  <c r="A355" i="4"/>
  <c r="A353" i="4"/>
  <c r="A351" i="4"/>
  <c r="A349" i="4"/>
  <c r="A347" i="4"/>
  <c r="A345" i="4"/>
  <c r="A343" i="4"/>
  <c r="A341" i="4"/>
  <c r="A339" i="4"/>
  <c r="A337" i="4"/>
  <c r="A335" i="4"/>
  <c r="A333" i="4"/>
  <c r="A331" i="4"/>
  <c r="A329" i="4"/>
  <c r="A327" i="4"/>
  <c r="A325" i="4"/>
  <c r="A323" i="4"/>
  <c r="A321" i="4"/>
  <c r="A319" i="4"/>
  <c r="A317" i="4"/>
  <c r="A309" i="4"/>
  <c r="A307" i="4"/>
  <c r="A305" i="4"/>
  <c r="A303" i="4"/>
  <c r="A301" i="4"/>
  <c r="A299" i="4"/>
  <c r="A291" i="4"/>
  <c r="A289" i="4"/>
  <c r="A263" i="4"/>
  <c r="A261" i="4"/>
  <c r="A259" i="4"/>
  <c r="A287" i="4"/>
  <c r="A285" i="4"/>
  <c r="A283" i="4"/>
  <c r="A281" i="4"/>
  <c r="A279" i="4"/>
  <c r="A277" i="4"/>
  <c r="A275" i="4"/>
  <c r="A273" i="4"/>
  <c r="A267" i="4"/>
  <c r="A265" i="4"/>
  <c r="A297" i="4"/>
  <c r="A255" i="4"/>
  <c r="A253" i="4"/>
  <c r="A251" i="4"/>
  <c r="A249" i="4"/>
  <c r="A247" i="4"/>
  <c r="A245" i="4"/>
  <c r="A243" i="4"/>
  <c r="A239" i="4"/>
  <c r="A237" i="4"/>
  <c r="A235" i="4"/>
  <c r="A233" i="4"/>
  <c r="A231" i="4"/>
  <c r="A229" i="4"/>
  <c r="A183" i="4"/>
  <c r="A179" i="4"/>
  <c r="A211" i="4"/>
  <c r="A209" i="4"/>
  <c r="A207" i="4"/>
  <c r="A205" i="4"/>
  <c r="A201" i="4"/>
  <c r="A89" i="4"/>
  <c r="A87" i="4"/>
  <c r="A203" i="4"/>
  <c r="A227" i="4"/>
  <c r="A225" i="4"/>
  <c r="A223" i="4"/>
  <c r="A221" i="4"/>
  <c r="A219" i="4"/>
  <c r="A217" i="4"/>
  <c r="A215" i="4"/>
  <c r="A213" i="4"/>
  <c r="A199" i="4"/>
  <c r="A197" i="4"/>
  <c r="A195" i="4"/>
  <c r="A193" i="4"/>
  <c r="A191" i="4"/>
  <c r="A189" i="4"/>
  <c r="A187" i="4"/>
  <c r="A185" i="4"/>
  <c r="A181" i="4"/>
  <c r="A159" i="4"/>
  <c r="A177" i="4"/>
  <c r="A175" i="4"/>
  <c r="A173" i="4"/>
  <c r="A171" i="4"/>
  <c r="A169" i="4"/>
  <c r="A167" i="4"/>
  <c r="A165" i="4"/>
  <c r="A163" i="4"/>
  <c r="A161" i="4"/>
  <c r="A157" i="4"/>
  <c r="A155" i="4"/>
  <c r="A153" i="4"/>
  <c r="A151" i="4"/>
  <c r="A149" i="4"/>
  <c r="A147" i="4"/>
  <c r="A145" i="4"/>
  <c r="A143" i="4"/>
  <c r="A141" i="4"/>
  <c r="A139" i="4"/>
  <c r="A137" i="4"/>
  <c r="A135" i="4"/>
  <c r="A133" i="4"/>
  <c r="A131" i="4"/>
  <c r="A129" i="4"/>
  <c r="A127" i="4"/>
  <c r="A125" i="4"/>
  <c r="A123" i="4"/>
  <c r="A121" i="4"/>
  <c r="A119" i="4"/>
  <c r="A117" i="4"/>
  <c r="A115" i="4"/>
  <c r="A113" i="4"/>
  <c r="A111" i="4"/>
  <c r="A109" i="4"/>
  <c r="A107" i="4"/>
  <c r="A105" i="4"/>
  <c r="A103" i="4"/>
  <c r="A101" i="4"/>
  <c r="A99" i="4"/>
  <c r="A97" i="4"/>
  <c r="A95" i="4"/>
  <c r="A93" i="4"/>
  <c r="A91" i="4"/>
  <c r="A85" i="4"/>
  <c r="A83" i="4"/>
  <c r="A81" i="4"/>
  <c r="A79" i="4"/>
  <c r="A77" i="4"/>
  <c r="A75" i="4"/>
  <c r="A73" i="4"/>
  <c r="A71" i="4"/>
  <c r="A69" i="4"/>
  <c r="A67" i="4"/>
  <c r="A57" i="4"/>
  <c r="A49" i="4"/>
  <c r="A47" i="4"/>
  <c r="A65" i="4"/>
  <c r="A63" i="4"/>
  <c r="A61" i="4"/>
  <c r="A59" i="4"/>
  <c r="A55" i="4"/>
  <c r="A53" i="4"/>
  <c r="A51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5" i="4"/>
  <c r="A3" i="4"/>
  <c r="A1" i="4"/>
  <c r="F1" i="4"/>
  <c r="F28" i="4"/>
  <c r="F27" i="4"/>
  <c r="F26" i="4"/>
  <c r="F24" i="4"/>
  <c r="F22" i="4"/>
  <c r="F20" i="4"/>
  <c r="F18" i="4"/>
  <c r="F16" i="4"/>
  <c r="F14" i="4"/>
  <c r="F12" i="4"/>
  <c r="F10" i="4"/>
  <c r="F8" i="4"/>
  <c r="F6" i="4"/>
  <c r="F4" i="4"/>
  <c r="F2" i="4"/>
  <c r="F25" i="4"/>
  <c r="F23" i="4"/>
  <c r="F21" i="4"/>
  <c r="F19" i="4"/>
  <c r="F17" i="4"/>
  <c r="F15" i="4"/>
  <c r="F13" i="4"/>
  <c r="F11" i="4"/>
  <c r="F9" i="4"/>
  <c r="F7" i="4"/>
  <c r="F5" i="4"/>
  <c r="F3" i="4"/>
  <c r="M1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" i="4"/>
  <c r="G10" i="1"/>
</calcChain>
</file>

<file path=xl/sharedStrings.xml><?xml version="1.0" encoding="utf-8"?>
<sst xmlns="http://schemas.openxmlformats.org/spreadsheetml/2006/main" count="4060" uniqueCount="1901">
  <si>
    <t xml:space="preserve">Hello how are you </t>
  </si>
  <si>
    <t xml:space="preserve"> Marhaba kifak/kifik?</t>
  </si>
  <si>
    <t xml:space="preserve">My name is maria I come from mexico to study arabic </t>
  </si>
  <si>
    <t xml:space="preserve"> esmeh maria jeyeh mnel mexic edrous arabeh</t>
  </si>
  <si>
    <t xml:space="preserve">I work as a translator </t>
  </si>
  <si>
    <t xml:space="preserve"> beshteghil terjmein</t>
  </si>
  <si>
    <t>Welcome to lebanon</t>
  </si>
  <si>
    <t xml:space="preserve"> ahla w sahla b lebnen</t>
  </si>
  <si>
    <t xml:space="preserve">Excuse me my baggage is late </t>
  </si>
  <si>
    <t xml:space="preserve"> afwan, shenateh/ghradeh taakharit</t>
  </si>
  <si>
    <t xml:space="preserve">Excuse me I lost my baggage </t>
  </si>
  <si>
    <t xml:space="preserve"> afwan, dayyaet shenateh/ghradeh</t>
  </si>
  <si>
    <t xml:space="preserve">Excuse me I want to exchange money </t>
  </si>
  <si>
    <t xml:space="preserve"> afwan bade sarrif masareh</t>
  </si>
  <si>
    <t xml:space="preserve">Hello I want to go to ashrafieh </t>
  </si>
  <si>
    <t xml:space="preserve"> marhaba, baddeh rouh aal achrafieh</t>
  </si>
  <si>
    <t xml:space="preserve">How much do you want </t>
  </si>
  <si>
    <t xml:space="preserve"> adde betrid?</t>
  </si>
  <si>
    <t xml:space="preserve">Hello I want to reserve a room </t>
  </si>
  <si>
    <t xml:space="preserve"> marhaba baddeh ehjouz ouda</t>
  </si>
  <si>
    <t xml:space="preserve">I want it for one week </t>
  </si>
  <si>
    <t xml:space="preserve"> baddeh yeha la jemaa</t>
  </si>
  <si>
    <t xml:space="preserve">How much should I pay </t>
  </si>
  <si>
    <t xml:space="preserve"> addeh lezim edfaa</t>
  </si>
  <si>
    <t xml:space="preserve">I want the cheaper room </t>
  </si>
  <si>
    <t xml:space="preserve"> baddeh arkhas ouda</t>
  </si>
  <si>
    <t xml:space="preserve">What time is the breakfast </t>
  </si>
  <si>
    <t xml:space="preserve"> ayya seaa el terwiaa</t>
  </si>
  <si>
    <t xml:space="preserve">Does the bus pass by here </t>
  </si>
  <si>
    <t xml:space="preserve"> byotaa el bus mn hon</t>
  </si>
  <si>
    <t xml:space="preserve">Last question, is there a map </t>
  </si>
  <si>
    <t xml:space="preserve"> ekhir soual, fi kharita</t>
  </si>
  <si>
    <t xml:space="preserve">Valentine’s Day </t>
  </si>
  <si>
    <t xml:space="preserve"> eed el hobb</t>
  </si>
  <si>
    <t xml:space="preserve">Red </t>
  </si>
  <si>
    <t xml:space="preserve"> ahmar/hamra</t>
  </si>
  <si>
    <t xml:space="preserve">Red flower </t>
  </si>
  <si>
    <t xml:space="preserve">Red balloon </t>
  </si>
  <si>
    <t xml:space="preserve"> balon ahmar</t>
  </si>
  <si>
    <t xml:space="preserve">Heart </t>
  </si>
  <si>
    <t xml:space="preserve"> aleb</t>
  </si>
  <si>
    <t xml:space="preserve">I love you </t>
  </si>
  <si>
    <t xml:space="preserve"> bhebbak/bhebbik</t>
  </si>
  <si>
    <t xml:space="preserve">I miss you </t>
  </si>
  <si>
    <t xml:space="preserve"> shtaatellak/shtaatellik</t>
  </si>
  <si>
    <t xml:space="preserve">A kiss </t>
  </si>
  <si>
    <t xml:space="preserve"> bawseh</t>
  </si>
  <si>
    <t xml:space="preserve">Good evening </t>
  </si>
  <si>
    <t xml:space="preserve"> Masa el Kheir</t>
  </si>
  <si>
    <t xml:space="preserve">Zero </t>
  </si>
  <si>
    <t xml:space="preserve"> sefer</t>
  </si>
  <si>
    <t xml:space="preserve">One </t>
  </si>
  <si>
    <t xml:space="preserve"> wahad</t>
  </si>
  <si>
    <t xml:space="preserve">Two </t>
  </si>
  <si>
    <t xml:space="preserve"> tnen</t>
  </si>
  <si>
    <t xml:space="preserve">Three </t>
  </si>
  <si>
    <t xml:space="preserve"> tleteh</t>
  </si>
  <si>
    <t xml:space="preserve">Four </t>
  </si>
  <si>
    <t xml:space="preserve"> arbaa</t>
  </si>
  <si>
    <t xml:space="preserve">Five </t>
  </si>
  <si>
    <t xml:space="preserve"> khamseh</t>
  </si>
  <si>
    <t xml:space="preserve">Six </t>
  </si>
  <si>
    <t xml:space="preserve"> setteh</t>
  </si>
  <si>
    <t xml:space="preserve">Seven </t>
  </si>
  <si>
    <t xml:space="preserve"> sabaa</t>
  </si>
  <si>
    <t xml:space="preserve">Eight </t>
  </si>
  <si>
    <t xml:space="preserve"> tmeneh</t>
  </si>
  <si>
    <t xml:space="preserve">Nine </t>
  </si>
  <si>
    <t xml:space="preserve"> tesaa</t>
  </si>
  <si>
    <t xml:space="preserve">Ten </t>
  </si>
  <si>
    <t xml:space="preserve"> aashra</t>
  </si>
  <si>
    <t xml:space="preserve"> meetein w khamseen</t>
  </si>
  <si>
    <t xml:space="preserve"> khams miyyeh</t>
  </si>
  <si>
    <t xml:space="preserve"> alf</t>
  </si>
  <si>
    <t xml:space="preserve"> khams-t-aleif</t>
  </si>
  <si>
    <t xml:space="preserve"> aasher-t-aleif</t>
  </si>
  <si>
    <t>ishreen alef</t>
  </si>
  <si>
    <t>khamseen alf</t>
  </si>
  <si>
    <t>meet alf</t>
  </si>
  <si>
    <t xml:space="preserve">Where am I? </t>
  </si>
  <si>
    <t xml:space="preserve"> ana wein?</t>
  </si>
  <si>
    <t xml:space="preserve">What’s the name of the street </t>
  </si>
  <si>
    <t xml:space="preserve"> shou esm el sherii</t>
  </si>
  <si>
    <t xml:space="preserve">How to go to Hamra </t>
  </si>
  <si>
    <t xml:space="preserve"> Kif brouh aal Hamra</t>
  </si>
  <si>
    <t xml:space="preserve">Which bus should I take? </t>
  </si>
  <si>
    <t xml:space="preserve"> Ayya bus bekhoud?</t>
  </si>
  <si>
    <t xml:space="preserve">Is there a restaurant nearby? </t>
  </si>
  <si>
    <t xml:space="preserve"> Fi mataam arib men hon?</t>
  </si>
  <si>
    <t xml:space="preserve">Road </t>
  </si>
  <si>
    <t xml:space="preserve"> tarii</t>
  </si>
  <si>
    <t xml:space="preserve">Square </t>
  </si>
  <si>
    <t xml:space="preserve"> seiha</t>
  </si>
  <si>
    <t xml:space="preserve">Left </t>
  </si>
  <si>
    <t xml:space="preserve"> shmeil</t>
  </si>
  <si>
    <t xml:space="preserve">Right </t>
  </si>
  <si>
    <t xml:space="preserve"> yameen</t>
  </si>
  <si>
    <t xml:space="preserve">Straight </t>
  </si>
  <si>
    <t xml:space="preserve"> deghreh</t>
  </si>
  <si>
    <t xml:space="preserve">I want </t>
  </si>
  <si>
    <t xml:space="preserve"> Ana baddeh</t>
  </si>
  <si>
    <t xml:space="preserve">I want to eat </t>
  </si>
  <si>
    <t xml:space="preserve"> baddeh ekol</t>
  </si>
  <si>
    <t xml:space="preserve">I want to drink </t>
  </si>
  <si>
    <t xml:space="preserve"> baddeh eshrab</t>
  </si>
  <si>
    <t xml:space="preserve">I want to sleep </t>
  </si>
  <si>
    <t xml:space="preserve"> baddeh nem</t>
  </si>
  <si>
    <t xml:space="preserve">I want to work </t>
  </si>
  <si>
    <t xml:space="preserve"> baddeh eshteghil</t>
  </si>
  <si>
    <t xml:space="preserve">I want to study </t>
  </si>
  <si>
    <t xml:space="preserve"> baddeh edrous</t>
  </si>
  <si>
    <t xml:space="preserve">I want money </t>
  </si>
  <si>
    <t xml:space="preserve"> baddeh masareh</t>
  </si>
  <si>
    <t xml:space="preserve">I want to dance </t>
  </si>
  <si>
    <t xml:space="preserve"> baddeh oroos</t>
  </si>
  <si>
    <t xml:space="preserve">What do you want? </t>
  </si>
  <si>
    <t xml:space="preserve">Do you want something? </t>
  </si>
  <si>
    <t xml:space="preserve"> baddak shi? Baddik shi? Badkoun shi?</t>
  </si>
  <si>
    <t xml:space="preserve">Today </t>
  </si>
  <si>
    <t xml:space="preserve"> lyom</t>
  </si>
  <si>
    <t xml:space="preserve">Today is Monday </t>
  </si>
  <si>
    <t xml:space="preserve"> lyom el tanein</t>
  </si>
  <si>
    <t xml:space="preserve">Autumn </t>
  </si>
  <si>
    <t xml:space="preserve"> kharif</t>
  </si>
  <si>
    <t xml:space="preserve">Winter </t>
  </si>
  <si>
    <t xml:space="preserve"> el shete</t>
  </si>
  <si>
    <t xml:space="preserve">Spring </t>
  </si>
  <si>
    <t xml:space="preserve"> rabii</t>
  </si>
  <si>
    <t xml:space="preserve">Summer </t>
  </si>
  <si>
    <t xml:space="preserve"> seif</t>
  </si>
  <si>
    <t xml:space="preserve">We are now in the spring </t>
  </si>
  <si>
    <t xml:space="preserve"> nehna halaa b fasl el rabii</t>
  </si>
  <si>
    <t xml:space="preserve">It’s sunny but it’s not very hot </t>
  </si>
  <si>
    <t xml:space="preserve"> fi shames w mesh ktir shob</t>
  </si>
  <si>
    <t xml:space="preserve">In the summer we go to the beach </t>
  </si>
  <si>
    <t xml:space="preserve"> bl seif mn rouh aal baher</t>
  </si>
  <si>
    <t xml:space="preserve"> el shames aam betghib</t>
  </si>
  <si>
    <t xml:space="preserve">Morning </t>
  </si>
  <si>
    <t xml:space="preserve"> sobeh</t>
  </si>
  <si>
    <t xml:space="preserve">Noon </t>
  </si>
  <si>
    <t xml:space="preserve"> doher</t>
  </si>
  <si>
    <t xml:space="preserve">Night </t>
  </si>
  <si>
    <t xml:space="preserve"> leil</t>
  </si>
  <si>
    <t xml:space="preserve">Home </t>
  </si>
  <si>
    <t xml:space="preserve"> beit</t>
  </si>
  <si>
    <t xml:space="preserve">Apartement </t>
  </si>
  <si>
    <t xml:space="preserve"> cheaa</t>
  </si>
  <si>
    <t xml:space="preserve">An apartment for rent </t>
  </si>
  <si>
    <t xml:space="preserve"> sheaa lal ajar</t>
  </si>
  <si>
    <t xml:space="preserve">I’m looking for an apartment to rent </t>
  </si>
  <si>
    <t xml:space="preserve"> ana aam fattish ala sheaa lala ajar</t>
  </si>
  <si>
    <t xml:space="preserve">Where can I find an apartment to rent </t>
  </si>
  <si>
    <t xml:space="preserve"> wein fineh le’eh sheaa lal ajar</t>
  </si>
  <si>
    <t xml:space="preserve">How much should I pay per month </t>
  </si>
  <si>
    <t xml:space="preserve"> addeh lezim edfaa bel shaher?</t>
  </si>
  <si>
    <t xml:space="preserve">Are the electricity and water bills included? </t>
  </si>
  <si>
    <t xml:space="preserve"> l kahraba wel may domn l ajar?</t>
  </si>
  <si>
    <t xml:space="preserve">Is the bathroom common? </t>
  </si>
  <si>
    <t xml:space="preserve"> l hemmeim moushtarak?</t>
  </si>
  <si>
    <t xml:space="preserve">I’m looking for a small room with one bed </t>
  </si>
  <si>
    <t xml:space="preserve"> ana aam fattish aala ouda zghireh maa takhet wahad</t>
  </si>
  <si>
    <t xml:space="preserve">Good morning </t>
  </si>
  <si>
    <t xml:space="preserve"> sabah el kheir / sabah el nour</t>
  </si>
  <si>
    <t xml:space="preserve"> masa el kheir / masa el nour</t>
  </si>
  <si>
    <t xml:space="preserve">How are you? </t>
  </si>
  <si>
    <t xml:space="preserve"> kifak? Kifik?</t>
  </si>
  <si>
    <t xml:space="preserve">What’s new </t>
  </si>
  <si>
    <t xml:space="preserve"> shou fi jdid?</t>
  </si>
  <si>
    <t xml:space="preserve">What happened? </t>
  </si>
  <si>
    <t xml:space="preserve"> chou sar?</t>
  </si>
  <si>
    <t xml:space="preserve">What’s happening? </t>
  </si>
  <si>
    <t xml:space="preserve"> chou aam b sir? Chou fi?</t>
  </si>
  <si>
    <t xml:space="preserve">How was your day? </t>
  </si>
  <si>
    <t xml:space="preserve"> kif ken nharak? Kif ken nharik? Kif ken nharkoun?</t>
  </si>
  <si>
    <t xml:space="preserve">It was nice seeing you </t>
  </si>
  <si>
    <t xml:space="preserve"> mbasatet sheftak / mbasatet sheftik / mbasatet sheftkoun</t>
  </si>
  <si>
    <t xml:space="preserve">What are you doing tomorrow </t>
  </si>
  <si>
    <t xml:space="preserve"> shou aamil bukra? / aamleh / aamleen</t>
  </si>
  <si>
    <t xml:space="preserve">I will see you soon </t>
  </si>
  <si>
    <t xml:space="preserve"> bshoufak ariban / bshoufik / bshoufkoun</t>
  </si>
  <si>
    <t xml:space="preserve">I will call you </t>
  </si>
  <si>
    <t xml:space="preserve"> behkik / behkikeh / behkikoun</t>
  </si>
  <si>
    <t xml:space="preserve"> shou baddak?  /  shou baddik?</t>
  </si>
  <si>
    <t>wa</t>
  </si>
  <si>
    <t>Me and my friend are studying</t>
  </si>
  <si>
    <t>ana w rfi'te aam nedrous</t>
  </si>
  <si>
    <t>fa</t>
  </si>
  <si>
    <t>bas</t>
  </si>
  <si>
    <t>I would like to come but I'm traveling</t>
  </si>
  <si>
    <t>aabeleh ejeh bas msefra/msefar</t>
  </si>
  <si>
    <t>aala</t>
  </si>
  <si>
    <t>hiyeh rayha aal nedeh</t>
  </si>
  <si>
    <t>ta</t>
  </si>
  <si>
    <t>kol el aarous baadein el chocolat</t>
  </si>
  <si>
    <t>fa akhiran tafa'na aala el lon el ahmar</t>
  </si>
  <si>
    <t>I will call you when I get back</t>
  </si>
  <si>
    <t>behkik lamma erjaa</t>
  </si>
  <si>
    <t>I buy milk from the supermarket</t>
  </si>
  <si>
    <t>ana bechtereh halib men l supermarket</t>
  </si>
  <si>
    <t>ktebeh aala el tawleh</t>
  </si>
  <si>
    <t>I'm talking about last night</t>
  </si>
  <si>
    <t>aam behke aan mberi7</t>
  </si>
  <si>
    <t>howeh 'al enno jeyeh</t>
  </si>
  <si>
    <t>howeh 'al enna jeyeh</t>
  </si>
  <si>
    <t>I am here because I lost my baggage</t>
  </si>
  <si>
    <t>ana hon la'enno dayyaet ghradeh/shenateh</t>
  </si>
  <si>
    <t>amis</t>
  </si>
  <si>
    <t>scarbineh</t>
  </si>
  <si>
    <t>sobbat</t>
  </si>
  <si>
    <t>Dress</t>
  </si>
  <si>
    <t>fostan</t>
  </si>
  <si>
    <t>aawayneit</t>
  </si>
  <si>
    <t>fik tseedneh/fikeh tseedineh?</t>
  </si>
  <si>
    <t>fi gheir 'iyeis</t>
  </si>
  <si>
    <t>I need a smaller one</t>
  </si>
  <si>
    <t>badde 'iyeis asghar</t>
  </si>
  <si>
    <t>I need a larger one</t>
  </si>
  <si>
    <t>badde 'iyeis akbar</t>
  </si>
  <si>
    <t>In how many colors does it come</t>
  </si>
  <si>
    <t>kam lon fi menna</t>
  </si>
  <si>
    <t>addeh ha'o/ha'a</t>
  </si>
  <si>
    <t>fi/aamlin sale?</t>
  </si>
  <si>
    <t>helwe/helo aalaye?</t>
  </si>
  <si>
    <t>fik trakhesleh/fike trakhsileh/fik taamelleh seiir/fikeh taamlileh seiir?</t>
  </si>
  <si>
    <t>Family</t>
  </si>
  <si>
    <t>ayyleh</t>
  </si>
  <si>
    <t>khaleh</t>
  </si>
  <si>
    <t>aammeh</t>
  </si>
  <si>
    <t>eben khaleh/khelteh/aammeh/amteh</t>
  </si>
  <si>
    <t>bent khaleh/khelteh/aammeh/amteh</t>
  </si>
  <si>
    <t>bayyeh</t>
  </si>
  <si>
    <t>emmeh</t>
  </si>
  <si>
    <t>khayyeh</t>
  </si>
  <si>
    <t>ekhteh</t>
  </si>
  <si>
    <t>setteh</t>
  </si>
  <si>
    <t>jeddeh</t>
  </si>
  <si>
    <t>aammteh</t>
  </si>
  <si>
    <t>khalteh</t>
  </si>
  <si>
    <t>jawzeh</t>
  </si>
  <si>
    <t>ebneh</t>
  </si>
  <si>
    <t>benteh</t>
  </si>
  <si>
    <t>hameiteh/mart aammeh</t>
  </si>
  <si>
    <t>marteh</t>
  </si>
  <si>
    <t>I</t>
  </si>
  <si>
    <t>ana</t>
  </si>
  <si>
    <t>You</t>
  </si>
  <si>
    <t>enta/enteh</t>
  </si>
  <si>
    <t>howeh</t>
  </si>
  <si>
    <t>hiyeh</t>
  </si>
  <si>
    <t>nehna</t>
  </si>
  <si>
    <t>ento</t>
  </si>
  <si>
    <t>henneh</t>
  </si>
  <si>
    <t>I'm going</t>
  </si>
  <si>
    <t>ana rayha</t>
  </si>
  <si>
    <t>enta rayih/ente rayha</t>
  </si>
  <si>
    <t>howeh rayih</t>
  </si>
  <si>
    <t>hiyyeh rayha</t>
  </si>
  <si>
    <t>nehna rayhin</t>
  </si>
  <si>
    <t>ento rayhin</t>
  </si>
  <si>
    <t>henneh rayhin</t>
  </si>
  <si>
    <t>I went</t>
  </si>
  <si>
    <t>ana rehet</t>
  </si>
  <si>
    <t>enta rehet/ente rehte</t>
  </si>
  <si>
    <t>howe rah</t>
  </si>
  <si>
    <t>hiyeh rahit</t>
  </si>
  <si>
    <t>nehna rehna</t>
  </si>
  <si>
    <t>ento rehto</t>
  </si>
  <si>
    <t>henneh raho</t>
  </si>
  <si>
    <t>I will go</t>
  </si>
  <si>
    <t>ana rah rouh</t>
  </si>
  <si>
    <t>enta rah trouh/ente rah trouhe</t>
  </si>
  <si>
    <t>howeh rah yrouh</t>
  </si>
  <si>
    <t>hiyeh rah trouh</t>
  </si>
  <si>
    <t>nehnra rah nrouh</t>
  </si>
  <si>
    <t>ento rah trouho</t>
  </si>
  <si>
    <t>henneh rah yrouho</t>
  </si>
  <si>
    <t>Monday</t>
  </si>
  <si>
    <t>tanen</t>
  </si>
  <si>
    <t>taleta</t>
  </si>
  <si>
    <t>orbaa</t>
  </si>
  <si>
    <t>khamis</t>
  </si>
  <si>
    <t>jemaa</t>
  </si>
  <si>
    <t>sabet</t>
  </si>
  <si>
    <t>ahad</t>
  </si>
  <si>
    <t>Tuesday</t>
  </si>
  <si>
    <t>Thursday</t>
  </si>
  <si>
    <t>Friday</t>
  </si>
  <si>
    <t>Saturday</t>
  </si>
  <si>
    <t>Sunday</t>
  </si>
  <si>
    <t>shou esmak/esmik</t>
  </si>
  <si>
    <t>shou bteshteghil/bteshteghle</t>
  </si>
  <si>
    <t>shou btedrous/btedrseh</t>
  </si>
  <si>
    <t>shou daraset/darasteh</t>
  </si>
  <si>
    <t>min wein enta/ente</t>
  </si>
  <si>
    <t>wein eeiid/eeideh/sekin/sekneh/aayish/aaysheh</t>
  </si>
  <si>
    <t>shou btaamil/btaamleh baaed sheghlak/sheghlik</t>
  </si>
  <si>
    <t>btaamil/btaamleh sport</t>
  </si>
  <si>
    <t>shou raamak/raamik</t>
  </si>
  <si>
    <t>rah ehkik/ehkike barke mnaamil shi, shi nhar</t>
  </si>
  <si>
    <t>I'll call you maybe we'll go out someday</t>
  </si>
  <si>
    <t>I'm eating</t>
  </si>
  <si>
    <t>I eat</t>
  </si>
  <si>
    <t>You eat</t>
  </si>
  <si>
    <t>ana bekoul</t>
  </si>
  <si>
    <t>enta btekoul/ente btekleh</t>
  </si>
  <si>
    <t>howeh byekoul</t>
  </si>
  <si>
    <t>hiyeh btekoul</t>
  </si>
  <si>
    <t>nehna mnekoul</t>
  </si>
  <si>
    <t>ento bteklo</t>
  </si>
  <si>
    <t>henneh byeklo</t>
  </si>
  <si>
    <t>ana aam bekoul</t>
  </si>
  <si>
    <t>enta aam tekoul/ente aam tekleh</t>
  </si>
  <si>
    <t>howeh aam yekoul</t>
  </si>
  <si>
    <t>hiyyeh aam tekoul</t>
  </si>
  <si>
    <t>ente aam teklo</t>
  </si>
  <si>
    <t>nehna aam nekoul</t>
  </si>
  <si>
    <t>henneh aam yeklo</t>
  </si>
  <si>
    <t>I ate</t>
  </si>
  <si>
    <t>ana akalet</t>
  </si>
  <si>
    <t>enta akalet/ente akalteh</t>
  </si>
  <si>
    <t>howeh akal</t>
  </si>
  <si>
    <t>hiyeh akalit</t>
  </si>
  <si>
    <t>nehna akalna</t>
  </si>
  <si>
    <t>ento akalto</t>
  </si>
  <si>
    <t>henneh akalo</t>
  </si>
  <si>
    <t>I will eat</t>
  </si>
  <si>
    <t>ana rah ekoul</t>
  </si>
  <si>
    <t>enta rah tekoul/ente rah tekleh</t>
  </si>
  <si>
    <t>howeh rah yekoul</t>
  </si>
  <si>
    <t>hiyeh rah tekoul</t>
  </si>
  <si>
    <t>nehna rah nekoul</t>
  </si>
  <si>
    <t>ento rah teklo</t>
  </si>
  <si>
    <t>henneh rah yeklo</t>
  </si>
  <si>
    <t>mileid majid</t>
  </si>
  <si>
    <t>aam saiid</t>
  </si>
  <si>
    <t>I have</t>
  </si>
  <si>
    <t>ana aandi</t>
  </si>
  <si>
    <t>howe aando</t>
  </si>
  <si>
    <t>hiyeh aanda</t>
  </si>
  <si>
    <t>nehna aanna</t>
  </si>
  <si>
    <t>ento aandkoun</t>
  </si>
  <si>
    <t>henne andoun</t>
  </si>
  <si>
    <t>I had</t>
  </si>
  <si>
    <t>ana ken aande</t>
  </si>
  <si>
    <t>enta ken aandak/ente ken aandik</t>
  </si>
  <si>
    <t>howeh ken aando</t>
  </si>
  <si>
    <t>hiyeh ken aanda</t>
  </si>
  <si>
    <t>nehna ken aanna</t>
  </si>
  <si>
    <t>ento ken aandkoun</t>
  </si>
  <si>
    <t>henne ken aandoun</t>
  </si>
  <si>
    <t>enta aandak/ente aandik</t>
  </si>
  <si>
    <t>I will have</t>
  </si>
  <si>
    <t>ana rah ysir aande</t>
  </si>
  <si>
    <t>enta rah ysir aandak/ente rah ysir aandik</t>
  </si>
  <si>
    <t>howe rah ysir aando</t>
  </si>
  <si>
    <t>hiyeh rah yir aanda</t>
  </si>
  <si>
    <t>nehna rah ysir aanna</t>
  </si>
  <si>
    <t>ento rah ysir aandkoun</t>
  </si>
  <si>
    <t>henne rah ysir aandoun</t>
  </si>
  <si>
    <t>sharaab el ward</t>
  </si>
  <si>
    <t>rezz</t>
  </si>
  <si>
    <t>zerr</t>
  </si>
  <si>
    <t>zammour</t>
  </si>
  <si>
    <t>fared</t>
  </si>
  <si>
    <t>amar</t>
  </si>
  <si>
    <t>I draw</t>
  </si>
  <si>
    <t>enta btersoum/ ente btersmeh</t>
  </si>
  <si>
    <t>ento btersmo</t>
  </si>
  <si>
    <t>henneh byersmo</t>
  </si>
  <si>
    <t>ana bersom</t>
  </si>
  <si>
    <t>howeh byersum</t>
  </si>
  <si>
    <t>hiyeh btersom</t>
  </si>
  <si>
    <t>nehna mnersom</t>
  </si>
  <si>
    <t>I drew</t>
  </si>
  <si>
    <t>ana rasamet</t>
  </si>
  <si>
    <t>enta rasamet/ente rasamte</t>
  </si>
  <si>
    <t>howeh rasam</t>
  </si>
  <si>
    <t>hiyeh rasamit</t>
  </si>
  <si>
    <t>nehna rasamna</t>
  </si>
  <si>
    <t>ento rasamto</t>
  </si>
  <si>
    <t>henneh rasamo</t>
  </si>
  <si>
    <t>I used to draw</t>
  </si>
  <si>
    <t>enta kenet tersoum/ente kente tersmeh</t>
  </si>
  <si>
    <t>ento kento tersmo</t>
  </si>
  <si>
    <t>henneh keno yersmo</t>
  </si>
  <si>
    <t>ana kenet ersom</t>
  </si>
  <si>
    <t>howe ken yersom</t>
  </si>
  <si>
    <t>hiyeh kenit tersom</t>
  </si>
  <si>
    <t>nehna kenna nersom</t>
  </si>
  <si>
    <t>I will draw</t>
  </si>
  <si>
    <t>ana rah ersom</t>
  </si>
  <si>
    <t>enta rah tersom/ente rah tersmeh</t>
  </si>
  <si>
    <t>hiyeh rah tersom</t>
  </si>
  <si>
    <t>nehna rah nersom</t>
  </si>
  <si>
    <t>ento rah tersmo</t>
  </si>
  <si>
    <t>henneh rah yersmo</t>
  </si>
  <si>
    <t>howeh rah yersom</t>
  </si>
  <si>
    <t>ehseis/shoeoor</t>
  </si>
  <si>
    <t>ahasees/mashaiir</t>
  </si>
  <si>
    <t>hezen/za'aal</t>
  </si>
  <si>
    <t>I'm sad I want to cry</t>
  </si>
  <si>
    <t>ana zeelen/zeeleneh baddeh ebkeh</t>
  </si>
  <si>
    <t>ehbat/ka'abeh</t>
  </si>
  <si>
    <t>howeh ktir mohbat</t>
  </si>
  <si>
    <t>to'sib</t>
  </si>
  <si>
    <t>farah/saadeh</t>
  </si>
  <si>
    <t>mseyneh/bseynteh deyman byombosit/btombosit bas yshoufneh/tshoufneh</t>
  </si>
  <si>
    <t>tafe'oul</t>
  </si>
  <si>
    <t>lezim tetfe'al</t>
  </si>
  <si>
    <t>tashe'oum</t>
  </si>
  <si>
    <t>lamma shouf bseyn aswad bsir metshe'am/metshe'meh</t>
  </si>
  <si>
    <t>nashweh</t>
  </si>
  <si>
    <t>fakher</t>
  </si>
  <si>
    <t>khajal</t>
  </si>
  <si>
    <t>ala'</t>
  </si>
  <si>
    <t>hiyeh deyman bto'tal hamm</t>
  </si>
  <si>
    <t>samak</t>
  </si>
  <si>
    <t>hares</t>
  </si>
  <si>
    <t>shmeil</t>
  </si>
  <si>
    <t>hashish</t>
  </si>
  <si>
    <t>shames</t>
  </si>
  <si>
    <t>ahmar/hamra</t>
  </si>
  <si>
    <t>akhdar/khadra</t>
  </si>
  <si>
    <t>azra'/zar'a</t>
  </si>
  <si>
    <t>asfar/safra</t>
  </si>
  <si>
    <t>aswad/sawda</t>
  </si>
  <si>
    <t>abyad/bayda</t>
  </si>
  <si>
    <t>rmedeh</t>
  </si>
  <si>
    <t>banafsajeh</t>
  </si>
  <si>
    <t>zahreh</t>
  </si>
  <si>
    <t>benneh</t>
  </si>
  <si>
    <t>sayf/sayfiyeh</t>
  </si>
  <si>
    <t>shou aamil/aamleh/aamlin hal sayfiyeh</t>
  </si>
  <si>
    <t>taaa/taeh/tao nrouh aal baher</t>
  </si>
  <si>
    <t>I love to eat ice cream</t>
  </si>
  <si>
    <t>bheb ekoul bouza</t>
  </si>
  <si>
    <t>wein fina nrouh nesbah</t>
  </si>
  <si>
    <t>wein a'rab baher</t>
  </si>
  <si>
    <t>v</t>
  </si>
  <si>
    <t>English</t>
  </si>
  <si>
    <t>Lebanese transcription</t>
  </si>
  <si>
    <t>Video</t>
  </si>
  <si>
    <t>esmeh Maria, jeyeh mnel mexeec edrous 3arabeh</t>
  </si>
  <si>
    <t>beshteghil terjmein</t>
  </si>
  <si>
    <t>ahla w sahla b lebnein</t>
  </si>
  <si>
    <t>3afwan, baddeh sarrif masareh</t>
  </si>
  <si>
    <t>marHaba, baddeh rouH 3al Ashrafieh</t>
  </si>
  <si>
    <t>addeh betreed?</t>
  </si>
  <si>
    <t>marHaba baddeh eHjouz ouda</t>
  </si>
  <si>
    <t>baddeh yeha la jem3a</t>
  </si>
  <si>
    <t>addeh lezim edfa3?</t>
  </si>
  <si>
    <t>baddeh arkhas ouda</t>
  </si>
  <si>
    <t>ayya se3a el terwee'a?</t>
  </si>
  <si>
    <t>byo'ta3 el bus mn hon?</t>
  </si>
  <si>
    <t>ekhir sou'aal, fi khareeta?</t>
  </si>
  <si>
    <t>3eed el Hobb</t>
  </si>
  <si>
    <t>wardeh Hamra</t>
  </si>
  <si>
    <t>balon aHmar</t>
  </si>
  <si>
    <t>aleb</t>
  </si>
  <si>
    <t>Hamra/aHmar</t>
  </si>
  <si>
    <t>bawseh</t>
  </si>
  <si>
    <t>masa el kheir</t>
  </si>
  <si>
    <t>sefer</t>
  </si>
  <si>
    <t>waHad</t>
  </si>
  <si>
    <t>tnein</t>
  </si>
  <si>
    <t>tleiteh</t>
  </si>
  <si>
    <t>arb3a</t>
  </si>
  <si>
    <t>khamseh</t>
  </si>
  <si>
    <t>sab3a</t>
  </si>
  <si>
    <t>tmeineh</t>
  </si>
  <si>
    <t>tes3a</t>
  </si>
  <si>
    <t>3ashra</t>
  </si>
  <si>
    <t>meetein w khamseen</t>
  </si>
  <si>
    <t>khams miyyeh</t>
  </si>
  <si>
    <t>alf</t>
  </si>
  <si>
    <t>khams-t-aleif</t>
  </si>
  <si>
    <t>3asher-t-aleif</t>
  </si>
  <si>
    <t>3eshreen alf</t>
  </si>
  <si>
    <t>ana wein?</t>
  </si>
  <si>
    <t>shou esem el sheiri3?</t>
  </si>
  <si>
    <t>kif brouH 3al Hamra?</t>
  </si>
  <si>
    <t>ayya bus beikhoud?</t>
  </si>
  <si>
    <t>fi mat3am areeb mn hon?</t>
  </si>
  <si>
    <t>taree'</t>
  </si>
  <si>
    <t>seiHa</t>
  </si>
  <si>
    <t>yameen</t>
  </si>
  <si>
    <t>deghreh</t>
  </si>
  <si>
    <t>ana baddeh</t>
  </si>
  <si>
    <t>baddeh eikol</t>
  </si>
  <si>
    <t>baddeh eshrab</t>
  </si>
  <si>
    <t>baddeh neim</t>
  </si>
  <si>
    <t>baddeh eshteghil</t>
  </si>
  <si>
    <t>baddeh edrous</t>
  </si>
  <si>
    <t>baddeh masareh</t>
  </si>
  <si>
    <t>baddeh or'ous</t>
  </si>
  <si>
    <t>baddik/baddak/badkoun shi?</t>
  </si>
  <si>
    <t>lyom</t>
  </si>
  <si>
    <t>lyom el tanein</t>
  </si>
  <si>
    <t>khareef</t>
  </si>
  <si>
    <t>rabee3</t>
  </si>
  <si>
    <t>seif</t>
  </si>
  <si>
    <t>neHna halla' b fasl el rabee3</t>
  </si>
  <si>
    <t>fi shames w mesh kteer shob</t>
  </si>
  <si>
    <t>bl seif mn rouH 3al baHer</t>
  </si>
  <si>
    <t>el shames 3am betgheeb</t>
  </si>
  <si>
    <t>sobeH</t>
  </si>
  <si>
    <t>doher</t>
  </si>
  <si>
    <t>leil</t>
  </si>
  <si>
    <t>beit</t>
  </si>
  <si>
    <t>she'a</t>
  </si>
  <si>
    <t>ana 3am fattish 3ala she'a lal ajaar</t>
  </si>
  <si>
    <t>she'a lal ajaar</t>
  </si>
  <si>
    <t>addeh lezim edfa3 bel shaher?</t>
  </si>
  <si>
    <t>wein feeneh lei'eh she'a lal ajaar?</t>
  </si>
  <si>
    <t>el kahraba wel may domn el ajaar?</t>
  </si>
  <si>
    <t>el Hemmeim moushtarak?</t>
  </si>
  <si>
    <t>ana 3am fattish 3ala ouda zgheereh ma3 takhet waHad</t>
  </si>
  <si>
    <t>shou fi jdeed?</t>
  </si>
  <si>
    <t>shou sar?</t>
  </si>
  <si>
    <t>shou 3am b seer? Shou fi?</t>
  </si>
  <si>
    <t>keef kein nharik/nharak/nharkoun?</t>
  </si>
  <si>
    <t>mbasatet sheftik/sheftak/sheftkoun</t>
  </si>
  <si>
    <t>shou 3aamleh/3aamil/3aamleen bukra?</t>
  </si>
  <si>
    <t>bshoufik/bshoufak/bshoufkoun areeban</t>
  </si>
  <si>
    <t>beHkeekeh/beHkeek/beHkeekoun</t>
  </si>
  <si>
    <t>ana w rfee'teh/rfee'eh 3am nedrous</t>
  </si>
  <si>
    <t>fa akheeran ttafa'na 3ala el lon el aHmar</t>
  </si>
  <si>
    <t>3abeileh ejeh, bas msefra/msefar</t>
  </si>
  <si>
    <t>3ala</t>
  </si>
  <si>
    <t>hiyeh rayHa 3al neideh</t>
  </si>
  <si>
    <t>beHkeek lamma erja3</t>
  </si>
  <si>
    <t>ana beshtereh Halib men el supermarket</t>
  </si>
  <si>
    <t>kteibeh 3ala el tawleh</t>
  </si>
  <si>
    <t>3am beHke 3an mberiH</t>
  </si>
  <si>
    <t>howe 'aal enno jeyeh</t>
  </si>
  <si>
    <t>ameess</t>
  </si>
  <si>
    <t>scarbeeneh</t>
  </si>
  <si>
    <t>3wayneit</t>
  </si>
  <si>
    <t>baddeh 'yeiss akbar</t>
  </si>
  <si>
    <t>baddeh 'yeiss asghar</t>
  </si>
  <si>
    <t>kam lon fi menna?</t>
  </si>
  <si>
    <t>addeh Ha'a/Ha'o?</t>
  </si>
  <si>
    <t>Helweh/Helo 3layyeh?</t>
  </si>
  <si>
    <t>fee gheir 'yeiss?</t>
  </si>
  <si>
    <t>feekeh trakhseeleh/feek trakhessleh? | feekeh ta3mleeleh/feek ta3melleh se3er?</t>
  </si>
  <si>
    <t>fee sale? | 3amleen sale?</t>
  </si>
  <si>
    <t>3ayleh</t>
  </si>
  <si>
    <t>3ammeh</t>
  </si>
  <si>
    <t>3ammteh</t>
  </si>
  <si>
    <t>eben khalteh/khaleh/3ammteh/3ammeh</t>
  </si>
  <si>
    <t>bent khalteh/khaleh/3ammteh/3ammeh</t>
  </si>
  <si>
    <t>Hameiteh | mart 3ammeh</t>
  </si>
  <si>
    <t>enteh/enta</t>
  </si>
  <si>
    <t>neHna</t>
  </si>
  <si>
    <t>ana rayHa/ana rayiH</t>
  </si>
  <si>
    <t>howeh rayiH</t>
  </si>
  <si>
    <t>hiyeh rayHa</t>
  </si>
  <si>
    <t>neHna rayHeen</t>
  </si>
  <si>
    <t>ento rayHeen</t>
  </si>
  <si>
    <t>henneh rayHeen</t>
  </si>
  <si>
    <t>ana reHet</t>
  </si>
  <si>
    <t>enteh reHteh/enta reHet</t>
  </si>
  <si>
    <t>hiyeh raaHit</t>
  </si>
  <si>
    <t>neHna reHna</t>
  </si>
  <si>
    <t>ento reHto</t>
  </si>
  <si>
    <t>henneh raaHo</t>
  </si>
  <si>
    <t>ana raH rouH</t>
  </si>
  <si>
    <t>enteh raH trouHeh/enta raH trouH</t>
  </si>
  <si>
    <t>howeh raH yrouH</t>
  </si>
  <si>
    <t>hiyeh raH trouH</t>
  </si>
  <si>
    <t>neHna raH nrouH</t>
  </si>
  <si>
    <t>ento raH trouHo</t>
  </si>
  <si>
    <t>henneh raH yrouHo</t>
  </si>
  <si>
    <t>tanein</t>
  </si>
  <si>
    <t>taleita</t>
  </si>
  <si>
    <t>orb3a</t>
  </si>
  <si>
    <t>khamees</t>
  </si>
  <si>
    <t>jem3a</t>
  </si>
  <si>
    <t>aHad</t>
  </si>
  <si>
    <t>shou esmik/esmak?</t>
  </si>
  <si>
    <t>min wein enteh/enta?</t>
  </si>
  <si>
    <t>raH eHkikeh/eHkik barke mna3mil shi, shi nhar</t>
  </si>
  <si>
    <t>ana 3am beikoul</t>
  </si>
  <si>
    <t>enteh 3am teikleh/enta 3am teikoul</t>
  </si>
  <si>
    <t>howeh 3am yeikoul</t>
  </si>
  <si>
    <t>ento 3am teiklo</t>
  </si>
  <si>
    <t>hiyeh 3am teikoul</t>
  </si>
  <si>
    <t>neHna 3am neikoul</t>
  </si>
  <si>
    <t>henneh 3am yeiklo</t>
  </si>
  <si>
    <t>ana beikoul</t>
  </si>
  <si>
    <t>enteh bteikleh/enta bteikoul</t>
  </si>
  <si>
    <t>howeh byeikoul</t>
  </si>
  <si>
    <t>neHna mneikoul</t>
  </si>
  <si>
    <t>ento bteiklo</t>
  </si>
  <si>
    <t>henneh byeiklo</t>
  </si>
  <si>
    <t>enteh akalteh/enta akalet</t>
  </si>
  <si>
    <t>neHna akalna</t>
  </si>
  <si>
    <t>ana raH eikoul</t>
  </si>
  <si>
    <t>enteh raH teikleh/enta raH teikoul</t>
  </si>
  <si>
    <t>howeh raH yeikoul</t>
  </si>
  <si>
    <t>hiyeh raH teikoul</t>
  </si>
  <si>
    <t>neHna raH neikoul</t>
  </si>
  <si>
    <t>ento raH teiklo</t>
  </si>
  <si>
    <t>henneh raH yeiklo</t>
  </si>
  <si>
    <t>mileid majeed</t>
  </si>
  <si>
    <t>3aam sa3eed</t>
  </si>
  <si>
    <t>ana 3endeh</t>
  </si>
  <si>
    <t>enteh 3endik/enta 3endak</t>
  </si>
  <si>
    <t>hiyeh 3enda</t>
  </si>
  <si>
    <t>neHna 3enna</t>
  </si>
  <si>
    <t>ento 3endkoun</t>
  </si>
  <si>
    <t>henneh 3endoun</t>
  </si>
  <si>
    <t>ana kein 3endeh</t>
  </si>
  <si>
    <t>enteh kein 3endik/enta kein 3endak</t>
  </si>
  <si>
    <t>howeh kein 3endo</t>
  </si>
  <si>
    <t>hiyeh kein 3enda</t>
  </si>
  <si>
    <t>neHna kein 3enna</t>
  </si>
  <si>
    <t>ento kein 3endkoun</t>
  </si>
  <si>
    <t>henneh kein 3endoun</t>
  </si>
  <si>
    <t>ana raH yseer 3endeh</t>
  </si>
  <si>
    <t>enteh raH yseer 3endik/enta raH yseer 3endak</t>
  </si>
  <si>
    <t>howeh raH yseer 3endo</t>
  </si>
  <si>
    <t>hiyeh raH yseer 3enda</t>
  </si>
  <si>
    <t>neHna raH yseer 3enna</t>
  </si>
  <si>
    <t>ento raH yseer 3endkoun</t>
  </si>
  <si>
    <t>henneh raH yseer 3endoun</t>
  </si>
  <si>
    <t>ana bersoum</t>
  </si>
  <si>
    <t>enteh btersmeh/enta btersoum</t>
  </si>
  <si>
    <t>howeh byersoum</t>
  </si>
  <si>
    <t>hiyeh btersoum</t>
  </si>
  <si>
    <t>neHna mnersoum</t>
  </si>
  <si>
    <t>enteh rasamteh/enta rasamet</t>
  </si>
  <si>
    <t>neHna rasamna</t>
  </si>
  <si>
    <t>ana kenet ersoum</t>
  </si>
  <si>
    <t>enteh kenteh tersmeh/enta kenet tersoum</t>
  </si>
  <si>
    <t>howeh kein yersoum</t>
  </si>
  <si>
    <t>hiyeh keinit tersoum</t>
  </si>
  <si>
    <t>neHna kenna nersoum</t>
  </si>
  <si>
    <t>henneh keino yersmo</t>
  </si>
  <si>
    <t>ana raH ersoum</t>
  </si>
  <si>
    <t>enteh raH tersmeh/enta raH tersoum</t>
  </si>
  <si>
    <t>howeh raH yersoum</t>
  </si>
  <si>
    <t>hieyh raH tersoum</t>
  </si>
  <si>
    <t>neHna raH nersoum</t>
  </si>
  <si>
    <t>ento raH tersmo</t>
  </si>
  <si>
    <t>henneh raH yersmo</t>
  </si>
  <si>
    <t>eHseis | sho3our</t>
  </si>
  <si>
    <t>aHasees | mashei3ir</t>
  </si>
  <si>
    <t>Hezen | za3al</t>
  </si>
  <si>
    <t>ana ze3leineh/ze3lein baddeh ebkeh</t>
  </si>
  <si>
    <t>eHbaat | ka'abeh</t>
  </si>
  <si>
    <t>hiyeh kteer moHbata</t>
  </si>
  <si>
    <t>howeh kteer moHbat</t>
  </si>
  <si>
    <t>to3seeb</t>
  </si>
  <si>
    <t>faraH | sa3aadeh</t>
  </si>
  <si>
    <t>bseynteh deyman btombosit bas tshoufneh/bsayneh deyman byombosit bas yshoufneh</t>
  </si>
  <si>
    <t>tafei'oul</t>
  </si>
  <si>
    <t>lezim tetfei'al</t>
  </si>
  <si>
    <t>tashei'oum</t>
  </si>
  <si>
    <t>lamma shouf bseyn aswad bsir metshei'meh/metshei'am</t>
  </si>
  <si>
    <t>hiyeh btesteHeh/howeh byesteHeh</t>
  </si>
  <si>
    <t>hiyeh deyman bto3tal hamm</t>
  </si>
  <si>
    <t>Haares</t>
  </si>
  <si>
    <t>hasheesh</t>
  </si>
  <si>
    <t>khadra/akhdar</t>
  </si>
  <si>
    <t>zar'a/azra'</t>
  </si>
  <si>
    <t>safra/asfar</t>
  </si>
  <si>
    <t>sawda/aswad</t>
  </si>
  <si>
    <t>bayda/abyad</t>
  </si>
  <si>
    <t>rmeideh</t>
  </si>
  <si>
    <t>sayf | sayfiyeh</t>
  </si>
  <si>
    <t>shou 3aamleh/3aamil/3aamleen hal sayfiyeh</t>
  </si>
  <si>
    <t>ta3eh/ta3a/ta3o nrouH 3al baHer</t>
  </si>
  <si>
    <t>bHeb ekoul bouza</t>
  </si>
  <si>
    <t>wein fina nrouH nesbaH</t>
  </si>
  <si>
    <t>wein a'rab baHer</t>
  </si>
  <si>
    <t>v2</t>
  </si>
  <si>
    <t>I'm drinking coffee</t>
  </si>
  <si>
    <t>ana 3am beshrab ahweh</t>
  </si>
  <si>
    <t>I drink coffee everyday</t>
  </si>
  <si>
    <t>lyom l khamis w ba3dein ana dahra</t>
  </si>
  <si>
    <t>beshrab ahwe kel yom</t>
  </si>
  <si>
    <t>It's september and it's becoming sad</t>
  </si>
  <si>
    <t>nehna b ayloul wel eshyia 3am betsir 7azineh</t>
  </si>
  <si>
    <t>nehna natrin shi</t>
  </si>
  <si>
    <t>ertijeil</t>
  </si>
  <si>
    <t>haydeh l mmasleh 3am tertejil</t>
  </si>
  <si>
    <t>fi wled 3am tel3ab barra</t>
  </si>
  <si>
    <t>lezim trou7eh/trou7 3al ba7er abel ma tokhlas l sayfiyeh</t>
  </si>
  <si>
    <t>lyom akalet bazella w rezz</t>
  </si>
  <si>
    <t>akalteh l lebneniyeh l moufaddaleh hiyeh l mjadra | atyab akleh lebneniyeh 3endeh hiye l mjadra</t>
  </si>
  <si>
    <t>wardeh</t>
  </si>
  <si>
    <t>zahra</t>
  </si>
  <si>
    <t>rfi'a/rfi' | sadi'a/sadi' | sa7ebteh/sa7beh</t>
  </si>
  <si>
    <t>3adouweh / 3adou</t>
  </si>
  <si>
    <t>ne7na mno7dar film</t>
  </si>
  <si>
    <t>mnodhar</t>
  </si>
  <si>
    <t>ta3eh/ta3a/ta3o na3mil shi</t>
  </si>
  <si>
    <t>mneshrab keis</t>
  </si>
  <si>
    <t>mnetsalla</t>
  </si>
  <si>
    <t>mnet3asha sawa</t>
  </si>
  <si>
    <t>I'm inviting you to dinner</t>
  </si>
  <si>
    <t>ana 3eizmetik/3eizmetak/3eizmetkoun 3al 3asha</t>
  </si>
  <si>
    <t>mneshrab ahwe</t>
  </si>
  <si>
    <t>ta3eh/ta3a/ta3o la 3andeh mno7dar television</t>
  </si>
  <si>
    <t>ta3eh shrabeh/ta3a shrab/ta3o shrabo ma3e keis</t>
  </si>
  <si>
    <t>beshrab ahweh kel yom</t>
  </si>
  <si>
    <t>lyom l khamees, w ba3dein, ana dahra</t>
  </si>
  <si>
    <t>neHna natreen shi</t>
  </si>
  <si>
    <t>haydeh el mmasleh 3am tertejil</t>
  </si>
  <si>
    <t>fi wleid 3am tel3ab barra</t>
  </si>
  <si>
    <t>lezim trouHeh/trouH/trouHo 3al baHer abel ma tokhlas l sayfiyeh</t>
  </si>
  <si>
    <t>neHna b ayloul wel eshya 3am betseer Hazeeneh</t>
  </si>
  <si>
    <t>akelteh el lebneniyeh el moufaddaleh hiyeh el mjadra | atyab akleh 3endeh hiyeh el mjadra</t>
  </si>
  <si>
    <t>sadaa'a</t>
  </si>
  <si>
    <t>rfee'a/rfee' | sadee'a/sadee' | saaHbeh/saaHib</t>
  </si>
  <si>
    <t>3adouweh/3adouw</t>
  </si>
  <si>
    <t>hiyeh rfi'teh el moufaddaleh/howeh rfi'eh el moufaddal/henneh ref'aateh el moufaddaleen</t>
  </si>
  <si>
    <t>neHna mnoHdar film</t>
  </si>
  <si>
    <t>mneshrab ahweh</t>
  </si>
  <si>
    <t>ta3eh/ta3a/ta3o la 3andeh mnoHdar television</t>
  </si>
  <si>
    <t>howeh 'aal enna jeyeh</t>
  </si>
  <si>
    <t>howeh raaH</t>
  </si>
  <si>
    <t>howeh 3endo</t>
  </si>
  <si>
    <t>hiyeh btesteHe/howeh byesteHe</t>
  </si>
  <si>
    <t>hiyeh ktir moHbata</t>
  </si>
  <si>
    <t>hiyeh rfi'teh l moufaddaleh/howeh rfi'eh l moufaddal/ henneh ref'ateh l moufaddalin</t>
  </si>
  <si>
    <t>sada'a</t>
  </si>
  <si>
    <t>rfi'teh betdalla m3assbeh/rfi'eh bidallo m3assab</t>
  </si>
  <si>
    <t>rfee'teh betdalla m3assbeh/rfee'eh bidallo m3assab</t>
  </si>
  <si>
    <t>3afwan, shenateh|ghradeh t'akharit</t>
  </si>
  <si>
    <t>3afwan, dayya3et shenateh|ghradeh</t>
  </si>
  <si>
    <t>sabaH el kheir|sabaH el nour</t>
  </si>
  <si>
    <t>masa el kheir|masa el nour</t>
  </si>
  <si>
    <t>keefik/keefak/keefkoun?</t>
  </si>
  <si>
    <t>bHebbik/bHebbak/bHebkoun</t>
  </si>
  <si>
    <t>shta'tellik/shta'tellak/shta'tellkoun</t>
  </si>
  <si>
    <t>shou baddik/baddak/baddkoun?</t>
  </si>
  <si>
    <t>ana hon la'enno dayya3et ghradeh|shenateh</t>
  </si>
  <si>
    <t>feekeh tse3deeneh/feek tse3edneh/feekoun tse3douneh?</t>
  </si>
  <si>
    <t>enteh rayHa/enta rayiH</t>
  </si>
  <si>
    <t>shou bteshteghleh/bteshteghil/bteshteghlo?</t>
  </si>
  <si>
    <t>shou btedrseh/btedrous/btedrso?</t>
  </si>
  <si>
    <t>shou darasteh/daraset/darasto?</t>
  </si>
  <si>
    <t>wein 'ei3deh/'ei3id/ei3deen| seikneh/seikin/seikneen | 3aaysheh/3aayish/3aaysheen ?</t>
  </si>
  <si>
    <t>shou bta3mleh/bta3mil/bta3mlo ba3ed sheghlik/sheghlak/sheghelkoun?</t>
  </si>
  <si>
    <t>bta3mleh/bta3mil/bta3mlo sport?</t>
  </si>
  <si>
    <t>shou ra'mik/ra'mak/ar'aamkoun?</t>
  </si>
  <si>
    <t>marHaba keefik/keefak/keefkoun?</t>
  </si>
  <si>
    <t>Lebanese transliteration</t>
  </si>
  <si>
    <t>nbr</t>
  </si>
  <si>
    <t>cat 2</t>
  </si>
  <si>
    <t>-</t>
  </si>
  <si>
    <t>Name</t>
  </si>
  <si>
    <t>Translit.</t>
  </si>
  <si>
    <t>Value (IPA)</t>
  </si>
  <si>
    <t>Contextual forms</t>
  </si>
  <si>
    <t>Isolated</t>
  </si>
  <si>
    <t>Final</t>
  </si>
  <si>
    <t>Medial</t>
  </si>
  <si>
    <t>Initial</t>
  </si>
  <si>
    <t>alif</t>
  </si>
  <si>
    <r>
      <t>ā / </t>
    </r>
    <r>
      <rPr>
        <sz val="12"/>
        <color rgb="FF000000"/>
        <rFont val="Arial"/>
        <family val="2"/>
      </rPr>
      <t> ’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ʾ </t>
    </r>
    <r>
      <rPr>
        <sz val="10"/>
        <color rgb="FF000000"/>
        <rFont val="Arial"/>
        <family val="2"/>
      </rPr>
      <t> )</t>
    </r>
  </si>
  <si>
    <t>various,</t>
  </si>
  <si>
    <t>including /aː/ [a]</t>
  </si>
  <si>
    <t>ـا</t>
  </si>
  <si>
    <t>ا</t>
  </si>
  <si>
    <t>bā’</t>
  </si>
  <si>
    <t>b</t>
  </si>
  <si>
    <t>/b/</t>
  </si>
  <si>
    <r>
      <t>(sometimes /</t>
    </r>
    <r>
      <rPr>
        <sz val="10"/>
        <color rgb="FF0B0080"/>
        <rFont val="Arial"/>
        <family val="2"/>
      </rPr>
      <t>p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</si>
  <si>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ـب</t>
  </si>
  <si>
    <t>ـبـ</t>
  </si>
  <si>
    <t>بـ</t>
  </si>
  <si>
    <t>ب</t>
  </si>
  <si>
    <t>tā’</t>
  </si>
  <si>
    <t>t</t>
  </si>
  <si>
    <t>/t/</t>
  </si>
  <si>
    <t>ـت</t>
  </si>
  <si>
    <t>ـتـ</t>
  </si>
  <si>
    <t>تـ</t>
  </si>
  <si>
    <t>ت</t>
  </si>
  <si>
    <t>thā’</t>
  </si>
  <si>
    <r>
      <t>th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ṯ </t>
    </r>
    <r>
      <rPr>
        <sz val="10"/>
        <color rgb="FF000000"/>
        <rFont val="Arial"/>
        <family val="2"/>
      </rPr>
      <t>)</t>
    </r>
  </si>
  <si>
    <t>/θ/</t>
  </si>
  <si>
    <t>ـث</t>
  </si>
  <si>
    <t>ـثـ</t>
  </si>
  <si>
    <t>ثـ</t>
  </si>
  <si>
    <t>ث</t>
  </si>
  <si>
    <t>jīm</t>
  </si>
  <si>
    <r>
      <t>j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ǧ, g </t>
    </r>
    <r>
      <rPr>
        <sz val="10"/>
        <color rgb="FF000000"/>
        <rFont val="Arial"/>
        <family val="2"/>
      </rPr>
      <t>)</t>
    </r>
  </si>
  <si>
    <r>
      <t>[</t>
    </r>
    <r>
      <rPr>
        <sz val="10"/>
        <color rgb="FF0B0080"/>
        <rFont val="Arial"/>
        <family val="2"/>
      </rPr>
      <t>d͡ʒ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] </t>
    </r>
    <r>
      <rPr>
        <vertAlign val="superscript"/>
        <sz val="10"/>
        <color rgb="FF0B0080"/>
        <rFont val="Arial"/>
        <family val="2"/>
      </rPr>
      <t>[c]</t>
    </r>
  </si>
  <si>
    <t>ـج</t>
  </si>
  <si>
    <t>ـجـ</t>
  </si>
  <si>
    <t>جـ</t>
  </si>
  <si>
    <t>ج</t>
  </si>
  <si>
    <t>ḥā’</t>
  </si>
  <si>
    <t>ḥ</t>
  </si>
  <si>
    <t>/ħ/</t>
  </si>
  <si>
    <t>ـح</t>
  </si>
  <si>
    <t>ـحـ</t>
  </si>
  <si>
    <t>حـ</t>
  </si>
  <si>
    <t>ح</t>
  </si>
  <si>
    <t>khā’</t>
  </si>
  <si>
    <r>
      <t>kh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ḫ, ḵ </t>
    </r>
    <r>
      <rPr>
        <sz val="10"/>
        <color rgb="FF000000"/>
        <rFont val="Arial"/>
        <family val="2"/>
      </rPr>
      <t>)</t>
    </r>
  </si>
  <si>
    <t>/x/</t>
  </si>
  <si>
    <t>ـخ</t>
  </si>
  <si>
    <t>ـخـ</t>
  </si>
  <si>
    <t>خـ</t>
  </si>
  <si>
    <t>خ</t>
  </si>
  <si>
    <t>dāl</t>
  </si>
  <si>
    <t>d</t>
  </si>
  <si>
    <t>/d/</t>
  </si>
  <si>
    <t>ـد</t>
  </si>
  <si>
    <t>د</t>
  </si>
  <si>
    <t>dhāl</t>
  </si>
  <si>
    <r>
      <t>dh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ḏ </t>
    </r>
    <r>
      <rPr>
        <sz val="10"/>
        <color rgb="FF000000"/>
        <rFont val="Arial"/>
        <family val="2"/>
      </rPr>
      <t>)</t>
    </r>
  </si>
  <si>
    <t>/ð/</t>
  </si>
  <si>
    <t>ـذ</t>
  </si>
  <si>
    <t>ذ</t>
  </si>
  <si>
    <t>rā’</t>
  </si>
  <si>
    <t>r</t>
  </si>
  <si>
    <t>/r/</t>
  </si>
  <si>
    <t>ـر</t>
  </si>
  <si>
    <t>ر</t>
  </si>
  <si>
    <t>zayn / zāy</t>
  </si>
  <si>
    <t>z</t>
  </si>
  <si>
    <t>/z/</t>
  </si>
  <si>
    <t>ـز</t>
  </si>
  <si>
    <t>ز</t>
  </si>
  <si>
    <t>sīn</t>
  </si>
  <si>
    <t>s</t>
  </si>
  <si>
    <t>/s/</t>
  </si>
  <si>
    <t>ـس</t>
  </si>
  <si>
    <t>ـسـ</t>
  </si>
  <si>
    <t>سـ</t>
  </si>
  <si>
    <t>س</t>
  </si>
  <si>
    <t>shīn</t>
  </si>
  <si>
    <r>
      <t>sh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š </t>
    </r>
    <r>
      <rPr>
        <sz val="10"/>
        <color rgb="FF000000"/>
        <rFont val="Arial"/>
        <family val="2"/>
      </rPr>
      <t>)</t>
    </r>
  </si>
  <si>
    <t>/ʃ/</t>
  </si>
  <si>
    <t>ـش</t>
  </si>
  <si>
    <t>ـشـ</t>
  </si>
  <si>
    <t>شـ</t>
  </si>
  <si>
    <t>ش</t>
  </si>
  <si>
    <t>ṣād</t>
  </si>
  <si>
    <t>ṣ</t>
  </si>
  <si>
    <t>/sˤ/</t>
  </si>
  <si>
    <t>ـص</t>
  </si>
  <si>
    <t>ـصـ</t>
  </si>
  <si>
    <t>صـ</t>
  </si>
  <si>
    <t>ص</t>
  </si>
  <si>
    <t>ḍād</t>
  </si>
  <si>
    <t>ḍ</t>
  </si>
  <si>
    <t>/dˤ/</t>
  </si>
  <si>
    <t>ـض</t>
  </si>
  <si>
    <t>ـضـ</t>
  </si>
  <si>
    <t>ضـ</t>
  </si>
  <si>
    <t>ض</t>
  </si>
  <si>
    <t>ṭā’</t>
  </si>
  <si>
    <t>ṭ</t>
  </si>
  <si>
    <t>/tˤ/</t>
  </si>
  <si>
    <t>ـط</t>
  </si>
  <si>
    <t>ـطـ</t>
  </si>
  <si>
    <t>طـ</t>
  </si>
  <si>
    <t>ط</t>
  </si>
  <si>
    <t>ẓā’</t>
  </si>
  <si>
    <t>ẓ</t>
  </si>
  <si>
    <r>
      <t>[</t>
    </r>
    <r>
      <rPr>
        <sz val="10"/>
        <color rgb="FF0B0080"/>
        <rFont val="Arial"/>
        <family val="2"/>
      </rPr>
      <t>ðˤ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zˤ</t>
    </r>
    <r>
      <rPr>
        <sz val="10"/>
        <color rgb="FF000000"/>
        <rFont val="Arial"/>
        <family val="2"/>
      </rPr>
      <t>]</t>
    </r>
  </si>
  <si>
    <t>ـظ</t>
  </si>
  <si>
    <t>ـظـ</t>
  </si>
  <si>
    <t>ظـ</t>
  </si>
  <si>
    <t>ظ</t>
  </si>
  <si>
    <t>‘ayn</t>
  </si>
  <si>
    <r>
      <t> ‘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ʿ </t>
    </r>
    <r>
      <rPr>
        <sz val="10"/>
        <color rgb="FF000000"/>
        <rFont val="Arial"/>
        <family val="2"/>
      </rPr>
      <t> )</t>
    </r>
  </si>
  <si>
    <t>/ʕ/</t>
  </si>
  <si>
    <t>ـع</t>
  </si>
  <si>
    <t>ـعـ</t>
  </si>
  <si>
    <t>عـ</t>
  </si>
  <si>
    <t>ع</t>
  </si>
  <si>
    <t>ghayn</t>
  </si>
  <si>
    <r>
      <t>gh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ġ, ḡ </t>
    </r>
    <r>
      <rPr>
        <sz val="10"/>
        <color rgb="FF000000"/>
        <rFont val="Arial"/>
        <family val="2"/>
      </rPr>
      <t>)</t>
    </r>
  </si>
  <si>
    <t>/ɣ/</t>
  </si>
  <si>
    <r>
      <t>(sometimes /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[c]</t>
    </r>
  </si>
  <si>
    <t>ـغ</t>
  </si>
  <si>
    <t>ـغـ</t>
  </si>
  <si>
    <t>غـ</t>
  </si>
  <si>
    <t>غ</t>
  </si>
  <si>
    <t>fā’</t>
  </si>
  <si>
    <t>f</t>
  </si>
  <si>
    <t>/f/</t>
  </si>
  <si>
    <r>
      <t>(sometimes /</t>
    </r>
    <r>
      <rPr>
        <sz val="10"/>
        <color rgb="FF0B0080"/>
        <rFont val="Arial"/>
        <family val="2"/>
      </rPr>
      <t>v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</si>
  <si>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ـف</t>
  </si>
  <si>
    <t>ـفـ</t>
  </si>
  <si>
    <t>فـ</t>
  </si>
  <si>
    <r>
      <t>ف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</si>
  <si>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qāf</t>
  </si>
  <si>
    <t>q</t>
  </si>
  <si>
    <t>/q/</t>
  </si>
  <si>
    <t>ـق</t>
  </si>
  <si>
    <t>ـقـ</t>
  </si>
  <si>
    <t>قـ</t>
  </si>
  <si>
    <r>
      <t>ق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</si>
  <si>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kāf</t>
  </si>
  <si>
    <t>k</t>
  </si>
  <si>
    <t>/k/</t>
  </si>
  <si>
    <t>ـك</t>
  </si>
  <si>
    <t>ـكـ</t>
  </si>
  <si>
    <t>كـ</t>
  </si>
  <si>
    <t>ك</t>
  </si>
  <si>
    <t>lām</t>
  </si>
  <si>
    <t>l</t>
  </si>
  <si>
    <t>/l/</t>
  </si>
  <si>
    <t>ـل</t>
  </si>
  <si>
    <t>ـلـ</t>
  </si>
  <si>
    <t>لـ</t>
  </si>
  <si>
    <t>ل</t>
  </si>
  <si>
    <t>mīm</t>
  </si>
  <si>
    <t>m</t>
  </si>
  <si>
    <t>/m/</t>
  </si>
  <si>
    <t>ـم</t>
  </si>
  <si>
    <t>ـمـ</t>
  </si>
  <si>
    <t>مـ</t>
  </si>
  <si>
    <t>م</t>
  </si>
  <si>
    <t>nūn</t>
  </si>
  <si>
    <t>n</t>
  </si>
  <si>
    <t>/n/</t>
  </si>
  <si>
    <t>ـن</t>
  </si>
  <si>
    <t>ـنـ</t>
  </si>
  <si>
    <t>نـ</t>
  </si>
  <si>
    <t>ن</t>
  </si>
  <si>
    <t>hā’</t>
  </si>
  <si>
    <t>h</t>
  </si>
  <si>
    <t>/h/</t>
  </si>
  <si>
    <t>ـه</t>
  </si>
  <si>
    <t>ـهـ</t>
  </si>
  <si>
    <t>هـ</t>
  </si>
  <si>
    <t>ه</t>
  </si>
  <si>
    <t>wāw</t>
  </si>
  <si>
    <t>w / ū / aw</t>
  </si>
  <si>
    <t>/w/, /uː/, /aw/,</t>
  </si>
  <si>
    <r>
      <t>sometimes /</t>
    </r>
    <r>
      <rPr>
        <sz val="10"/>
        <color rgb="FF0B0080"/>
        <rFont val="Arial"/>
        <family val="2"/>
      </rPr>
      <t>u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o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oː</t>
    </r>
    <r>
      <rPr>
        <sz val="10"/>
        <color rgb="FF000000"/>
        <rFont val="Arial"/>
        <family val="2"/>
      </rPr>
      <t>/ in loanwords</t>
    </r>
  </si>
  <si>
    <t>ـو</t>
  </si>
  <si>
    <t>و</t>
  </si>
  <si>
    <t>yā’</t>
  </si>
  <si>
    <t>y / ī / ay</t>
  </si>
  <si>
    <t>/j/, /iː/, /aj/,</t>
  </si>
  <si>
    <r>
      <t>sometimes /</t>
    </r>
    <r>
      <rPr>
        <sz val="10"/>
        <color rgb="FF0B0080"/>
        <rFont val="Arial"/>
        <family val="2"/>
      </rPr>
      <t>i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e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eː</t>
    </r>
    <r>
      <rPr>
        <sz val="10"/>
        <color rgb="FF000000"/>
        <rFont val="Arial"/>
        <family val="2"/>
      </rPr>
      <t>/ in loanwords</t>
    </r>
  </si>
  <si>
    <t>ـي</t>
  </si>
  <si>
    <t>ـيـ</t>
  </si>
  <si>
    <t>يـ</t>
  </si>
  <si>
    <r>
      <t>ي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[e]</t>
    </r>
  </si>
  <si>
    <t>ف</t>
  </si>
  <si>
    <t>ق</t>
  </si>
  <si>
    <t>ي</t>
  </si>
  <si>
    <t>Arabic</t>
  </si>
  <si>
    <t>أدّاي بِتريد؟</t>
  </si>
  <si>
    <t>أميص</t>
  </si>
  <si>
    <t>سكربينِه</t>
  </si>
  <si>
    <t>صُبَّاط</t>
  </si>
  <si>
    <t>فُستان</t>
  </si>
  <si>
    <t>عوينات</t>
  </si>
  <si>
    <t>في غَير إياس؟</t>
  </si>
  <si>
    <t>بدّي إياس أَصغَر</t>
  </si>
  <si>
    <t>بدّي إياس أَكبَر</t>
  </si>
  <si>
    <t>كَم لون في مِنّا؟</t>
  </si>
  <si>
    <t>أدّاي حأّا/حأّو؟</t>
  </si>
  <si>
    <t>في "سايل"/عاملين "سايل"؟</t>
  </si>
  <si>
    <t>حِلوة/ حِلو علَيّ؟</t>
  </si>
  <si>
    <t>فيكي ترَخصيلي/فيك ترَخصلي؟ فيكي تَعمليلي سِعر/فيك تَعمِلّي سِعر؟</t>
  </si>
  <si>
    <t>حَمرا/ أحمَر</t>
  </si>
  <si>
    <t>وردِه حَمرا</t>
  </si>
  <si>
    <t>بَالون أَحمَر</t>
  </si>
  <si>
    <t>حَمرا/ أَحمَر</t>
  </si>
  <si>
    <t>خَضرا/ أَخضَر</t>
  </si>
  <si>
    <t>زَرقا/ أَزرق</t>
  </si>
  <si>
    <t>صَفرا/ أَصفَر</t>
  </si>
  <si>
    <t>سَودا/ أَسوَد</t>
  </si>
  <si>
    <t>بَيضا/ أَبيَض</t>
  </si>
  <si>
    <t>رمَادي</t>
  </si>
  <si>
    <t>بَنَفسَجي</t>
  </si>
  <si>
    <t>زَهري</t>
  </si>
  <si>
    <t>بِنِّي</t>
  </si>
  <si>
    <t>أنا بَدِّي</t>
  </si>
  <si>
    <t>بَدِّي آكُل</t>
  </si>
  <si>
    <t>بَدِّي إشرب</t>
  </si>
  <si>
    <t>بَدِّي نام</t>
  </si>
  <si>
    <t>بَدِّي إشتِغِل</t>
  </si>
  <si>
    <t>بَدِّي إدرُس</t>
  </si>
  <si>
    <t>بَدِّي مَصاري</t>
  </si>
  <si>
    <t>بَدِّي أرأص</t>
  </si>
  <si>
    <t>أنا رايحة/ أنا رايح</t>
  </si>
  <si>
    <t>إنتِ رايحة/إنتَ رايح</t>
  </si>
  <si>
    <t>هوّي رايح</t>
  </si>
  <si>
    <t>هيّي رايحة</t>
  </si>
  <si>
    <t>نِحنا رايحين</t>
  </si>
  <si>
    <t>إنتو رايحين</t>
  </si>
  <si>
    <t>هِنِّي رايحين</t>
  </si>
  <si>
    <t>أنا رِحت</t>
  </si>
  <si>
    <t>إنتِ رِحتي/ إنتَ رِحت</t>
  </si>
  <si>
    <t>هوّي راح</t>
  </si>
  <si>
    <t>هيّي راحت</t>
  </si>
  <si>
    <t>نِحنا رِحنا</t>
  </si>
  <si>
    <t>إنتو رِحتوا</t>
  </si>
  <si>
    <t>هنّي راحوا</t>
  </si>
  <si>
    <t>أنا رَح روح</t>
  </si>
  <si>
    <t>إنتِ رَح تروحي/ إنتَ رَح تروح</t>
  </si>
  <si>
    <t>هوّي رَح يروح</t>
  </si>
  <si>
    <t>هيّي رَح تروح</t>
  </si>
  <si>
    <t>نِحنا رَح نروح</t>
  </si>
  <si>
    <t>إنتو رَح تروحوا</t>
  </si>
  <si>
    <t>هنّي رَح يروحوا</t>
  </si>
  <si>
    <t>أنا عَم باكُل</t>
  </si>
  <si>
    <t>إنتِ عَم تاكلي/ إنتَ عَم تاكُل</t>
  </si>
  <si>
    <t>هوّي عَم ياكُل</t>
  </si>
  <si>
    <t>هيّي عَم تاكُل</t>
  </si>
  <si>
    <t>نحنا عَم ناكل</t>
  </si>
  <si>
    <t>إنتو عَم تاكلوا</t>
  </si>
  <si>
    <t>هنّي عَم ياكلوا</t>
  </si>
  <si>
    <t>أنا باكل</t>
  </si>
  <si>
    <t>إنتِ بتاكلي/ إنتَ بتاكُل</t>
  </si>
  <si>
    <t>هوّي بياكُل</t>
  </si>
  <si>
    <t>هيّي بتاكُل</t>
  </si>
  <si>
    <t>نحنا مناكُل</t>
  </si>
  <si>
    <t>إنتو بتاكلوا</t>
  </si>
  <si>
    <t>هِنّي بياكلوا</t>
  </si>
  <si>
    <t>أنا أكَلت</t>
  </si>
  <si>
    <t>إنتِ أكَلتي/ إنتَ أكَلت</t>
  </si>
  <si>
    <t>هوّي أكَل</t>
  </si>
  <si>
    <t>هيّي أكَلِت</t>
  </si>
  <si>
    <t>نحنا أكَلنا</t>
  </si>
  <si>
    <t>إنتو أكلتوا</t>
  </si>
  <si>
    <t>هِنّي أكلوا</t>
  </si>
  <si>
    <t>أنا رَح آكل</t>
  </si>
  <si>
    <t>إنتِ رَح تاكلي/ إنتَ رَح تاكُل</t>
  </si>
  <si>
    <t>هوّي رَح ياكُل</t>
  </si>
  <si>
    <t>هيّي رَح تاكُل</t>
  </si>
  <si>
    <t>نحنا رَح ناكُل</t>
  </si>
  <si>
    <t>إنتو رَح تاكلوا</t>
  </si>
  <si>
    <t>هنّي رَح ياكلوا</t>
  </si>
  <si>
    <t>ميلاد مَجيد</t>
  </si>
  <si>
    <t>عام سَعيد</t>
  </si>
  <si>
    <t>أنا عَندي</t>
  </si>
  <si>
    <t>إنتِ عَندِك/ إنتَ عَندَك</t>
  </si>
  <si>
    <t>هوّي عَندو</t>
  </si>
  <si>
    <t>هِيّي عَندا</t>
  </si>
  <si>
    <t>نِحنا عَنّا</t>
  </si>
  <si>
    <t>إنتو عَندكُن</t>
  </si>
  <si>
    <t>هِنّي عَندُن</t>
  </si>
  <si>
    <t>أنا كان عَندي</t>
  </si>
  <si>
    <t>إنتِ كان عَندِك/ إنتَ كان عَندَك</t>
  </si>
  <si>
    <t>هُوّي كان عَندو</t>
  </si>
  <si>
    <t>هِيّي كان عَندا</t>
  </si>
  <si>
    <t>نِحنا كان عَنّا</t>
  </si>
  <si>
    <t>إنتو كان عَندكُن</t>
  </si>
  <si>
    <t>هِنّي كان عَندُن</t>
  </si>
  <si>
    <t>أنا رَح يصير عَندي</t>
  </si>
  <si>
    <t>إنتِ رح يصير عَندِك/إنتَ رح يصير عَندَك</t>
  </si>
  <si>
    <t>هوّي رَح يصير عَندو</t>
  </si>
  <si>
    <t>هيّي رَح يصير عَندا</t>
  </si>
  <si>
    <t>نِحنا رَح يصير عَنَّا</t>
  </si>
  <si>
    <t>إنتو رَح يصير عَندكُن</t>
  </si>
  <si>
    <t>هِنّي رَح يصير عَندُن</t>
  </si>
  <si>
    <t>أنا بِرسُم</t>
  </si>
  <si>
    <t>إنتِ بترسمي/ إنتَ بترسُم</t>
  </si>
  <si>
    <t>هوّي بيرسُم</t>
  </si>
  <si>
    <t>هيّي بترسُم</t>
  </si>
  <si>
    <t>نِحنا منرسُم</t>
  </si>
  <si>
    <t>إنتو بترسموا</t>
  </si>
  <si>
    <t>هِنّي بيرسموا</t>
  </si>
  <si>
    <t>أنا رَسَمت</t>
  </si>
  <si>
    <t>إنتِ رَسَمتي/ إنتَ رَسَمت</t>
  </si>
  <si>
    <t>هُوّي رَسَم</t>
  </si>
  <si>
    <t>هيّي رَسَمِت</t>
  </si>
  <si>
    <t>نِحنا رَسَمنا</t>
  </si>
  <si>
    <t>إنتو رَسَمتوا</t>
  </si>
  <si>
    <t>هِنّي رَسَموا</t>
  </si>
  <si>
    <t>أنا كنت إرسُم</t>
  </si>
  <si>
    <t>إنتِ كنتِ تِرسمي/ إنتَ كِنت تِرسُم</t>
  </si>
  <si>
    <t>هوّي كان يرسُم</t>
  </si>
  <si>
    <t>هيّي كانت تِرسُم</t>
  </si>
  <si>
    <t>نِحنا كِنّا نِرسُم</t>
  </si>
  <si>
    <t>إنتو كِنتوا ترسموا</t>
  </si>
  <si>
    <t>هِنّي كانوا يرسموا</t>
  </si>
  <si>
    <t>أنا رَح إرسم</t>
  </si>
  <si>
    <t>إنتِ رَح ترسمي/ أنتَ رح ترسُم</t>
  </si>
  <si>
    <t>هوّي رَح يِرسُم</t>
  </si>
  <si>
    <t>هيّي رَح ترسُم</t>
  </si>
  <si>
    <t>نِحنا رَح نرسُم</t>
  </si>
  <si>
    <t>إنتو رَح ترسموا</t>
  </si>
  <si>
    <t>هِنّي رَح يرسموا</t>
  </si>
  <si>
    <t>اليَوم</t>
  </si>
  <si>
    <t>اليوَم التَنَين</t>
  </si>
  <si>
    <t>خَريف</t>
  </si>
  <si>
    <t>شِتي</t>
  </si>
  <si>
    <t>رَبيع</t>
  </si>
  <si>
    <t>صَيف</t>
  </si>
  <si>
    <t>نِحنا هَلَء بِفَصل الخَريف</t>
  </si>
  <si>
    <t>في شَمس ومِش كتير شوب</t>
  </si>
  <si>
    <t>بالصَيف مِن روح عَلى البَحر</t>
  </si>
  <si>
    <t>الشَمس عَم بتغيب</t>
  </si>
  <si>
    <t>تَنين</t>
  </si>
  <si>
    <t>تَلاتَه</t>
  </si>
  <si>
    <t>أُربعا</t>
  </si>
  <si>
    <t>خَميس</t>
  </si>
  <si>
    <t>جمعه</t>
  </si>
  <si>
    <t>سَبت</t>
  </si>
  <si>
    <t>أَحَد</t>
  </si>
  <si>
    <t>أَمَر</t>
  </si>
  <si>
    <t>شَمس</t>
  </si>
  <si>
    <t>إحساس/ شُعور</t>
  </si>
  <si>
    <t>أحاسيس/ مَشاعِر</t>
  </si>
  <si>
    <t>حِزن/ زَعَل</t>
  </si>
  <si>
    <t>أنا زَعلاني/ أنا زَعلان بَدّي إبكي</t>
  </si>
  <si>
    <t>إحباط/ كآبه</t>
  </si>
  <si>
    <t>هيّي كتير مُحبَطَة</t>
  </si>
  <si>
    <t>هوّي كتير مُحبَط</t>
  </si>
  <si>
    <t>تُعصيب</t>
  </si>
  <si>
    <t>رفيئتي بِتضَلاّ معَصبي/ رفيئي بِضَلو معَصَّب</t>
  </si>
  <si>
    <t>فَرَح/ سعاده</t>
  </si>
  <si>
    <t>بسَينتي دايما" بطُمبُسِت بَس تشوفني/ بسَيني دايما" بيمبُسِط بس يشوفني</t>
  </si>
  <si>
    <t>تَفاؤل</t>
  </si>
  <si>
    <t>لازِم تتفاءَل</t>
  </si>
  <si>
    <t>تَشاؤم</t>
  </si>
  <si>
    <t>لَمّا شوف بسيَن أسوَد بتشاءَم</t>
  </si>
  <si>
    <t>نشوه</t>
  </si>
  <si>
    <t>فَخر</t>
  </si>
  <si>
    <t>خَجَل</t>
  </si>
  <si>
    <t>هيّي بتستِحي/ هوّي بيستِحي</t>
  </si>
  <si>
    <t>ألأ</t>
  </si>
  <si>
    <t>هيّي دايما" بتعتَل هَمّ</t>
  </si>
  <si>
    <t>شو بدِّك/ بدَّك/ بدكُن</t>
  </si>
  <si>
    <t>بدِّك/بدَّك/بدكُن شي؟</t>
  </si>
  <si>
    <t>عَيله</t>
  </si>
  <si>
    <t>بيِّي</t>
  </si>
  <si>
    <t>إمِّي</t>
  </si>
  <si>
    <t>خيِّي</t>
  </si>
  <si>
    <t>إختي</t>
  </si>
  <si>
    <t>سِتِّي</t>
  </si>
  <si>
    <t>جِدّي</t>
  </si>
  <si>
    <t>عَمّي</t>
  </si>
  <si>
    <t>خَالي</t>
  </si>
  <si>
    <t>عَمتي</t>
  </si>
  <si>
    <t>خَالتي</t>
  </si>
  <si>
    <t>إبن خالتي/خالي/عَمتي/عَمِّي</t>
  </si>
  <si>
    <t>بِنت خالتي/خالي/عَمتي/عَمِّي</t>
  </si>
  <si>
    <t>مَرتي</t>
  </si>
  <si>
    <t>جَوزي</t>
  </si>
  <si>
    <t>إبني</t>
  </si>
  <si>
    <t>بِنتي</t>
  </si>
  <si>
    <t>حَماتي/مَرت عَمّي</t>
  </si>
  <si>
    <t>صداقه</t>
  </si>
  <si>
    <t>رفيئة/ رفيء/صديئة/صديء/صاحبتي/صاحِبي</t>
  </si>
  <si>
    <t>عَدوّتي/عدُوّي</t>
  </si>
  <si>
    <t>هيّي رفيئتي المُفَضَلة/هوّي رفيئي المُفَضَل/هِنّي رِفئاتي المُفَضَلين</t>
  </si>
  <si>
    <t>نِحنا منُحضَر فيلم</t>
  </si>
  <si>
    <t>منُضهَر</t>
  </si>
  <si>
    <t>تَعي/تَعا/تعوا نَعمِل شي</t>
  </si>
  <si>
    <t>منُشرَب كاس</t>
  </si>
  <si>
    <t>تَعي شرَبي/تَعا شراب/تعوا شربوا مَعي كاس</t>
  </si>
  <si>
    <t>منتسلَّى</t>
  </si>
  <si>
    <t>منتسلَّى سوى</t>
  </si>
  <si>
    <t>أنا عازمتِك/عازمتَك/عازمتكُن على عَشا</t>
  </si>
  <si>
    <t>منُشرَب قَهوه</t>
  </si>
  <si>
    <t>تَعي/تَعا/تَعوا لَعِندي منُحضَر تليفيزيون</t>
  </si>
  <si>
    <t>فيكي تساعديني؟/فيك تساعدني؟/فيكُن تساعدوني؟</t>
  </si>
  <si>
    <t>مَرحبا بَدِّي إحجُز أوضه</t>
  </si>
  <si>
    <t>بَدّي يَاها لجِمعه</t>
  </si>
  <si>
    <t>أدّاي لازِم إدفَع؟</t>
  </si>
  <si>
    <t>بَدِّي أرخَص أوضه</t>
  </si>
  <si>
    <t>أيّا ساعه الترويقه؟</t>
  </si>
  <si>
    <t>مَرحبا كيفِك/كيفَك/ كيفكُن؟</t>
  </si>
  <si>
    <t>إسمي ماريا، جايي من المكسيك إدرُس عَربي</t>
  </si>
  <si>
    <t>مَسا الخَير</t>
  </si>
  <si>
    <t>صَباح الخير|صَباح النور</t>
  </si>
  <si>
    <t>مَسا الخَير|مَسا النور</t>
  </si>
  <si>
    <t>كيفِك/كيفَك/كيفكن</t>
  </si>
  <si>
    <t>شو في جديد؟</t>
  </si>
  <si>
    <t>شو صار؟</t>
  </si>
  <si>
    <t>شو عم بصير؟ شو في؟</t>
  </si>
  <si>
    <t>كيف كان نهارِك/ نهارَك/نهاركُن</t>
  </si>
  <si>
    <t>مبَسَطِت شفتِك/شفتَك/ شِفتكُن</t>
  </si>
  <si>
    <t>شو عاملي/ عامِل/عاملين بُكرا؟</t>
  </si>
  <si>
    <t>بحكيكي/ بحكيك/ بحكيكُن</t>
  </si>
  <si>
    <t>أنا ورفيئتي/ رفيئي عم نِدرُس</t>
  </si>
  <si>
    <t>شو إسمِك؟ إسمَك؟</t>
  </si>
  <si>
    <t>شو بتشتغلي/بتشتغل/بتشتغلوا؟</t>
  </si>
  <si>
    <t>شو بتدرسي/بتدرُس/بتدرسوا؟</t>
  </si>
  <si>
    <t>شو دَرستي/دَرَست/درستوا؟</t>
  </si>
  <si>
    <t>مِن وَين إنتِ/ إنتَ؟</t>
  </si>
  <si>
    <t>وَين آعدي/آعِد/آعدين|ساكني/ساكِن/ساكنين|عايشي/عايِش/عايشين؟</t>
  </si>
  <si>
    <t>شو بتَعملي/بتَعمِل/بتعملوا بعد شغلِك/شغلَك/شغلكن؟</t>
  </si>
  <si>
    <t>بتَعملي/بتَعمُل/بتعملوا رياضة؟</t>
  </si>
  <si>
    <t>شو رأمِك/رأمك/أرآمكن؟</t>
  </si>
  <si>
    <t>رَح إحكيكي/ إحكيك بَركي منَعمُل شي،شي نهار</t>
  </si>
  <si>
    <t>بَيت</t>
  </si>
  <si>
    <t>شِأّه</t>
  </si>
  <si>
    <t>شِأّه للأجار</t>
  </si>
  <si>
    <t>عَم فتِّش على شِأّه للأجار</t>
  </si>
  <si>
    <t>وين فيني لاقي شأّه للأجار؟</t>
  </si>
  <si>
    <t>أدّاي لازِم إدفَع بالشهر؟</t>
  </si>
  <si>
    <t>الكهرَبا والمَي ضُمن الأَجار؟</t>
  </si>
  <si>
    <t>الحَمام مُشتَرَك؟</t>
  </si>
  <si>
    <t>أنا عَم فَتِّش على أوضة صغيرة مَع تَخت واحَد</t>
  </si>
  <si>
    <t>عيد الحُب</t>
  </si>
  <si>
    <t>ألب</t>
  </si>
  <si>
    <t>بحبِك/بحبَك/بحبكُن</t>
  </si>
  <si>
    <t>شتأتلِك/شتأتلك/شتأتِلكن</t>
  </si>
  <si>
    <t>بوسه</t>
  </si>
  <si>
    <t>أنا عَم بُشرَب قهوه</t>
  </si>
  <si>
    <t>بُشرَب قهوه كِل يوم</t>
  </si>
  <si>
    <t>اليوَم الخَميس،وبَعدين، أنا ضاهرة</t>
  </si>
  <si>
    <t>نِحنا بأيلول والإشيا عَم بتصير حَزينِة</t>
  </si>
  <si>
    <t>نِحنا ناطرين شي</t>
  </si>
  <si>
    <t>هَيدي المَّسلي عم تِرتِجل</t>
  </si>
  <si>
    <t>في ولاد عَم تِلعَب بَرّا</t>
  </si>
  <si>
    <t>اليوَم أكَلِت بَزيلّا ورِزّ</t>
  </si>
  <si>
    <t>أكلتي اللّبنانية المُفَضَّلة هيّي المجدَرا|أطيب أكلي عِندي هيّي المجدَرا</t>
  </si>
  <si>
    <t>صِفر</t>
  </si>
  <si>
    <t>واحد</t>
  </si>
  <si>
    <t>تنَين</t>
  </si>
  <si>
    <t>تلاتِه</t>
  </si>
  <si>
    <t>أربعَه</t>
  </si>
  <si>
    <t>خمسه</t>
  </si>
  <si>
    <t>سِتّه</t>
  </si>
  <si>
    <t>سَبعَه</t>
  </si>
  <si>
    <t>تمانه</t>
  </si>
  <si>
    <t>تسعه</t>
  </si>
  <si>
    <t>عشره</t>
  </si>
  <si>
    <t>ميتَين و خَمسين</t>
  </si>
  <si>
    <t>خَمس مِيِّه</t>
  </si>
  <si>
    <t>أَلف</t>
  </si>
  <si>
    <t>خمس-ة-آلاف</t>
  </si>
  <si>
    <t>عشر-ة-آلاف</t>
  </si>
  <si>
    <t>عِشرين ألف</t>
  </si>
  <si>
    <t>خَمسين ألف</t>
  </si>
  <si>
    <t>مِيّة-ألف</t>
  </si>
  <si>
    <t>وَ</t>
  </si>
  <si>
    <t>فَ</t>
  </si>
  <si>
    <t>فَأخيرا" إتفأنا على اللَّون الأحمَر</t>
  </si>
  <si>
    <t>بَس</t>
  </si>
  <si>
    <t>عَبالي إجي، بَس مسافرة/مسافَر</t>
  </si>
  <si>
    <t>عَلى</t>
  </si>
  <si>
    <t>هِيّي رايحة عَلى النادي</t>
  </si>
  <si>
    <t>تَ</t>
  </si>
  <si>
    <t>بحكيك لمَّا إرجَع</t>
  </si>
  <si>
    <t>أنا بشتري حَليب مِن السوبرماركت</t>
  </si>
  <si>
    <t>كتابي عَلى الطاوله</t>
  </si>
  <si>
    <t>عَم بحكي عَن مبارِح</t>
  </si>
  <si>
    <t>هوّي آل إنّو جايي</t>
  </si>
  <si>
    <t>هوّي آل إنّا جايي</t>
  </si>
  <si>
    <t>أنا هون لأنّو ضَيَّعت غراضي|شِنطي</t>
  </si>
  <si>
    <t>أنا</t>
  </si>
  <si>
    <t>إنتِ/إنتَ</t>
  </si>
  <si>
    <t>هوّي</t>
  </si>
  <si>
    <t>هيّي</t>
  </si>
  <si>
    <t>نِحنا</t>
  </si>
  <si>
    <t>إنتو</t>
  </si>
  <si>
    <t>هنّي</t>
  </si>
  <si>
    <t>صَيف|صَيفيه</t>
  </si>
  <si>
    <t>شو عاَملي/عامِل/عاملين هَالصَيفيّه؟</t>
  </si>
  <si>
    <t>تَعي/تَعا/تعوا نروح عَلى بَحر</t>
  </si>
  <si>
    <t>بحب آكل بوظه</t>
  </si>
  <si>
    <t>وَين فينا نروح نِسبَح؟</t>
  </si>
  <si>
    <t>وَين أأرب بَحر؟</t>
  </si>
  <si>
    <t>لازِم تروحي/تروح/تروحوا عَلى البَحر أبل ما تُخلَص الصَيفيّه</t>
  </si>
  <si>
    <t>أهلا و سَهلا بِلبنان</t>
  </si>
  <si>
    <t>عَفوا"، شِنَطي|غراضي تأخَرِت</t>
  </si>
  <si>
    <t>عَفوا"، ضَيعت شِنَطي|غراضي</t>
  </si>
  <si>
    <t>عَفوا"، بَدِّي صَرِّف مَصَاري</t>
  </si>
  <si>
    <t>مَرحَبا، بَدِّي روح عَلى الأشرَفيّه</t>
  </si>
  <si>
    <t>بيأطع الباص مِن هون؟</t>
  </si>
  <si>
    <t>آخِر سوآل، في خريطه؟</t>
  </si>
  <si>
    <t>أنا وَين؟</t>
  </si>
  <si>
    <t>شو إسم الشَارِع؟</t>
  </si>
  <si>
    <t>كيف بروح عَلى الحمرا؟</t>
  </si>
  <si>
    <t>أيّا باص باخد؟</t>
  </si>
  <si>
    <t>في مَطعَم أريب مِن هون؟</t>
  </si>
  <si>
    <t>طريء</t>
  </si>
  <si>
    <t>ساحَه</t>
  </si>
  <si>
    <t>شمال</t>
  </si>
  <si>
    <t>يمين</t>
  </si>
  <si>
    <t>دِغري</t>
  </si>
  <si>
    <t>صُبح</t>
  </si>
  <si>
    <t>ضُهر</t>
  </si>
  <si>
    <t>لَيل</t>
  </si>
  <si>
    <t>شَراب الوَرد</t>
  </si>
  <si>
    <t>رِز</t>
  </si>
  <si>
    <t>زِر</t>
  </si>
  <si>
    <t>زَمّور</t>
  </si>
  <si>
    <t>فَرد</t>
  </si>
  <si>
    <t>سَمَك</t>
  </si>
  <si>
    <t>حارِس</t>
  </si>
  <si>
    <t>حَشيش</t>
  </si>
  <si>
    <t>إرتِجال</t>
  </si>
  <si>
    <t>زهره</t>
  </si>
  <si>
    <t>بِشتغل تِرجمان</t>
  </si>
  <si>
    <t>wardeh hamra</t>
  </si>
  <si>
    <t>baadein</t>
  </si>
  <si>
    <t>lamma</t>
  </si>
  <si>
    <t>men</t>
  </si>
  <si>
    <t>3an</t>
  </si>
  <si>
    <t>enno</t>
  </si>
  <si>
    <t>la'enno</t>
  </si>
  <si>
    <t>kol el 3arous ba3dein el chocola</t>
  </si>
  <si>
    <t>كول العروس بعدين الشوكولا</t>
  </si>
  <si>
    <t>ba3dein</t>
  </si>
  <si>
    <t>بعدين</t>
  </si>
  <si>
    <t>لمَّا</t>
  </si>
  <si>
    <t>مِن</t>
  </si>
  <si>
    <t>عَن</t>
  </si>
  <si>
    <t>إنّو</t>
  </si>
  <si>
    <t>لأنّو</t>
  </si>
  <si>
    <t>sheteh</t>
  </si>
  <si>
    <t>Chapters</t>
  </si>
  <si>
    <t>1- basic language</t>
  </si>
  <si>
    <t>2- travelling</t>
  </si>
  <si>
    <t>3- everyday</t>
  </si>
  <si>
    <t>4- family, friends and relationships</t>
  </si>
  <si>
    <t>5- conjugation</t>
  </si>
  <si>
    <t>6- random</t>
  </si>
  <si>
    <t>1- numbers</t>
  </si>
  <si>
    <t>2- days</t>
  </si>
  <si>
    <t>3- colors</t>
  </si>
  <si>
    <t>4- pronouns</t>
  </si>
  <si>
    <t>5- prepositions</t>
  </si>
  <si>
    <t>1- airport</t>
  </si>
  <si>
    <t>2- directions</t>
  </si>
  <si>
    <t>3- money</t>
  </si>
  <si>
    <t>4- accomodation</t>
  </si>
  <si>
    <t>5- shopping</t>
  </si>
  <si>
    <t>1- introductions</t>
  </si>
  <si>
    <t>2- general</t>
  </si>
  <si>
    <t>3- greetings</t>
  </si>
  <si>
    <t>1- family</t>
  </si>
  <si>
    <t>2- friends</t>
  </si>
  <si>
    <t>3- love</t>
  </si>
  <si>
    <t>4- emotions</t>
  </si>
  <si>
    <t>1- to have</t>
  </si>
  <si>
    <t>2- to go</t>
  </si>
  <si>
    <t>3- to eat</t>
  </si>
  <si>
    <t>4- to draw</t>
  </si>
  <si>
    <t>5- to want</t>
  </si>
  <si>
    <t>1- random</t>
  </si>
  <si>
    <t>Red</t>
  </si>
  <si>
    <t>We</t>
  </si>
  <si>
    <t>250</t>
  </si>
  <si>
    <t>500</t>
  </si>
  <si>
    <t>1000</t>
  </si>
  <si>
    <t>5000</t>
  </si>
  <si>
    <t>10000</t>
  </si>
  <si>
    <t>20000</t>
  </si>
  <si>
    <t>50000</t>
  </si>
  <si>
    <t>100000</t>
  </si>
  <si>
    <t>Rose</t>
  </si>
  <si>
    <t>North/left</t>
  </si>
  <si>
    <t>Moon</t>
  </si>
  <si>
    <t>Sun</t>
  </si>
  <si>
    <t xml:space="preserve">The sun is setting </t>
  </si>
  <si>
    <t>Green</t>
  </si>
  <si>
    <t>Blue</t>
  </si>
  <si>
    <t>Yellow</t>
  </si>
  <si>
    <t>Black</t>
  </si>
  <si>
    <t>White</t>
  </si>
  <si>
    <t>Grey</t>
  </si>
  <si>
    <t>Purple</t>
  </si>
  <si>
    <t>Pink</t>
  </si>
  <si>
    <t>Brown</t>
  </si>
  <si>
    <t>He</t>
  </si>
  <si>
    <t>She</t>
  </si>
  <si>
    <t>You (plural)</t>
  </si>
  <si>
    <t>They</t>
  </si>
  <si>
    <t>And</t>
  </si>
  <si>
    <t>So</t>
  </si>
  <si>
    <t>But</t>
  </si>
  <si>
    <t>To (location)</t>
  </si>
  <si>
    <t>To (cause)</t>
  </si>
  <si>
    <t>After</t>
  </si>
  <si>
    <t>When</t>
  </si>
  <si>
    <t>From</t>
  </si>
  <si>
    <t>On</t>
  </si>
  <si>
    <t>About</t>
  </si>
  <si>
    <t>That</t>
  </si>
  <si>
    <t>Because</t>
  </si>
  <si>
    <t>So finally we agreed on the red color</t>
  </si>
  <si>
    <t>She's going to the gym</t>
  </si>
  <si>
    <t>Eat the sandwich then the chocolate</t>
  </si>
  <si>
    <t>My book is on the table</t>
  </si>
  <si>
    <t>He said that he will come</t>
  </si>
  <si>
    <t>He said that she's coming</t>
  </si>
  <si>
    <t>Shirt</t>
  </si>
  <si>
    <t>High heels</t>
  </si>
  <si>
    <t>Shoe</t>
  </si>
  <si>
    <t>Glasses</t>
  </si>
  <si>
    <t>How much does it cost</t>
  </si>
  <si>
    <t>Is there another size</t>
  </si>
  <si>
    <t>Does it look good on me</t>
  </si>
  <si>
    <t>Are the items on sale</t>
  </si>
  <si>
    <t>Can I get it for a better price?</t>
  </si>
  <si>
    <t>What's your name</t>
  </si>
  <si>
    <t>What do you work</t>
  </si>
  <si>
    <t>What do you study</t>
  </si>
  <si>
    <t>What did you study</t>
  </si>
  <si>
    <t>Where are you from</t>
  </si>
  <si>
    <t>Where do you live</t>
  </si>
  <si>
    <t>What do you do after work</t>
  </si>
  <si>
    <t>Do you do sports</t>
  </si>
  <si>
    <t>What's your phone number</t>
  </si>
  <si>
    <t>Can you help me</t>
  </si>
  <si>
    <t>Happy new year</t>
  </si>
  <si>
    <t>Father</t>
  </si>
  <si>
    <t>Mother</t>
  </si>
  <si>
    <t>Brother</t>
  </si>
  <si>
    <t>Sister</t>
  </si>
  <si>
    <t>Grand-mother</t>
  </si>
  <si>
    <t>Grand-father</t>
  </si>
  <si>
    <t>Aunt (paternal)</t>
  </si>
  <si>
    <t>Aunt (maternal)</t>
  </si>
  <si>
    <t>Uncle (paternal)</t>
  </si>
  <si>
    <t>Uncle (maternal)</t>
  </si>
  <si>
    <t>Cousin (woman)</t>
  </si>
  <si>
    <t>Cousin (man)</t>
  </si>
  <si>
    <t>Husband</t>
  </si>
  <si>
    <t>Wife</t>
  </si>
  <si>
    <t>Daughter</t>
  </si>
  <si>
    <t>Son</t>
  </si>
  <si>
    <t>Mother-in-la</t>
  </si>
  <si>
    <t>Father-in-law</t>
  </si>
  <si>
    <t>Friendship</t>
  </si>
  <si>
    <t>Friend</t>
  </si>
  <si>
    <t>Enemy</t>
  </si>
  <si>
    <t>My best friend</t>
  </si>
  <si>
    <t>We go out</t>
  </si>
  <si>
    <t>We watch a movie</t>
  </si>
  <si>
    <t>We have a drink</t>
  </si>
  <si>
    <t>We have fun</t>
  </si>
  <si>
    <t>We have dinner together</t>
  </si>
  <si>
    <t>We have coffee</t>
  </si>
  <si>
    <t>Let's do something</t>
  </si>
  <si>
    <t>Have a drink with me</t>
  </si>
  <si>
    <t>Emotion</t>
  </si>
  <si>
    <t>Emotions</t>
  </si>
  <si>
    <t>Sadness</t>
  </si>
  <si>
    <t>Depression</t>
  </si>
  <si>
    <t>Anger</t>
  </si>
  <si>
    <t>Happiness</t>
  </si>
  <si>
    <t>Optimism</t>
  </si>
  <si>
    <t>Pessimism</t>
  </si>
  <si>
    <t>Orgasm</t>
  </si>
  <si>
    <t>Pride</t>
  </si>
  <si>
    <t>Shyness</t>
  </si>
  <si>
    <t>Anxiety</t>
  </si>
  <si>
    <t>She is so depressed</t>
  </si>
  <si>
    <t>He is so depressed</t>
  </si>
  <si>
    <t>My friend is always angry</t>
  </si>
  <si>
    <t>My cat is always happy to see me</t>
  </si>
  <si>
    <t>You should be optimist</t>
  </si>
  <si>
    <t>When I see a black cat I become pessimist</t>
  </si>
  <si>
    <t>He/she is shy</t>
  </si>
  <si>
    <t>She is always anxious</t>
  </si>
  <si>
    <t>You have</t>
  </si>
  <si>
    <t>He has</t>
  </si>
  <si>
    <t>She has</t>
  </si>
  <si>
    <t>We have</t>
  </si>
  <si>
    <t>They have</t>
  </si>
  <si>
    <t>You had</t>
  </si>
  <si>
    <t>He had</t>
  </si>
  <si>
    <t>She had</t>
  </si>
  <si>
    <t>We had</t>
  </si>
  <si>
    <t>They had</t>
  </si>
  <si>
    <t>You will have</t>
  </si>
  <si>
    <t>He will have</t>
  </si>
  <si>
    <t>She will have</t>
  </si>
  <si>
    <t>We will have</t>
  </si>
  <si>
    <t>They will have</t>
  </si>
  <si>
    <t>You are going</t>
  </si>
  <si>
    <t>He's going</t>
  </si>
  <si>
    <t>She's going</t>
  </si>
  <si>
    <t>We are going</t>
  </si>
  <si>
    <t>They are going</t>
  </si>
  <si>
    <t>You went</t>
  </si>
  <si>
    <t>He went</t>
  </si>
  <si>
    <t>She went</t>
  </si>
  <si>
    <t>We went</t>
  </si>
  <si>
    <t>They went</t>
  </si>
  <si>
    <t>You will go</t>
  </si>
  <si>
    <t>He will go</t>
  </si>
  <si>
    <t>She will go</t>
  </si>
  <si>
    <t>We will go</t>
  </si>
  <si>
    <t>They will go</t>
  </si>
  <si>
    <t>You're eating</t>
  </si>
  <si>
    <t>He's eating</t>
  </si>
  <si>
    <t>She's eating</t>
  </si>
  <si>
    <t>We're eating</t>
  </si>
  <si>
    <t>They're eating</t>
  </si>
  <si>
    <t>He eats</t>
  </si>
  <si>
    <t>She eats</t>
  </si>
  <si>
    <t>We eat</t>
  </si>
  <si>
    <t>They eat</t>
  </si>
  <si>
    <t>You ate</t>
  </si>
  <si>
    <t>He ate</t>
  </si>
  <si>
    <t>She ate</t>
  </si>
  <si>
    <t>We ate</t>
  </si>
  <si>
    <t>They ate</t>
  </si>
  <si>
    <t>You will eat</t>
  </si>
  <si>
    <t>He will eat</t>
  </si>
  <si>
    <t>She will eat</t>
  </si>
  <si>
    <t>We will eat</t>
  </si>
  <si>
    <t>They will eat</t>
  </si>
  <si>
    <t>You draw</t>
  </si>
  <si>
    <t>He draws</t>
  </si>
  <si>
    <t>She draws</t>
  </si>
  <si>
    <t>We draw</t>
  </si>
  <si>
    <t>They draw</t>
  </si>
  <si>
    <t>You drew</t>
  </si>
  <si>
    <t>He drew</t>
  </si>
  <si>
    <t>She drew</t>
  </si>
  <si>
    <t>We drew</t>
  </si>
  <si>
    <t>They drew</t>
  </si>
  <si>
    <t>You used to draw</t>
  </si>
  <si>
    <t>He used to draw</t>
  </si>
  <si>
    <t>She used to draw</t>
  </si>
  <si>
    <t>We used to draw</t>
  </si>
  <si>
    <t>They used to draw</t>
  </si>
  <si>
    <t>You will draw</t>
  </si>
  <si>
    <t>He will draw</t>
  </si>
  <si>
    <t>She will draw</t>
  </si>
  <si>
    <t>We will draw</t>
  </si>
  <si>
    <t>They will draw</t>
  </si>
  <si>
    <t>Rice</t>
  </si>
  <si>
    <t>Button</t>
  </si>
  <si>
    <t>Horn</t>
  </si>
  <si>
    <t>Gun</t>
  </si>
  <si>
    <t>Fish</t>
  </si>
  <si>
    <t>Guardian</t>
  </si>
  <si>
    <t>Grass</t>
  </si>
  <si>
    <t>Improvisation</t>
  </si>
  <si>
    <t>Flower</t>
  </si>
  <si>
    <t>Rose syrup</t>
  </si>
  <si>
    <t>Today is Thursday and I'm going out later</t>
  </si>
  <si>
    <t>We are waiting for something</t>
  </si>
  <si>
    <t>There are kids playing outside</t>
  </si>
  <si>
    <t>Today I ate "bazella w rezz"</t>
  </si>
  <si>
    <t>What are you doing this summer</t>
  </si>
  <si>
    <t>Let's go to the beach</t>
  </si>
  <si>
    <t>Where can we go swim</t>
  </si>
  <si>
    <t>Where's the nearest beach</t>
  </si>
  <si>
    <t>You should go to the beach before the summer ends</t>
  </si>
  <si>
    <t>Wednsday</t>
  </si>
  <si>
    <t>Merry christmas</t>
  </si>
  <si>
    <t>Come over so we watch tv</t>
  </si>
  <si>
    <t>This actress is improvizing</t>
  </si>
  <si>
    <t>My favorite lebanese dish is mjadra</t>
  </si>
  <si>
    <t>بشوفِك/بشوفَك/بشوفكن أريباً</t>
  </si>
  <si>
    <t>"Improvisation"</t>
  </si>
  <si>
    <t>Video Lesson 24</t>
  </si>
  <si>
    <t>Video Lesson 8</t>
  </si>
  <si>
    <t>Video Lesson 21</t>
  </si>
  <si>
    <t>Video Lesson 4</t>
  </si>
  <si>
    <t>Video Lesson 14</t>
  </si>
  <si>
    <t>Video Lesson 19</t>
  </si>
  <si>
    <t>Video Lesson 23</t>
  </si>
  <si>
    <t>Video Lesson 22</t>
  </si>
  <si>
    <t>Video Lesson 13</t>
  </si>
  <si>
    <t>Video Lesson 10</t>
  </si>
  <si>
    <t>Video Lesson 2</t>
  </si>
  <si>
    <t>Video Lesson 5</t>
  </si>
  <si>
    <t>Video Lesson 3</t>
  </si>
  <si>
    <t>Video Lesson 9</t>
  </si>
  <si>
    <t>Video Lesson 11</t>
  </si>
  <si>
    <t>Video Lesson 1</t>
  </si>
  <si>
    <t>Video Lesson 15</t>
  </si>
  <si>
    <t>Video Lesson 7</t>
  </si>
  <si>
    <t>Video Lesson 17</t>
  </si>
  <si>
    <t>Video Lesson 12</t>
  </si>
  <si>
    <t>Video Lesson 20</t>
  </si>
  <si>
    <t>Video Lesson 18</t>
  </si>
  <si>
    <t>Video Lesson 16</t>
  </si>
  <si>
    <t>Video Lesson "Improvisation"</t>
  </si>
  <si>
    <t>Video Lesson "Valentine"</t>
  </si>
  <si>
    <t>Video Lesson "2nd Valentine"</t>
  </si>
  <si>
    <t>Video Lesson 6</t>
  </si>
  <si>
    <t>https://www.youtube.com/watch?v=7iovf94e4uU</t>
  </si>
  <si>
    <t>https://www.youtube.com/watch?v=E-TjOWZ5YQ0</t>
  </si>
  <si>
    <t>https://www.youtube.com/watch?v=QAEGmTKhMo4</t>
  </si>
  <si>
    <t>Video Lesson 3.2</t>
  </si>
  <si>
    <t>Video Lesson 3.1</t>
  </si>
  <si>
    <t>https://www.youtube.com/watch?v=QXklxwQ4px8</t>
  </si>
  <si>
    <t>https://www.youtube.com/watch?v=bbpaAUOv8dE</t>
  </si>
  <si>
    <t>https://www.youtube.com/watch?v=e_dFFaECK5E</t>
  </si>
  <si>
    <t>https://www.youtube.com/watch?v=HPUSR1ERIv0</t>
  </si>
  <si>
    <t>https://www.youtube.com/watch?v=DfQwYS9JfME</t>
  </si>
  <si>
    <t>https://www.youtube.com/watch?v=kN_Mk1vvvzI</t>
  </si>
  <si>
    <t>https://www.youtube.com/watch?v=SGeR9HfhVRA</t>
  </si>
  <si>
    <t>https://www.youtube.com/watch?v=KUWhrhaqHsg</t>
  </si>
  <si>
    <t>https://www.youtube.com/watch?v=Ivl-D6m04C4</t>
  </si>
  <si>
    <t>https://www.youtube.com/watch?v=1G46tEJOrww</t>
  </si>
  <si>
    <t>https://www.youtube.com/watch?v=4qB8qVfkH4A</t>
  </si>
  <si>
    <t>https://www.youtube.com/watch?v=CuxAdMsjkyY</t>
  </si>
  <si>
    <t>https://www.youtube.com/watch?v=CIw5yuG2h7k</t>
  </si>
  <si>
    <t>https://www.youtube.com/watch?v=mlf3S2Z-yzM</t>
  </si>
  <si>
    <t>https://www.youtube.com/watch?v=-9H0tokUVvc</t>
  </si>
  <si>
    <t>https://www.youtube.com/watch?v=FpQEAG3hsdA</t>
  </si>
  <si>
    <t>https://www.youtube.com/watch?v=Y56hvBhqBaQ</t>
  </si>
  <si>
    <t>https://www.youtube.com/watch?v=YMwQ4agNMPI</t>
  </si>
  <si>
    <t>https://www.youtube.com/watch?v=Xop5dt-yhOA</t>
  </si>
  <si>
    <t>https://www.youtube.com/watch?v=Sjl8iPAcNo0</t>
  </si>
  <si>
    <t>https://www.youtube.com/watch?v=jVxw8JRCMDk</t>
  </si>
  <si>
    <t>https://www.youtube.com/watch?v=kLZmQK8CWFU</t>
  </si>
  <si>
    <t>https://www.youtube.com/watch?v=RmEAQDsTTaE</t>
  </si>
  <si>
    <t>https://www.youtube.com/watch?v=EWu4a7ogxVA</t>
  </si>
  <si>
    <t>https://www.youtube.com/watch?v=M-mxlyVa6iM</t>
  </si>
  <si>
    <t>Video Lesson '2nd Valentine'</t>
  </si>
  <si>
    <t>Video Lesson 'Improvisation'</t>
  </si>
  <si>
    <t>Video Lesson 'Valentine'</t>
  </si>
  <si>
    <t>Hello</t>
  </si>
  <si>
    <t>marHaba</t>
  </si>
  <si>
    <t>beshteghil</t>
  </si>
  <si>
    <t>I work</t>
  </si>
  <si>
    <t>My name is</t>
  </si>
  <si>
    <t>esmeh</t>
  </si>
  <si>
    <t>Welcome</t>
  </si>
  <si>
    <t>ahla w sahla</t>
  </si>
  <si>
    <t>Excuse me</t>
  </si>
  <si>
    <t>3afwan</t>
  </si>
  <si>
    <t xml:space="preserve">money </t>
  </si>
  <si>
    <t>masareh</t>
  </si>
  <si>
    <t>How much</t>
  </si>
  <si>
    <t>addeh</t>
  </si>
  <si>
    <t>question</t>
  </si>
  <si>
    <t>sou'aal</t>
  </si>
  <si>
    <t xml:space="preserve">map </t>
  </si>
  <si>
    <t>khareeta</t>
  </si>
  <si>
    <t xml:space="preserve">room </t>
  </si>
  <si>
    <t>ouda</t>
  </si>
  <si>
    <t xml:space="preserve">week </t>
  </si>
  <si>
    <t>cheaper</t>
  </si>
  <si>
    <t>arkhas</t>
  </si>
  <si>
    <t xml:space="preserve">breakfast </t>
  </si>
  <si>
    <t>terwee'a</t>
  </si>
  <si>
    <t>Where</t>
  </si>
  <si>
    <t>wein</t>
  </si>
  <si>
    <t>How</t>
  </si>
  <si>
    <t>kif</t>
  </si>
  <si>
    <t xml:space="preserve">street </t>
  </si>
  <si>
    <t>sheiri3</t>
  </si>
  <si>
    <t>restaurant</t>
  </si>
  <si>
    <t>mat3am</t>
  </si>
  <si>
    <t>What</t>
  </si>
  <si>
    <t>shou</t>
  </si>
  <si>
    <t>something</t>
  </si>
  <si>
    <t>shi</t>
  </si>
  <si>
    <t xml:space="preserve">bed </t>
  </si>
  <si>
    <t>takhet</t>
  </si>
  <si>
    <t xml:space="preserve">rent </t>
  </si>
  <si>
    <t>ajaar</t>
  </si>
  <si>
    <t>bathroom</t>
  </si>
  <si>
    <t>Hemmeim</t>
  </si>
  <si>
    <t xml:space="preserve">tomorrow </t>
  </si>
  <si>
    <t>bukra</t>
  </si>
  <si>
    <t>ice cream</t>
  </si>
  <si>
    <t>bouza</t>
  </si>
  <si>
    <t>nearest</t>
  </si>
  <si>
    <t>a'rab</t>
  </si>
  <si>
    <t>coffee</t>
  </si>
  <si>
    <t>ahweh</t>
  </si>
  <si>
    <t>kids</t>
  </si>
  <si>
    <t>wleid</t>
  </si>
  <si>
    <t xml:space="preserve">kiss </t>
  </si>
  <si>
    <t>Hello:marHaba</t>
  </si>
  <si>
    <t>I work:beshteghil</t>
  </si>
  <si>
    <t>My name is:esmeh</t>
  </si>
  <si>
    <t>Welcome:ahla w sahla</t>
  </si>
  <si>
    <t>Excuse me:3afwan</t>
  </si>
  <si>
    <t>money :masareh</t>
  </si>
  <si>
    <t>How much:addeh</t>
  </si>
  <si>
    <t>map :khareeta</t>
  </si>
  <si>
    <t>question:sou'aal</t>
  </si>
  <si>
    <t>room :ouda</t>
  </si>
  <si>
    <t>week :jem3a</t>
  </si>
  <si>
    <t>cheaper:arkhas</t>
  </si>
  <si>
    <t>breakfast :terwee'a</t>
  </si>
  <si>
    <t>Zero :sefer</t>
  </si>
  <si>
    <t>One :waHad</t>
  </si>
  <si>
    <t>Two :tnein</t>
  </si>
  <si>
    <t>Three :tleiteh</t>
  </si>
  <si>
    <t>Four :arb3a</t>
  </si>
  <si>
    <t>Five :khamseh</t>
  </si>
  <si>
    <t>Six :setteh</t>
  </si>
  <si>
    <t>Seven :sab3a</t>
  </si>
  <si>
    <t>Eight :tmeineh</t>
  </si>
  <si>
    <t>Nine :tes3a</t>
  </si>
  <si>
    <t>Ten :3ashra</t>
  </si>
  <si>
    <t>Where:wein</t>
  </si>
  <si>
    <t>Left :shmeil</t>
  </si>
  <si>
    <t>Right :yameen</t>
  </si>
  <si>
    <t>Straight :deghreh</t>
  </si>
  <si>
    <t>Road :taree'</t>
  </si>
  <si>
    <t>How:kif</t>
  </si>
  <si>
    <t>street :sheiri3</t>
  </si>
  <si>
    <t>restaurant:mat3am</t>
  </si>
  <si>
    <t>What:shou</t>
  </si>
  <si>
    <t>something:shi</t>
  </si>
  <si>
    <t>Summer :seif</t>
  </si>
  <si>
    <t>Today :lyom</t>
  </si>
  <si>
    <t>Morning :sobeH</t>
  </si>
  <si>
    <t>Noon :doher</t>
  </si>
  <si>
    <t>Night :leil</t>
  </si>
  <si>
    <t>Autumn :khareef</t>
  </si>
  <si>
    <t>Winter :sheteh</t>
  </si>
  <si>
    <t>Spring :rabee3</t>
  </si>
  <si>
    <t>bed :takhet</t>
  </si>
  <si>
    <t>Home :beit</t>
  </si>
  <si>
    <t>Apartement :she'a</t>
  </si>
  <si>
    <t>rent :ajaar</t>
  </si>
  <si>
    <t>bathroom:Hemmeim</t>
  </si>
  <si>
    <t>tomorrow :bukra</t>
  </si>
  <si>
    <t>And:wa</t>
  </si>
  <si>
    <t>So:fa</t>
  </si>
  <si>
    <t>But:bas</t>
  </si>
  <si>
    <t>After:ba3dein</t>
  </si>
  <si>
    <t>When:lamma</t>
  </si>
  <si>
    <t>From:men</t>
  </si>
  <si>
    <t>On:3ala</t>
  </si>
  <si>
    <t>About:3an</t>
  </si>
  <si>
    <t>That:enno</t>
  </si>
  <si>
    <t>Because:la'enno</t>
  </si>
  <si>
    <t>Shirt:ameess</t>
  </si>
  <si>
    <t>High heels:scarbeeneh</t>
  </si>
  <si>
    <t>Shoe:sobbat</t>
  </si>
  <si>
    <t>Dress:fostan</t>
  </si>
  <si>
    <t>Glasses:3wayneit</t>
  </si>
  <si>
    <t>Family:3ayleh</t>
  </si>
  <si>
    <t>I:ana</t>
  </si>
  <si>
    <t>He:howeh</t>
  </si>
  <si>
    <t>She:hiyeh</t>
  </si>
  <si>
    <t>We:neHna</t>
  </si>
  <si>
    <t>They:henneh</t>
  </si>
  <si>
    <t>Monday:tanein</t>
  </si>
  <si>
    <t>Tuesday:taleita</t>
  </si>
  <si>
    <t>Wednsday:orb3a</t>
  </si>
  <si>
    <t>Thursday:khamees</t>
  </si>
  <si>
    <t>Friday:jem3a</t>
  </si>
  <si>
    <t>Saturday:sabet</t>
  </si>
  <si>
    <t>Sunday:aHad</t>
  </si>
  <si>
    <t>Rice:rezz</t>
  </si>
  <si>
    <t>Button:zerr</t>
  </si>
  <si>
    <t>Horn:zammour</t>
  </si>
  <si>
    <t>Gun:fared</t>
  </si>
  <si>
    <t>Anger:to3seeb</t>
  </si>
  <si>
    <t>Optimism:tafei'oul</t>
  </si>
  <si>
    <t>Pessimism:tashei'oum</t>
  </si>
  <si>
    <t>Orgasm:nashweh</t>
  </si>
  <si>
    <t>Pride:fakher</t>
  </si>
  <si>
    <t>Shyness:khajal</t>
  </si>
  <si>
    <t>Anxiety:ala'</t>
  </si>
  <si>
    <t>Sun:shames</t>
  </si>
  <si>
    <t>Fish:samak</t>
  </si>
  <si>
    <t>Guardian:Haares</t>
  </si>
  <si>
    <t>Grass:hasheesh</t>
  </si>
  <si>
    <t>Grey:rmeideh</t>
  </si>
  <si>
    <t>Purple:banafsajeh</t>
  </si>
  <si>
    <t>Pink:zahreh</t>
  </si>
  <si>
    <t>Brown:benneh</t>
  </si>
  <si>
    <t>ice cream:bouza</t>
  </si>
  <si>
    <t>nearest:a'rab</t>
  </si>
  <si>
    <t>Rose:wardeh</t>
  </si>
  <si>
    <t>Friendship:sadaa'a</t>
  </si>
  <si>
    <t>Flower:zahra</t>
  </si>
  <si>
    <t>Improvisation:ertijeil</t>
  </si>
  <si>
    <t>coffee:ahweh</t>
  </si>
  <si>
    <t>I drink coffee everyday:beshrab ahweh kel yom</t>
  </si>
  <si>
    <t>kids:wleid</t>
  </si>
  <si>
    <t>kiss :bawseh</t>
  </si>
  <si>
    <t>Heart :aleb</t>
  </si>
  <si>
    <t>Anger/to3seeb</t>
  </si>
  <si>
    <t>Brown/benneh</t>
  </si>
  <si>
    <t>Dress/fostan</t>
  </si>
  <si>
    <t>Glasses/3wayneit</t>
  </si>
  <si>
    <t>High heels/scarbeeneh</t>
  </si>
  <si>
    <t>kids/wleid</t>
  </si>
  <si>
    <t>Left /shmeil</t>
  </si>
  <si>
    <t>Sunday/aHad</t>
  </si>
  <si>
    <t>Anxiety/ala'</t>
  </si>
  <si>
    <t>Eight /tmeineh</t>
  </si>
  <si>
    <t>Grass/hasheesh</t>
  </si>
  <si>
    <t>Home /beit</t>
  </si>
  <si>
    <t>kiss /bawseh</t>
  </si>
  <si>
    <t>map /khareeta</t>
  </si>
  <si>
    <t>restaurant/mat3am</t>
  </si>
  <si>
    <t>Shirt/ameess</t>
  </si>
  <si>
    <t>Ten /3ashra</t>
  </si>
  <si>
    <t>Apartement /she'a</t>
  </si>
  <si>
    <t>But/bas</t>
  </si>
  <si>
    <t>Excuse me/3afwan</t>
  </si>
  <si>
    <t>Grey/rmeideh</t>
  </si>
  <si>
    <t>Horn/zammour</t>
  </si>
  <si>
    <t>Monday/tanein</t>
  </si>
  <si>
    <t>Shoe/sobbat</t>
  </si>
  <si>
    <t>That/enno</t>
  </si>
  <si>
    <t>Autumn /khareef</t>
  </si>
  <si>
    <t>Button/zerr</t>
  </si>
  <si>
    <t>Family/3ayleh</t>
  </si>
  <si>
    <t>Guardian/Haares</t>
  </si>
  <si>
    <t>How much/addeh</t>
  </si>
  <si>
    <t>money /masareh</t>
  </si>
  <si>
    <t>Shyness/khajal</t>
  </si>
  <si>
    <t>something/shi</t>
  </si>
  <si>
    <t>They/henneh</t>
  </si>
  <si>
    <t>bathroom/Hemmeim</t>
  </si>
  <si>
    <t>cheaper/arkhas</t>
  </si>
  <si>
    <t>Fish/samak</t>
  </si>
  <si>
    <t>Gun/fared</t>
  </si>
  <si>
    <t>How/kif</t>
  </si>
  <si>
    <t>Morning /sobeH</t>
  </si>
  <si>
    <t>Spring /rabee3</t>
  </si>
  <si>
    <t>Three /tleiteh</t>
  </si>
  <si>
    <t>coffee/ahweh</t>
  </si>
  <si>
    <t>Five /khamseh</t>
  </si>
  <si>
    <t>He/howeh</t>
  </si>
  <si>
    <t>Straight /deghreh</t>
  </si>
  <si>
    <t>Thursday/khamees</t>
  </si>
  <si>
    <t>After/ba3dein</t>
  </si>
  <si>
    <t>Because/la'enno</t>
  </si>
  <si>
    <t>Flower/zahra</t>
  </si>
  <si>
    <t>Heart /aleb</t>
  </si>
  <si>
    <t>I work/beshteghil</t>
  </si>
  <si>
    <t>nearest/a'rab</t>
  </si>
  <si>
    <t>Rice/rezz</t>
  </si>
  <si>
    <t>street /sheiri3</t>
  </si>
  <si>
    <t>Today /lyom</t>
  </si>
  <si>
    <t>And/wa</t>
  </si>
  <si>
    <t>Four /arb3a</t>
  </si>
  <si>
    <t>Hello/marHaba</t>
  </si>
  <si>
    <t>I/ana</t>
  </si>
  <si>
    <t>Night /leil</t>
  </si>
  <si>
    <t>Nine /tes3a</t>
  </si>
  <si>
    <t>Right /yameen</t>
  </si>
  <si>
    <t>Summer /seif</t>
  </si>
  <si>
    <t>tomorrow /bukra</t>
  </si>
  <si>
    <t>Friday/jem3a</t>
  </si>
  <si>
    <t>ice cream/bouza</t>
  </si>
  <si>
    <t>Noon /doher</t>
  </si>
  <si>
    <t>Road /taree'</t>
  </si>
  <si>
    <t>Sun/shames</t>
  </si>
  <si>
    <t>Tuesday/taleita</t>
  </si>
  <si>
    <t>bed /takhet</t>
  </si>
  <si>
    <t>Friendship/sadaa'a</t>
  </si>
  <si>
    <t>On/3ala</t>
  </si>
  <si>
    <t>room /ouda</t>
  </si>
  <si>
    <t>Two /tnein</t>
  </si>
  <si>
    <t>From/men</t>
  </si>
  <si>
    <t>Improvisation/ertijeil</t>
  </si>
  <si>
    <t>One /waHad</t>
  </si>
  <si>
    <t>Rose/wardeh</t>
  </si>
  <si>
    <t>We/neHna</t>
  </si>
  <si>
    <t>breakfast /terwee'a</t>
  </si>
  <si>
    <t>Optimism/tafei'oul</t>
  </si>
  <si>
    <t>Saturday/sabet</t>
  </si>
  <si>
    <t>Wednsday/orb3a</t>
  </si>
  <si>
    <t>Seven /sab3a</t>
  </si>
  <si>
    <t>week /jem3a</t>
  </si>
  <si>
    <t>She/hiyeh</t>
  </si>
  <si>
    <t>Welcome/ahla w sahla</t>
  </si>
  <si>
    <t>Orgasm/nashweh</t>
  </si>
  <si>
    <t>What/shou</t>
  </si>
  <si>
    <t>Pessimism/tashei'oum</t>
  </si>
  <si>
    <t>When/lamma</t>
  </si>
  <si>
    <t>Pink/zahreh</t>
  </si>
  <si>
    <t>Six /setteh</t>
  </si>
  <si>
    <t>Where/wein</t>
  </si>
  <si>
    <t>So/fa</t>
  </si>
  <si>
    <t>Winter /sheteh</t>
  </si>
  <si>
    <t>Pride/fakher</t>
  </si>
  <si>
    <t>Zero /sefer</t>
  </si>
  <si>
    <t>Purple/banafsajeh</t>
  </si>
  <si>
    <t>question/sou'aal</t>
  </si>
  <si>
    <t>rent /ajaar</t>
  </si>
  <si>
    <t>About/3an</t>
  </si>
  <si>
    <t>eikol</t>
  </si>
  <si>
    <t>eshrab</t>
  </si>
  <si>
    <t>neim</t>
  </si>
  <si>
    <t>eshteghil</t>
  </si>
  <si>
    <t>zgheereh</t>
  </si>
  <si>
    <t>kheir</t>
  </si>
  <si>
    <t>mbasatet</t>
  </si>
  <si>
    <t>kol</t>
  </si>
  <si>
    <t>kteibeh</t>
  </si>
  <si>
    <t>daraset</t>
  </si>
  <si>
    <t>neikoul</t>
  </si>
  <si>
    <t>mneikoul</t>
  </si>
  <si>
    <t>akalna</t>
  </si>
  <si>
    <t>btersoum</t>
  </si>
  <si>
    <t>kenna</t>
  </si>
  <si>
    <t>tersoum</t>
  </si>
  <si>
    <t>sayfiyeh</t>
  </si>
  <si>
    <t>natreen</t>
  </si>
  <si>
    <t>ward</t>
  </si>
  <si>
    <t>Je m'appelle Maria, je viens du Mexique pour apprendre le Libanais</t>
  </si>
  <si>
    <t>Je suis traductrice/travaille comme traductrice</t>
  </si>
  <si>
    <t>Bienvenu au Liban</t>
  </si>
  <si>
    <t>Salut, comment ca va?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</si>
</sst>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vertAlign val="superscript"/>
      <sz val="10"/>
      <color rgb="FF0B0080"/>
      <name val="Arial"/>
      <family val="2"/>
    </font>
    <font>
      <sz val="18"/>
      <color rgb="FF000000"/>
      <name val="Arial"/>
      <family val="2"/>
    </font>
    <font>
      <sz val="18"/>
      <color rgb="FF0B0080"/>
      <name val="Arial"/>
      <family val="2"/>
    </font>
    <font>
      <sz val="10"/>
      <color rgb="FF0B0080"/>
      <name val="Arial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i/>
      <u/>
      <sz val="9"/>
      <color theme="10"/>
      <name val="Calibri"/>
      <family val="2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10" fillId="2" borderId="2" xfId="1" applyFill="1" applyBorder="1" applyAlignment="1" applyProtection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0" fillId="2" borderId="1" xfId="1" applyFill="1" applyBorder="1" applyAlignment="1" applyProtection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1" fillId="0" borderId="0" xfId="0" applyFont="1"/>
    <xf numFmtId="0" fontId="0" fillId="0" borderId="0" xfId="0" applyFont="1"/>
    <xf numFmtId="0" fontId="10" fillId="0" borderId="0" xfId="1" applyAlignment="1" applyProtection="1"/>
    <xf numFmtId="164" fontId="0" fillId="0" borderId="0" xfId="0" applyNumberFormat="1"/>
    <xf numFmtId="0" fontId="12" fillId="0" borderId="0" xfId="1" applyFont="1" applyAlignment="1" applyProtection="1"/>
    <xf numFmtId="0" fontId="13" fillId="0" borderId="0" xfId="0" applyFont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0" fillId="3" borderId="2" xfId="1" applyFill="1" applyBorder="1" applyAlignment="1" applyProtection="1">
      <alignment horizontal="center" vertical="center" wrapText="1"/>
    </xf>
    <xf numFmtId="0" fontId="10" fillId="3" borderId="3" xfId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0" fillId="2" borderId="2" xfId="1" applyFill="1" applyBorder="1" applyAlignment="1" applyProtection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en.wikipedia.org/wiki/%D8%AD" TargetMode="External"/><Relationship Id="rId18" Type="http://schemas.openxmlformats.org/officeDocument/2006/relationships/hyperlink" Target="http://en.wikipedia.org/wiki/Voiced_dental_fricative" TargetMode="External"/><Relationship Id="rId26" Type="http://schemas.openxmlformats.org/officeDocument/2006/relationships/hyperlink" Target="http://en.wikipedia.org/wiki/Voiceless_palato-alveolar_sibilant" TargetMode="External"/><Relationship Id="rId39" Type="http://schemas.openxmlformats.org/officeDocument/2006/relationships/hyperlink" Target="http://en.wikipedia.org/wiki/Voiceless_labiodental_fricative" TargetMode="External"/><Relationship Id="rId21" Type="http://schemas.openxmlformats.org/officeDocument/2006/relationships/hyperlink" Target="http://en.wikipedia.org/wiki/%D8%B1" TargetMode="External"/><Relationship Id="rId34" Type="http://schemas.openxmlformats.org/officeDocument/2006/relationships/hyperlink" Target="http://en.wikipedia.org/wiki/%D8%B8" TargetMode="External"/><Relationship Id="rId42" Type="http://schemas.openxmlformats.org/officeDocument/2006/relationships/hyperlink" Target="http://en.wikipedia.org/wiki/%D9%83" TargetMode="External"/><Relationship Id="rId47" Type="http://schemas.openxmlformats.org/officeDocument/2006/relationships/hyperlink" Target="http://en.wikipedia.org/wiki/Alveolar_nasal" TargetMode="External"/><Relationship Id="rId50" Type="http://schemas.openxmlformats.org/officeDocument/2006/relationships/hyperlink" Target="http://en.wikipedia.org/wiki/%D9%87" TargetMode="External"/><Relationship Id="rId7" Type="http://schemas.openxmlformats.org/officeDocument/2006/relationships/hyperlink" Target="http://en.wikipedia.org/wiki/Voiceless_alveolar_stop" TargetMode="External"/><Relationship Id="rId2" Type="http://schemas.openxmlformats.org/officeDocument/2006/relationships/hyperlink" Target="http://en.wikipedia.org/wiki/International_Phonetic_Alphabet" TargetMode="External"/><Relationship Id="rId16" Type="http://schemas.openxmlformats.org/officeDocument/2006/relationships/hyperlink" Target="http://en.wikipedia.org/wiki/Voiced_alveolar_stop" TargetMode="External"/><Relationship Id="rId29" Type="http://schemas.openxmlformats.org/officeDocument/2006/relationships/hyperlink" Target="http://en.wikipedia.org/wiki/%D8%B5" TargetMode="External"/><Relationship Id="rId11" Type="http://schemas.openxmlformats.org/officeDocument/2006/relationships/hyperlink" Target="http://en.wikipedia.org/wiki/%D8%AC" TargetMode="External"/><Relationship Id="rId24" Type="http://schemas.openxmlformats.org/officeDocument/2006/relationships/hyperlink" Target="http://en.wikipedia.org/wiki/Voiceless_alveolar_sibilant" TargetMode="External"/><Relationship Id="rId32" Type="http://schemas.openxmlformats.org/officeDocument/2006/relationships/hyperlink" Target="http://en.wikipedia.org/wiki/Pharyngealization" TargetMode="External"/><Relationship Id="rId37" Type="http://schemas.openxmlformats.org/officeDocument/2006/relationships/hyperlink" Target="http://en.wikipedia.org/wiki/Voiced_velar_fricative" TargetMode="External"/><Relationship Id="rId40" Type="http://schemas.openxmlformats.org/officeDocument/2006/relationships/hyperlink" Target="http://en.wikipedia.org/wiki/Voiceless_uvular_stop" TargetMode="External"/><Relationship Id="rId45" Type="http://schemas.openxmlformats.org/officeDocument/2006/relationships/hyperlink" Target="http://en.wikipedia.org/wiki/Bilabial_nasal" TargetMode="External"/><Relationship Id="rId53" Type="http://schemas.openxmlformats.org/officeDocument/2006/relationships/hyperlink" Target="http://en.wikipedia.org/wiki/Palatal_approximant" TargetMode="External"/><Relationship Id="rId5" Type="http://schemas.openxmlformats.org/officeDocument/2006/relationships/hyperlink" Target="http://en.wikipedia.org/wiki/Voiced_bilabial_stop" TargetMode="External"/><Relationship Id="rId10" Type="http://schemas.openxmlformats.org/officeDocument/2006/relationships/hyperlink" Target="http://en.wikipedia.org/wiki/%D8%AB" TargetMode="External"/><Relationship Id="rId19" Type="http://schemas.openxmlformats.org/officeDocument/2006/relationships/hyperlink" Target="http://en.wikipedia.org/wiki/%D8%B0" TargetMode="External"/><Relationship Id="rId31" Type="http://schemas.openxmlformats.org/officeDocument/2006/relationships/hyperlink" Target="http://en.wikipedia.org/wiki/%D8%B6" TargetMode="External"/><Relationship Id="rId44" Type="http://schemas.openxmlformats.org/officeDocument/2006/relationships/hyperlink" Target="http://en.wikipedia.org/wiki/%D9%84" TargetMode="External"/><Relationship Id="rId52" Type="http://schemas.openxmlformats.org/officeDocument/2006/relationships/hyperlink" Target="http://en.wikipedia.org/wiki/%D9%88" TargetMode="External"/><Relationship Id="rId4" Type="http://schemas.openxmlformats.org/officeDocument/2006/relationships/hyperlink" Target="http://en.wikipedia.org/wiki/%D8%A7" TargetMode="External"/><Relationship Id="rId9" Type="http://schemas.openxmlformats.org/officeDocument/2006/relationships/hyperlink" Target="http://en.wikipedia.org/wiki/Voiceless_dental_non-sibilant_fricative" TargetMode="External"/><Relationship Id="rId14" Type="http://schemas.openxmlformats.org/officeDocument/2006/relationships/hyperlink" Target="http://en.wikipedia.org/wiki/Voiceless_velar_fricative" TargetMode="External"/><Relationship Id="rId22" Type="http://schemas.openxmlformats.org/officeDocument/2006/relationships/hyperlink" Target="http://en.wikipedia.org/wiki/Voiced_alveolar_sibilant" TargetMode="External"/><Relationship Id="rId27" Type="http://schemas.openxmlformats.org/officeDocument/2006/relationships/hyperlink" Target="http://en.wikipedia.org/wiki/%D8%B4" TargetMode="External"/><Relationship Id="rId30" Type="http://schemas.openxmlformats.org/officeDocument/2006/relationships/hyperlink" Target="http://en.wikipedia.org/wiki/Pharyngealization" TargetMode="External"/><Relationship Id="rId35" Type="http://schemas.openxmlformats.org/officeDocument/2006/relationships/hyperlink" Target="http://en.wikipedia.org/wiki/Voiced_pharyngeal_fricative" TargetMode="External"/><Relationship Id="rId43" Type="http://schemas.openxmlformats.org/officeDocument/2006/relationships/hyperlink" Target="http://en.wikipedia.org/wiki/Alveolar_lateral_approximant" TargetMode="External"/><Relationship Id="rId48" Type="http://schemas.openxmlformats.org/officeDocument/2006/relationships/hyperlink" Target="http://en.wikipedia.org/wiki/%D9%86" TargetMode="External"/><Relationship Id="rId8" Type="http://schemas.openxmlformats.org/officeDocument/2006/relationships/hyperlink" Target="http://en.wikipedia.org/wiki/%D8%AA" TargetMode="External"/><Relationship Id="rId51" Type="http://schemas.openxmlformats.org/officeDocument/2006/relationships/hyperlink" Target="http://en.wikipedia.org/wiki/Labio-velar_approximant" TargetMode="External"/><Relationship Id="rId3" Type="http://schemas.openxmlformats.org/officeDocument/2006/relationships/hyperlink" Target="http://en.wikipedia.org/wiki/Arabic_alphabet" TargetMode="External"/><Relationship Id="rId12" Type="http://schemas.openxmlformats.org/officeDocument/2006/relationships/hyperlink" Target="http://en.wikipedia.org/wiki/Voiceless_pharyngeal_fricative" TargetMode="External"/><Relationship Id="rId17" Type="http://schemas.openxmlformats.org/officeDocument/2006/relationships/hyperlink" Target="http://en.wikipedia.org/wiki/%D8%AF" TargetMode="External"/><Relationship Id="rId25" Type="http://schemas.openxmlformats.org/officeDocument/2006/relationships/hyperlink" Target="http://en.wikipedia.org/wiki/%D8%B3" TargetMode="External"/><Relationship Id="rId33" Type="http://schemas.openxmlformats.org/officeDocument/2006/relationships/hyperlink" Target="http://en.wikipedia.org/wiki/%D8%B7" TargetMode="External"/><Relationship Id="rId38" Type="http://schemas.openxmlformats.org/officeDocument/2006/relationships/hyperlink" Target="http://en.wikipedia.org/wiki/%D8%BA" TargetMode="External"/><Relationship Id="rId46" Type="http://schemas.openxmlformats.org/officeDocument/2006/relationships/hyperlink" Target="http://en.wikipedia.org/wiki/%D9%85" TargetMode="External"/><Relationship Id="rId20" Type="http://schemas.openxmlformats.org/officeDocument/2006/relationships/hyperlink" Target="http://en.wikipedia.org/wiki/Alveolar_trill" TargetMode="External"/><Relationship Id="rId41" Type="http://schemas.openxmlformats.org/officeDocument/2006/relationships/hyperlink" Target="http://en.wikipedia.org/wiki/Voiceless_velar_stop" TargetMode="External"/><Relationship Id="rId1" Type="http://schemas.openxmlformats.org/officeDocument/2006/relationships/hyperlink" Target="http://en.wikipedia.org/wiki/Romanization_of_Arabic" TargetMode="External"/><Relationship Id="rId6" Type="http://schemas.openxmlformats.org/officeDocument/2006/relationships/hyperlink" Target="http://en.wikipedia.org/wiki/%D8%A8" TargetMode="External"/><Relationship Id="rId15" Type="http://schemas.openxmlformats.org/officeDocument/2006/relationships/hyperlink" Target="http://en.wikipedia.org/wiki/%D8%AE" TargetMode="External"/><Relationship Id="rId23" Type="http://schemas.openxmlformats.org/officeDocument/2006/relationships/hyperlink" Target="http://en.wikipedia.org/wiki/%D8%B2" TargetMode="External"/><Relationship Id="rId28" Type="http://schemas.openxmlformats.org/officeDocument/2006/relationships/hyperlink" Target="http://en.wikipedia.org/wiki/Pharyngealization" TargetMode="External"/><Relationship Id="rId36" Type="http://schemas.openxmlformats.org/officeDocument/2006/relationships/hyperlink" Target="http://en.wikipedia.org/wiki/%D8%B9" TargetMode="External"/><Relationship Id="rId49" Type="http://schemas.openxmlformats.org/officeDocument/2006/relationships/hyperlink" Target="http://en.wikipedia.org/wiki/Voiceless_glottal_fricativ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SGeR9HfhVRA" TargetMode="External"/><Relationship Id="rId2" Type="http://schemas.openxmlformats.org/officeDocument/2006/relationships/hyperlink" Target="https://www.youtube.com/watch?v=RmEAQDsTTaE" TargetMode="External"/><Relationship Id="rId1" Type="http://schemas.openxmlformats.org/officeDocument/2006/relationships/hyperlink" Target="https://www.youtube.com/watch?v=E-TjOWZ5YQ0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4"/>
  <sheetViews>
    <sheetView tabSelected="1" topLeftCell="A340" zoomScaleNormal="100" workbookViewId="0">
      <selection activeCell="B9" sqref="B9"/>
    </sheetView>
  </sheetViews>
  <sheetFormatPr defaultRowHeight="15.75" x14ac:dyDescent="0.25"/>
  <cols>
    <col min="2" max="2" width="25.85546875" customWidth="1"/>
    <col min="3" max="3" width="36.5703125" customWidth="1"/>
    <col min="4" max="4" width="35" customWidth="1"/>
    <col min="5" max="5" width="31.42578125" style="11" customWidth="1"/>
    <col min="6" max="6" width="19.28515625" customWidth="1"/>
    <col min="8" max="8" width="20.7109375" customWidth="1"/>
    <col min="9" max="9" width="15.85546875" customWidth="1"/>
    <col min="10" max="10" width="15.7109375" customWidth="1"/>
  </cols>
  <sheetData>
    <row r="1" spans="1:11" x14ac:dyDescent="0.25">
      <c r="A1">
        <v>218</v>
      </c>
      <c r="B1" t="s">
        <v>1900</v>
      </c>
      <c r="C1" t="s">
        <v>0</v>
      </c>
      <c r="D1" t="s">
        <v>748</v>
      </c>
      <c r="E1" s="11" t="s">
        <v>1170</v>
      </c>
      <c r="F1" t="s">
        <v>1</v>
      </c>
      <c r="G1">
        <v>1</v>
      </c>
      <c r="H1" t="s">
        <v>1569</v>
      </c>
      <c r="I1" t="s">
        <v>1316</v>
      </c>
      <c r="J1" t="s">
        <v>1330</v>
      </c>
      <c r="K1">
        <v>1</v>
      </c>
    </row>
    <row r="2" spans="1:11" x14ac:dyDescent="0.25">
      <c r="A2">
        <v>219</v>
      </c>
      <c r="B2" t="s">
        <v>1897</v>
      </c>
      <c r="C2" t="s">
        <v>2</v>
      </c>
      <c r="D2" t="s">
        <v>442</v>
      </c>
      <c r="E2" s="11" t="s">
        <v>1171</v>
      </c>
      <c r="F2" t="s">
        <v>3</v>
      </c>
      <c r="G2">
        <v>1</v>
      </c>
      <c r="H2" t="s">
        <v>1569</v>
      </c>
      <c r="I2" t="s">
        <v>1316</v>
      </c>
      <c r="J2" t="s">
        <v>1330</v>
      </c>
      <c r="K2">
        <v>8</v>
      </c>
    </row>
    <row r="3" spans="1:11" x14ac:dyDescent="0.25">
      <c r="A3">
        <v>346</v>
      </c>
      <c r="B3" t="s">
        <v>1898</v>
      </c>
      <c r="C3" t="s">
        <v>4</v>
      </c>
      <c r="D3" t="s">
        <v>443</v>
      </c>
      <c r="E3" s="11" t="s">
        <v>1295</v>
      </c>
      <c r="F3" t="s">
        <v>5</v>
      </c>
      <c r="G3">
        <v>1</v>
      </c>
      <c r="H3" t="s">
        <v>1569</v>
      </c>
      <c r="I3" t="s">
        <v>1316</v>
      </c>
      <c r="J3" t="s">
        <v>1330</v>
      </c>
      <c r="K3">
        <v>7</v>
      </c>
    </row>
    <row r="4" spans="1:11" x14ac:dyDescent="0.25">
      <c r="A4">
        <v>1</v>
      </c>
      <c r="C4" t="s">
        <v>16</v>
      </c>
      <c r="D4" t="s">
        <v>447</v>
      </c>
      <c r="E4" s="11" t="s">
        <v>955</v>
      </c>
      <c r="F4" t="s">
        <v>17</v>
      </c>
      <c r="G4">
        <v>2</v>
      </c>
      <c r="H4" t="s">
        <v>1564</v>
      </c>
      <c r="I4" t="s">
        <v>1315</v>
      </c>
      <c r="J4" t="s">
        <v>1329</v>
      </c>
      <c r="K4">
        <v>7</v>
      </c>
    </row>
    <row r="5" spans="1:11" x14ac:dyDescent="0.25">
      <c r="A5">
        <v>315</v>
      </c>
      <c r="B5" t="s">
        <v>1899</v>
      </c>
      <c r="C5" t="s">
        <v>6</v>
      </c>
      <c r="D5" t="s">
        <v>444</v>
      </c>
      <c r="E5" s="11" t="s">
        <v>1265</v>
      </c>
      <c r="F5" t="s">
        <v>7</v>
      </c>
      <c r="G5">
        <v>2</v>
      </c>
      <c r="H5" t="s">
        <v>1564</v>
      </c>
      <c r="I5" t="s">
        <v>1315</v>
      </c>
      <c r="J5" t="s">
        <v>1325</v>
      </c>
      <c r="K5">
        <v>1</v>
      </c>
    </row>
    <row r="6" spans="1:11" x14ac:dyDescent="0.25">
      <c r="A6">
        <v>316</v>
      </c>
      <c r="C6" t="s">
        <v>8</v>
      </c>
      <c r="D6" t="s">
        <v>730</v>
      </c>
      <c r="E6" s="11" t="s">
        <v>1266</v>
      </c>
      <c r="F6" t="s">
        <v>9</v>
      </c>
      <c r="G6">
        <v>2</v>
      </c>
      <c r="H6" t="s">
        <v>1564</v>
      </c>
      <c r="I6" t="s">
        <v>1315</v>
      </c>
      <c r="J6" t="s">
        <v>1325</v>
      </c>
      <c r="K6">
        <v>2</v>
      </c>
    </row>
    <row r="7" spans="1:11" x14ac:dyDescent="0.25">
      <c r="A7">
        <v>317</v>
      </c>
      <c r="C7" t="s">
        <v>10</v>
      </c>
      <c r="D7" t="s">
        <v>731</v>
      </c>
      <c r="E7" s="11" t="s">
        <v>1267</v>
      </c>
      <c r="F7" t="s">
        <v>11</v>
      </c>
      <c r="G7">
        <v>2</v>
      </c>
      <c r="H7" t="s">
        <v>1564</v>
      </c>
      <c r="I7" t="s">
        <v>1315</v>
      </c>
      <c r="J7" t="s">
        <v>1325</v>
      </c>
      <c r="K7">
        <v>3</v>
      </c>
    </row>
    <row r="8" spans="1:11" x14ac:dyDescent="0.25">
      <c r="A8">
        <v>318</v>
      </c>
      <c r="C8" t="s">
        <v>12</v>
      </c>
      <c r="D8" t="s">
        <v>445</v>
      </c>
      <c r="E8" s="11" t="s">
        <v>1268</v>
      </c>
      <c r="F8" t="s">
        <v>13</v>
      </c>
      <c r="G8">
        <v>2</v>
      </c>
      <c r="H8" t="s">
        <v>1564</v>
      </c>
      <c r="I8" t="s">
        <v>1315</v>
      </c>
      <c r="J8" t="s">
        <v>1325</v>
      </c>
      <c r="K8">
        <v>4</v>
      </c>
    </row>
    <row r="9" spans="1:11" x14ac:dyDescent="0.25">
      <c r="A9">
        <v>319</v>
      </c>
      <c r="C9" t="s">
        <v>14</v>
      </c>
      <c r="D9" t="s">
        <v>446</v>
      </c>
      <c r="E9" s="11" t="s">
        <v>1269</v>
      </c>
      <c r="F9" t="s">
        <v>15</v>
      </c>
      <c r="G9">
        <v>2</v>
      </c>
      <c r="H9" t="s">
        <v>1564</v>
      </c>
      <c r="I9" t="s">
        <v>1315</v>
      </c>
      <c r="J9" t="s">
        <v>1325</v>
      </c>
      <c r="K9">
        <v>5</v>
      </c>
    </row>
    <row r="10" spans="1:11" x14ac:dyDescent="0.25">
      <c r="A10">
        <v>213</v>
      </c>
      <c r="C10" t="s">
        <v>18</v>
      </c>
      <c r="D10" t="s">
        <v>448</v>
      </c>
      <c r="E10" s="11" t="s">
        <v>1165</v>
      </c>
      <c r="F10" t="s">
        <v>19</v>
      </c>
      <c r="G10" s="14">
        <f>3.1</f>
        <v>3.1</v>
      </c>
      <c r="H10" t="s">
        <v>1566</v>
      </c>
      <c r="I10" t="s">
        <v>1315</v>
      </c>
      <c r="J10" t="s">
        <v>1328</v>
      </c>
      <c r="K10">
        <v>1</v>
      </c>
    </row>
    <row r="11" spans="1:11" x14ac:dyDescent="0.25">
      <c r="A11">
        <v>214</v>
      </c>
      <c r="C11" t="s">
        <v>20</v>
      </c>
      <c r="D11" t="s">
        <v>449</v>
      </c>
      <c r="E11" s="11" t="s">
        <v>1166</v>
      </c>
      <c r="F11" t="s">
        <v>21</v>
      </c>
      <c r="G11">
        <v>3.1</v>
      </c>
      <c r="H11" t="s">
        <v>1566</v>
      </c>
      <c r="I11" t="s">
        <v>1315</v>
      </c>
      <c r="J11" t="s">
        <v>1328</v>
      </c>
      <c r="K11">
        <v>3</v>
      </c>
    </row>
    <row r="12" spans="1:11" x14ac:dyDescent="0.25">
      <c r="A12">
        <v>215</v>
      </c>
      <c r="C12" t="s">
        <v>22</v>
      </c>
      <c r="D12" t="s">
        <v>450</v>
      </c>
      <c r="E12" s="11" t="s">
        <v>1167</v>
      </c>
      <c r="F12" t="s">
        <v>23</v>
      </c>
      <c r="G12">
        <v>3.1</v>
      </c>
      <c r="H12" t="s">
        <v>1566</v>
      </c>
      <c r="I12" t="s">
        <v>1315</v>
      </c>
      <c r="J12" t="s">
        <v>1328</v>
      </c>
      <c r="K12">
        <v>4</v>
      </c>
    </row>
    <row r="13" spans="1:11" x14ac:dyDescent="0.25">
      <c r="A13">
        <v>216</v>
      </c>
      <c r="C13" t="s">
        <v>24</v>
      </c>
      <c r="D13" t="s">
        <v>451</v>
      </c>
      <c r="E13" s="11" t="s">
        <v>1168</v>
      </c>
      <c r="F13" t="s">
        <v>25</v>
      </c>
      <c r="G13">
        <v>3.1</v>
      </c>
      <c r="H13" t="s">
        <v>1566</v>
      </c>
      <c r="I13" t="s">
        <v>1315</v>
      </c>
      <c r="J13" t="s">
        <v>1328</v>
      </c>
      <c r="K13">
        <v>5</v>
      </c>
    </row>
    <row r="14" spans="1:11" x14ac:dyDescent="0.25">
      <c r="A14">
        <v>217</v>
      </c>
      <c r="C14" t="s">
        <v>26</v>
      </c>
      <c r="D14" t="s">
        <v>452</v>
      </c>
      <c r="E14" s="11" t="s">
        <v>1169</v>
      </c>
      <c r="F14" t="s">
        <v>27</v>
      </c>
      <c r="G14">
        <v>3.1</v>
      </c>
      <c r="H14" t="s">
        <v>1566</v>
      </c>
      <c r="I14" t="s">
        <v>1315</v>
      </c>
      <c r="J14" t="s">
        <v>1328</v>
      </c>
      <c r="K14">
        <v>6</v>
      </c>
    </row>
    <row r="15" spans="1:11" x14ac:dyDescent="0.25">
      <c r="A15">
        <v>320</v>
      </c>
      <c r="C15" t="s">
        <v>28</v>
      </c>
      <c r="D15" t="s">
        <v>453</v>
      </c>
      <c r="E15" s="11" t="s">
        <v>1270</v>
      </c>
      <c r="F15" t="s">
        <v>29</v>
      </c>
      <c r="G15">
        <v>3.2</v>
      </c>
      <c r="H15" t="s">
        <v>1566</v>
      </c>
      <c r="I15" t="s">
        <v>1315</v>
      </c>
      <c r="J15" t="s">
        <v>1326</v>
      </c>
      <c r="K15">
        <v>10</v>
      </c>
    </row>
    <row r="16" spans="1:11" x14ac:dyDescent="0.25">
      <c r="A16">
        <v>321</v>
      </c>
      <c r="C16" t="s">
        <v>30</v>
      </c>
      <c r="D16" t="s">
        <v>454</v>
      </c>
      <c r="E16" s="11" t="s">
        <v>1271</v>
      </c>
      <c r="F16" t="s">
        <v>31</v>
      </c>
      <c r="G16">
        <v>3.2</v>
      </c>
      <c r="H16" t="s">
        <v>1566</v>
      </c>
      <c r="I16" t="s">
        <v>1315</v>
      </c>
      <c r="J16" t="s">
        <v>1326</v>
      </c>
      <c r="K16">
        <v>12</v>
      </c>
    </row>
    <row r="17" spans="1:11" x14ac:dyDescent="0.25">
      <c r="A17">
        <v>220</v>
      </c>
      <c r="C17" t="s">
        <v>47</v>
      </c>
      <c r="D17" t="s">
        <v>461</v>
      </c>
      <c r="E17" s="11" t="s">
        <v>1172</v>
      </c>
      <c r="F17" t="s">
        <v>48</v>
      </c>
      <c r="G17">
        <v>4</v>
      </c>
      <c r="H17" t="s">
        <v>1557</v>
      </c>
      <c r="I17" t="s">
        <v>752</v>
      </c>
      <c r="J17" t="s">
        <v>752</v>
      </c>
    </row>
    <row r="18" spans="1:11" x14ac:dyDescent="0.25">
      <c r="A18">
        <v>266</v>
      </c>
      <c r="C18" t="s">
        <v>49</v>
      </c>
      <c r="D18" t="s">
        <v>462</v>
      </c>
      <c r="E18" s="11" t="s">
        <v>1217</v>
      </c>
      <c r="F18" t="s">
        <v>50</v>
      </c>
      <c r="G18">
        <v>4</v>
      </c>
      <c r="H18" t="s">
        <v>1557</v>
      </c>
      <c r="I18" t="s">
        <v>1314</v>
      </c>
      <c r="J18" t="s">
        <v>1320</v>
      </c>
      <c r="K18">
        <v>1</v>
      </c>
    </row>
    <row r="19" spans="1:11" x14ac:dyDescent="0.25">
      <c r="A19">
        <v>267</v>
      </c>
      <c r="C19" t="s">
        <v>51</v>
      </c>
      <c r="D19" t="s">
        <v>463</v>
      </c>
      <c r="E19" s="11" t="s">
        <v>1218</v>
      </c>
      <c r="F19" t="s">
        <v>52</v>
      </c>
      <c r="G19">
        <v>4</v>
      </c>
      <c r="H19" t="s">
        <v>1557</v>
      </c>
      <c r="I19" t="s">
        <v>1314</v>
      </c>
      <c r="J19" t="s">
        <v>1320</v>
      </c>
      <c r="K19">
        <v>2</v>
      </c>
    </row>
    <row r="20" spans="1:11" x14ac:dyDescent="0.25">
      <c r="A20">
        <v>268</v>
      </c>
      <c r="C20" t="s">
        <v>53</v>
      </c>
      <c r="D20" t="s">
        <v>464</v>
      </c>
      <c r="E20" s="11" t="s">
        <v>1219</v>
      </c>
      <c r="F20" t="s">
        <v>54</v>
      </c>
      <c r="G20">
        <v>4</v>
      </c>
      <c r="H20" t="s">
        <v>1557</v>
      </c>
      <c r="I20" t="s">
        <v>1314</v>
      </c>
      <c r="J20" t="s">
        <v>1320</v>
      </c>
      <c r="K20">
        <v>3</v>
      </c>
    </row>
    <row r="21" spans="1:11" x14ac:dyDescent="0.25">
      <c r="A21">
        <v>269</v>
      </c>
      <c r="C21" t="s">
        <v>55</v>
      </c>
      <c r="D21" t="s">
        <v>465</v>
      </c>
      <c r="E21" s="11" t="s">
        <v>1220</v>
      </c>
      <c r="F21" t="s">
        <v>56</v>
      </c>
      <c r="G21">
        <v>4</v>
      </c>
      <c r="H21" t="s">
        <v>1557</v>
      </c>
      <c r="I21" t="s">
        <v>1314</v>
      </c>
      <c r="J21" t="s">
        <v>1320</v>
      </c>
      <c r="K21">
        <v>4</v>
      </c>
    </row>
    <row r="22" spans="1:11" x14ac:dyDescent="0.25">
      <c r="A22">
        <v>270</v>
      </c>
      <c r="C22" t="s">
        <v>57</v>
      </c>
      <c r="D22" t="s">
        <v>466</v>
      </c>
      <c r="E22" s="11" t="s">
        <v>1221</v>
      </c>
      <c r="F22" t="s">
        <v>58</v>
      </c>
      <c r="G22">
        <v>4</v>
      </c>
      <c r="H22" t="s">
        <v>1557</v>
      </c>
      <c r="I22" t="s">
        <v>1314</v>
      </c>
      <c r="J22" t="s">
        <v>1320</v>
      </c>
      <c r="K22">
        <v>5</v>
      </c>
    </row>
    <row r="23" spans="1:11" x14ac:dyDescent="0.25">
      <c r="A23">
        <v>271</v>
      </c>
      <c r="C23" t="s">
        <v>59</v>
      </c>
      <c r="D23" t="s">
        <v>467</v>
      </c>
      <c r="E23" s="11" t="s">
        <v>1222</v>
      </c>
      <c r="F23" t="s">
        <v>60</v>
      </c>
      <c r="G23">
        <v>4</v>
      </c>
      <c r="H23" t="s">
        <v>1557</v>
      </c>
      <c r="I23" t="s">
        <v>1314</v>
      </c>
      <c r="J23" t="s">
        <v>1320</v>
      </c>
      <c r="K23">
        <v>6</v>
      </c>
    </row>
    <row r="24" spans="1:11" x14ac:dyDescent="0.25">
      <c r="A24">
        <v>272</v>
      </c>
      <c r="C24" t="s">
        <v>61</v>
      </c>
      <c r="D24" t="s">
        <v>234</v>
      </c>
      <c r="E24" s="11" t="s">
        <v>1223</v>
      </c>
      <c r="F24" t="s">
        <v>62</v>
      </c>
      <c r="G24">
        <v>4</v>
      </c>
      <c r="H24" t="s">
        <v>1557</v>
      </c>
      <c r="I24" t="s">
        <v>1314</v>
      </c>
      <c r="J24" t="s">
        <v>1320</v>
      </c>
      <c r="K24">
        <v>7</v>
      </c>
    </row>
    <row r="25" spans="1:11" x14ac:dyDescent="0.25">
      <c r="A25">
        <v>273</v>
      </c>
      <c r="C25" t="s">
        <v>63</v>
      </c>
      <c r="D25" t="s">
        <v>468</v>
      </c>
      <c r="E25" s="11" t="s">
        <v>1224</v>
      </c>
      <c r="F25" t="s">
        <v>64</v>
      </c>
      <c r="G25">
        <v>4</v>
      </c>
      <c r="H25" t="s">
        <v>1557</v>
      </c>
      <c r="I25" t="s">
        <v>1314</v>
      </c>
      <c r="J25" t="s">
        <v>1320</v>
      </c>
      <c r="K25">
        <v>8</v>
      </c>
    </row>
    <row r="26" spans="1:11" x14ac:dyDescent="0.25">
      <c r="A26">
        <v>274</v>
      </c>
      <c r="C26" t="s">
        <v>65</v>
      </c>
      <c r="D26" t="s">
        <v>469</v>
      </c>
      <c r="E26" s="11" t="s">
        <v>1225</v>
      </c>
      <c r="F26" t="s">
        <v>66</v>
      </c>
      <c r="G26">
        <v>4</v>
      </c>
      <c r="H26" t="s">
        <v>1557</v>
      </c>
      <c r="I26" t="s">
        <v>1314</v>
      </c>
      <c r="J26" t="s">
        <v>1320</v>
      </c>
      <c r="K26">
        <v>9</v>
      </c>
    </row>
    <row r="27" spans="1:11" x14ac:dyDescent="0.25">
      <c r="A27">
        <v>275</v>
      </c>
      <c r="C27" t="s">
        <v>67</v>
      </c>
      <c r="D27" t="s">
        <v>470</v>
      </c>
      <c r="E27" s="11" t="s">
        <v>1226</v>
      </c>
      <c r="F27" t="s">
        <v>68</v>
      </c>
      <c r="G27">
        <v>4</v>
      </c>
      <c r="H27" t="s">
        <v>1557</v>
      </c>
      <c r="I27" t="s">
        <v>1314</v>
      </c>
      <c r="J27" t="s">
        <v>1320</v>
      </c>
      <c r="K27">
        <v>10</v>
      </c>
    </row>
    <row r="28" spans="1:11" x14ac:dyDescent="0.25">
      <c r="A28">
        <v>276</v>
      </c>
      <c r="C28" t="s">
        <v>69</v>
      </c>
      <c r="D28" t="s">
        <v>471</v>
      </c>
      <c r="E28" s="11" t="s">
        <v>1227</v>
      </c>
      <c r="F28" t="s">
        <v>70</v>
      </c>
      <c r="G28">
        <v>4</v>
      </c>
      <c r="H28" t="s">
        <v>1557</v>
      </c>
      <c r="I28" t="s">
        <v>1314</v>
      </c>
      <c r="J28" t="s">
        <v>1320</v>
      </c>
      <c r="K28">
        <v>11</v>
      </c>
    </row>
    <row r="29" spans="1:11" x14ac:dyDescent="0.25">
      <c r="A29">
        <v>277</v>
      </c>
      <c r="C29" t="s">
        <v>1345</v>
      </c>
      <c r="D29" t="s">
        <v>472</v>
      </c>
      <c r="E29" s="11" t="s">
        <v>1228</v>
      </c>
      <c r="F29" t="s">
        <v>71</v>
      </c>
      <c r="G29">
        <v>4</v>
      </c>
      <c r="H29" t="s">
        <v>1557</v>
      </c>
      <c r="I29" t="s">
        <v>1315</v>
      </c>
      <c r="J29" t="s">
        <v>1327</v>
      </c>
      <c r="K29">
        <v>1</v>
      </c>
    </row>
    <row r="30" spans="1:11" x14ac:dyDescent="0.25">
      <c r="A30">
        <v>278</v>
      </c>
      <c r="C30" t="s">
        <v>1346</v>
      </c>
      <c r="D30" t="s">
        <v>473</v>
      </c>
      <c r="E30" s="11" t="s">
        <v>1229</v>
      </c>
      <c r="F30" t="s">
        <v>72</v>
      </c>
      <c r="G30">
        <v>4</v>
      </c>
      <c r="H30" t="s">
        <v>1557</v>
      </c>
      <c r="I30" t="s">
        <v>1315</v>
      </c>
      <c r="J30" t="s">
        <v>1327</v>
      </c>
      <c r="K30">
        <v>2</v>
      </c>
    </row>
    <row r="31" spans="1:11" x14ac:dyDescent="0.25">
      <c r="A31">
        <v>279</v>
      </c>
      <c r="C31" t="s">
        <v>1347</v>
      </c>
      <c r="D31" t="s">
        <v>474</v>
      </c>
      <c r="E31" s="11" t="s">
        <v>1230</v>
      </c>
      <c r="F31" t="s">
        <v>73</v>
      </c>
      <c r="G31">
        <v>4</v>
      </c>
      <c r="H31" t="s">
        <v>1557</v>
      </c>
      <c r="I31" t="s">
        <v>1315</v>
      </c>
      <c r="J31" t="s">
        <v>1327</v>
      </c>
      <c r="K31">
        <v>3</v>
      </c>
    </row>
    <row r="32" spans="1:11" x14ac:dyDescent="0.25">
      <c r="A32">
        <v>280</v>
      </c>
      <c r="C32" t="s">
        <v>1348</v>
      </c>
      <c r="D32" t="s">
        <v>475</v>
      </c>
      <c r="E32" s="11" t="s">
        <v>1231</v>
      </c>
      <c r="F32" t="s">
        <v>74</v>
      </c>
      <c r="G32">
        <v>4</v>
      </c>
      <c r="H32" t="s">
        <v>1557</v>
      </c>
      <c r="I32" t="s">
        <v>1315</v>
      </c>
      <c r="J32" t="s">
        <v>1327</v>
      </c>
      <c r="K32">
        <v>4</v>
      </c>
    </row>
    <row r="33" spans="1:11" x14ac:dyDescent="0.25">
      <c r="A33">
        <v>281</v>
      </c>
      <c r="C33" t="s">
        <v>1349</v>
      </c>
      <c r="D33" t="s">
        <v>476</v>
      </c>
      <c r="E33" s="11" t="s">
        <v>1232</v>
      </c>
      <c r="F33" t="s">
        <v>75</v>
      </c>
      <c r="G33">
        <v>4</v>
      </c>
      <c r="H33" t="s">
        <v>1557</v>
      </c>
      <c r="I33" t="s">
        <v>1315</v>
      </c>
      <c r="J33" t="s">
        <v>1327</v>
      </c>
      <c r="K33">
        <v>5</v>
      </c>
    </row>
    <row r="34" spans="1:11" x14ac:dyDescent="0.25">
      <c r="A34">
        <v>282</v>
      </c>
      <c r="C34" t="s">
        <v>1350</v>
      </c>
      <c r="D34" t="s">
        <v>477</v>
      </c>
      <c r="E34" s="11" t="s">
        <v>1233</v>
      </c>
      <c r="F34" t="s">
        <v>76</v>
      </c>
      <c r="G34">
        <v>4</v>
      </c>
      <c r="H34" t="s">
        <v>1557</v>
      </c>
      <c r="I34" t="s">
        <v>1315</v>
      </c>
      <c r="J34" t="s">
        <v>1327</v>
      </c>
      <c r="K34">
        <v>6</v>
      </c>
    </row>
    <row r="35" spans="1:11" x14ac:dyDescent="0.25">
      <c r="A35">
        <v>283</v>
      </c>
      <c r="C35" t="s">
        <v>1351</v>
      </c>
      <c r="D35" t="s">
        <v>77</v>
      </c>
      <c r="E35" s="11" t="s">
        <v>1234</v>
      </c>
      <c r="F35" t="s">
        <v>77</v>
      </c>
      <c r="G35">
        <v>4</v>
      </c>
      <c r="H35" t="s">
        <v>1557</v>
      </c>
      <c r="I35" t="s">
        <v>1315</v>
      </c>
      <c r="J35" t="s">
        <v>1327</v>
      </c>
      <c r="K35">
        <v>7</v>
      </c>
    </row>
    <row r="36" spans="1:11" x14ac:dyDescent="0.25">
      <c r="A36">
        <v>284</v>
      </c>
      <c r="C36" t="s">
        <v>1352</v>
      </c>
      <c r="D36" t="s">
        <v>78</v>
      </c>
      <c r="E36" s="11" t="s">
        <v>1235</v>
      </c>
      <c r="F36" t="s">
        <v>78</v>
      </c>
      <c r="G36">
        <v>4</v>
      </c>
      <c r="H36" t="s">
        <v>1557</v>
      </c>
      <c r="I36" t="s">
        <v>1315</v>
      </c>
      <c r="J36" t="s">
        <v>1327</v>
      </c>
      <c r="K36">
        <v>8</v>
      </c>
    </row>
    <row r="37" spans="1:11" x14ac:dyDescent="0.25">
      <c r="A37">
        <v>322</v>
      </c>
      <c r="C37" t="s">
        <v>79</v>
      </c>
      <c r="D37" t="s">
        <v>478</v>
      </c>
      <c r="E37" s="11" t="s">
        <v>1272</v>
      </c>
      <c r="F37" t="s">
        <v>80</v>
      </c>
      <c r="G37">
        <v>5</v>
      </c>
      <c r="H37" t="s">
        <v>1565</v>
      </c>
      <c r="I37" t="s">
        <v>1315</v>
      </c>
      <c r="J37" t="s">
        <v>1326</v>
      </c>
      <c r="K37">
        <v>1</v>
      </c>
    </row>
    <row r="38" spans="1:11" x14ac:dyDescent="0.25">
      <c r="A38">
        <v>323</v>
      </c>
      <c r="C38" t="s">
        <v>81</v>
      </c>
      <c r="D38" t="s">
        <v>479</v>
      </c>
      <c r="E38" s="11" t="s">
        <v>1273</v>
      </c>
      <c r="F38" t="s">
        <v>82</v>
      </c>
      <c r="G38">
        <v>5</v>
      </c>
      <c r="H38" t="s">
        <v>1565</v>
      </c>
      <c r="I38" t="s">
        <v>1315</v>
      </c>
      <c r="J38" t="s">
        <v>1326</v>
      </c>
      <c r="K38">
        <v>8</v>
      </c>
    </row>
    <row r="39" spans="1:11" x14ac:dyDescent="0.25">
      <c r="A39">
        <v>324</v>
      </c>
      <c r="C39" t="s">
        <v>83</v>
      </c>
      <c r="D39" t="s">
        <v>480</v>
      </c>
      <c r="E39" s="11" t="s">
        <v>1274</v>
      </c>
      <c r="F39" t="s">
        <v>84</v>
      </c>
      <c r="G39">
        <v>5</v>
      </c>
      <c r="H39" t="s">
        <v>1565</v>
      </c>
      <c r="I39" t="s">
        <v>1315</v>
      </c>
      <c r="J39" t="s">
        <v>1326</v>
      </c>
      <c r="K39">
        <v>7</v>
      </c>
    </row>
    <row r="40" spans="1:11" x14ac:dyDescent="0.25">
      <c r="A40">
        <v>325</v>
      </c>
      <c r="C40" t="s">
        <v>85</v>
      </c>
      <c r="D40" t="s">
        <v>481</v>
      </c>
      <c r="E40" s="11" t="s">
        <v>1275</v>
      </c>
      <c r="F40" t="s">
        <v>86</v>
      </c>
      <c r="G40">
        <v>5</v>
      </c>
      <c r="H40" t="s">
        <v>1565</v>
      </c>
      <c r="I40" t="s">
        <v>1315</v>
      </c>
      <c r="J40" t="s">
        <v>1326</v>
      </c>
      <c r="K40">
        <v>9</v>
      </c>
    </row>
    <row r="41" spans="1:11" x14ac:dyDescent="0.25">
      <c r="A41">
        <v>326</v>
      </c>
      <c r="C41" t="s">
        <v>87</v>
      </c>
      <c r="D41" t="s">
        <v>482</v>
      </c>
      <c r="E41" s="11" t="s">
        <v>1276</v>
      </c>
      <c r="F41" t="s">
        <v>88</v>
      </c>
      <c r="G41">
        <v>5</v>
      </c>
      <c r="H41" t="s">
        <v>1565</v>
      </c>
      <c r="I41" t="s">
        <v>1315</v>
      </c>
      <c r="J41" t="s">
        <v>1326</v>
      </c>
      <c r="K41">
        <v>11</v>
      </c>
    </row>
    <row r="42" spans="1:11" x14ac:dyDescent="0.25">
      <c r="A42">
        <v>327</v>
      </c>
      <c r="C42" t="s">
        <v>89</v>
      </c>
      <c r="D42" t="s">
        <v>483</v>
      </c>
      <c r="E42" s="11" t="s">
        <v>1277</v>
      </c>
      <c r="F42" t="s">
        <v>90</v>
      </c>
      <c r="G42">
        <v>5</v>
      </c>
      <c r="H42" t="s">
        <v>1565</v>
      </c>
      <c r="I42" t="s">
        <v>1315</v>
      </c>
      <c r="J42" t="s">
        <v>1326</v>
      </c>
      <c r="K42">
        <v>5</v>
      </c>
    </row>
    <row r="43" spans="1:11" x14ac:dyDescent="0.25">
      <c r="A43">
        <v>328</v>
      </c>
      <c r="C43" t="s">
        <v>91</v>
      </c>
      <c r="D43" t="s">
        <v>484</v>
      </c>
      <c r="E43" s="11" t="s">
        <v>1278</v>
      </c>
      <c r="F43" t="s">
        <v>92</v>
      </c>
      <c r="G43">
        <v>5</v>
      </c>
      <c r="H43" t="s">
        <v>1565</v>
      </c>
      <c r="I43" t="s">
        <v>1315</v>
      </c>
      <c r="J43" t="s">
        <v>1326</v>
      </c>
      <c r="K43">
        <v>6</v>
      </c>
    </row>
    <row r="44" spans="1:11" x14ac:dyDescent="0.25">
      <c r="A44">
        <v>329</v>
      </c>
      <c r="C44" t="s">
        <v>93</v>
      </c>
      <c r="D44" t="s">
        <v>418</v>
      </c>
      <c r="E44" s="11" t="s">
        <v>1279</v>
      </c>
      <c r="F44" t="s">
        <v>94</v>
      </c>
      <c r="G44">
        <v>5</v>
      </c>
      <c r="H44" t="s">
        <v>1565</v>
      </c>
      <c r="I44" t="s">
        <v>1315</v>
      </c>
      <c r="J44" t="s">
        <v>1326</v>
      </c>
      <c r="K44">
        <v>2</v>
      </c>
    </row>
    <row r="45" spans="1:11" x14ac:dyDescent="0.25">
      <c r="A45">
        <v>330</v>
      </c>
      <c r="C45" t="s">
        <v>95</v>
      </c>
      <c r="D45" t="s">
        <v>485</v>
      </c>
      <c r="E45" s="11" t="s">
        <v>1280</v>
      </c>
      <c r="F45" t="s">
        <v>96</v>
      </c>
      <c r="G45">
        <v>5</v>
      </c>
      <c r="H45" t="s">
        <v>1565</v>
      </c>
      <c r="I45" t="s">
        <v>1315</v>
      </c>
      <c r="J45" t="s">
        <v>1326</v>
      </c>
      <c r="K45">
        <v>3</v>
      </c>
    </row>
    <row r="46" spans="1:11" x14ac:dyDescent="0.25">
      <c r="A46">
        <v>331</v>
      </c>
      <c r="C46" t="s">
        <v>97</v>
      </c>
      <c r="D46" t="s">
        <v>486</v>
      </c>
      <c r="E46" s="11" t="s">
        <v>1281</v>
      </c>
      <c r="F46" t="s">
        <v>98</v>
      </c>
      <c r="G46">
        <v>5</v>
      </c>
      <c r="H46" t="s">
        <v>1565</v>
      </c>
      <c r="I46" t="s">
        <v>1315</v>
      </c>
      <c r="J46" t="s">
        <v>1326</v>
      </c>
      <c r="K46">
        <v>4</v>
      </c>
    </row>
    <row r="47" spans="1:11" x14ac:dyDescent="0.25">
      <c r="A47">
        <v>29</v>
      </c>
      <c r="C47" t="s">
        <v>99</v>
      </c>
      <c r="D47" t="s">
        <v>487</v>
      </c>
      <c r="E47" s="11" t="s">
        <v>982</v>
      </c>
      <c r="F47" t="s">
        <v>100</v>
      </c>
      <c r="G47">
        <v>6</v>
      </c>
      <c r="H47" t="s">
        <v>1580</v>
      </c>
      <c r="I47" t="s">
        <v>1318</v>
      </c>
      <c r="J47" t="s">
        <v>1341</v>
      </c>
      <c r="K47">
        <v>1</v>
      </c>
    </row>
    <row r="48" spans="1:11" x14ac:dyDescent="0.25">
      <c r="A48">
        <v>30</v>
      </c>
      <c r="C48" t="s">
        <v>101</v>
      </c>
      <c r="D48" t="s">
        <v>488</v>
      </c>
      <c r="E48" s="11" t="s">
        <v>983</v>
      </c>
      <c r="F48" t="s">
        <v>102</v>
      </c>
      <c r="G48">
        <v>6</v>
      </c>
      <c r="H48" t="s">
        <v>1580</v>
      </c>
      <c r="I48" t="s">
        <v>1318</v>
      </c>
      <c r="J48" t="s">
        <v>1341</v>
      </c>
      <c r="K48">
        <v>2</v>
      </c>
    </row>
    <row r="49" spans="1:11" x14ac:dyDescent="0.25">
      <c r="A49">
        <v>31</v>
      </c>
      <c r="C49" t="s">
        <v>103</v>
      </c>
      <c r="D49" t="s">
        <v>489</v>
      </c>
      <c r="E49" s="11" t="s">
        <v>984</v>
      </c>
      <c r="F49" t="s">
        <v>104</v>
      </c>
      <c r="G49">
        <v>6</v>
      </c>
      <c r="H49" t="s">
        <v>1580</v>
      </c>
      <c r="I49" t="s">
        <v>1318</v>
      </c>
      <c r="J49" t="s">
        <v>1341</v>
      </c>
      <c r="K49">
        <v>3</v>
      </c>
    </row>
    <row r="50" spans="1:11" x14ac:dyDescent="0.25">
      <c r="A50">
        <v>32</v>
      </c>
      <c r="C50" t="s">
        <v>105</v>
      </c>
      <c r="D50" t="s">
        <v>490</v>
      </c>
      <c r="E50" s="11" t="s">
        <v>985</v>
      </c>
      <c r="F50" t="s">
        <v>106</v>
      </c>
      <c r="G50">
        <v>6</v>
      </c>
      <c r="H50" t="s">
        <v>1580</v>
      </c>
      <c r="I50" t="s">
        <v>1318</v>
      </c>
      <c r="J50" t="s">
        <v>1341</v>
      </c>
      <c r="K50">
        <v>4</v>
      </c>
    </row>
    <row r="51" spans="1:11" x14ac:dyDescent="0.25">
      <c r="A51">
        <v>33</v>
      </c>
      <c r="C51" t="s">
        <v>107</v>
      </c>
      <c r="D51" t="s">
        <v>491</v>
      </c>
      <c r="E51" s="11" t="s">
        <v>986</v>
      </c>
      <c r="F51" t="s">
        <v>108</v>
      </c>
      <c r="G51">
        <v>6</v>
      </c>
      <c r="H51" t="s">
        <v>1580</v>
      </c>
      <c r="I51" t="s">
        <v>1318</v>
      </c>
      <c r="J51" t="s">
        <v>1341</v>
      </c>
      <c r="K51">
        <v>5</v>
      </c>
    </row>
    <row r="52" spans="1:11" x14ac:dyDescent="0.25">
      <c r="A52">
        <v>34</v>
      </c>
      <c r="C52" t="s">
        <v>109</v>
      </c>
      <c r="D52" t="s">
        <v>492</v>
      </c>
      <c r="E52" s="11" t="s">
        <v>987</v>
      </c>
      <c r="F52" t="s">
        <v>110</v>
      </c>
      <c r="G52">
        <v>6</v>
      </c>
      <c r="H52" t="s">
        <v>1580</v>
      </c>
      <c r="I52" t="s">
        <v>1318</v>
      </c>
      <c r="J52" t="s">
        <v>1341</v>
      </c>
      <c r="K52">
        <v>6</v>
      </c>
    </row>
    <row r="53" spans="1:11" x14ac:dyDescent="0.25">
      <c r="A53">
        <v>35</v>
      </c>
      <c r="C53" t="s">
        <v>111</v>
      </c>
      <c r="D53" t="s">
        <v>493</v>
      </c>
      <c r="E53" s="11" t="s">
        <v>988</v>
      </c>
      <c r="F53" t="s">
        <v>112</v>
      </c>
      <c r="G53">
        <v>6</v>
      </c>
      <c r="H53" t="s">
        <v>1580</v>
      </c>
      <c r="I53" t="s">
        <v>1318</v>
      </c>
      <c r="J53" t="s">
        <v>1341</v>
      </c>
      <c r="K53">
        <v>7</v>
      </c>
    </row>
    <row r="54" spans="1:11" x14ac:dyDescent="0.25">
      <c r="A54">
        <v>36</v>
      </c>
      <c r="C54" t="s">
        <v>113</v>
      </c>
      <c r="D54" t="s">
        <v>494</v>
      </c>
      <c r="E54" s="11" t="s">
        <v>989</v>
      </c>
      <c r="F54" t="s">
        <v>114</v>
      </c>
      <c r="G54">
        <v>6</v>
      </c>
      <c r="H54" t="s">
        <v>1580</v>
      </c>
      <c r="I54" t="s">
        <v>1318</v>
      </c>
      <c r="J54" t="s">
        <v>1341</v>
      </c>
      <c r="K54">
        <v>8</v>
      </c>
    </row>
    <row r="55" spans="1:11" x14ac:dyDescent="0.25">
      <c r="A55">
        <v>177</v>
      </c>
      <c r="C55" t="s">
        <v>115</v>
      </c>
      <c r="D55" t="s">
        <v>737</v>
      </c>
      <c r="E55" s="11" t="s">
        <v>1130</v>
      </c>
      <c r="F55" t="s">
        <v>182</v>
      </c>
      <c r="G55">
        <v>6</v>
      </c>
      <c r="H55" t="s">
        <v>1580</v>
      </c>
      <c r="I55" t="s">
        <v>1316</v>
      </c>
      <c r="J55" t="s">
        <v>1331</v>
      </c>
      <c r="K55">
        <v>1</v>
      </c>
    </row>
    <row r="56" spans="1:11" x14ac:dyDescent="0.25">
      <c r="A56">
        <v>178</v>
      </c>
      <c r="C56" t="s">
        <v>116</v>
      </c>
      <c r="D56" t="s">
        <v>495</v>
      </c>
      <c r="E56" s="11" t="s">
        <v>1131</v>
      </c>
      <c r="F56" t="s">
        <v>117</v>
      </c>
      <c r="G56">
        <v>6</v>
      </c>
      <c r="H56" t="s">
        <v>1580</v>
      </c>
      <c r="I56" t="s">
        <v>1316</v>
      </c>
      <c r="J56" t="s">
        <v>1331</v>
      </c>
      <c r="K56">
        <v>2</v>
      </c>
    </row>
    <row r="57" spans="1:11" x14ac:dyDescent="0.25">
      <c r="A57">
        <v>137</v>
      </c>
      <c r="C57" t="s">
        <v>118</v>
      </c>
      <c r="D57" t="s">
        <v>496</v>
      </c>
      <c r="E57" s="11" t="s">
        <v>1090</v>
      </c>
      <c r="F57" t="s">
        <v>119</v>
      </c>
      <c r="G57">
        <v>7</v>
      </c>
      <c r="H57" t="s">
        <v>1571</v>
      </c>
      <c r="I57" t="s">
        <v>1314</v>
      </c>
      <c r="J57" t="s">
        <v>1321</v>
      </c>
      <c r="K57">
        <v>8</v>
      </c>
    </row>
    <row r="58" spans="1:11" x14ac:dyDescent="0.25">
      <c r="A58">
        <v>138</v>
      </c>
      <c r="C58" t="s">
        <v>120</v>
      </c>
      <c r="D58" t="s">
        <v>497</v>
      </c>
      <c r="E58" s="11" t="s">
        <v>1091</v>
      </c>
      <c r="F58" t="s">
        <v>121</v>
      </c>
      <c r="G58">
        <v>7</v>
      </c>
      <c r="H58" t="s">
        <v>1571</v>
      </c>
      <c r="I58" t="s">
        <v>1314</v>
      </c>
      <c r="J58" t="s">
        <v>1321</v>
      </c>
      <c r="K58">
        <v>9</v>
      </c>
    </row>
    <row r="59" spans="1:11" x14ac:dyDescent="0.25">
      <c r="A59">
        <v>139</v>
      </c>
      <c r="C59" t="s">
        <v>122</v>
      </c>
      <c r="D59" t="s">
        <v>498</v>
      </c>
      <c r="E59" s="11" t="s">
        <v>1092</v>
      </c>
      <c r="F59" t="s">
        <v>123</v>
      </c>
      <c r="G59">
        <v>7</v>
      </c>
      <c r="H59" t="s">
        <v>1571</v>
      </c>
      <c r="I59" t="s">
        <v>1314</v>
      </c>
      <c r="J59" t="s">
        <v>1321</v>
      </c>
      <c r="K59">
        <v>15</v>
      </c>
    </row>
    <row r="60" spans="1:11" x14ac:dyDescent="0.25">
      <c r="A60">
        <v>140</v>
      </c>
      <c r="C60" t="s">
        <v>124</v>
      </c>
      <c r="D60" t="s">
        <v>1312</v>
      </c>
      <c r="E60" s="11" t="s">
        <v>1093</v>
      </c>
      <c r="F60" t="s">
        <v>125</v>
      </c>
      <c r="G60">
        <v>7</v>
      </c>
      <c r="H60" t="s">
        <v>1571</v>
      </c>
      <c r="I60" t="s">
        <v>1314</v>
      </c>
      <c r="J60" t="s">
        <v>1321</v>
      </c>
      <c r="K60">
        <v>16</v>
      </c>
    </row>
    <row r="61" spans="1:11" x14ac:dyDescent="0.25">
      <c r="A61">
        <v>141</v>
      </c>
      <c r="C61" t="s">
        <v>126</v>
      </c>
      <c r="D61" t="s">
        <v>499</v>
      </c>
      <c r="E61" s="11" t="s">
        <v>1094</v>
      </c>
      <c r="F61" t="s">
        <v>127</v>
      </c>
      <c r="G61">
        <v>7</v>
      </c>
      <c r="H61" t="s">
        <v>1571</v>
      </c>
      <c r="I61" t="s">
        <v>1314</v>
      </c>
      <c r="J61" t="s">
        <v>1321</v>
      </c>
      <c r="K61">
        <v>17</v>
      </c>
    </row>
    <row r="62" spans="1:11" x14ac:dyDescent="0.25">
      <c r="A62">
        <v>142</v>
      </c>
      <c r="C62" t="s">
        <v>128</v>
      </c>
      <c r="D62" t="s">
        <v>500</v>
      </c>
      <c r="E62" s="11" t="s">
        <v>1095</v>
      </c>
      <c r="F62" t="s">
        <v>129</v>
      </c>
      <c r="G62">
        <v>7</v>
      </c>
      <c r="H62" t="s">
        <v>1571</v>
      </c>
      <c r="I62" t="s">
        <v>752</v>
      </c>
      <c r="J62" t="s">
        <v>752</v>
      </c>
    </row>
    <row r="63" spans="1:11" x14ac:dyDescent="0.25">
      <c r="A63">
        <v>143</v>
      </c>
      <c r="C63" t="s">
        <v>130</v>
      </c>
      <c r="D63" t="s">
        <v>501</v>
      </c>
      <c r="E63" s="11" t="s">
        <v>1096</v>
      </c>
      <c r="F63" t="s">
        <v>131</v>
      </c>
      <c r="G63">
        <v>7</v>
      </c>
      <c r="H63" t="s">
        <v>1571</v>
      </c>
      <c r="I63" t="s">
        <v>1314</v>
      </c>
      <c r="J63" t="s">
        <v>1321</v>
      </c>
      <c r="K63">
        <v>19</v>
      </c>
    </row>
    <row r="64" spans="1:11" x14ac:dyDescent="0.25">
      <c r="A64">
        <v>144</v>
      </c>
      <c r="C64" t="s">
        <v>132</v>
      </c>
      <c r="D64" t="s">
        <v>502</v>
      </c>
      <c r="E64" s="11" t="s">
        <v>1097</v>
      </c>
      <c r="F64" t="s">
        <v>133</v>
      </c>
      <c r="G64">
        <v>7</v>
      </c>
      <c r="H64" t="s">
        <v>1571</v>
      </c>
      <c r="I64" t="s">
        <v>1314</v>
      </c>
      <c r="J64" t="s">
        <v>1321</v>
      </c>
      <c r="K64">
        <v>20</v>
      </c>
    </row>
    <row r="65" spans="1:11" x14ac:dyDescent="0.25">
      <c r="A65">
        <v>145</v>
      </c>
      <c r="C65" t="s">
        <v>134</v>
      </c>
      <c r="D65" t="s">
        <v>503</v>
      </c>
      <c r="E65" s="11" t="s">
        <v>1098</v>
      </c>
      <c r="F65" t="s">
        <v>135</v>
      </c>
      <c r="G65">
        <v>7</v>
      </c>
      <c r="H65" t="s">
        <v>1571</v>
      </c>
      <c r="I65" t="s">
        <v>1314</v>
      </c>
      <c r="J65" t="s">
        <v>1321</v>
      </c>
      <c r="K65">
        <v>21</v>
      </c>
    </row>
    <row r="66" spans="1:11" x14ac:dyDescent="0.25">
      <c r="A66">
        <v>146</v>
      </c>
      <c r="C66" t="s">
        <v>1357</v>
      </c>
      <c r="D66" t="s">
        <v>504</v>
      </c>
      <c r="E66" s="11" t="s">
        <v>1099</v>
      </c>
      <c r="F66" t="s">
        <v>136</v>
      </c>
      <c r="G66">
        <v>7</v>
      </c>
      <c r="H66" t="s">
        <v>1571</v>
      </c>
      <c r="I66" t="s">
        <v>1314</v>
      </c>
      <c r="J66" t="s">
        <v>1321</v>
      </c>
      <c r="K66">
        <v>22</v>
      </c>
    </row>
    <row r="67" spans="1:11" x14ac:dyDescent="0.25">
      <c r="A67">
        <v>333</v>
      </c>
      <c r="C67" t="s">
        <v>137</v>
      </c>
      <c r="D67" t="s">
        <v>505</v>
      </c>
      <c r="E67" s="11" t="s">
        <v>1282</v>
      </c>
      <c r="F67" t="s">
        <v>138</v>
      </c>
      <c r="G67">
        <v>7</v>
      </c>
      <c r="H67" t="s">
        <v>1571</v>
      </c>
      <c r="I67" t="s">
        <v>1314</v>
      </c>
      <c r="J67" t="s">
        <v>1321</v>
      </c>
      <c r="K67">
        <v>10</v>
      </c>
    </row>
    <row r="68" spans="1:11" x14ac:dyDescent="0.25">
      <c r="A68">
        <v>334</v>
      </c>
      <c r="C68" t="s">
        <v>139</v>
      </c>
      <c r="D68" t="s">
        <v>506</v>
      </c>
      <c r="E68" s="11" t="s">
        <v>1283</v>
      </c>
      <c r="F68" t="s">
        <v>140</v>
      </c>
      <c r="G68">
        <v>7</v>
      </c>
      <c r="H68" t="s">
        <v>1571</v>
      </c>
      <c r="I68" t="s">
        <v>1314</v>
      </c>
      <c r="J68" t="s">
        <v>1321</v>
      </c>
      <c r="K68">
        <v>11</v>
      </c>
    </row>
    <row r="69" spans="1:11" x14ac:dyDescent="0.25">
      <c r="A69">
        <v>335</v>
      </c>
      <c r="C69" t="s">
        <v>141</v>
      </c>
      <c r="D69" t="s">
        <v>507</v>
      </c>
      <c r="E69" s="11" t="s">
        <v>1284</v>
      </c>
      <c r="F69" t="s">
        <v>142</v>
      </c>
      <c r="G69">
        <v>7</v>
      </c>
      <c r="H69" t="s">
        <v>1571</v>
      </c>
      <c r="I69" t="s">
        <v>1314</v>
      </c>
      <c r="J69" t="s">
        <v>1321</v>
      </c>
      <c r="K69">
        <v>12</v>
      </c>
    </row>
    <row r="70" spans="1:11" x14ac:dyDescent="0.25">
      <c r="A70">
        <v>243</v>
      </c>
      <c r="C70" t="s">
        <v>143</v>
      </c>
      <c r="D70" t="s">
        <v>508</v>
      </c>
      <c r="E70" s="11" t="s">
        <v>1194</v>
      </c>
      <c r="F70" t="s">
        <v>144</v>
      </c>
      <c r="G70">
        <v>8</v>
      </c>
      <c r="H70" t="s">
        <v>1555</v>
      </c>
      <c r="I70" t="s">
        <v>1315</v>
      </c>
      <c r="J70" t="s">
        <v>1328</v>
      </c>
      <c r="K70">
        <v>7</v>
      </c>
    </row>
    <row r="71" spans="1:11" x14ac:dyDescent="0.25">
      <c r="A71">
        <v>244</v>
      </c>
      <c r="C71" t="s">
        <v>145</v>
      </c>
      <c r="D71" t="s">
        <v>509</v>
      </c>
      <c r="E71" s="11" t="s">
        <v>1195</v>
      </c>
      <c r="F71" t="s">
        <v>146</v>
      </c>
      <c r="G71">
        <v>8</v>
      </c>
      <c r="H71" t="s">
        <v>1555</v>
      </c>
      <c r="I71" t="s">
        <v>1315</v>
      </c>
      <c r="J71" t="s">
        <v>1328</v>
      </c>
      <c r="K71">
        <v>8</v>
      </c>
    </row>
    <row r="72" spans="1:11" x14ac:dyDescent="0.25">
      <c r="A72">
        <v>245</v>
      </c>
      <c r="C72" t="s">
        <v>147</v>
      </c>
      <c r="D72" t="s">
        <v>511</v>
      </c>
      <c r="E72" s="11" t="s">
        <v>1196</v>
      </c>
      <c r="F72" t="s">
        <v>148</v>
      </c>
      <c r="G72">
        <v>8</v>
      </c>
      <c r="H72" t="s">
        <v>1555</v>
      </c>
      <c r="I72" t="s">
        <v>1315</v>
      </c>
      <c r="J72" t="s">
        <v>1328</v>
      </c>
      <c r="K72">
        <v>9</v>
      </c>
    </row>
    <row r="73" spans="1:11" x14ac:dyDescent="0.25">
      <c r="A73">
        <v>246</v>
      </c>
      <c r="C73" t="s">
        <v>149</v>
      </c>
      <c r="D73" t="s">
        <v>510</v>
      </c>
      <c r="E73" s="11" t="s">
        <v>1197</v>
      </c>
      <c r="F73" t="s">
        <v>150</v>
      </c>
      <c r="G73">
        <v>8</v>
      </c>
      <c r="H73" t="s">
        <v>1555</v>
      </c>
      <c r="I73" t="s">
        <v>1315</v>
      </c>
      <c r="J73" t="s">
        <v>1328</v>
      </c>
      <c r="K73">
        <v>10</v>
      </c>
    </row>
    <row r="74" spans="1:11" x14ac:dyDescent="0.25">
      <c r="A74">
        <v>247</v>
      </c>
      <c r="C74" t="s">
        <v>151</v>
      </c>
      <c r="D74" t="s">
        <v>513</v>
      </c>
      <c r="E74" s="11" t="s">
        <v>1198</v>
      </c>
      <c r="F74" t="s">
        <v>152</v>
      </c>
      <c r="G74">
        <v>8</v>
      </c>
      <c r="H74" t="s">
        <v>1555</v>
      </c>
      <c r="I74" t="s">
        <v>1315</v>
      </c>
      <c r="J74" t="s">
        <v>1328</v>
      </c>
      <c r="K74">
        <v>11</v>
      </c>
    </row>
    <row r="75" spans="1:11" x14ac:dyDescent="0.25">
      <c r="A75">
        <v>248</v>
      </c>
      <c r="C75" t="s">
        <v>153</v>
      </c>
      <c r="D75" t="s">
        <v>512</v>
      </c>
      <c r="E75" s="11" t="s">
        <v>1199</v>
      </c>
      <c r="F75" t="s">
        <v>154</v>
      </c>
      <c r="G75">
        <v>8</v>
      </c>
      <c r="H75" t="s">
        <v>1555</v>
      </c>
      <c r="I75" t="s">
        <v>1315</v>
      </c>
      <c r="J75" t="s">
        <v>1328</v>
      </c>
      <c r="K75">
        <v>12</v>
      </c>
    </row>
    <row r="76" spans="1:11" x14ac:dyDescent="0.25">
      <c r="A76">
        <v>249</v>
      </c>
      <c r="C76" t="s">
        <v>155</v>
      </c>
      <c r="D76" t="s">
        <v>514</v>
      </c>
      <c r="E76" s="11" t="s">
        <v>1200</v>
      </c>
      <c r="F76" t="s">
        <v>156</v>
      </c>
      <c r="G76">
        <v>8</v>
      </c>
      <c r="H76" t="s">
        <v>1555</v>
      </c>
      <c r="I76" t="s">
        <v>1315</v>
      </c>
      <c r="J76" t="s">
        <v>1328</v>
      </c>
      <c r="K76">
        <v>13</v>
      </c>
    </row>
    <row r="77" spans="1:11" x14ac:dyDescent="0.25">
      <c r="A77">
        <v>250</v>
      </c>
      <c r="C77" t="s">
        <v>157</v>
      </c>
      <c r="D77" t="s">
        <v>515</v>
      </c>
      <c r="E77" s="11" t="s">
        <v>1201</v>
      </c>
      <c r="F77" t="s">
        <v>158</v>
      </c>
      <c r="G77">
        <v>8</v>
      </c>
      <c r="H77" t="s">
        <v>1555</v>
      </c>
      <c r="I77" t="s">
        <v>1315</v>
      </c>
      <c r="J77" t="s">
        <v>1328</v>
      </c>
      <c r="K77">
        <v>14</v>
      </c>
    </row>
    <row r="78" spans="1:11" x14ac:dyDescent="0.25">
      <c r="A78">
        <v>251</v>
      </c>
      <c r="C78" t="s">
        <v>159</v>
      </c>
      <c r="D78" t="s">
        <v>516</v>
      </c>
      <c r="E78" s="11" t="s">
        <v>1202</v>
      </c>
      <c r="F78" t="s">
        <v>160</v>
      </c>
      <c r="G78">
        <v>8</v>
      </c>
      <c r="H78" t="s">
        <v>1555</v>
      </c>
      <c r="I78" t="s">
        <v>1315</v>
      </c>
      <c r="J78" t="s">
        <v>1328</v>
      </c>
      <c r="K78">
        <v>2</v>
      </c>
    </row>
    <row r="79" spans="1:11" x14ac:dyDescent="0.25">
      <c r="A79">
        <v>221</v>
      </c>
      <c r="C79" t="s">
        <v>161</v>
      </c>
      <c r="D79" t="s">
        <v>732</v>
      </c>
      <c r="E79" s="11" t="s">
        <v>1173</v>
      </c>
      <c r="F79" t="s">
        <v>162</v>
      </c>
      <c r="G79">
        <v>9</v>
      </c>
      <c r="H79" t="s">
        <v>1567</v>
      </c>
      <c r="I79" t="s">
        <v>1316</v>
      </c>
      <c r="J79" t="s">
        <v>1330</v>
      </c>
      <c r="K79">
        <v>2</v>
      </c>
    </row>
    <row r="80" spans="1:11" x14ac:dyDescent="0.25">
      <c r="A80">
        <v>222</v>
      </c>
      <c r="C80" t="s">
        <v>47</v>
      </c>
      <c r="D80" t="s">
        <v>733</v>
      </c>
      <c r="E80" s="11" t="s">
        <v>1174</v>
      </c>
      <c r="F80" t="s">
        <v>163</v>
      </c>
      <c r="G80">
        <v>9</v>
      </c>
      <c r="H80" t="s">
        <v>1567</v>
      </c>
      <c r="I80" t="s">
        <v>1316</v>
      </c>
      <c r="J80" t="s">
        <v>1330</v>
      </c>
      <c r="K80">
        <v>3</v>
      </c>
    </row>
    <row r="81" spans="1:11" x14ac:dyDescent="0.25">
      <c r="A81">
        <v>223</v>
      </c>
      <c r="C81" t="s">
        <v>164</v>
      </c>
      <c r="D81" t="s">
        <v>734</v>
      </c>
      <c r="E81" s="11" t="s">
        <v>1175</v>
      </c>
      <c r="F81" t="s">
        <v>165</v>
      </c>
      <c r="G81">
        <v>9</v>
      </c>
      <c r="H81" t="s">
        <v>1567</v>
      </c>
      <c r="I81" t="s">
        <v>1316</v>
      </c>
      <c r="J81" t="s">
        <v>1330</v>
      </c>
      <c r="K81">
        <v>4</v>
      </c>
    </row>
    <row r="82" spans="1:11" x14ac:dyDescent="0.25">
      <c r="A82">
        <v>224</v>
      </c>
      <c r="C82" t="s">
        <v>166</v>
      </c>
      <c r="D82" t="s">
        <v>517</v>
      </c>
      <c r="E82" s="11" t="s">
        <v>1176</v>
      </c>
      <c r="F82" t="s">
        <v>167</v>
      </c>
      <c r="G82">
        <v>9</v>
      </c>
      <c r="H82" t="s">
        <v>1567</v>
      </c>
      <c r="I82" t="s">
        <v>1316</v>
      </c>
      <c r="J82" t="s">
        <v>1330</v>
      </c>
      <c r="K82">
        <v>17</v>
      </c>
    </row>
    <row r="83" spans="1:11" x14ac:dyDescent="0.25">
      <c r="A83">
        <v>225</v>
      </c>
      <c r="C83" t="s">
        <v>168</v>
      </c>
      <c r="D83" t="s">
        <v>518</v>
      </c>
      <c r="E83" s="11" t="s">
        <v>1177</v>
      </c>
      <c r="F83" t="s">
        <v>169</v>
      </c>
      <c r="G83">
        <v>9</v>
      </c>
      <c r="H83" t="s">
        <v>1567</v>
      </c>
      <c r="I83" t="s">
        <v>1316</v>
      </c>
      <c r="J83" t="s">
        <v>1331</v>
      </c>
      <c r="K83">
        <v>4</v>
      </c>
    </row>
    <row r="84" spans="1:11" x14ac:dyDescent="0.25">
      <c r="A84">
        <v>226</v>
      </c>
      <c r="C84" t="s">
        <v>170</v>
      </c>
      <c r="D84" t="s">
        <v>519</v>
      </c>
      <c r="E84" s="11" t="s">
        <v>1178</v>
      </c>
      <c r="F84" t="s">
        <v>171</v>
      </c>
      <c r="G84">
        <v>9</v>
      </c>
      <c r="H84" t="s">
        <v>1567</v>
      </c>
      <c r="I84" t="s">
        <v>1316</v>
      </c>
      <c r="J84" t="s">
        <v>1331</v>
      </c>
      <c r="K84">
        <v>5</v>
      </c>
    </row>
    <row r="85" spans="1:11" x14ac:dyDescent="0.25">
      <c r="A85">
        <v>227</v>
      </c>
      <c r="C85" t="s">
        <v>172</v>
      </c>
      <c r="D85" t="s">
        <v>520</v>
      </c>
      <c r="E85" s="11" t="s">
        <v>1179</v>
      </c>
      <c r="F85" t="s">
        <v>173</v>
      </c>
      <c r="G85">
        <v>9</v>
      </c>
      <c r="H85" t="s">
        <v>1567</v>
      </c>
      <c r="I85" t="s">
        <v>1316</v>
      </c>
      <c r="J85" t="s">
        <v>1331</v>
      </c>
      <c r="K85">
        <v>6</v>
      </c>
    </row>
    <row r="86" spans="1:11" x14ac:dyDescent="0.25">
      <c r="A86">
        <v>228</v>
      </c>
      <c r="C86" t="s">
        <v>174</v>
      </c>
      <c r="D86" t="s">
        <v>521</v>
      </c>
      <c r="E86" s="11" t="s">
        <v>1180</v>
      </c>
      <c r="F86" t="s">
        <v>175</v>
      </c>
      <c r="G86">
        <v>9</v>
      </c>
      <c r="H86" t="s">
        <v>1567</v>
      </c>
      <c r="I86" t="s">
        <v>1316</v>
      </c>
      <c r="J86" t="s">
        <v>1330</v>
      </c>
      <c r="K86">
        <v>18</v>
      </c>
    </row>
    <row r="87" spans="1:11" x14ac:dyDescent="0.25">
      <c r="A87">
        <v>229</v>
      </c>
      <c r="C87" t="s">
        <v>176</v>
      </c>
      <c r="D87" t="s">
        <v>522</v>
      </c>
      <c r="E87" s="11" t="s">
        <v>1181</v>
      </c>
      <c r="F87" t="s">
        <v>177</v>
      </c>
      <c r="G87">
        <v>9</v>
      </c>
      <c r="H87" t="s">
        <v>1567</v>
      </c>
      <c r="I87" t="s">
        <v>1316</v>
      </c>
      <c r="J87" t="s">
        <v>1331</v>
      </c>
      <c r="K87">
        <v>7</v>
      </c>
    </row>
    <row r="88" spans="1:11" x14ac:dyDescent="0.25">
      <c r="A88">
        <v>230</v>
      </c>
      <c r="C88" t="s">
        <v>178</v>
      </c>
      <c r="D88" t="s">
        <v>523</v>
      </c>
      <c r="E88" s="11" t="s">
        <v>1552</v>
      </c>
      <c r="F88" t="s">
        <v>179</v>
      </c>
      <c r="G88">
        <v>9</v>
      </c>
      <c r="H88" t="s">
        <v>1567</v>
      </c>
      <c r="I88" t="s">
        <v>1316</v>
      </c>
      <c r="J88" t="s">
        <v>1331</v>
      </c>
      <c r="K88">
        <v>8</v>
      </c>
    </row>
    <row r="89" spans="1:11" x14ac:dyDescent="0.25">
      <c r="A89">
        <v>231</v>
      </c>
      <c r="C89" t="s">
        <v>180</v>
      </c>
      <c r="D89" t="s">
        <v>524</v>
      </c>
      <c r="E89" s="11" t="s">
        <v>1182</v>
      </c>
      <c r="F89" t="s">
        <v>181</v>
      </c>
      <c r="G89">
        <v>9</v>
      </c>
      <c r="H89" t="s">
        <v>1567</v>
      </c>
      <c r="I89" t="s">
        <v>1316</v>
      </c>
      <c r="J89" t="s">
        <v>1331</v>
      </c>
      <c r="K89">
        <v>9</v>
      </c>
    </row>
    <row r="90" spans="1:11" x14ac:dyDescent="0.25">
      <c r="A90">
        <v>232</v>
      </c>
      <c r="C90" t="s">
        <v>184</v>
      </c>
      <c r="D90" t="s">
        <v>525</v>
      </c>
      <c r="E90" s="11" t="s">
        <v>1183</v>
      </c>
      <c r="F90" t="s">
        <v>185</v>
      </c>
      <c r="G90">
        <v>10</v>
      </c>
      <c r="H90" t="s">
        <v>1563</v>
      </c>
      <c r="I90" t="s">
        <v>1316</v>
      </c>
      <c r="J90" t="s">
        <v>1331</v>
      </c>
      <c r="K90">
        <v>10</v>
      </c>
    </row>
    <row r="91" spans="1:11" x14ac:dyDescent="0.25">
      <c r="A91">
        <v>285</v>
      </c>
      <c r="C91" t="s">
        <v>1371</v>
      </c>
      <c r="D91" t="s">
        <v>183</v>
      </c>
      <c r="E91" s="11" t="s">
        <v>1236</v>
      </c>
      <c r="F91" t="s">
        <v>183</v>
      </c>
      <c r="G91">
        <v>10</v>
      </c>
      <c r="H91" t="s">
        <v>1563</v>
      </c>
      <c r="I91" t="s">
        <v>1314</v>
      </c>
      <c r="J91" t="s">
        <v>1324</v>
      </c>
      <c r="K91">
        <v>1</v>
      </c>
    </row>
    <row r="92" spans="1:11" x14ac:dyDescent="0.25">
      <c r="A92">
        <v>286</v>
      </c>
      <c r="C92" t="s">
        <v>1372</v>
      </c>
      <c r="D92" t="s">
        <v>186</v>
      </c>
      <c r="E92" s="11" t="s">
        <v>1237</v>
      </c>
      <c r="F92" t="s">
        <v>186</v>
      </c>
      <c r="G92">
        <v>10</v>
      </c>
      <c r="H92" t="s">
        <v>1563</v>
      </c>
      <c r="I92" t="s">
        <v>1314</v>
      </c>
      <c r="J92" t="s">
        <v>1324</v>
      </c>
      <c r="K92">
        <v>2</v>
      </c>
    </row>
    <row r="93" spans="1:11" x14ac:dyDescent="0.25">
      <c r="A93">
        <v>287</v>
      </c>
      <c r="C93" t="s">
        <v>1383</v>
      </c>
      <c r="D93" t="s">
        <v>526</v>
      </c>
      <c r="E93" s="11" t="s">
        <v>1238</v>
      </c>
      <c r="F93" t="s">
        <v>194</v>
      </c>
      <c r="G93">
        <v>10</v>
      </c>
      <c r="H93" t="s">
        <v>1563</v>
      </c>
      <c r="I93" t="s">
        <v>1314</v>
      </c>
      <c r="J93" t="s">
        <v>1324</v>
      </c>
      <c r="K93">
        <v>13</v>
      </c>
    </row>
    <row r="94" spans="1:11" x14ac:dyDescent="0.25">
      <c r="A94">
        <v>288</v>
      </c>
      <c r="C94" t="s">
        <v>1373</v>
      </c>
      <c r="D94" t="s">
        <v>187</v>
      </c>
      <c r="E94" s="11" t="s">
        <v>1239</v>
      </c>
      <c r="F94" t="s">
        <v>187</v>
      </c>
      <c r="G94">
        <v>10</v>
      </c>
      <c r="H94" t="s">
        <v>1563</v>
      </c>
      <c r="I94" t="s">
        <v>1314</v>
      </c>
      <c r="J94" t="s">
        <v>1324</v>
      </c>
      <c r="K94">
        <v>3</v>
      </c>
    </row>
    <row r="95" spans="1:11" x14ac:dyDescent="0.25">
      <c r="A95">
        <v>289</v>
      </c>
      <c r="C95" t="s">
        <v>188</v>
      </c>
      <c r="D95" t="s">
        <v>527</v>
      </c>
      <c r="E95" s="11" t="s">
        <v>1240</v>
      </c>
      <c r="F95" t="s">
        <v>189</v>
      </c>
      <c r="G95">
        <v>10</v>
      </c>
      <c r="H95" t="s">
        <v>1563</v>
      </c>
      <c r="I95" t="s">
        <v>1314</v>
      </c>
      <c r="J95" t="s">
        <v>1324</v>
      </c>
      <c r="K95">
        <v>14</v>
      </c>
    </row>
    <row r="96" spans="1:11" x14ac:dyDescent="0.25">
      <c r="A96">
        <v>290</v>
      </c>
      <c r="C96" t="s">
        <v>1374</v>
      </c>
      <c r="D96" t="s">
        <v>528</v>
      </c>
      <c r="E96" s="11" t="s">
        <v>1241</v>
      </c>
      <c r="F96" t="s">
        <v>190</v>
      </c>
      <c r="G96">
        <v>10</v>
      </c>
      <c r="H96" t="s">
        <v>1563</v>
      </c>
      <c r="I96" t="s">
        <v>1314</v>
      </c>
      <c r="J96" t="s">
        <v>1324</v>
      </c>
      <c r="K96">
        <v>4</v>
      </c>
    </row>
    <row r="97" spans="1:11" x14ac:dyDescent="0.25">
      <c r="A97">
        <v>291</v>
      </c>
      <c r="C97" t="s">
        <v>1384</v>
      </c>
      <c r="D97" t="s">
        <v>529</v>
      </c>
      <c r="E97" s="11" t="s">
        <v>1242</v>
      </c>
      <c r="F97" t="s">
        <v>191</v>
      </c>
      <c r="G97">
        <v>10</v>
      </c>
      <c r="H97" t="s">
        <v>1563</v>
      </c>
      <c r="I97" t="s">
        <v>1314</v>
      </c>
      <c r="J97" t="s">
        <v>1324</v>
      </c>
      <c r="K97">
        <v>15</v>
      </c>
    </row>
    <row r="98" spans="1:11" x14ac:dyDescent="0.25">
      <c r="A98">
        <v>292</v>
      </c>
      <c r="C98" t="s">
        <v>1375</v>
      </c>
      <c r="D98" t="s">
        <v>192</v>
      </c>
      <c r="E98" s="11" t="s">
        <v>1243</v>
      </c>
      <c r="F98" t="s">
        <v>192</v>
      </c>
      <c r="G98">
        <v>10</v>
      </c>
      <c r="H98" t="s">
        <v>1563</v>
      </c>
      <c r="I98" t="s">
        <v>1314</v>
      </c>
      <c r="J98" t="s">
        <v>1324</v>
      </c>
      <c r="K98">
        <v>5</v>
      </c>
    </row>
    <row r="99" spans="1:11" x14ac:dyDescent="0.25">
      <c r="A99">
        <v>293</v>
      </c>
      <c r="C99" t="s">
        <v>1385</v>
      </c>
      <c r="D99" t="s">
        <v>1303</v>
      </c>
      <c r="E99" s="11" t="s">
        <v>1304</v>
      </c>
      <c r="F99" t="s">
        <v>193</v>
      </c>
      <c r="G99">
        <v>10</v>
      </c>
      <c r="H99" t="s">
        <v>1563</v>
      </c>
      <c r="I99" t="s">
        <v>1314</v>
      </c>
      <c r="J99" t="s">
        <v>1324</v>
      </c>
      <c r="K99">
        <v>16</v>
      </c>
    </row>
    <row r="100" spans="1:11" x14ac:dyDescent="0.25">
      <c r="A100">
        <v>294</v>
      </c>
      <c r="C100" t="s">
        <v>195</v>
      </c>
      <c r="D100" t="s">
        <v>530</v>
      </c>
      <c r="E100" s="11" t="s">
        <v>1244</v>
      </c>
      <c r="F100" t="s">
        <v>196</v>
      </c>
      <c r="G100">
        <v>10</v>
      </c>
      <c r="H100" t="s">
        <v>1563</v>
      </c>
      <c r="I100" t="s">
        <v>1314</v>
      </c>
      <c r="J100" t="s">
        <v>1324</v>
      </c>
      <c r="K100">
        <v>17</v>
      </c>
    </row>
    <row r="101" spans="1:11" x14ac:dyDescent="0.25">
      <c r="A101">
        <v>295</v>
      </c>
      <c r="C101" t="s">
        <v>197</v>
      </c>
      <c r="D101" t="s">
        <v>531</v>
      </c>
      <c r="E101" s="11" t="s">
        <v>1245</v>
      </c>
      <c r="F101" t="s">
        <v>198</v>
      </c>
      <c r="G101">
        <v>10</v>
      </c>
      <c r="H101" t="s">
        <v>1563</v>
      </c>
      <c r="I101" t="s">
        <v>1314</v>
      </c>
      <c r="J101" t="s">
        <v>1324</v>
      </c>
      <c r="K101">
        <v>18</v>
      </c>
    </row>
    <row r="102" spans="1:11" x14ac:dyDescent="0.25">
      <c r="A102">
        <v>296</v>
      </c>
      <c r="C102" t="s">
        <v>1386</v>
      </c>
      <c r="D102" t="s">
        <v>532</v>
      </c>
      <c r="E102" s="11" t="s">
        <v>1246</v>
      </c>
      <c r="F102" t="s">
        <v>199</v>
      </c>
      <c r="G102">
        <v>10</v>
      </c>
      <c r="H102" t="s">
        <v>1563</v>
      </c>
      <c r="I102" t="s">
        <v>1314</v>
      </c>
      <c r="J102" t="s">
        <v>1324</v>
      </c>
      <c r="K102">
        <v>19</v>
      </c>
    </row>
    <row r="103" spans="1:11" x14ac:dyDescent="0.25">
      <c r="A103">
        <v>297</v>
      </c>
      <c r="C103" t="s">
        <v>200</v>
      </c>
      <c r="D103" t="s">
        <v>533</v>
      </c>
      <c r="E103" s="11" t="s">
        <v>1247</v>
      </c>
      <c r="F103" t="s">
        <v>201</v>
      </c>
      <c r="G103">
        <v>10</v>
      </c>
      <c r="H103" t="s">
        <v>1563</v>
      </c>
      <c r="I103" t="s">
        <v>1314</v>
      </c>
      <c r="J103" t="s">
        <v>1324</v>
      </c>
      <c r="K103">
        <v>20</v>
      </c>
    </row>
    <row r="104" spans="1:11" x14ac:dyDescent="0.25">
      <c r="A104">
        <v>298</v>
      </c>
      <c r="C104" t="s">
        <v>1387</v>
      </c>
      <c r="D104" t="s">
        <v>534</v>
      </c>
      <c r="E104" s="11" t="s">
        <v>1248</v>
      </c>
      <c r="F104" t="s">
        <v>202</v>
      </c>
      <c r="G104">
        <v>10</v>
      </c>
      <c r="H104" t="s">
        <v>1563</v>
      </c>
      <c r="I104" t="s">
        <v>1314</v>
      </c>
      <c r="J104" t="s">
        <v>1324</v>
      </c>
      <c r="K104">
        <v>21</v>
      </c>
    </row>
    <row r="105" spans="1:11" x14ac:dyDescent="0.25">
      <c r="A105">
        <v>299</v>
      </c>
      <c r="C105" t="s">
        <v>1388</v>
      </c>
      <c r="D105" t="s">
        <v>721</v>
      </c>
      <c r="E105" s="11" t="s">
        <v>1249</v>
      </c>
      <c r="F105" t="s">
        <v>203</v>
      </c>
      <c r="G105">
        <v>10</v>
      </c>
      <c r="H105" t="s">
        <v>1563</v>
      </c>
      <c r="I105" t="s">
        <v>1314</v>
      </c>
      <c r="J105" t="s">
        <v>1324</v>
      </c>
      <c r="K105">
        <v>22</v>
      </c>
    </row>
    <row r="106" spans="1:11" x14ac:dyDescent="0.25">
      <c r="A106">
        <v>300</v>
      </c>
      <c r="C106" t="s">
        <v>204</v>
      </c>
      <c r="D106" t="s">
        <v>738</v>
      </c>
      <c r="E106" s="11" t="s">
        <v>1250</v>
      </c>
      <c r="F106" t="s">
        <v>205</v>
      </c>
      <c r="G106">
        <v>10</v>
      </c>
      <c r="H106" t="s">
        <v>1563</v>
      </c>
      <c r="I106" t="s">
        <v>1314</v>
      </c>
      <c r="J106" t="s">
        <v>1324</v>
      </c>
      <c r="K106">
        <v>23</v>
      </c>
    </row>
    <row r="107" spans="1:11" x14ac:dyDescent="0.25">
      <c r="A107">
        <v>347</v>
      </c>
      <c r="C107" t="s">
        <v>1376</v>
      </c>
      <c r="D107" t="s">
        <v>1305</v>
      </c>
      <c r="E107" s="11" t="s">
        <v>1306</v>
      </c>
      <c r="F107" t="s">
        <v>1297</v>
      </c>
      <c r="G107">
        <v>10</v>
      </c>
      <c r="H107" t="s">
        <v>1563</v>
      </c>
      <c r="I107" t="s">
        <v>1314</v>
      </c>
      <c r="J107" t="s">
        <v>1324</v>
      </c>
      <c r="K107">
        <v>6</v>
      </c>
    </row>
    <row r="108" spans="1:11" x14ac:dyDescent="0.25">
      <c r="A108">
        <v>348</v>
      </c>
      <c r="C108" t="s">
        <v>1377</v>
      </c>
      <c r="D108" t="s">
        <v>1298</v>
      </c>
      <c r="E108" s="11" t="s">
        <v>1307</v>
      </c>
      <c r="F108" t="s">
        <v>1298</v>
      </c>
      <c r="G108">
        <v>10</v>
      </c>
      <c r="H108" t="s">
        <v>1563</v>
      </c>
      <c r="I108" t="s">
        <v>1314</v>
      </c>
      <c r="J108" t="s">
        <v>1324</v>
      </c>
      <c r="K108">
        <v>7</v>
      </c>
    </row>
    <row r="109" spans="1:11" x14ac:dyDescent="0.25">
      <c r="A109">
        <v>349</v>
      </c>
      <c r="C109" t="s">
        <v>1378</v>
      </c>
      <c r="D109" t="s">
        <v>1299</v>
      </c>
      <c r="E109" s="11" t="s">
        <v>1308</v>
      </c>
      <c r="F109" t="s">
        <v>1299</v>
      </c>
      <c r="G109">
        <v>10</v>
      </c>
      <c r="H109" t="s">
        <v>1563</v>
      </c>
      <c r="I109" t="s">
        <v>1314</v>
      </c>
      <c r="J109" t="s">
        <v>1324</v>
      </c>
      <c r="K109">
        <v>8</v>
      </c>
    </row>
    <row r="110" spans="1:11" x14ac:dyDescent="0.25">
      <c r="A110">
        <v>350</v>
      </c>
      <c r="C110" t="s">
        <v>1379</v>
      </c>
      <c r="D110" t="s">
        <v>528</v>
      </c>
      <c r="E110" s="11" t="s">
        <v>1241</v>
      </c>
      <c r="F110" t="s">
        <v>190</v>
      </c>
      <c r="G110">
        <v>10</v>
      </c>
      <c r="H110" t="s">
        <v>1563</v>
      </c>
      <c r="I110" t="s">
        <v>1314</v>
      </c>
      <c r="J110" t="s">
        <v>1324</v>
      </c>
      <c r="K110">
        <v>9</v>
      </c>
    </row>
    <row r="111" spans="1:11" x14ac:dyDescent="0.25">
      <c r="A111">
        <v>351</v>
      </c>
      <c r="C111" t="s">
        <v>1380</v>
      </c>
      <c r="D111" t="s">
        <v>1300</v>
      </c>
      <c r="E111" s="11" t="s">
        <v>1309</v>
      </c>
      <c r="F111" t="s">
        <v>1300</v>
      </c>
      <c r="G111">
        <v>10</v>
      </c>
      <c r="H111" t="s">
        <v>1563</v>
      </c>
      <c r="I111" t="s">
        <v>1314</v>
      </c>
      <c r="J111" t="s">
        <v>1324</v>
      </c>
      <c r="K111">
        <v>10</v>
      </c>
    </row>
    <row r="112" spans="1:11" x14ac:dyDescent="0.25">
      <c r="A112">
        <v>352</v>
      </c>
      <c r="C112" t="s">
        <v>1381</v>
      </c>
      <c r="D112" t="s">
        <v>1301</v>
      </c>
      <c r="E112" s="11" t="s">
        <v>1310</v>
      </c>
      <c r="F112" t="s">
        <v>1301</v>
      </c>
      <c r="G112">
        <v>10</v>
      </c>
      <c r="H112" t="s">
        <v>1563</v>
      </c>
      <c r="I112" t="s">
        <v>1314</v>
      </c>
      <c r="J112" t="s">
        <v>1324</v>
      </c>
      <c r="K112">
        <v>11</v>
      </c>
    </row>
    <row r="113" spans="1:11" x14ac:dyDescent="0.25">
      <c r="A113">
        <v>353</v>
      </c>
      <c r="C113" t="s">
        <v>1382</v>
      </c>
      <c r="D113" t="s">
        <v>1302</v>
      </c>
      <c r="E113" s="11" t="s">
        <v>1311</v>
      </c>
      <c r="F113" t="s">
        <v>1302</v>
      </c>
      <c r="G113">
        <v>10</v>
      </c>
      <c r="H113" t="s">
        <v>1563</v>
      </c>
      <c r="I113" t="s">
        <v>1314</v>
      </c>
      <c r="J113" t="s">
        <v>1324</v>
      </c>
      <c r="K113">
        <v>12</v>
      </c>
    </row>
    <row r="114" spans="1:11" x14ac:dyDescent="0.25">
      <c r="A114">
        <v>2</v>
      </c>
      <c r="C114" t="s">
        <v>1389</v>
      </c>
      <c r="D114" t="s">
        <v>535</v>
      </c>
      <c r="E114" s="11" t="s">
        <v>956</v>
      </c>
      <c r="F114" t="s">
        <v>206</v>
      </c>
      <c r="G114">
        <v>11</v>
      </c>
      <c r="H114" t="s">
        <v>1568</v>
      </c>
      <c r="I114" t="s">
        <v>1315</v>
      </c>
      <c r="J114" t="s">
        <v>1329</v>
      </c>
      <c r="K114">
        <v>1</v>
      </c>
    </row>
    <row r="115" spans="1:11" x14ac:dyDescent="0.25">
      <c r="A115">
        <v>3</v>
      </c>
      <c r="C115" t="s">
        <v>1390</v>
      </c>
      <c r="D115" t="s">
        <v>536</v>
      </c>
      <c r="E115" s="11" t="s">
        <v>957</v>
      </c>
      <c r="F115" t="s">
        <v>207</v>
      </c>
      <c r="G115">
        <v>11</v>
      </c>
      <c r="H115" t="s">
        <v>1568</v>
      </c>
      <c r="I115" t="s">
        <v>1315</v>
      </c>
      <c r="J115" t="s">
        <v>1329</v>
      </c>
      <c r="K115">
        <v>2</v>
      </c>
    </row>
    <row r="116" spans="1:11" x14ac:dyDescent="0.25">
      <c r="A116">
        <v>4</v>
      </c>
      <c r="C116" t="s">
        <v>1391</v>
      </c>
      <c r="D116" t="s">
        <v>208</v>
      </c>
      <c r="E116" s="11" t="s">
        <v>958</v>
      </c>
      <c r="F116" t="s">
        <v>208</v>
      </c>
      <c r="G116">
        <v>11</v>
      </c>
      <c r="H116" t="s">
        <v>1568</v>
      </c>
      <c r="I116" t="s">
        <v>1315</v>
      </c>
      <c r="J116" t="s">
        <v>1329</v>
      </c>
      <c r="K116">
        <v>3</v>
      </c>
    </row>
    <row r="117" spans="1:11" x14ac:dyDescent="0.25">
      <c r="A117">
        <v>5</v>
      </c>
      <c r="C117" t="s">
        <v>209</v>
      </c>
      <c r="D117" t="s">
        <v>210</v>
      </c>
      <c r="E117" s="11" t="s">
        <v>959</v>
      </c>
      <c r="F117" t="s">
        <v>210</v>
      </c>
      <c r="G117">
        <v>11</v>
      </c>
      <c r="H117" t="s">
        <v>1568</v>
      </c>
      <c r="I117" t="s">
        <v>1315</v>
      </c>
      <c r="J117" t="s">
        <v>1329</v>
      </c>
      <c r="K117">
        <v>4</v>
      </c>
    </row>
    <row r="118" spans="1:11" x14ac:dyDescent="0.25">
      <c r="A118">
        <v>6</v>
      </c>
      <c r="C118" t="s">
        <v>1392</v>
      </c>
      <c r="D118" t="s">
        <v>537</v>
      </c>
      <c r="E118" s="11" t="s">
        <v>960</v>
      </c>
      <c r="F118" t="s">
        <v>211</v>
      </c>
      <c r="G118">
        <v>11</v>
      </c>
      <c r="H118" t="s">
        <v>1568</v>
      </c>
      <c r="I118" t="s">
        <v>1315</v>
      </c>
      <c r="J118" t="s">
        <v>1329</v>
      </c>
      <c r="K118">
        <v>5</v>
      </c>
    </row>
    <row r="119" spans="1:11" x14ac:dyDescent="0.25">
      <c r="A119">
        <v>7</v>
      </c>
      <c r="C119" t="s">
        <v>1394</v>
      </c>
      <c r="D119" t="s">
        <v>543</v>
      </c>
      <c r="E119" s="11" t="s">
        <v>961</v>
      </c>
      <c r="F119" t="s">
        <v>213</v>
      </c>
      <c r="G119">
        <v>11</v>
      </c>
      <c r="H119" t="s">
        <v>1568</v>
      </c>
      <c r="I119" t="s">
        <v>1315</v>
      </c>
      <c r="J119" t="s">
        <v>1329</v>
      </c>
      <c r="K119">
        <v>8</v>
      </c>
    </row>
    <row r="120" spans="1:11" x14ac:dyDescent="0.25">
      <c r="A120">
        <v>8</v>
      </c>
      <c r="C120" t="s">
        <v>214</v>
      </c>
      <c r="D120" t="s">
        <v>539</v>
      </c>
      <c r="E120" s="11" t="s">
        <v>962</v>
      </c>
      <c r="F120" t="s">
        <v>215</v>
      </c>
      <c r="G120">
        <v>11</v>
      </c>
      <c r="H120" t="s">
        <v>1568</v>
      </c>
      <c r="I120" t="s">
        <v>1315</v>
      </c>
      <c r="J120" t="s">
        <v>1329</v>
      </c>
      <c r="K120">
        <v>9</v>
      </c>
    </row>
    <row r="121" spans="1:11" x14ac:dyDescent="0.25">
      <c r="A121">
        <v>9</v>
      </c>
      <c r="C121" t="s">
        <v>216</v>
      </c>
      <c r="D121" t="s">
        <v>538</v>
      </c>
      <c r="E121" s="11" t="s">
        <v>963</v>
      </c>
      <c r="F121" t="s">
        <v>217</v>
      </c>
      <c r="G121">
        <v>11</v>
      </c>
      <c r="H121" t="s">
        <v>1568</v>
      </c>
      <c r="I121" t="s">
        <v>1315</v>
      </c>
      <c r="J121" t="s">
        <v>1329</v>
      </c>
      <c r="K121">
        <v>10</v>
      </c>
    </row>
    <row r="122" spans="1:11" x14ac:dyDescent="0.25">
      <c r="A122">
        <v>10</v>
      </c>
      <c r="C122" t="s">
        <v>218</v>
      </c>
      <c r="D122" t="s">
        <v>540</v>
      </c>
      <c r="E122" s="11" t="s">
        <v>964</v>
      </c>
      <c r="F122" t="s">
        <v>219</v>
      </c>
      <c r="G122">
        <v>11</v>
      </c>
      <c r="H122" t="s">
        <v>1568</v>
      </c>
      <c r="I122" t="s">
        <v>1315</v>
      </c>
      <c r="J122" t="s">
        <v>1329</v>
      </c>
      <c r="K122">
        <v>11</v>
      </c>
    </row>
    <row r="123" spans="1:11" x14ac:dyDescent="0.25">
      <c r="A123">
        <v>11</v>
      </c>
      <c r="C123" t="s">
        <v>1393</v>
      </c>
      <c r="D123" t="s">
        <v>541</v>
      </c>
      <c r="E123" s="11" t="s">
        <v>965</v>
      </c>
      <c r="F123" t="s">
        <v>220</v>
      </c>
      <c r="G123">
        <v>11</v>
      </c>
      <c r="H123" t="s">
        <v>1568</v>
      </c>
      <c r="I123" t="s">
        <v>1315</v>
      </c>
      <c r="J123" t="s">
        <v>1329</v>
      </c>
      <c r="K123">
        <v>6</v>
      </c>
    </row>
    <row r="124" spans="1:11" x14ac:dyDescent="0.25">
      <c r="A124">
        <v>12</v>
      </c>
      <c r="C124" t="s">
        <v>1396</v>
      </c>
      <c r="D124" t="s">
        <v>545</v>
      </c>
      <c r="E124" s="11" t="s">
        <v>966</v>
      </c>
      <c r="F124" t="s">
        <v>221</v>
      </c>
      <c r="G124">
        <v>11</v>
      </c>
      <c r="H124" t="s">
        <v>1568</v>
      </c>
      <c r="I124" t="s">
        <v>1315</v>
      </c>
      <c r="J124" t="s">
        <v>1329</v>
      </c>
      <c r="K124">
        <v>13</v>
      </c>
    </row>
    <row r="125" spans="1:11" x14ac:dyDescent="0.25">
      <c r="A125">
        <v>13</v>
      </c>
      <c r="C125" t="s">
        <v>1395</v>
      </c>
      <c r="D125" t="s">
        <v>542</v>
      </c>
      <c r="E125" s="11" t="s">
        <v>967</v>
      </c>
      <c r="F125" t="s">
        <v>222</v>
      </c>
      <c r="G125">
        <v>11</v>
      </c>
      <c r="H125" t="s">
        <v>1568</v>
      </c>
      <c r="I125" t="s">
        <v>1315</v>
      </c>
      <c r="J125" t="s">
        <v>1329</v>
      </c>
      <c r="K125">
        <v>12</v>
      </c>
    </row>
    <row r="126" spans="1:11" x14ac:dyDescent="0.25">
      <c r="A126">
        <v>14</v>
      </c>
      <c r="C126" t="s">
        <v>1397</v>
      </c>
      <c r="D126" t="s">
        <v>544</v>
      </c>
      <c r="E126" s="11" t="s">
        <v>968</v>
      </c>
      <c r="F126" t="s">
        <v>223</v>
      </c>
      <c r="G126">
        <v>11</v>
      </c>
      <c r="H126" t="s">
        <v>1568</v>
      </c>
      <c r="I126" t="s">
        <v>1315</v>
      </c>
      <c r="J126" t="s">
        <v>1329</v>
      </c>
      <c r="K126">
        <v>14</v>
      </c>
    </row>
    <row r="127" spans="1:11" x14ac:dyDescent="0.25">
      <c r="A127">
        <v>212</v>
      </c>
      <c r="C127" t="s">
        <v>1407</v>
      </c>
      <c r="D127" t="s">
        <v>739</v>
      </c>
      <c r="E127" s="11" t="s">
        <v>1164</v>
      </c>
      <c r="F127" t="s">
        <v>212</v>
      </c>
      <c r="G127">
        <v>11</v>
      </c>
      <c r="H127" t="s">
        <v>1568</v>
      </c>
      <c r="I127" t="s">
        <v>1316</v>
      </c>
      <c r="J127" t="s">
        <v>1331</v>
      </c>
      <c r="K127">
        <v>3</v>
      </c>
    </row>
    <row r="128" spans="1:11" x14ac:dyDescent="0.25">
      <c r="A128">
        <v>179</v>
      </c>
      <c r="C128" t="s">
        <v>224</v>
      </c>
      <c r="D128" t="s">
        <v>546</v>
      </c>
      <c r="E128" s="11" t="s">
        <v>1132</v>
      </c>
      <c r="F128" t="s">
        <v>225</v>
      </c>
      <c r="G128">
        <v>12</v>
      </c>
      <c r="H128" t="s">
        <v>1573</v>
      </c>
      <c r="I128" t="s">
        <v>1317</v>
      </c>
      <c r="J128" t="s">
        <v>1333</v>
      </c>
      <c r="K128">
        <v>1</v>
      </c>
    </row>
    <row r="129" spans="1:11" x14ac:dyDescent="0.25">
      <c r="A129">
        <v>180</v>
      </c>
      <c r="C129" t="s">
        <v>1409</v>
      </c>
      <c r="D129" t="s">
        <v>230</v>
      </c>
      <c r="E129" s="11" t="s">
        <v>1133</v>
      </c>
      <c r="F129" t="s">
        <v>230</v>
      </c>
      <c r="G129">
        <v>12</v>
      </c>
      <c r="H129" t="s">
        <v>1573</v>
      </c>
      <c r="I129" t="s">
        <v>1317</v>
      </c>
      <c r="J129" t="s">
        <v>1333</v>
      </c>
      <c r="K129">
        <v>2</v>
      </c>
    </row>
    <row r="130" spans="1:11" x14ac:dyDescent="0.25">
      <c r="A130">
        <v>181</v>
      </c>
      <c r="C130" t="s">
        <v>1410</v>
      </c>
      <c r="D130" t="s">
        <v>231</v>
      </c>
      <c r="E130" s="11" t="s">
        <v>1134</v>
      </c>
      <c r="F130" t="s">
        <v>231</v>
      </c>
      <c r="G130">
        <v>12</v>
      </c>
      <c r="H130" t="s">
        <v>1573</v>
      </c>
      <c r="I130" t="s">
        <v>1317</v>
      </c>
      <c r="J130" t="s">
        <v>1333</v>
      </c>
      <c r="K130">
        <v>3</v>
      </c>
    </row>
    <row r="131" spans="1:11" x14ac:dyDescent="0.25">
      <c r="A131">
        <v>182</v>
      </c>
      <c r="C131" t="s">
        <v>1411</v>
      </c>
      <c r="D131" t="s">
        <v>232</v>
      </c>
      <c r="E131" s="11" t="s">
        <v>1135</v>
      </c>
      <c r="F131" t="s">
        <v>232</v>
      </c>
      <c r="G131">
        <v>12</v>
      </c>
      <c r="H131" t="s">
        <v>1573</v>
      </c>
      <c r="I131" t="s">
        <v>1317</v>
      </c>
      <c r="J131" t="s">
        <v>1333</v>
      </c>
      <c r="K131">
        <v>4</v>
      </c>
    </row>
    <row r="132" spans="1:11" x14ac:dyDescent="0.25">
      <c r="A132">
        <v>183</v>
      </c>
      <c r="C132" t="s">
        <v>1412</v>
      </c>
      <c r="D132" t="s">
        <v>233</v>
      </c>
      <c r="E132" s="11" t="s">
        <v>1136</v>
      </c>
      <c r="F132" t="s">
        <v>233</v>
      </c>
      <c r="G132">
        <v>12</v>
      </c>
      <c r="H132" t="s">
        <v>1573</v>
      </c>
      <c r="I132" t="s">
        <v>1317</v>
      </c>
      <c r="J132" t="s">
        <v>1333</v>
      </c>
      <c r="K132">
        <v>5</v>
      </c>
    </row>
    <row r="133" spans="1:11" x14ac:dyDescent="0.25">
      <c r="A133">
        <v>184</v>
      </c>
      <c r="C133" t="s">
        <v>1413</v>
      </c>
      <c r="D133" t="s">
        <v>234</v>
      </c>
      <c r="E133" s="11" t="s">
        <v>1137</v>
      </c>
      <c r="F133" t="s">
        <v>234</v>
      </c>
      <c r="G133">
        <v>12</v>
      </c>
      <c r="H133" t="s">
        <v>1573</v>
      </c>
      <c r="I133" t="s">
        <v>1317</v>
      </c>
      <c r="J133" t="s">
        <v>1333</v>
      </c>
      <c r="K133">
        <v>6</v>
      </c>
    </row>
    <row r="134" spans="1:11" x14ac:dyDescent="0.25">
      <c r="A134">
        <v>185</v>
      </c>
      <c r="C134" t="s">
        <v>1414</v>
      </c>
      <c r="D134" t="s">
        <v>235</v>
      </c>
      <c r="E134" s="11" t="s">
        <v>1138</v>
      </c>
      <c r="F134" t="s">
        <v>235</v>
      </c>
      <c r="G134">
        <v>12</v>
      </c>
      <c r="H134" t="s">
        <v>1573</v>
      </c>
      <c r="I134" t="s">
        <v>1317</v>
      </c>
      <c r="J134" t="s">
        <v>1333</v>
      </c>
      <c r="K134">
        <v>7</v>
      </c>
    </row>
    <row r="135" spans="1:11" x14ac:dyDescent="0.25">
      <c r="A135">
        <v>186</v>
      </c>
      <c r="C135" t="s">
        <v>1417</v>
      </c>
      <c r="D135" t="s">
        <v>547</v>
      </c>
      <c r="E135" s="11" t="s">
        <v>1139</v>
      </c>
      <c r="F135" t="s">
        <v>227</v>
      </c>
      <c r="G135">
        <v>12</v>
      </c>
      <c r="H135" t="s">
        <v>1573</v>
      </c>
      <c r="I135" t="s">
        <v>1317</v>
      </c>
      <c r="J135" t="s">
        <v>1333</v>
      </c>
      <c r="K135">
        <v>10</v>
      </c>
    </row>
    <row r="136" spans="1:11" x14ac:dyDescent="0.25">
      <c r="A136">
        <v>187</v>
      </c>
      <c r="C136" t="s">
        <v>1418</v>
      </c>
      <c r="D136" t="s">
        <v>226</v>
      </c>
      <c r="E136" s="11" t="s">
        <v>1140</v>
      </c>
      <c r="F136" t="s">
        <v>226</v>
      </c>
      <c r="G136">
        <v>12</v>
      </c>
      <c r="H136" t="s">
        <v>1573</v>
      </c>
      <c r="I136" t="s">
        <v>1317</v>
      </c>
      <c r="J136" t="s">
        <v>1333</v>
      </c>
      <c r="K136">
        <v>11</v>
      </c>
    </row>
    <row r="137" spans="1:11" x14ac:dyDescent="0.25">
      <c r="A137">
        <v>188</v>
      </c>
      <c r="C137" t="s">
        <v>1415</v>
      </c>
      <c r="D137" t="s">
        <v>548</v>
      </c>
      <c r="E137" s="11" t="s">
        <v>1141</v>
      </c>
      <c r="F137" t="s">
        <v>236</v>
      </c>
      <c r="G137">
        <v>12</v>
      </c>
      <c r="H137" t="s">
        <v>1573</v>
      </c>
      <c r="I137" t="s">
        <v>1317</v>
      </c>
      <c r="J137" t="s">
        <v>1333</v>
      </c>
      <c r="K137">
        <v>8</v>
      </c>
    </row>
    <row r="138" spans="1:11" x14ac:dyDescent="0.25">
      <c r="A138">
        <v>189</v>
      </c>
      <c r="C138" t="s">
        <v>1416</v>
      </c>
      <c r="D138" t="s">
        <v>237</v>
      </c>
      <c r="E138" s="11" t="s">
        <v>1142</v>
      </c>
      <c r="F138" t="s">
        <v>237</v>
      </c>
      <c r="G138">
        <v>12</v>
      </c>
      <c r="H138" t="s">
        <v>1573</v>
      </c>
      <c r="I138" t="s">
        <v>1317</v>
      </c>
      <c r="J138" t="s">
        <v>1333</v>
      </c>
      <c r="K138">
        <v>9</v>
      </c>
    </row>
    <row r="139" spans="1:11" x14ac:dyDescent="0.25">
      <c r="A139">
        <v>190</v>
      </c>
      <c r="C139" t="s">
        <v>1420</v>
      </c>
      <c r="D139" t="s">
        <v>549</v>
      </c>
      <c r="E139" s="11" t="s">
        <v>1143</v>
      </c>
      <c r="F139" t="s">
        <v>228</v>
      </c>
      <c r="G139">
        <v>12</v>
      </c>
      <c r="H139" t="s">
        <v>1573</v>
      </c>
      <c r="I139" t="s">
        <v>1317</v>
      </c>
      <c r="J139" t="s">
        <v>1333</v>
      </c>
      <c r="K139">
        <v>13</v>
      </c>
    </row>
    <row r="140" spans="1:11" x14ac:dyDescent="0.25">
      <c r="A140">
        <v>191</v>
      </c>
      <c r="C140" t="s">
        <v>1419</v>
      </c>
      <c r="D140" t="s">
        <v>550</v>
      </c>
      <c r="E140" s="11" t="s">
        <v>1144</v>
      </c>
      <c r="F140" t="s">
        <v>229</v>
      </c>
      <c r="G140">
        <v>12</v>
      </c>
      <c r="H140" t="s">
        <v>1573</v>
      </c>
      <c r="I140" t="s">
        <v>1317</v>
      </c>
      <c r="J140" t="s">
        <v>1333</v>
      </c>
      <c r="K140">
        <v>12</v>
      </c>
    </row>
    <row r="141" spans="1:11" x14ac:dyDescent="0.25">
      <c r="A141">
        <v>192</v>
      </c>
      <c r="C141" t="s">
        <v>1422</v>
      </c>
      <c r="D141" t="s">
        <v>242</v>
      </c>
      <c r="E141" s="11" t="s">
        <v>1145</v>
      </c>
      <c r="F141" t="s">
        <v>242</v>
      </c>
      <c r="G141">
        <v>12</v>
      </c>
      <c r="H141" t="s">
        <v>1573</v>
      </c>
      <c r="I141" t="s">
        <v>1317</v>
      </c>
      <c r="J141" t="s">
        <v>1333</v>
      </c>
      <c r="K141">
        <v>15</v>
      </c>
    </row>
    <row r="142" spans="1:11" x14ac:dyDescent="0.25">
      <c r="A142">
        <v>193</v>
      </c>
      <c r="C142" t="s">
        <v>1421</v>
      </c>
      <c r="D142" t="s">
        <v>238</v>
      </c>
      <c r="E142" s="11" t="s">
        <v>1146</v>
      </c>
      <c r="F142" t="s">
        <v>238</v>
      </c>
      <c r="G142">
        <v>12</v>
      </c>
      <c r="H142" t="s">
        <v>1573</v>
      </c>
      <c r="I142" t="s">
        <v>1317</v>
      </c>
      <c r="J142" t="s">
        <v>1333</v>
      </c>
      <c r="K142">
        <v>14</v>
      </c>
    </row>
    <row r="143" spans="1:11" x14ac:dyDescent="0.25">
      <c r="A143">
        <v>194</v>
      </c>
      <c r="C143" t="s">
        <v>1424</v>
      </c>
      <c r="D143" t="s">
        <v>239</v>
      </c>
      <c r="E143" s="11" t="s">
        <v>1147</v>
      </c>
      <c r="F143" t="s">
        <v>239</v>
      </c>
      <c r="G143">
        <v>12</v>
      </c>
      <c r="H143" t="s">
        <v>1573</v>
      </c>
      <c r="I143" t="s">
        <v>1317</v>
      </c>
      <c r="J143" t="s">
        <v>1333</v>
      </c>
      <c r="K143">
        <v>17</v>
      </c>
    </row>
    <row r="144" spans="1:11" x14ac:dyDescent="0.25">
      <c r="A144">
        <v>195</v>
      </c>
      <c r="C144" t="s">
        <v>1423</v>
      </c>
      <c r="D144" t="s">
        <v>240</v>
      </c>
      <c r="E144" s="11" t="s">
        <v>1148</v>
      </c>
      <c r="F144" t="s">
        <v>240</v>
      </c>
      <c r="G144">
        <v>12</v>
      </c>
      <c r="H144" t="s">
        <v>1573</v>
      </c>
      <c r="I144" t="s">
        <v>1317</v>
      </c>
      <c r="J144" t="s">
        <v>1333</v>
      </c>
      <c r="K144">
        <v>16</v>
      </c>
    </row>
    <row r="145" spans="1:11" x14ac:dyDescent="0.25">
      <c r="A145">
        <v>196</v>
      </c>
      <c r="C145" t="s">
        <v>1425</v>
      </c>
      <c r="D145" t="s">
        <v>551</v>
      </c>
      <c r="E145" s="11" t="s">
        <v>1149</v>
      </c>
      <c r="F145" t="s">
        <v>241</v>
      </c>
      <c r="G145">
        <v>12</v>
      </c>
      <c r="H145" t="s">
        <v>1573</v>
      </c>
      <c r="I145" t="s">
        <v>1317</v>
      </c>
      <c r="J145" t="s">
        <v>1333</v>
      </c>
      <c r="K145">
        <v>18</v>
      </c>
    </row>
    <row r="146" spans="1:11" x14ac:dyDescent="0.25">
      <c r="A146">
        <v>197</v>
      </c>
      <c r="C146" t="s">
        <v>1426</v>
      </c>
      <c r="D146" t="s">
        <v>547</v>
      </c>
      <c r="E146" s="11" t="s">
        <v>1139</v>
      </c>
      <c r="F146" t="s">
        <v>227</v>
      </c>
      <c r="G146">
        <v>12</v>
      </c>
      <c r="H146" t="s">
        <v>1573</v>
      </c>
      <c r="I146" t="s">
        <v>1317</v>
      </c>
      <c r="J146" t="s">
        <v>1333</v>
      </c>
      <c r="K146">
        <v>19</v>
      </c>
    </row>
    <row r="147" spans="1:11" x14ac:dyDescent="0.25">
      <c r="A147">
        <v>37</v>
      </c>
      <c r="C147" t="s">
        <v>252</v>
      </c>
      <c r="D147" t="s">
        <v>554</v>
      </c>
      <c r="E147" s="11" t="s">
        <v>990</v>
      </c>
      <c r="F147" t="s">
        <v>253</v>
      </c>
      <c r="G147">
        <v>13</v>
      </c>
      <c r="H147" t="s">
        <v>1562</v>
      </c>
      <c r="I147" t="s">
        <v>1318</v>
      </c>
      <c r="J147" t="s">
        <v>1338</v>
      </c>
      <c r="K147">
        <v>1</v>
      </c>
    </row>
    <row r="148" spans="1:11" x14ac:dyDescent="0.25">
      <c r="A148">
        <v>38</v>
      </c>
      <c r="C148" t="s">
        <v>1474</v>
      </c>
      <c r="D148" t="s">
        <v>740</v>
      </c>
      <c r="E148" s="11" t="s">
        <v>991</v>
      </c>
      <c r="F148" t="s">
        <v>254</v>
      </c>
      <c r="G148">
        <v>13</v>
      </c>
      <c r="H148" t="s">
        <v>1562</v>
      </c>
      <c r="I148" t="s">
        <v>1318</v>
      </c>
      <c r="J148" t="s">
        <v>1338</v>
      </c>
      <c r="K148">
        <v>2</v>
      </c>
    </row>
    <row r="149" spans="1:11" x14ac:dyDescent="0.25">
      <c r="A149">
        <v>39</v>
      </c>
      <c r="C149" t="s">
        <v>1475</v>
      </c>
      <c r="D149" t="s">
        <v>555</v>
      </c>
      <c r="E149" s="11" t="s">
        <v>992</v>
      </c>
      <c r="F149" t="s">
        <v>255</v>
      </c>
      <c r="G149">
        <v>13</v>
      </c>
      <c r="H149" t="s">
        <v>1562</v>
      </c>
      <c r="I149" t="s">
        <v>1318</v>
      </c>
      <c r="J149" t="s">
        <v>1338</v>
      </c>
      <c r="K149">
        <v>3</v>
      </c>
    </row>
    <row r="150" spans="1:11" x14ac:dyDescent="0.25">
      <c r="A150">
        <v>40</v>
      </c>
      <c r="C150" t="s">
        <v>1476</v>
      </c>
      <c r="D150" t="s">
        <v>556</v>
      </c>
      <c r="E150" s="11" t="s">
        <v>993</v>
      </c>
      <c r="F150" t="s">
        <v>256</v>
      </c>
      <c r="G150">
        <v>13</v>
      </c>
      <c r="H150" t="s">
        <v>1562</v>
      </c>
      <c r="I150" t="s">
        <v>1318</v>
      </c>
      <c r="J150" t="s">
        <v>1338</v>
      </c>
      <c r="K150">
        <v>4</v>
      </c>
    </row>
    <row r="151" spans="1:11" x14ac:dyDescent="0.25">
      <c r="A151">
        <v>41</v>
      </c>
      <c r="C151" t="s">
        <v>1477</v>
      </c>
      <c r="D151" t="s">
        <v>557</v>
      </c>
      <c r="E151" s="11" t="s">
        <v>994</v>
      </c>
      <c r="F151" t="s">
        <v>257</v>
      </c>
      <c r="G151">
        <v>13</v>
      </c>
      <c r="H151" t="s">
        <v>1562</v>
      </c>
      <c r="I151" t="s">
        <v>1318</v>
      </c>
      <c r="J151" t="s">
        <v>1338</v>
      </c>
      <c r="K151">
        <v>5</v>
      </c>
    </row>
    <row r="152" spans="1:11" x14ac:dyDescent="0.25">
      <c r="A152">
        <v>42</v>
      </c>
      <c r="C152" t="s">
        <v>1474</v>
      </c>
      <c r="D152" t="s">
        <v>558</v>
      </c>
      <c r="E152" s="11" t="s">
        <v>995</v>
      </c>
      <c r="F152" t="s">
        <v>258</v>
      </c>
      <c r="G152">
        <v>13</v>
      </c>
      <c r="H152" t="s">
        <v>1562</v>
      </c>
      <c r="I152" t="s">
        <v>1318</v>
      </c>
      <c r="J152" t="s">
        <v>1338</v>
      </c>
      <c r="K152">
        <v>6</v>
      </c>
    </row>
    <row r="153" spans="1:11" x14ac:dyDescent="0.25">
      <c r="A153">
        <v>43</v>
      </c>
      <c r="C153" t="s">
        <v>1478</v>
      </c>
      <c r="D153" t="s">
        <v>559</v>
      </c>
      <c r="E153" s="11" t="s">
        <v>996</v>
      </c>
      <c r="F153" t="s">
        <v>259</v>
      </c>
      <c r="G153">
        <v>13</v>
      </c>
      <c r="H153" t="s">
        <v>1562</v>
      </c>
      <c r="I153" t="s">
        <v>1318</v>
      </c>
      <c r="J153" t="s">
        <v>1338</v>
      </c>
      <c r="K153">
        <v>7</v>
      </c>
    </row>
    <row r="154" spans="1:11" x14ac:dyDescent="0.25">
      <c r="A154">
        <v>44</v>
      </c>
      <c r="C154" t="s">
        <v>260</v>
      </c>
      <c r="D154" t="s">
        <v>560</v>
      </c>
      <c r="E154" s="11" t="s">
        <v>997</v>
      </c>
      <c r="F154" t="s">
        <v>261</v>
      </c>
      <c r="G154">
        <v>13</v>
      </c>
      <c r="H154" t="s">
        <v>1562</v>
      </c>
      <c r="I154" t="s">
        <v>1318</v>
      </c>
      <c r="J154" t="s">
        <v>1338</v>
      </c>
      <c r="K154">
        <v>8</v>
      </c>
    </row>
    <row r="155" spans="1:11" x14ac:dyDescent="0.25">
      <c r="A155">
        <v>45</v>
      </c>
      <c r="C155" t="s">
        <v>1479</v>
      </c>
      <c r="D155" t="s">
        <v>561</v>
      </c>
      <c r="E155" s="11" t="s">
        <v>998</v>
      </c>
      <c r="F155" t="s">
        <v>262</v>
      </c>
      <c r="G155">
        <v>13</v>
      </c>
      <c r="H155" t="s">
        <v>1562</v>
      </c>
      <c r="I155" t="s">
        <v>1318</v>
      </c>
      <c r="J155" t="s">
        <v>1338</v>
      </c>
      <c r="K155">
        <v>9</v>
      </c>
    </row>
    <row r="156" spans="1:11" x14ac:dyDescent="0.25">
      <c r="A156">
        <v>46</v>
      </c>
      <c r="C156" t="s">
        <v>1480</v>
      </c>
      <c r="D156" t="s">
        <v>722</v>
      </c>
      <c r="E156" s="11" t="s">
        <v>999</v>
      </c>
      <c r="F156" t="s">
        <v>263</v>
      </c>
      <c r="G156">
        <v>13</v>
      </c>
      <c r="H156" t="s">
        <v>1562</v>
      </c>
      <c r="I156" t="s">
        <v>1318</v>
      </c>
      <c r="J156" t="s">
        <v>1338</v>
      </c>
      <c r="K156">
        <v>10</v>
      </c>
    </row>
    <row r="157" spans="1:11" x14ac:dyDescent="0.25">
      <c r="A157">
        <v>47</v>
      </c>
      <c r="C157" t="s">
        <v>1481</v>
      </c>
      <c r="D157" t="s">
        <v>562</v>
      </c>
      <c r="E157" s="11" t="s">
        <v>1000</v>
      </c>
      <c r="F157" t="s">
        <v>264</v>
      </c>
      <c r="G157">
        <v>13</v>
      </c>
      <c r="H157" t="s">
        <v>1562</v>
      </c>
      <c r="I157" t="s">
        <v>1318</v>
      </c>
      <c r="J157" t="s">
        <v>1338</v>
      </c>
      <c r="K157">
        <v>11</v>
      </c>
    </row>
    <row r="158" spans="1:11" x14ac:dyDescent="0.25">
      <c r="A158">
        <v>48</v>
      </c>
      <c r="C158" t="s">
        <v>1482</v>
      </c>
      <c r="D158" t="s">
        <v>563</v>
      </c>
      <c r="E158" s="11" t="s">
        <v>1001</v>
      </c>
      <c r="F158" t="s">
        <v>265</v>
      </c>
      <c r="G158">
        <v>13</v>
      </c>
      <c r="H158" t="s">
        <v>1562</v>
      </c>
      <c r="I158" t="s">
        <v>1318</v>
      </c>
      <c r="J158" t="s">
        <v>1338</v>
      </c>
      <c r="K158">
        <v>12</v>
      </c>
    </row>
    <row r="159" spans="1:11" x14ac:dyDescent="0.25">
      <c r="A159">
        <v>49</v>
      </c>
      <c r="C159" t="s">
        <v>1479</v>
      </c>
      <c r="D159" t="s">
        <v>564</v>
      </c>
      <c r="E159" s="11" t="s">
        <v>1002</v>
      </c>
      <c r="F159" t="s">
        <v>266</v>
      </c>
      <c r="G159">
        <v>13</v>
      </c>
      <c r="H159" t="s">
        <v>1562</v>
      </c>
      <c r="I159" t="s">
        <v>1318</v>
      </c>
      <c r="J159" t="s">
        <v>1338</v>
      </c>
      <c r="K159">
        <v>13</v>
      </c>
    </row>
    <row r="160" spans="1:11" x14ac:dyDescent="0.25">
      <c r="A160">
        <v>50</v>
      </c>
      <c r="C160" t="s">
        <v>1483</v>
      </c>
      <c r="D160" t="s">
        <v>565</v>
      </c>
      <c r="E160" s="11" t="s">
        <v>1003</v>
      </c>
      <c r="F160" t="s">
        <v>267</v>
      </c>
      <c r="G160">
        <v>13</v>
      </c>
      <c r="H160" t="s">
        <v>1562</v>
      </c>
      <c r="I160" t="s">
        <v>1318</v>
      </c>
      <c r="J160" t="s">
        <v>1338</v>
      </c>
      <c r="K160">
        <v>14</v>
      </c>
    </row>
    <row r="161" spans="1:11" x14ac:dyDescent="0.25">
      <c r="A161">
        <v>51</v>
      </c>
      <c r="C161" t="s">
        <v>268</v>
      </c>
      <c r="D161" t="s">
        <v>566</v>
      </c>
      <c r="E161" s="11" t="s">
        <v>1004</v>
      </c>
      <c r="F161" t="s">
        <v>269</v>
      </c>
      <c r="G161">
        <v>13</v>
      </c>
      <c r="H161" t="s">
        <v>1562</v>
      </c>
      <c r="I161" t="s">
        <v>1318</v>
      </c>
      <c r="J161" t="s">
        <v>1338</v>
      </c>
      <c r="K161">
        <v>15</v>
      </c>
    </row>
    <row r="162" spans="1:11" x14ac:dyDescent="0.25">
      <c r="A162">
        <v>52</v>
      </c>
      <c r="C162" t="s">
        <v>1484</v>
      </c>
      <c r="D162" t="s">
        <v>567</v>
      </c>
      <c r="E162" s="11" t="s">
        <v>1005</v>
      </c>
      <c r="F162" t="s">
        <v>270</v>
      </c>
      <c r="G162">
        <v>13</v>
      </c>
      <c r="H162" t="s">
        <v>1562</v>
      </c>
      <c r="I162" t="s">
        <v>1318</v>
      </c>
      <c r="J162" t="s">
        <v>1338</v>
      </c>
      <c r="K162">
        <v>16</v>
      </c>
    </row>
    <row r="163" spans="1:11" x14ac:dyDescent="0.25">
      <c r="A163">
        <v>53</v>
      </c>
      <c r="C163" t="s">
        <v>1485</v>
      </c>
      <c r="D163" t="s">
        <v>568</v>
      </c>
      <c r="E163" s="11" t="s">
        <v>1006</v>
      </c>
      <c r="F163" t="s">
        <v>271</v>
      </c>
      <c r="G163">
        <v>13</v>
      </c>
      <c r="H163" t="s">
        <v>1562</v>
      </c>
      <c r="I163" t="s">
        <v>1318</v>
      </c>
      <c r="J163" t="s">
        <v>1338</v>
      </c>
      <c r="K163">
        <v>17</v>
      </c>
    </row>
    <row r="164" spans="1:11" x14ac:dyDescent="0.25">
      <c r="A164">
        <v>54</v>
      </c>
      <c r="C164" t="s">
        <v>1486</v>
      </c>
      <c r="D164" t="s">
        <v>569</v>
      </c>
      <c r="E164" s="11" t="s">
        <v>1007</v>
      </c>
      <c r="F164" t="s">
        <v>272</v>
      </c>
      <c r="G164">
        <v>13</v>
      </c>
      <c r="H164" t="s">
        <v>1562</v>
      </c>
      <c r="I164" t="s">
        <v>1318</v>
      </c>
      <c r="J164" t="s">
        <v>1338</v>
      </c>
      <c r="K164">
        <v>18</v>
      </c>
    </row>
    <row r="165" spans="1:11" x14ac:dyDescent="0.25">
      <c r="A165">
        <v>55</v>
      </c>
      <c r="C165" t="s">
        <v>1487</v>
      </c>
      <c r="D165" t="s">
        <v>570</v>
      </c>
      <c r="E165" s="11" t="s">
        <v>1008</v>
      </c>
      <c r="F165" t="s">
        <v>273</v>
      </c>
      <c r="G165">
        <v>13</v>
      </c>
      <c r="H165" t="s">
        <v>1562</v>
      </c>
      <c r="I165" t="s">
        <v>1318</v>
      </c>
      <c r="J165" t="s">
        <v>1338</v>
      </c>
      <c r="K165">
        <v>19</v>
      </c>
    </row>
    <row r="166" spans="1:11" x14ac:dyDescent="0.25">
      <c r="A166">
        <v>56</v>
      </c>
      <c r="C166" t="s">
        <v>1484</v>
      </c>
      <c r="D166" t="s">
        <v>571</v>
      </c>
      <c r="E166" s="11" t="s">
        <v>1009</v>
      </c>
      <c r="F166" t="s">
        <v>274</v>
      </c>
      <c r="G166">
        <v>13</v>
      </c>
      <c r="H166" t="s">
        <v>1562</v>
      </c>
      <c r="I166" t="s">
        <v>1318</v>
      </c>
      <c r="J166" t="s">
        <v>1338</v>
      </c>
      <c r="K166">
        <v>20</v>
      </c>
    </row>
    <row r="167" spans="1:11" x14ac:dyDescent="0.25">
      <c r="A167">
        <v>57</v>
      </c>
      <c r="C167" t="s">
        <v>1488</v>
      </c>
      <c r="D167" t="s">
        <v>572</v>
      </c>
      <c r="E167" s="11" t="s">
        <v>1010</v>
      </c>
      <c r="F167" t="s">
        <v>275</v>
      </c>
      <c r="G167">
        <v>13</v>
      </c>
      <c r="H167" t="s">
        <v>1562</v>
      </c>
      <c r="I167" t="s">
        <v>1318</v>
      </c>
      <c r="J167" t="s">
        <v>1338</v>
      </c>
      <c r="K167">
        <v>21</v>
      </c>
    </row>
    <row r="168" spans="1:11" x14ac:dyDescent="0.25">
      <c r="A168">
        <v>301</v>
      </c>
      <c r="C168" t="s">
        <v>243</v>
      </c>
      <c r="D168" t="s">
        <v>244</v>
      </c>
      <c r="E168" s="11" t="s">
        <v>1251</v>
      </c>
      <c r="F168" t="s">
        <v>244</v>
      </c>
      <c r="G168">
        <v>13</v>
      </c>
      <c r="H168" t="s">
        <v>1562</v>
      </c>
      <c r="I168" t="s">
        <v>1314</v>
      </c>
      <c r="J168" t="s">
        <v>1323</v>
      </c>
      <c r="K168">
        <v>1</v>
      </c>
    </row>
    <row r="169" spans="1:11" x14ac:dyDescent="0.25">
      <c r="A169">
        <v>302</v>
      </c>
      <c r="C169" t="s">
        <v>245</v>
      </c>
      <c r="D169" t="s">
        <v>552</v>
      </c>
      <c r="E169" s="11" t="s">
        <v>1252</v>
      </c>
      <c r="F169" t="s">
        <v>246</v>
      </c>
      <c r="G169">
        <v>13</v>
      </c>
      <c r="H169" t="s">
        <v>1562</v>
      </c>
      <c r="I169" t="s">
        <v>1314</v>
      </c>
      <c r="J169" t="s">
        <v>1323</v>
      </c>
      <c r="K169">
        <v>2</v>
      </c>
    </row>
    <row r="170" spans="1:11" x14ac:dyDescent="0.25">
      <c r="A170">
        <v>303</v>
      </c>
      <c r="C170" t="s">
        <v>1367</v>
      </c>
      <c r="D170" t="s">
        <v>247</v>
      </c>
      <c r="E170" s="11" t="s">
        <v>1253</v>
      </c>
      <c r="F170" t="s">
        <v>247</v>
      </c>
      <c r="G170">
        <v>13</v>
      </c>
      <c r="H170" t="s">
        <v>1562</v>
      </c>
      <c r="I170" t="s">
        <v>1314</v>
      </c>
      <c r="J170" t="s">
        <v>1323</v>
      </c>
      <c r="K170">
        <v>3</v>
      </c>
    </row>
    <row r="171" spans="1:11" x14ac:dyDescent="0.25">
      <c r="A171">
        <v>304</v>
      </c>
      <c r="C171" t="s">
        <v>1368</v>
      </c>
      <c r="D171" t="s">
        <v>248</v>
      </c>
      <c r="E171" s="11" t="s">
        <v>1254</v>
      </c>
      <c r="F171" t="s">
        <v>248</v>
      </c>
      <c r="G171">
        <v>13</v>
      </c>
      <c r="H171" t="s">
        <v>1562</v>
      </c>
      <c r="I171" t="s">
        <v>1314</v>
      </c>
      <c r="J171" t="s">
        <v>1323</v>
      </c>
      <c r="K171">
        <v>4</v>
      </c>
    </row>
    <row r="172" spans="1:11" x14ac:dyDescent="0.25">
      <c r="A172">
        <v>305</v>
      </c>
      <c r="C172" t="s">
        <v>1344</v>
      </c>
      <c r="D172" t="s">
        <v>553</v>
      </c>
      <c r="E172" s="11" t="s">
        <v>1255</v>
      </c>
      <c r="F172" t="s">
        <v>249</v>
      </c>
      <c r="G172">
        <v>13</v>
      </c>
      <c r="H172" t="s">
        <v>1562</v>
      </c>
      <c r="I172" t="s">
        <v>1314</v>
      </c>
      <c r="J172" t="s">
        <v>1323</v>
      </c>
      <c r="K172">
        <v>5</v>
      </c>
    </row>
    <row r="173" spans="1:11" x14ac:dyDescent="0.25">
      <c r="A173">
        <v>306</v>
      </c>
      <c r="C173" t="s">
        <v>1369</v>
      </c>
      <c r="D173" t="s">
        <v>250</v>
      </c>
      <c r="E173" s="11" t="s">
        <v>1256</v>
      </c>
      <c r="F173" t="s">
        <v>250</v>
      </c>
      <c r="G173">
        <v>13</v>
      </c>
      <c r="H173" t="s">
        <v>1562</v>
      </c>
      <c r="I173" t="s">
        <v>1314</v>
      </c>
      <c r="J173" t="s">
        <v>1323</v>
      </c>
      <c r="K173">
        <v>6</v>
      </c>
    </row>
    <row r="174" spans="1:11" x14ac:dyDescent="0.25">
      <c r="A174">
        <v>307</v>
      </c>
      <c r="C174" t="s">
        <v>1370</v>
      </c>
      <c r="D174" t="s">
        <v>251</v>
      </c>
      <c r="E174" s="11" t="s">
        <v>1257</v>
      </c>
      <c r="F174" t="s">
        <v>251</v>
      </c>
      <c r="G174">
        <v>13</v>
      </c>
      <c r="H174" t="s">
        <v>1562</v>
      </c>
      <c r="I174" t="s">
        <v>1314</v>
      </c>
      <c r="J174" t="s">
        <v>1323</v>
      </c>
      <c r="K174">
        <v>7</v>
      </c>
    </row>
    <row r="175" spans="1:11" x14ac:dyDescent="0.25">
      <c r="A175">
        <v>147</v>
      </c>
      <c r="C175" t="s">
        <v>276</v>
      </c>
      <c r="D175" t="s">
        <v>573</v>
      </c>
      <c r="E175" s="11" t="s">
        <v>1100</v>
      </c>
      <c r="F175" t="s">
        <v>277</v>
      </c>
      <c r="G175">
        <v>14</v>
      </c>
      <c r="H175" t="s">
        <v>1558</v>
      </c>
      <c r="I175" t="s">
        <v>1314</v>
      </c>
      <c r="J175" t="s">
        <v>1321</v>
      </c>
      <c r="K175">
        <v>1</v>
      </c>
    </row>
    <row r="176" spans="1:11" x14ac:dyDescent="0.25">
      <c r="A176">
        <v>148</v>
      </c>
      <c r="C176" t="s">
        <v>284</v>
      </c>
      <c r="D176" t="s">
        <v>574</v>
      </c>
      <c r="E176" s="11" t="s">
        <v>1101</v>
      </c>
      <c r="F176" t="s">
        <v>278</v>
      </c>
      <c r="G176">
        <v>14</v>
      </c>
      <c r="H176" t="s">
        <v>1558</v>
      </c>
      <c r="I176" t="s">
        <v>1314</v>
      </c>
      <c r="J176" t="s">
        <v>1321</v>
      </c>
      <c r="K176">
        <v>2</v>
      </c>
    </row>
    <row r="177" spans="1:11" x14ac:dyDescent="0.25">
      <c r="A177">
        <v>149</v>
      </c>
      <c r="C177" t="s">
        <v>1547</v>
      </c>
      <c r="D177" t="s">
        <v>575</v>
      </c>
      <c r="E177" s="11" t="s">
        <v>1102</v>
      </c>
      <c r="F177" t="s">
        <v>279</v>
      </c>
      <c r="G177">
        <v>14</v>
      </c>
      <c r="H177" t="s">
        <v>1558</v>
      </c>
      <c r="I177" t="s">
        <v>1314</v>
      </c>
      <c r="J177" t="s">
        <v>1321</v>
      </c>
      <c r="K177">
        <v>3</v>
      </c>
    </row>
    <row r="178" spans="1:11" x14ac:dyDescent="0.25">
      <c r="A178">
        <v>150</v>
      </c>
      <c r="C178" t="s">
        <v>285</v>
      </c>
      <c r="D178" t="s">
        <v>576</v>
      </c>
      <c r="E178" s="11" t="s">
        <v>1103</v>
      </c>
      <c r="F178" t="s">
        <v>280</v>
      </c>
      <c r="G178">
        <v>14</v>
      </c>
      <c r="H178" t="s">
        <v>1558</v>
      </c>
      <c r="I178" t="s">
        <v>1314</v>
      </c>
      <c r="J178" t="s">
        <v>1321</v>
      </c>
      <c r="K178">
        <v>4</v>
      </c>
    </row>
    <row r="179" spans="1:11" x14ac:dyDescent="0.25">
      <c r="A179">
        <v>151</v>
      </c>
      <c r="C179" t="s">
        <v>286</v>
      </c>
      <c r="D179" t="s">
        <v>577</v>
      </c>
      <c r="E179" s="11" t="s">
        <v>1104</v>
      </c>
      <c r="F179" t="s">
        <v>281</v>
      </c>
      <c r="G179">
        <v>14</v>
      </c>
      <c r="H179" t="s">
        <v>1558</v>
      </c>
      <c r="I179" t="s">
        <v>1314</v>
      </c>
      <c r="J179" t="s">
        <v>1321</v>
      </c>
      <c r="K179">
        <v>5</v>
      </c>
    </row>
    <row r="180" spans="1:11" x14ac:dyDescent="0.25">
      <c r="A180">
        <v>152</v>
      </c>
      <c r="C180" t="s">
        <v>287</v>
      </c>
      <c r="D180" t="s">
        <v>282</v>
      </c>
      <c r="E180" s="11" t="s">
        <v>1105</v>
      </c>
      <c r="F180" t="s">
        <v>282</v>
      </c>
      <c r="G180">
        <v>14</v>
      </c>
      <c r="H180" t="s">
        <v>1558</v>
      </c>
      <c r="I180" t="s">
        <v>1314</v>
      </c>
      <c r="J180" t="s">
        <v>1321</v>
      </c>
      <c r="K180">
        <v>6</v>
      </c>
    </row>
    <row r="181" spans="1:11" x14ac:dyDescent="0.25">
      <c r="A181">
        <v>153</v>
      </c>
      <c r="C181" t="s">
        <v>288</v>
      </c>
      <c r="D181" t="s">
        <v>578</v>
      </c>
      <c r="E181" s="11" t="s">
        <v>1106</v>
      </c>
      <c r="F181" t="s">
        <v>283</v>
      </c>
      <c r="G181">
        <v>14</v>
      </c>
      <c r="H181" t="s">
        <v>1558</v>
      </c>
      <c r="I181" t="s">
        <v>1314</v>
      </c>
      <c r="J181" t="s">
        <v>1321</v>
      </c>
      <c r="K181">
        <v>7</v>
      </c>
    </row>
    <row r="182" spans="1:11" x14ac:dyDescent="0.25">
      <c r="A182">
        <v>233</v>
      </c>
      <c r="C182" t="s">
        <v>1398</v>
      </c>
      <c r="D182" t="s">
        <v>579</v>
      </c>
      <c r="E182" s="11" t="s">
        <v>1184</v>
      </c>
      <c r="F182" t="s">
        <v>289</v>
      </c>
      <c r="G182">
        <v>15</v>
      </c>
      <c r="H182" t="s">
        <v>1570</v>
      </c>
      <c r="I182" t="s">
        <v>1316</v>
      </c>
      <c r="J182" t="s">
        <v>1330</v>
      </c>
      <c r="K182">
        <v>5</v>
      </c>
    </row>
    <row r="183" spans="1:11" x14ac:dyDescent="0.25">
      <c r="A183">
        <v>234</v>
      </c>
      <c r="C183" t="s">
        <v>1399</v>
      </c>
      <c r="D183" t="s">
        <v>741</v>
      </c>
      <c r="E183" s="11" t="s">
        <v>1185</v>
      </c>
      <c r="F183" t="s">
        <v>290</v>
      </c>
      <c r="G183">
        <v>15</v>
      </c>
      <c r="H183" t="s">
        <v>1570</v>
      </c>
      <c r="I183" t="s">
        <v>1316</v>
      </c>
      <c r="J183" t="s">
        <v>1330</v>
      </c>
      <c r="K183">
        <v>6</v>
      </c>
    </row>
    <row r="184" spans="1:11" x14ac:dyDescent="0.25">
      <c r="A184">
        <v>235</v>
      </c>
      <c r="C184" t="s">
        <v>1400</v>
      </c>
      <c r="D184" t="s">
        <v>742</v>
      </c>
      <c r="E184" s="11" t="s">
        <v>1186</v>
      </c>
      <c r="F184" t="s">
        <v>291</v>
      </c>
      <c r="G184">
        <v>15</v>
      </c>
      <c r="H184" t="s">
        <v>1570</v>
      </c>
      <c r="I184" t="s">
        <v>1316</v>
      </c>
      <c r="J184" t="s">
        <v>1330</v>
      </c>
      <c r="K184">
        <v>9</v>
      </c>
    </row>
    <row r="185" spans="1:11" x14ac:dyDescent="0.25">
      <c r="A185">
        <v>236</v>
      </c>
      <c r="C185" t="s">
        <v>1401</v>
      </c>
      <c r="D185" t="s">
        <v>743</v>
      </c>
      <c r="E185" s="11" t="s">
        <v>1187</v>
      </c>
      <c r="F185" t="s">
        <v>292</v>
      </c>
      <c r="G185">
        <v>15</v>
      </c>
      <c r="H185" t="s">
        <v>1570</v>
      </c>
      <c r="I185" t="s">
        <v>1316</v>
      </c>
      <c r="J185" t="s">
        <v>1330</v>
      </c>
      <c r="K185">
        <v>10</v>
      </c>
    </row>
    <row r="186" spans="1:11" x14ac:dyDescent="0.25">
      <c r="A186">
        <v>237</v>
      </c>
      <c r="C186" t="s">
        <v>1402</v>
      </c>
      <c r="D186" t="s">
        <v>580</v>
      </c>
      <c r="E186" s="11" t="s">
        <v>1188</v>
      </c>
      <c r="F186" t="s">
        <v>293</v>
      </c>
      <c r="G186">
        <v>15</v>
      </c>
      <c r="H186" t="s">
        <v>1570</v>
      </c>
      <c r="I186" t="s">
        <v>1316</v>
      </c>
      <c r="J186" t="s">
        <v>1330</v>
      </c>
      <c r="K186">
        <v>11</v>
      </c>
    </row>
    <row r="187" spans="1:11" x14ac:dyDescent="0.25">
      <c r="A187">
        <v>238</v>
      </c>
      <c r="C187" t="s">
        <v>1403</v>
      </c>
      <c r="D187" t="s">
        <v>744</v>
      </c>
      <c r="E187" s="11" t="s">
        <v>1189</v>
      </c>
      <c r="F187" t="s">
        <v>294</v>
      </c>
      <c r="G187">
        <v>15</v>
      </c>
      <c r="H187" t="s">
        <v>1570</v>
      </c>
      <c r="I187" t="s">
        <v>1316</v>
      </c>
      <c r="J187" t="s">
        <v>1330</v>
      </c>
      <c r="K187">
        <v>12</v>
      </c>
    </row>
    <row r="188" spans="1:11" x14ac:dyDescent="0.25">
      <c r="A188">
        <v>239</v>
      </c>
      <c r="C188" t="s">
        <v>1404</v>
      </c>
      <c r="D188" t="s">
        <v>745</v>
      </c>
      <c r="E188" s="11" t="s">
        <v>1190</v>
      </c>
      <c r="F188" t="s">
        <v>295</v>
      </c>
      <c r="G188">
        <v>15</v>
      </c>
      <c r="H188" t="s">
        <v>1570</v>
      </c>
      <c r="I188" t="s">
        <v>1316</v>
      </c>
      <c r="J188" t="s">
        <v>1330</v>
      </c>
      <c r="K188">
        <v>13</v>
      </c>
    </row>
    <row r="189" spans="1:11" x14ac:dyDescent="0.25">
      <c r="A189">
        <v>240</v>
      </c>
      <c r="C189" t="s">
        <v>1405</v>
      </c>
      <c r="D189" t="s">
        <v>746</v>
      </c>
      <c r="E189" s="11" t="s">
        <v>1191</v>
      </c>
      <c r="F189" t="s">
        <v>296</v>
      </c>
      <c r="G189">
        <v>15</v>
      </c>
      <c r="H189" t="s">
        <v>1570</v>
      </c>
      <c r="I189" t="s">
        <v>1316</v>
      </c>
      <c r="J189" t="s">
        <v>1330</v>
      </c>
      <c r="K189">
        <v>14</v>
      </c>
    </row>
    <row r="190" spans="1:11" x14ac:dyDescent="0.25">
      <c r="A190">
        <v>241</v>
      </c>
      <c r="C190" t="s">
        <v>1406</v>
      </c>
      <c r="D190" t="s">
        <v>747</v>
      </c>
      <c r="E190" s="11" t="s">
        <v>1192</v>
      </c>
      <c r="F190" t="s">
        <v>297</v>
      </c>
      <c r="G190">
        <v>15</v>
      </c>
      <c r="H190" t="s">
        <v>1570</v>
      </c>
      <c r="I190" t="s">
        <v>1316</v>
      </c>
      <c r="J190" t="s">
        <v>1330</v>
      </c>
      <c r="K190">
        <v>15</v>
      </c>
    </row>
    <row r="191" spans="1:11" x14ac:dyDescent="0.25">
      <c r="A191">
        <v>242</v>
      </c>
      <c r="C191" t="s">
        <v>299</v>
      </c>
      <c r="D191" t="s">
        <v>581</v>
      </c>
      <c r="E191" s="11" t="s">
        <v>1193</v>
      </c>
      <c r="F191" t="s">
        <v>298</v>
      </c>
      <c r="G191">
        <v>15</v>
      </c>
      <c r="H191" t="s">
        <v>1570</v>
      </c>
      <c r="I191" t="s">
        <v>1316</v>
      </c>
      <c r="J191" t="s">
        <v>1330</v>
      </c>
      <c r="K191">
        <v>16</v>
      </c>
    </row>
    <row r="192" spans="1:11" x14ac:dyDescent="0.25">
      <c r="A192">
        <v>58</v>
      </c>
      <c r="C192" t="s">
        <v>300</v>
      </c>
      <c r="D192" t="s">
        <v>582</v>
      </c>
      <c r="E192" s="11" t="s">
        <v>1011</v>
      </c>
      <c r="F192" t="s">
        <v>310</v>
      </c>
      <c r="G192">
        <v>16</v>
      </c>
      <c r="H192" t="s">
        <v>1576</v>
      </c>
      <c r="I192" t="s">
        <v>1318</v>
      </c>
      <c r="J192" t="s">
        <v>1339</v>
      </c>
      <c r="K192">
        <v>1</v>
      </c>
    </row>
    <row r="193" spans="1:11" x14ac:dyDescent="0.25">
      <c r="A193">
        <v>59</v>
      </c>
      <c r="C193" t="s">
        <v>1489</v>
      </c>
      <c r="D193" t="s">
        <v>583</v>
      </c>
      <c r="E193" s="11" t="s">
        <v>1012</v>
      </c>
      <c r="F193" t="s">
        <v>311</v>
      </c>
      <c r="G193">
        <v>16</v>
      </c>
      <c r="H193" t="s">
        <v>1576</v>
      </c>
      <c r="I193" t="s">
        <v>1318</v>
      </c>
      <c r="J193" t="s">
        <v>1339</v>
      </c>
      <c r="K193">
        <v>2</v>
      </c>
    </row>
    <row r="194" spans="1:11" x14ac:dyDescent="0.25">
      <c r="A194">
        <v>60</v>
      </c>
      <c r="C194" t="s">
        <v>1490</v>
      </c>
      <c r="D194" t="s">
        <v>584</v>
      </c>
      <c r="E194" s="11" t="s">
        <v>1013</v>
      </c>
      <c r="F194" t="s">
        <v>312</v>
      </c>
      <c r="G194">
        <v>16</v>
      </c>
      <c r="H194" t="s">
        <v>1576</v>
      </c>
      <c r="I194" t="s">
        <v>1318</v>
      </c>
      <c r="J194" t="s">
        <v>1339</v>
      </c>
      <c r="K194">
        <v>3</v>
      </c>
    </row>
    <row r="195" spans="1:11" x14ac:dyDescent="0.25">
      <c r="A195">
        <v>61</v>
      </c>
      <c r="C195" t="s">
        <v>1491</v>
      </c>
      <c r="D195" t="s">
        <v>586</v>
      </c>
      <c r="E195" s="11" t="s">
        <v>1014</v>
      </c>
      <c r="F195" t="s">
        <v>313</v>
      </c>
      <c r="G195">
        <v>16</v>
      </c>
      <c r="H195" t="s">
        <v>1576</v>
      </c>
      <c r="I195" t="s">
        <v>1318</v>
      </c>
      <c r="J195" t="s">
        <v>1339</v>
      </c>
      <c r="K195">
        <v>4</v>
      </c>
    </row>
    <row r="196" spans="1:11" x14ac:dyDescent="0.25">
      <c r="A196">
        <v>62</v>
      </c>
      <c r="C196" t="s">
        <v>1492</v>
      </c>
      <c r="D196" t="s">
        <v>587</v>
      </c>
      <c r="E196" s="11" t="s">
        <v>1015</v>
      </c>
      <c r="F196" t="s">
        <v>315</v>
      </c>
      <c r="G196">
        <v>16</v>
      </c>
      <c r="H196" t="s">
        <v>1576</v>
      </c>
      <c r="I196" t="s">
        <v>1318</v>
      </c>
      <c r="J196" t="s">
        <v>1339</v>
      </c>
      <c r="K196">
        <v>5</v>
      </c>
    </row>
    <row r="197" spans="1:11" x14ac:dyDescent="0.25">
      <c r="A197">
        <v>63</v>
      </c>
      <c r="C197" t="s">
        <v>1489</v>
      </c>
      <c r="D197" t="s">
        <v>585</v>
      </c>
      <c r="E197" s="11" t="s">
        <v>1016</v>
      </c>
      <c r="F197" t="s">
        <v>314</v>
      </c>
      <c r="G197">
        <v>16</v>
      </c>
      <c r="H197" t="s">
        <v>1576</v>
      </c>
      <c r="I197" t="s">
        <v>1318</v>
      </c>
      <c r="J197" t="s">
        <v>1339</v>
      </c>
      <c r="K197">
        <v>6</v>
      </c>
    </row>
    <row r="198" spans="1:11" x14ac:dyDescent="0.25">
      <c r="A198">
        <v>64</v>
      </c>
      <c r="C198" t="s">
        <v>1493</v>
      </c>
      <c r="D198" t="s">
        <v>588</v>
      </c>
      <c r="E198" s="11" t="s">
        <v>1017</v>
      </c>
      <c r="F198" t="s">
        <v>316</v>
      </c>
      <c r="G198">
        <v>16</v>
      </c>
      <c r="H198" t="s">
        <v>1576</v>
      </c>
      <c r="I198" t="s">
        <v>1318</v>
      </c>
      <c r="J198" t="s">
        <v>1339</v>
      </c>
      <c r="K198">
        <v>7</v>
      </c>
    </row>
    <row r="199" spans="1:11" x14ac:dyDescent="0.25">
      <c r="A199">
        <v>65</v>
      </c>
      <c r="C199" t="s">
        <v>301</v>
      </c>
      <c r="D199" t="s">
        <v>589</v>
      </c>
      <c r="E199" s="11" t="s">
        <v>1018</v>
      </c>
      <c r="F199" t="s">
        <v>303</v>
      </c>
      <c r="G199">
        <v>16</v>
      </c>
      <c r="H199" t="s">
        <v>1576</v>
      </c>
      <c r="I199" t="s">
        <v>1318</v>
      </c>
      <c r="J199" t="s">
        <v>1339</v>
      </c>
      <c r="K199">
        <v>8</v>
      </c>
    </row>
    <row r="200" spans="1:11" x14ac:dyDescent="0.25">
      <c r="A200">
        <v>66</v>
      </c>
      <c r="C200" t="s">
        <v>302</v>
      </c>
      <c r="D200" t="s">
        <v>590</v>
      </c>
      <c r="E200" s="11" t="s">
        <v>1019</v>
      </c>
      <c r="F200" t="s">
        <v>304</v>
      </c>
      <c r="G200">
        <v>16</v>
      </c>
      <c r="H200" t="s">
        <v>1576</v>
      </c>
      <c r="I200" t="s">
        <v>1318</v>
      </c>
      <c r="J200" t="s">
        <v>1339</v>
      </c>
      <c r="K200">
        <v>9</v>
      </c>
    </row>
    <row r="201" spans="1:11" x14ac:dyDescent="0.25">
      <c r="A201">
        <v>67</v>
      </c>
      <c r="C201" t="s">
        <v>1494</v>
      </c>
      <c r="D201" t="s">
        <v>591</v>
      </c>
      <c r="E201" s="11" t="s">
        <v>1020</v>
      </c>
      <c r="F201" t="s">
        <v>305</v>
      </c>
      <c r="G201">
        <v>16</v>
      </c>
      <c r="H201" t="s">
        <v>1576</v>
      </c>
      <c r="I201" t="s">
        <v>1318</v>
      </c>
      <c r="J201" t="s">
        <v>1339</v>
      </c>
      <c r="K201">
        <v>10</v>
      </c>
    </row>
    <row r="202" spans="1:11" x14ac:dyDescent="0.25">
      <c r="A202">
        <v>68</v>
      </c>
      <c r="C202" t="s">
        <v>1495</v>
      </c>
      <c r="D202" t="s">
        <v>306</v>
      </c>
      <c r="E202" s="11" t="s">
        <v>1021</v>
      </c>
      <c r="F202" t="s">
        <v>306</v>
      </c>
      <c r="G202">
        <v>16</v>
      </c>
      <c r="H202" t="s">
        <v>1576</v>
      </c>
      <c r="I202" t="s">
        <v>1318</v>
      </c>
      <c r="J202" t="s">
        <v>1339</v>
      </c>
      <c r="K202">
        <v>11</v>
      </c>
    </row>
    <row r="203" spans="1:11" x14ac:dyDescent="0.25">
      <c r="A203">
        <v>69</v>
      </c>
      <c r="C203" t="s">
        <v>1496</v>
      </c>
      <c r="D203" t="s">
        <v>592</v>
      </c>
      <c r="E203" s="11" t="s">
        <v>1022</v>
      </c>
      <c r="F203" t="s">
        <v>307</v>
      </c>
      <c r="G203">
        <v>16</v>
      </c>
      <c r="H203" t="s">
        <v>1576</v>
      </c>
      <c r="I203" t="s">
        <v>1318</v>
      </c>
      <c r="J203" t="s">
        <v>1339</v>
      </c>
      <c r="K203">
        <v>12</v>
      </c>
    </row>
    <row r="204" spans="1:11" x14ac:dyDescent="0.25">
      <c r="A204">
        <v>70</v>
      </c>
      <c r="C204" t="s">
        <v>302</v>
      </c>
      <c r="D204" t="s">
        <v>593</v>
      </c>
      <c r="E204" s="11" t="s">
        <v>1023</v>
      </c>
      <c r="F204" t="s">
        <v>308</v>
      </c>
      <c r="G204">
        <v>16</v>
      </c>
      <c r="H204" t="s">
        <v>1576</v>
      </c>
      <c r="I204" t="s">
        <v>1318</v>
      </c>
      <c r="J204" t="s">
        <v>1339</v>
      </c>
      <c r="K204">
        <v>13</v>
      </c>
    </row>
    <row r="205" spans="1:11" x14ac:dyDescent="0.25">
      <c r="A205">
        <v>71</v>
      </c>
      <c r="C205" t="s">
        <v>1497</v>
      </c>
      <c r="D205" t="s">
        <v>594</v>
      </c>
      <c r="E205" s="11" t="s">
        <v>1024</v>
      </c>
      <c r="F205" t="s">
        <v>309</v>
      </c>
      <c r="G205">
        <v>16</v>
      </c>
      <c r="H205" t="s">
        <v>1576</v>
      </c>
      <c r="I205" t="s">
        <v>1318</v>
      </c>
      <c r="J205" t="s">
        <v>1339</v>
      </c>
      <c r="K205">
        <v>14</v>
      </c>
    </row>
    <row r="206" spans="1:11" x14ac:dyDescent="0.25">
      <c r="A206">
        <v>72</v>
      </c>
      <c r="C206" t="s">
        <v>317</v>
      </c>
      <c r="D206" t="s">
        <v>318</v>
      </c>
      <c r="E206" s="11" t="s">
        <v>1025</v>
      </c>
      <c r="F206" t="s">
        <v>318</v>
      </c>
      <c r="G206">
        <v>16</v>
      </c>
      <c r="H206" t="s">
        <v>1576</v>
      </c>
      <c r="I206" t="s">
        <v>1318</v>
      </c>
      <c r="J206" t="s">
        <v>1339</v>
      </c>
      <c r="K206">
        <v>15</v>
      </c>
    </row>
    <row r="207" spans="1:11" x14ac:dyDescent="0.25">
      <c r="A207">
        <v>73</v>
      </c>
      <c r="C207" t="s">
        <v>1498</v>
      </c>
      <c r="D207" t="s">
        <v>595</v>
      </c>
      <c r="E207" s="11" t="s">
        <v>1026</v>
      </c>
      <c r="F207" t="s">
        <v>319</v>
      </c>
      <c r="G207">
        <v>16</v>
      </c>
      <c r="H207" t="s">
        <v>1576</v>
      </c>
      <c r="I207" t="s">
        <v>1318</v>
      </c>
      <c r="J207" t="s">
        <v>1339</v>
      </c>
      <c r="K207">
        <v>16</v>
      </c>
    </row>
    <row r="208" spans="1:11" x14ac:dyDescent="0.25">
      <c r="A208">
        <v>74</v>
      </c>
      <c r="C208" t="s">
        <v>1499</v>
      </c>
      <c r="D208" t="s">
        <v>320</v>
      </c>
      <c r="E208" s="11" t="s">
        <v>1027</v>
      </c>
      <c r="F208" t="s">
        <v>320</v>
      </c>
      <c r="G208">
        <v>16</v>
      </c>
      <c r="H208" t="s">
        <v>1576</v>
      </c>
      <c r="I208" t="s">
        <v>1318</v>
      </c>
      <c r="J208" t="s">
        <v>1339</v>
      </c>
      <c r="K208">
        <v>17</v>
      </c>
    </row>
    <row r="209" spans="1:11" x14ac:dyDescent="0.25">
      <c r="A209">
        <v>75</v>
      </c>
      <c r="C209" t="s">
        <v>1500</v>
      </c>
      <c r="D209" t="s">
        <v>321</v>
      </c>
      <c r="E209" s="11" t="s">
        <v>1028</v>
      </c>
      <c r="F209" t="s">
        <v>321</v>
      </c>
      <c r="G209">
        <v>16</v>
      </c>
      <c r="H209" t="s">
        <v>1576</v>
      </c>
      <c r="I209" t="s">
        <v>1318</v>
      </c>
      <c r="J209" t="s">
        <v>1339</v>
      </c>
      <c r="K209">
        <v>18</v>
      </c>
    </row>
    <row r="210" spans="1:11" x14ac:dyDescent="0.25">
      <c r="A210">
        <v>76</v>
      </c>
      <c r="C210" t="s">
        <v>1501</v>
      </c>
      <c r="D210" t="s">
        <v>596</v>
      </c>
      <c r="E210" s="11" t="s">
        <v>1029</v>
      </c>
      <c r="F210" t="s">
        <v>322</v>
      </c>
      <c r="G210">
        <v>16</v>
      </c>
      <c r="H210" t="s">
        <v>1576</v>
      </c>
      <c r="I210" t="s">
        <v>1318</v>
      </c>
      <c r="J210" t="s">
        <v>1339</v>
      </c>
      <c r="K210">
        <v>19</v>
      </c>
    </row>
    <row r="211" spans="1:11" x14ac:dyDescent="0.25">
      <c r="A211">
        <v>77</v>
      </c>
      <c r="C211" t="s">
        <v>1498</v>
      </c>
      <c r="D211" t="s">
        <v>323</v>
      </c>
      <c r="E211" s="11" t="s">
        <v>1030</v>
      </c>
      <c r="F211" t="s">
        <v>323</v>
      </c>
      <c r="G211">
        <v>16</v>
      </c>
      <c r="H211" t="s">
        <v>1576</v>
      </c>
      <c r="I211" t="s">
        <v>1318</v>
      </c>
      <c r="J211" t="s">
        <v>1339</v>
      </c>
      <c r="K211">
        <v>20</v>
      </c>
    </row>
    <row r="212" spans="1:11" x14ac:dyDescent="0.25">
      <c r="A212">
        <v>78</v>
      </c>
      <c r="C212" t="s">
        <v>1502</v>
      </c>
      <c r="D212" t="s">
        <v>324</v>
      </c>
      <c r="E212" s="11" t="s">
        <v>1031</v>
      </c>
      <c r="F212" t="s">
        <v>324</v>
      </c>
      <c r="G212">
        <v>16</v>
      </c>
      <c r="H212" t="s">
        <v>1576</v>
      </c>
      <c r="I212" t="s">
        <v>1318</v>
      </c>
      <c r="J212" t="s">
        <v>1339</v>
      </c>
      <c r="K212">
        <v>21</v>
      </c>
    </row>
    <row r="213" spans="1:11" x14ac:dyDescent="0.25">
      <c r="A213">
        <v>79</v>
      </c>
      <c r="C213" t="s">
        <v>325</v>
      </c>
      <c r="D213" t="s">
        <v>597</v>
      </c>
      <c r="E213" s="11" t="s">
        <v>1032</v>
      </c>
      <c r="F213" t="s">
        <v>326</v>
      </c>
      <c r="G213">
        <v>16</v>
      </c>
      <c r="H213" t="s">
        <v>1576</v>
      </c>
      <c r="I213" t="s">
        <v>1318</v>
      </c>
      <c r="J213" t="s">
        <v>1339</v>
      </c>
      <c r="K213">
        <v>22</v>
      </c>
    </row>
    <row r="214" spans="1:11" x14ac:dyDescent="0.25">
      <c r="A214">
        <v>80</v>
      </c>
      <c r="C214" t="s">
        <v>1503</v>
      </c>
      <c r="D214" t="s">
        <v>598</v>
      </c>
      <c r="E214" s="11" t="s">
        <v>1033</v>
      </c>
      <c r="F214" t="s">
        <v>327</v>
      </c>
      <c r="G214">
        <v>16</v>
      </c>
      <c r="H214" t="s">
        <v>1576</v>
      </c>
      <c r="I214" t="s">
        <v>1318</v>
      </c>
      <c r="J214" t="s">
        <v>1339</v>
      </c>
      <c r="K214">
        <v>23</v>
      </c>
    </row>
    <row r="215" spans="1:11" x14ac:dyDescent="0.25">
      <c r="A215">
        <v>81</v>
      </c>
      <c r="C215" t="s">
        <v>1504</v>
      </c>
      <c r="D215" t="s">
        <v>599</v>
      </c>
      <c r="E215" s="11" t="s">
        <v>1034</v>
      </c>
      <c r="F215" t="s">
        <v>328</v>
      </c>
      <c r="G215">
        <v>16</v>
      </c>
      <c r="H215" t="s">
        <v>1576</v>
      </c>
      <c r="I215" t="s">
        <v>1318</v>
      </c>
      <c r="J215" t="s">
        <v>1339</v>
      </c>
      <c r="K215">
        <v>24</v>
      </c>
    </row>
    <row r="216" spans="1:11" x14ac:dyDescent="0.25">
      <c r="A216">
        <v>82</v>
      </c>
      <c r="C216" t="s">
        <v>1505</v>
      </c>
      <c r="D216" t="s">
        <v>600</v>
      </c>
      <c r="E216" s="11" t="s">
        <v>1035</v>
      </c>
      <c r="F216" t="s">
        <v>329</v>
      </c>
      <c r="G216">
        <v>16</v>
      </c>
      <c r="H216" t="s">
        <v>1576</v>
      </c>
      <c r="I216" t="s">
        <v>1318</v>
      </c>
      <c r="J216" t="s">
        <v>1339</v>
      </c>
      <c r="K216">
        <v>25</v>
      </c>
    </row>
    <row r="217" spans="1:11" x14ac:dyDescent="0.25">
      <c r="A217">
        <v>83</v>
      </c>
      <c r="C217" t="s">
        <v>1506</v>
      </c>
      <c r="D217" t="s">
        <v>601</v>
      </c>
      <c r="E217" s="11" t="s">
        <v>1036</v>
      </c>
      <c r="F217" t="s">
        <v>330</v>
      </c>
      <c r="G217">
        <v>16</v>
      </c>
      <c r="H217" t="s">
        <v>1576</v>
      </c>
      <c r="I217" t="s">
        <v>1318</v>
      </c>
      <c r="J217" t="s">
        <v>1339</v>
      </c>
      <c r="K217">
        <v>26</v>
      </c>
    </row>
    <row r="218" spans="1:11" x14ac:dyDescent="0.25">
      <c r="A218">
        <v>84</v>
      </c>
      <c r="C218" t="s">
        <v>1503</v>
      </c>
      <c r="D218" t="s">
        <v>602</v>
      </c>
      <c r="E218" s="11" t="s">
        <v>1037</v>
      </c>
      <c r="F218" t="s">
        <v>331</v>
      </c>
      <c r="G218">
        <v>16</v>
      </c>
      <c r="H218" t="s">
        <v>1576</v>
      </c>
      <c r="I218" t="s">
        <v>1318</v>
      </c>
      <c r="J218" t="s">
        <v>1339</v>
      </c>
      <c r="K218">
        <v>27</v>
      </c>
    </row>
    <row r="219" spans="1:11" x14ac:dyDescent="0.25">
      <c r="A219">
        <v>85</v>
      </c>
      <c r="C219" t="s">
        <v>1507</v>
      </c>
      <c r="D219" t="s">
        <v>603</v>
      </c>
      <c r="E219" s="11" t="s">
        <v>1038</v>
      </c>
      <c r="F219" t="s">
        <v>332</v>
      </c>
      <c r="G219">
        <v>16</v>
      </c>
      <c r="H219" t="s">
        <v>1576</v>
      </c>
      <c r="I219" t="s">
        <v>1318</v>
      </c>
      <c r="J219" t="s">
        <v>1339</v>
      </c>
      <c r="K219">
        <v>28</v>
      </c>
    </row>
    <row r="220" spans="1:11" x14ac:dyDescent="0.25">
      <c r="A220">
        <v>86</v>
      </c>
      <c r="C220" t="s">
        <v>1548</v>
      </c>
      <c r="D220" t="s">
        <v>604</v>
      </c>
      <c r="E220" s="11" t="s">
        <v>1039</v>
      </c>
      <c r="F220" t="s">
        <v>333</v>
      </c>
      <c r="G220">
        <v>17</v>
      </c>
      <c r="H220" t="s">
        <v>1572</v>
      </c>
      <c r="I220" t="s">
        <v>1316</v>
      </c>
      <c r="J220" t="s">
        <v>1332</v>
      </c>
      <c r="K220">
        <v>11</v>
      </c>
    </row>
    <row r="221" spans="1:11" x14ac:dyDescent="0.25">
      <c r="A221">
        <v>87</v>
      </c>
      <c r="C221" t="s">
        <v>1408</v>
      </c>
      <c r="D221" t="s">
        <v>605</v>
      </c>
      <c r="E221" s="11" t="s">
        <v>1040</v>
      </c>
      <c r="F221" t="s">
        <v>334</v>
      </c>
      <c r="G221">
        <v>17</v>
      </c>
      <c r="H221" t="s">
        <v>1572</v>
      </c>
      <c r="I221" t="s">
        <v>1316</v>
      </c>
      <c r="J221" t="s">
        <v>1332</v>
      </c>
      <c r="K221">
        <v>12</v>
      </c>
    </row>
    <row r="222" spans="1:11" x14ac:dyDescent="0.25">
      <c r="A222">
        <v>88</v>
      </c>
      <c r="C222" t="s">
        <v>335</v>
      </c>
      <c r="D222" t="s">
        <v>606</v>
      </c>
      <c r="E222" s="11" t="s">
        <v>1041</v>
      </c>
      <c r="F222" t="s">
        <v>336</v>
      </c>
      <c r="G222">
        <v>18</v>
      </c>
      <c r="H222" t="s">
        <v>1575</v>
      </c>
      <c r="I222" t="s">
        <v>1318</v>
      </c>
      <c r="J222" t="s">
        <v>1337</v>
      </c>
      <c r="K222">
        <v>1</v>
      </c>
    </row>
    <row r="223" spans="1:11" x14ac:dyDescent="0.25">
      <c r="A223">
        <v>89</v>
      </c>
      <c r="C223" t="s">
        <v>1459</v>
      </c>
      <c r="D223" t="s">
        <v>607</v>
      </c>
      <c r="E223" s="11" t="s">
        <v>1042</v>
      </c>
      <c r="F223" t="s">
        <v>350</v>
      </c>
      <c r="G223">
        <v>18</v>
      </c>
      <c r="H223" t="s">
        <v>1575</v>
      </c>
      <c r="I223" t="s">
        <v>1318</v>
      </c>
      <c r="J223" t="s">
        <v>1337</v>
      </c>
      <c r="K223">
        <v>2</v>
      </c>
    </row>
    <row r="224" spans="1:11" x14ac:dyDescent="0.25">
      <c r="A224">
        <v>90</v>
      </c>
      <c r="C224" t="s">
        <v>1460</v>
      </c>
      <c r="D224" t="s">
        <v>723</v>
      </c>
      <c r="E224" s="11" t="s">
        <v>1043</v>
      </c>
      <c r="F224" t="s">
        <v>337</v>
      </c>
      <c r="G224">
        <v>18</v>
      </c>
      <c r="H224" t="s">
        <v>1575</v>
      </c>
      <c r="I224" t="s">
        <v>1318</v>
      </c>
      <c r="J224" t="s">
        <v>1337</v>
      </c>
      <c r="K224">
        <v>3</v>
      </c>
    </row>
    <row r="225" spans="1:11" x14ac:dyDescent="0.25">
      <c r="A225">
        <v>91</v>
      </c>
      <c r="C225" t="s">
        <v>1461</v>
      </c>
      <c r="D225" t="s">
        <v>608</v>
      </c>
      <c r="E225" s="11" t="s">
        <v>1044</v>
      </c>
      <c r="F225" t="s">
        <v>338</v>
      </c>
      <c r="G225">
        <v>18</v>
      </c>
      <c r="H225" t="s">
        <v>1575</v>
      </c>
      <c r="I225" t="s">
        <v>1318</v>
      </c>
      <c r="J225" t="s">
        <v>1337</v>
      </c>
      <c r="K225">
        <v>4</v>
      </c>
    </row>
    <row r="226" spans="1:11" x14ac:dyDescent="0.25">
      <c r="A226">
        <v>92</v>
      </c>
      <c r="C226" t="s">
        <v>1462</v>
      </c>
      <c r="D226" t="s">
        <v>609</v>
      </c>
      <c r="E226" s="11" t="s">
        <v>1045</v>
      </c>
      <c r="F226" t="s">
        <v>339</v>
      </c>
      <c r="G226">
        <v>18</v>
      </c>
      <c r="H226" t="s">
        <v>1575</v>
      </c>
      <c r="I226" t="s">
        <v>1318</v>
      </c>
      <c r="J226" t="s">
        <v>1337</v>
      </c>
      <c r="K226">
        <v>5</v>
      </c>
    </row>
    <row r="227" spans="1:11" x14ac:dyDescent="0.25">
      <c r="A227">
        <v>93</v>
      </c>
      <c r="C227" t="s">
        <v>1459</v>
      </c>
      <c r="D227" t="s">
        <v>610</v>
      </c>
      <c r="E227" s="11" t="s">
        <v>1046</v>
      </c>
      <c r="F227" t="s">
        <v>340</v>
      </c>
      <c r="G227">
        <v>18</v>
      </c>
      <c r="H227" t="s">
        <v>1575</v>
      </c>
      <c r="I227" t="s">
        <v>1318</v>
      </c>
      <c r="J227" t="s">
        <v>1337</v>
      </c>
      <c r="K227">
        <v>6</v>
      </c>
    </row>
    <row r="228" spans="1:11" x14ac:dyDescent="0.25">
      <c r="A228">
        <v>94</v>
      </c>
      <c r="C228" t="s">
        <v>1463</v>
      </c>
      <c r="D228" t="s">
        <v>611</v>
      </c>
      <c r="E228" s="11" t="s">
        <v>1047</v>
      </c>
      <c r="F228" t="s">
        <v>341</v>
      </c>
      <c r="G228">
        <v>18</v>
      </c>
      <c r="H228" t="s">
        <v>1575</v>
      </c>
      <c r="I228" t="s">
        <v>1318</v>
      </c>
      <c r="J228" t="s">
        <v>1337</v>
      </c>
      <c r="K228">
        <v>7</v>
      </c>
    </row>
    <row r="229" spans="1:11" x14ac:dyDescent="0.25">
      <c r="A229">
        <v>95</v>
      </c>
      <c r="C229" t="s">
        <v>342</v>
      </c>
      <c r="D229" t="s">
        <v>612</v>
      </c>
      <c r="E229" s="11" t="s">
        <v>1048</v>
      </c>
      <c r="F229" t="s">
        <v>343</v>
      </c>
      <c r="G229">
        <v>18</v>
      </c>
      <c r="H229" t="s">
        <v>1575</v>
      </c>
      <c r="I229" t="s">
        <v>1318</v>
      </c>
      <c r="J229" t="s">
        <v>1337</v>
      </c>
      <c r="K229">
        <v>8</v>
      </c>
    </row>
    <row r="230" spans="1:11" x14ac:dyDescent="0.25">
      <c r="A230">
        <v>96</v>
      </c>
      <c r="C230" t="s">
        <v>1464</v>
      </c>
      <c r="D230" t="s">
        <v>613</v>
      </c>
      <c r="E230" s="11" t="s">
        <v>1049</v>
      </c>
      <c r="F230" t="s">
        <v>344</v>
      </c>
      <c r="G230">
        <v>18</v>
      </c>
      <c r="H230" t="s">
        <v>1575</v>
      </c>
      <c r="I230" t="s">
        <v>1318</v>
      </c>
      <c r="J230" t="s">
        <v>1337</v>
      </c>
      <c r="K230">
        <v>9</v>
      </c>
    </row>
    <row r="231" spans="1:11" x14ac:dyDescent="0.25">
      <c r="A231">
        <v>97</v>
      </c>
      <c r="C231" t="s">
        <v>1465</v>
      </c>
      <c r="D231" t="s">
        <v>614</v>
      </c>
      <c r="E231" s="11" t="s">
        <v>1050</v>
      </c>
      <c r="F231" t="s">
        <v>345</v>
      </c>
      <c r="G231">
        <v>18</v>
      </c>
      <c r="H231" t="s">
        <v>1575</v>
      </c>
      <c r="I231" t="s">
        <v>1318</v>
      </c>
      <c r="J231" t="s">
        <v>1337</v>
      </c>
      <c r="K231">
        <v>10</v>
      </c>
    </row>
    <row r="232" spans="1:11" x14ac:dyDescent="0.25">
      <c r="A232">
        <v>98</v>
      </c>
      <c r="C232" t="s">
        <v>1466</v>
      </c>
      <c r="D232" t="s">
        <v>615</v>
      </c>
      <c r="E232" s="11" t="s">
        <v>1051</v>
      </c>
      <c r="F232" t="s">
        <v>346</v>
      </c>
      <c r="G232">
        <v>18</v>
      </c>
      <c r="H232" t="s">
        <v>1575</v>
      </c>
      <c r="I232" t="s">
        <v>1318</v>
      </c>
      <c r="J232" t="s">
        <v>1337</v>
      </c>
      <c r="K232">
        <v>11</v>
      </c>
    </row>
    <row r="233" spans="1:11" x14ac:dyDescent="0.25">
      <c r="A233">
        <v>99</v>
      </c>
      <c r="C233" t="s">
        <v>1467</v>
      </c>
      <c r="D233" t="s">
        <v>616</v>
      </c>
      <c r="E233" s="11" t="s">
        <v>1052</v>
      </c>
      <c r="F233" t="s">
        <v>347</v>
      </c>
      <c r="G233">
        <v>18</v>
      </c>
      <c r="H233" t="s">
        <v>1575</v>
      </c>
      <c r="I233" t="s">
        <v>1318</v>
      </c>
      <c r="J233" t="s">
        <v>1337</v>
      </c>
      <c r="K233">
        <v>12</v>
      </c>
    </row>
    <row r="234" spans="1:11" x14ac:dyDescent="0.25">
      <c r="A234">
        <v>100</v>
      </c>
      <c r="C234" t="s">
        <v>1464</v>
      </c>
      <c r="D234" t="s">
        <v>617</v>
      </c>
      <c r="E234" s="11" t="s">
        <v>1053</v>
      </c>
      <c r="F234" t="s">
        <v>348</v>
      </c>
      <c r="G234">
        <v>18</v>
      </c>
      <c r="H234" t="s">
        <v>1575</v>
      </c>
      <c r="I234" t="s">
        <v>1318</v>
      </c>
      <c r="J234" t="s">
        <v>1337</v>
      </c>
      <c r="K234">
        <v>13</v>
      </c>
    </row>
    <row r="235" spans="1:11" x14ac:dyDescent="0.25">
      <c r="A235">
        <v>101</v>
      </c>
      <c r="C235" t="s">
        <v>1468</v>
      </c>
      <c r="D235" t="s">
        <v>618</v>
      </c>
      <c r="E235" s="11" t="s">
        <v>1054</v>
      </c>
      <c r="F235" t="s">
        <v>349</v>
      </c>
      <c r="G235">
        <v>18</v>
      </c>
      <c r="H235" t="s">
        <v>1575</v>
      </c>
      <c r="I235" t="s">
        <v>1318</v>
      </c>
      <c r="J235" t="s">
        <v>1337</v>
      </c>
      <c r="K235">
        <v>14</v>
      </c>
    </row>
    <row r="236" spans="1:11" x14ac:dyDescent="0.25">
      <c r="A236">
        <v>102</v>
      </c>
      <c r="C236" t="s">
        <v>351</v>
      </c>
      <c r="D236" t="s">
        <v>619</v>
      </c>
      <c r="E236" s="11" t="s">
        <v>1055</v>
      </c>
      <c r="F236" t="s">
        <v>352</v>
      </c>
      <c r="G236">
        <v>18</v>
      </c>
      <c r="H236" t="s">
        <v>1575</v>
      </c>
      <c r="I236" t="s">
        <v>1318</v>
      </c>
      <c r="J236" t="s">
        <v>1337</v>
      </c>
      <c r="K236">
        <v>15</v>
      </c>
    </row>
    <row r="237" spans="1:11" x14ac:dyDescent="0.25">
      <c r="A237">
        <v>103</v>
      </c>
      <c r="C237" t="s">
        <v>1469</v>
      </c>
      <c r="D237" t="s">
        <v>620</v>
      </c>
      <c r="E237" s="11" t="s">
        <v>1056</v>
      </c>
      <c r="F237" t="s">
        <v>353</v>
      </c>
      <c r="G237">
        <v>18</v>
      </c>
      <c r="H237" t="s">
        <v>1575</v>
      </c>
      <c r="I237" t="s">
        <v>1318</v>
      </c>
      <c r="J237" t="s">
        <v>1337</v>
      </c>
      <c r="K237">
        <v>16</v>
      </c>
    </row>
    <row r="238" spans="1:11" x14ac:dyDescent="0.25">
      <c r="A238">
        <v>104</v>
      </c>
      <c r="C238" t="s">
        <v>1470</v>
      </c>
      <c r="D238" t="s">
        <v>621</v>
      </c>
      <c r="E238" s="11" t="s">
        <v>1057</v>
      </c>
      <c r="F238" t="s">
        <v>354</v>
      </c>
      <c r="G238">
        <v>18</v>
      </c>
      <c r="H238" t="s">
        <v>1575</v>
      </c>
      <c r="I238" t="s">
        <v>1318</v>
      </c>
      <c r="J238" t="s">
        <v>1337</v>
      </c>
      <c r="K238">
        <v>17</v>
      </c>
    </row>
    <row r="239" spans="1:11" x14ac:dyDescent="0.25">
      <c r="A239">
        <v>105</v>
      </c>
      <c r="C239" t="s">
        <v>1471</v>
      </c>
      <c r="D239" t="s">
        <v>622</v>
      </c>
      <c r="E239" s="11" t="s">
        <v>1058</v>
      </c>
      <c r="F239" t="s">
        <v>355</v>
      </c>
      <c r="G239">
        <v>18</v>
      </c>
      <c r="H239" t="s">
        <v>1575</v>
      </c>
      <c r="I239" t="s">
        <v>1318</v>
      </c>
      <c r="J239" t="s">
        <v>1337</v>
      </c>
      <c r="K239">
        <v>18</v>
      </c>
    </row>
    <row r="240" spans="1:11" x14ac:dyDescent="0.25">
      <c r="A240">
        <v>106</v>
      </c>
      <c r="C240" t="s">
        <v>1472</v>
      </c>
      <c r="D240" t="s">
        <v>623</v>
      </c>
      <c r="E240" s="11" t="s">
        <v>1059</v>
      </c>
      <c r="F240" t="s">
        <v>356</v>
      </c>
      <c r="G240">
        <v>18</v>
      </c>
      <c r="H240" t="s">
        <v>1575</v>
      </c>
      <c r="I240" t="s">
        <v>1318</v>
      </c>
      <c r="J240" t="s">
        <v>1337</v>
      </c>
      <c r="K240">
        <v>19</v>
      </c>
    </row>
    <row r="241" spans="1:11" x14ac:dyDescent="0.25">
      <c r="A241">
        <v>107</v>
      </c>
      <c r="C241" t="s">
        <v>1469</v>
      </c>
      <c r="D241" t="s">
        <v>624</v>
      </c>
      <c r="E241" s="11" t="s">
        <v>1060</v>
      </c>
      <c r="F241" t="s">
        <v>357</v>
      </c>
      <c r="G241">
        <v>18</v>
      </c>
      <c r="H241" t="s">
        <v>1575</v>
      </c>
      <c r="I241" t="s">
        <v>1318</v>
      </c>
      <c r="J241" t="s">
        <v>1337</v>
      </c>
      <c r="K241">
        <v>20</v>
      </c>
    </row>
    <row r="242" spans="1:11" x14ac:dyDescent="0.25">
      <c r="A242">
        <v>108</v>
      </c>
      <c r="C242" t="s">
        <v>1473</v>
      </c>
      <c r="D242" t="s">
        <v>625</v>
      </c>
      <c r="E242" s="11" t="s">
        <v>1061</v>
      </c>
      <c r="F242" t="s">
        <v>358</v>
      </c>
      <c r="G242">
        <v>18</v>
      </c>
      <c r="H242" t="s">
        <v>1575</v>
      </c>
      <c r="I242" t="s">
        <v>1318</v>
      </c>
      <c r="J242" t="s">
        <v>1337</v>
      </c>
      <c r="K242">
        <v>21</v>
      </c>
    </row>
    <row r="243" spans="1:11" x14ac:dyDescent="0.25">
      <c r="A243">
        <v>109</v>
      </c>
      <c r="C243" t="s">
        <v>365</v>
      </c>
      <c r="D243" t="s">
        <v>626</v>
      </c>
      <c r="E243" s="11" t="s">
        <v>1062</v>
      </c>
      <c r="F243" t="s">
        <v>369</v>
      </c>
      <c r="G243">
        <v>19</v>
      </c>
      <c r="H243" t="s">
        <v>1559</v>
      </c>
      <c r="I243" t="s">
        <v>1318</v>
      </c>
      <c r="J243" t="s">
        <v>1340</v>
      </c>
      <c r="K243">
        <v>1</v>
      </c>
    </row>
    <row r="244" spans="1:11" x14ac:dyDescent="0.25">
      <c r="A244">
        <v>110</v>
      </c>
      <c r="C244" t="s">
        <v>1508</v>
      </c>
      <c r="D244" t="s">
        <v>627</v>
      </c>
      <c r="E244" s="11" t="s">
        <v>1063</v>
      </c>
      <c r="F244" t="s">
        <v>366</v>
      </c>
      <c r="G244">
        <v>19</v>
      </c>
      <c r="H244" t="s">
        <v>1559</v>
      </c>
      <c r="I244" t="s">
        <v>1318</v>
      </c>
      <c r="J244" t="s">
        <v>1340</v>
      </c>
      <c r="K244">
        <v>2</v>
      </c>
    </row>
    <row r="245" spans="1:11" x14ac:dyDescent="0.25">
      <c r="A245">
        <v>111</v>
      </c>
      <c r="C245" t="s">
        <v>1509</v>
      </c>
      <c r="D245" t="s">
        <v>628</v>
      </c>
      <c r="E245" s="11" t="s">
        <v>1064</v>
      </c>
      <c r="F245" t="s">
        <v>370</v>
      </c>
      <c r="G245">
        <v>19</v>
      </c>
      <c r="H245" t="s">
        <v>1559</v>
      </c>
      <c r="I245" t="s">
        <v>1318</v>
      </c>
      <c r="J245" t="s">
        <v>1340</v>
      </c>
      <c r="K245">
        <v>3</v>
      </c>
    </row>
    <row r="246" spans="1:11" x14ac:dyDescent="0.25">
      <c r="A246">
        <v>112</v>
      </c>
      <c r="C246" t="s">
        <v>1510</v>
      </c>
      <c r="D246" t="s">
        <v>629</v>
      </c>
      <c r="E246" s="11" t="s">
        <v>1065</v>
      </c>
      <c r="F246" t="s">
        <v>371</v>
      </c>
      <c r="G246">
        <v>19</v>
      </c>
      <c r="H246" t="s">
        <v>1559</v>
      </c>
      <c r="I246" t="s">
        <v>1318</v>
      </c>
      <c r="J246" t="s">
        <v>1340</v>
      </c>
      <c r="K246">
        <v>4</v>
      </c>
    </row>
    <row r="247" spans="1:11" x14ac:dyDescent="0.25">
      <c r="A247">
        <v>113</v>
      </c>
      <c r="C247" t="s">
        <v>1511</v>
      </c>
      <c r="D247" t="s">
        <v>630</v>
      </c>
      <c r="E247" s="11" t="s">
        <v>1066</v>
      </c>
      <c r="F247" t="s">
        <v>372</v>
      </c>
      <c r="G247">
        <v>19</v>
      </c>
      <c r="H247" t="s">
        <v>1559</v>
      </c>
      <c r="I247" t="s">
        <v>1318</v>
      </c>
      <c r="J247" t="s">
        <v>1340</v>
      </c>
      <c r="K247">
        <v>5</v>
      </c>
    </row>
    <row r="248" spans="1:11" x14ac:dyDescent="0.25">
      <c r="A248">
        <v>114</v>
      </c>
      <c r="C248" t="s">
        <v>1508</v>
      </c>
      <c r="D248" t="s">
        <v>367</v>
      </c>
      <c r="E248" s="11" t="s">
        <v>1067</v>
      </c>
      <c r="F248" t="s">
        <v>367</v>
      </c>
      <c r="G248">
        <v>19</v>
      </c>
      <c r="H248" t="s">
        <v>1559</v>
      </c>
      <c r="I248" t="s">
        <v>1318</v>
      </c>
      <c r="J248" t="s">
        <v>1340</v>
      </c>
      <c r="K248">
        <v>6</v>
      </c>
    </row>
    <row r="249" spans="1:11" x14ac:dyDescent="0.25">
      <c r="A249">
        <v>115</v>
      </c>
      <c r="C249" t="s">
        <v>1512</v>
      </c>
      <c r="D249" t="s">
        <v>368</v>
      </c>
      <c r="E249" s="11" t="s">
        <v>1068</v>
      </c>
      <c r="F249" t="s">
        <v>368</v>
      </c>
      <c r="G249">
        <v>19</v>
      </c>
      <c r="H249" t="s">
        <v>1559</v>
      </c>
      <c r="I249" t="s">
        <v>1318</v>
      </c>
      <c r="J249" t="s">
        <v>1340</v>
      </c>
      <c r="K249">
        <v>7</v>
      </c>
    </row>
    <row r="250" spans="1:11" x14ac:dyDescent="0.25">
      <c r="A250">
        <v>116</v>
      </c>
      <c r="C250" t="s">
        <v>373</v>
      </c>
      <c r="D250" t="s">
        <v>374</v>
      </c>
      <c r="E250" s="11" t="s">
        <v>1069</v>
      </c>
      <c r="F250" t="s">
        <v>374</v>
      </c>
      <c r="G250">
        <v>19</v>
      </c>
      <c r="H250" t="s">
        <v>1559</v>
      </c>
      <c r="I250" t="s">
        <v>1318</v>
      </c>
      <c r="J250" t="s">
        <v>1340</v>
      </c>
      <c r="K250">
        <v>8</v>
      </c>
    </row>
    <row r="251" spans="1:11" x14ac:dyDescent="0.25">
      <c r="A251">
        <v>117</v>
      </c>
      <c r="C251" t="s">
        <v>1513</v>
      </c>
      <c r="D251" t="s">
        <v>631</v>
      </c>
      <c r="E251" s="11" t="s">
        <v>1070</v>
      </c>
      <c r="F251" t="s">
        <v>375</v>
      </c>
      <c r="G251">
        <v>19</v>
      </c>
      <c r="H251" t="s">
        <v>1559</v>
      </c>
      <c r="I251" t="s">
        <v>1318</v>
      </c>
      <c r="J251" t="s">
        <v>1340</v>
      </c>
      <c r="K251">
        <v>9</v>
      </c>
    </row>
    <row r="252" spans="1:11" x14ac:dyDescent="0.25">
      <c r="A252">
        <v>118</v>
      </c>
      <c r="C252" t="s">
        <v>1514</v>
      </c>
      <c r="D252" t="s">
        <v>376</v>
      </c>
      <c r="E252" s="11" t="s">
        <v>1071</v>
      </c>
      <c r="F252" t="s">
        <v>376</v>
      </c>
      <c r="G252">
        <v>19</v>
      </c>
      <c r="H252" t="s">
        <v>1559</v>
      </c>
      <c r="I252" t="s">
        <v>1318</v>
      </c>
      <c r="J252" t="s">
        <v>1340</v>
      </c>
      <c r="K252">
        <v>10</v>
      </c>
    </row>
    <row r="253" spans="1:11" x14ac:dyDescent="0.25">
      <c r="A253">
        <v>119</v>
      </c>
      <c r="C253" t="s">
        <v>1515</v>
      </c>
      <c r="D253" t="s">
        <v>377</v>
      </c>
      <c r="E253" s="11" t="s">
        <v>1072</v>
      </c>
      <c r="F253" t="s">
        <v>377</v>
      </c>
      <c r="G253">
        <v>19</v>
      </c>
      <c r="H253" t="s">
        <v>1559</v>
      </c>
      <c r="I253" t="s">
        <v>1318</v>
      </c>
      <c r="J253" t="s">
        <v>1340</v>
      </c>
      <c r="K253">
        <v>11</v>
      </c>
    </row>
    <row r="254" spans="1:11" x14ac:dyDescent="0.25">
      <c r="A254">
        <v>120</v>
      </c>
      <c r="C254" t="s">
        <v>1516</v>
      </c>
      <c r="D254" t="s">
        <v>632</v>
      </c>
      <c r="E254" s="11" t="s">
        <v>1073</v>
      </c>
      <c r="F254" t="s">
        <v>378</v>
      </c>
      <c r="G254">
        <v>19</v>
      </c>
      <c r="H254" t="s">
        <v>1559</v>
      </c>
      <c r="I254" t="s">
        <v>1318</v>
      </c>
      <c r="J254" t="s">
        <v>1340</v>
      </c>
      <c r="K254">
        <v>12</v>
      </c>
    </row>
    <row r="255" spans="1:11" x14ac:dyDescent="0.25">
      <c r="A255">
        <v>121</v>
      </c>
      <c r="C255" t="s">
        <v>1513</v>
      </c>
      <c r="D255" t="s">
        <v>379</v>
      </c>
      <c r="E255" s="11" t="s">
        <v>1074</v>
      </c>
      <c r="F255" t="s">
        <v>379</v>
      </c>
      <c r="G255">
        <v>19</v>
      </c>
      <c r="H255" t="s">
        <v>1559</v>
      </c>
      <c r="I255" t="s">
        <v>1318</v>
      </c>
      <c r="J255" t="s">
        <v>1340</v>
      </c>
      <c r="K255">
        <v>13</v>
      </c>
    </row>
    <row r="256" spans="1:11" x14ac:dyDescent="0.25">
      <c r="A256">
        <v>122</v>
      </c>
      <c r="C256" t="s">
        <v>1517</v>
      </c>
      <c r="D256" t="s">
        <v>380</v>
      </c>
      <c r="E256" s="11" t="s">
        <v>1075</v>
      </c>
      <c r="F256" t="s">
        <v>380</v>
      </c>
      <c r="G256">
        <v>19</v>
      </c>
      <c r="H256" t="s">
        <v>1559</v>
      </c>
      <c r="I256" t="s">
        <v>1318</v>
      </c>
      <c r="J256" t="s">
        <v>1340</v>
      </c>
      <c r="K256">
        <v>14</v>
      </c>
    </row>
    <row r="257" spans="1:11" x14ac:dyDescent="0.25">
      <c r="A257">
        <v>123</v>
      </c>
      <c r="C257" t="s">
        <v>381</v>
      </c>
      <c r="D257" t="s">
        <v>633</v>
      </c>
      <c r="E257" s="11" t="s">
        <v>1076</v>
      </c>
      <c r="F257" t="s">
        <v>385</v>
      </c>
      <c r="G257">
        <v>19</v>
      </c>
      <c r="H257" t="s">
        <v>1559</v>
      </c>
      <c r="I257" t="s">
        <v>1318</v>
      </c>
      <c r="J257" t="s">
        <v>1340</v>
      </c>
      <c r="K257">
        <v>15</v>
      </c>
    </row>
    <row r="258" spans="1:11" x14ac:dyDescent="0.25">
      <c r="A258">
        <v>124</v>
      </c>
      <c r="C258" t="s">
        <v>1518</v>
      </c>
      <c r="D258" t="s">
        <v>634</v>
      </c>
      <c r="E258" s="11" t="s">
        <v>1077</v>
      </c>
      <c r="F258" t="s">
        <v>382</v>
      </c>
      <c r="G258">
        <v>19</v>
      </c>
      <c r="H258" t="s">
        <v>1559</v>
      </c>
      <c r="I258" t="s">
        <v>1318</v>
      </c>
      <c r="J258" t="s">
        <v>1340</v>
      </c>
      <c r="K258">
        <v>16</v>
      </c>
    </row>
    <row r="259" spans="1:11" x14ac:dyDescent="0.25">
      <c r="A259">
        <v>125</v>
      </c>
      <c r="C259" t="s">
        <v>1519</v>
      </c>
      <c r="D259" t="s">
        <v>635</v>
      </c>
      <c r="E259" s="11" t="s">
        <v>1078</v>
      </c>
      <c r="F259" t="s">
        <v>386</v>
      </c>
      <c r="G259">
        <v>19</v>
      </c>
      <c r="H259" t="s">
        <v>1559</v>
      </c>
      <c r="I259" t="s">
        <v>1318</v>
      </c>
      <c r="J259" t="s">
        <v>1340</v>
      </c>
      <c r="K259">
        <v>17</v>
      </c>
    </row>
    <row r="260" spans="1:11" x14ac:dyDescent="0.25">
      <c r="A260">
        <v>126</v>
      </c>
      <c r="C260" t="s">
        <v>1520</v>
      </c>
      <c r="D260" t="s">
        <v>636</v>
      </c>
      <c r="E260" s="11" t="s">
        <v>1079</v>
      </c>
      <c r="F260" t="s">
        <v>387</v>
      </c>
      <c r="G260">
        <v>19</v>
      </c>
      <c r="H260" t="s">
        <v>1559</v>
      </c>
      <c r="I260" t="s">
        <v>1318</v>
      </c>
      <c r="J260" t="s">
        <v>1340</v>
      </c>
      <c r="K260">
        <v>18</v>
      </c>
    </row>
    <row r="261" spans="1:11" x14ac:dyDescent="0.25">
      <c r="A261">
        <v>127</v>
      </c>
      <c r="C261" t="s">
        <v>1521</v>
      </c>
      <c r="D261" t="s">
        <v>637</v>
      </c>
      <c r="E261" s="11" t="s">
        <v>1080</v>
      </c>
      <c r="F261" t="s">
        <v>388</v>
      </c>
      <c r="G261">
        <v>19</v>
      </c>
      <c r="H261" t="s">
        <v>1559</v>
      </c>
      <c r="I261" t="s">
        <v>1318</v>
      </c>
      <c r="J261" t="s">
        <v>1340</v>
      </c>
      <c r="K261">
        <v>19</v>
      </c>
    </row>
    <row r="262" spans="1:11" x14ac:dyDescent="0.25">
      <c r="A262">
        <v>128</v>
      </c>
      <c r="C262" t="s">
        <v>1518</v>
      </c>
      <c r="D262" t="s">
        <v>383</v>
      </c>
      <c r="E262" s="11" t="s">
        <v>1081</v>
      </c>
      <c r="F262" t="s">
        <v>383</v>
      </c>
      <c r="G262">
        <v>19</v>
      </c>
      <c r="H262" t="s">
        <v>1559</v>
      </c>
      <c r="I262" t="s">
        <v>1318</v>
      </c>
      <c r="J262" t="s">
        <v>1340</v>
      </c>
      <c r="K262">
        <v>20</v>
      </c>
    </row>
    <row r="263" spans="1:11" x14ac:dyDescent="0.25">
      <c r="A263">
        <v>129</v>
      </c>
      <c r="C263" t="s">
        <v>1522</v>
      </c>
      <c r="D263" t="s">
        <v>638</v>
      </c>
      <c r="E263" s="11" t="s">
        <v>1082</v>
      </c>
      <c r="F263" t="s">
        <v>384</v>
      </c>
      <c r="G263">
        <v>19</v>
      </c>
      <c r="H263" t="s">
        <v>1559</v>
      </c>
      <c r="I263" t="s">
        <v>1318</v>
      </c>
      <c r="J263" t="s">
        <v>1340</v>
      </c>
      <c r="K263">
        <v>21</v>
      </c>
    </row>
    <row r="264" spans="1:11" x14ac:dyDescent="0.25">
      <c r="A264">
        <v>130</v>
      </c>
      <c r="C264" t="s">
        <v>389</v>
      </c>
      <c r="D264" t="s">
        <v>639</v>
      </c>
      <c r="E264" s="11" t="s">
        <v>1083</v>
      </c>
      <c r="F264" t="s">
        <v>390</v>
      </c>
      <c r="G264">
        <v>19</v>
      </c>
      <c r="H264" t="s">
        <v>1559</v>
      </c>
      <c r="I264" t="s">
        <v>1318</v>
      </c>
      <c r="J264" t="s">
        <v>1340</v>
      </c>
      <c r="K264">
        <v>22</v>
      </c>
    </row>
    <row r="265" spans="1:11" x14ac:dyDescent="0.25">
      <c r="A265">
        <v>131</v>
      </c>
      <c r="C265" t="s">
        <v>1523</v>
      </c>
      <c r="D265" t="s">
        <v>640</v>
      </c>
      <c r="E265" s="11" t="s">
        <v>1084</v>
      </c>
      <c r="F265" t="s">
        <v>391</v>
      </c>
      <c r="G265">
        <v>19</v>
      </c>
      <c r="H265" t="s">
        <v>1559</v>
      </c>
      <c r="I265" t="s">
        <v>1318</v>
      </c>
      <c r="J265" t="s">
        <v>1340</v>
      </c>
      <c r="K265">
        <v>23</v>
      </c>
    </row>
    <row r="266" spans="1:11" x14ac:dyDescent="0.25">
      <c r="A266">
        <v>132</v>
      </c>
      <c r="C266" t="s">
        <v>1524</v>
      </c>
      <c r="D266" t="s">
        <v>641</v>
      </c>
      <c r="E266" s="11" t="s">
        <v>1085</v>
      </c>
      <c r="F266" t="s">
        <v>396</v>
      </c>
      <c r="G266">
        <v>19</v>
      </c>
      <c r="H266" t="s">
        <v>1559</v>
      </c>
      <c r="I266" t="s">
        <v>1318</v>
      </c>
      <c r="J266" t="s">
        <v>1340</v>
      </c>
      <c r="K266">
        <v>24</v>
      </c>
    </row>
    <row r="267" spans="1:11" x14ac:dyDescent="0.25">
      <c r="A267">
        <v>133</v>
      </c>
      <c r="C267" t="s">
        <v>1525</v>
      </c>
      <c r="D267" t="s">
        <v>642</v>
      </c>
      <c r="E267" s="11" t="s">
        <v>1086</v>
      </c>
      <c r="F267" t="s">
        <v>392</v>
      </c>
      <c r="G267">
        <v>19</v>
      </c>
      <c r="H267" t="s">
        <v>1559</v>
      </c>
      <c r="I267" t="s">
        <v>1318</v>
      </c>
      <c r="J267" t="s">
        <v>1340</v>
      </c>
      <c r="K267">
        <v>25</v>
      </c>
    </row>
    <row r="268" spans="1:11" x14ac:dyDescent="0.25">
      <c r="A268">
        <v>134</v>
      </c>
      <c r="C268" t="s">
        <v>1526</v>
      </c>
      <c r="D268" t="s">
        <v>643</v>
      </c>
      <c r="E268" s="11" t="s">
        <v>1087</v>
      </c>
      <c r="F268" t="s">
        <v>393</v>
      </c>
      <c r="G268">
        <v>19</v>
      </c>
      <c r="H268" t="s">
        <v>1559</v>
      </c>
      <c r="I268" t="s">
        <v>1318</v>
      </c>
      <c r="J268" t="s">
        <v>1340</v>
      </c>
      <c r="K268">
        <v>26</v>
      </c>
    </row>
    <row r="269" spans="1:11" x14ac:dyDescent="0.25">
      <c r="A269">
        <v>135</v>
      </c>
      <c r="C269" t="s">
        <v>1523</v>
      </c>
      <c r="D269" t="s">
        <v>644</v>
      </c>
      <c r="E269" s="11" t="s">
        <v>1088</v>
      </c>
      <c r="F269" t="s">
        <v>394</v>
      </c>
      <c r="G269">
        <v>19</v>
      </c>
      <c r="H269" t="s">
        <v>1559</v>
      </c>
      <c r="I269" t="s">
        <v>1318</v>
      </c>
      <c r="J269" t="s">
        <v>1340</v>
      </c>
      <c r="K269">
        <v>27</v>
      </c>
    </row>
    <row r="270" spans="1:11" x14ac:dyDescent="0.25">
      <c r="A270">
        <v>136</v>
      </c>
      <c r="C270" t="s">
        <v>1527</v>
      </c>
      <c r="D270" t="s">
        <v>645</v>
      </c>
      <c r="E270" s="11" t="s">
        <v>1089</v>
      </c>
      <c r="F270" t="s">
        <v>395</v>
      </c>
      <c r="G270">
        <v>19</v>
      </c>
      <c r="H270" t="s">
        <v>1559</v>
      </c>
      <c r="I270" t="s">
        <v>1318</v>
      </c>
      <c r="J270" t="s">
        <v>1340</v>
      </c>
      <c r="K270">
        <v>28</v>
      </c>
    </row>
    <row r="271" spans="1:11" x14ac:dyDescent="0.25">
      <c r="A271">
        <v>154</v>
      </c>
      <c r="C271" t="s">
        <v>1355</v>
      </c>
      <c r="D271" t="s">
        <v>364</v>
      </c>
      <c r="E271" s="11" t="s">
        <v>1107</v>
      </c>
      <c r="F271" t="s">
        <v>364</v>
      </c>
      <c r="G271">
        <v>19</v>
      </c>
      <c r="H271" t="s">
        <v>1559</v>
      </c>
      <c r="I271" t="s">
        <v>1314</v>
      </c>
      <c r="J271" t="s">
        <v>1321</v>
      </c>
      <c r="K271">
        <v>13</v>
      </c>
    </row>
    <row r="272" spans="1:11" x14ac:dyDescent="0.25">
      <c r="A272">
        <v>337</v>
      </c>
      <c r="C272" t="s">
        <v>1528</v>
      </c>
      <c r="D272" t="s">
        <v>360</v>
      </c>
      <c r="E272" s="11" t="s">
        <v>1286</v>
      </c>
      <c r="F272" t="s">
        <v>360</v>
      </c>
      <c r="G272">
        <v>19</v>
      </c>
      <c r="H272" t="s">
        <v>1559</v>
      </c>
      <c r="I272" t="s">
        <v>1319</v>
      </c>
      <c r="J272" t="s">
        <v>1342</v>
      </c>
      <c r="K272">
        <v>1</v>
      </c>
    </row>
    <row r="273" spans="1:11" x14ac:dyDescent="0.25">
      <c r="A273">
        <v>338</v>
      </c>
      <c r="C273" t="s">
        <v>1529</v>
      </c>
      <c r="D273" t="s">
        <v>361</v>
      </c>
      <c r="E273" s="11" t="s">
        <v>1287</v>
      </c>
      <c r="F273" t="s">
        <v>361</v>
      </c>
      <c r="G273">
        <v>19</v>
      </c>
      <c r="H273" t="s">
        <v>1559</v>
      </c>
      <c r="I273" t="s">
        <v>1319</v>
      </c>
      <c r="J273" t="s">
        <v>1342</v>
      </c>
      <c r="K273">
        <v>2</v>
      </c>
    </row>
    <row r="274" spans="1:11" x14ac:dyDescent="0.25">
      <c r="A274">
        <v>339</v>
      </c>
      <c r="C274" t="s">
        <v>1530</v>
      </c>
      <c r="D274" t="s">
        <v>362</v>
      </c>
      <c r="E274" s="11" t="s">
        <v>1288</v>
      </c>
      <c r="F274" t="s">
        <v>362</v>
      </c>
      <c r="G274">
        <v>19</v>
      </c>
      <c r="H274" t="s">
        <v>1559</v>
      </c>
      <c r="I274" t="s">
        <v>1319</v>
      </c>
      <c r="J274" t="s">
        <v>1342</v>
      </c>
      <c r="K274">
        <v>3</v>
      </c>
    </row>
    <row r="275" spans="1:11" x14ac:dyDescent="0.25">
      <c r="A275">
        <v>340</v>
      </c>
      <c r="C275" t="s">
        <v>1531</v>
      </c>
      <c r="D275" t="s">
        <v>363</v>
      </c>
      <c r="E275" s="11" t="s">
        <v>1289</v>
      </c>
      <c r="F275" t="s">
        <v>363</v>
      </c>
      <c r="G275">
        <v>19</v>
      </c>
      <c r="H275" t="s">
        <v>1559</v>
      </c>
      <c r="I275" t="s">
        <v>1319</v>
      </c>
      <c r="J275" t="s">
        <v>1342</v>
      </c>
      <c r="K275">
        <v>4</v>
      </c>
    </row>
    <row r="276" spans="1:11" x14ac:dyDescent="0.25">
      <c r="A276">
        <v>156</v>
      </c>
      <c r="C276" t="s">
        <v>1439</v>
      </c>
      <c r="D276" t="s">
        <v>646</v>
      </c>
      <c r="E276" s="11" t="s">
        <v>1109</v>
      </c>
      <c r="F276" t="s">
        <v>397</v>
      </c>
      <c r="G276">
        <v>20</v>
      </c>
      <c r="H276" t="s">
        <v>1574</v>
      </c>
      <c r="I276" t="s">
        <v>1317</v>
      </c>
      <c r="J276" t="s">
        <v>1336</v>
      </c>
      <c r="K276">
        <v>1</v>
      </c>
    </row>
    <row r="277" spans="1:11" x14ac:dyDescent="0.25">
      <c r="A277">
        <v>157</v>
      </c>
      <c r="C277" t="s">
        <v>1440</v>
      </c>
      <c r="D277" t="s">
        <v>647</v>
      </c>
      <c r="E277" s="11" t="s">
        <v>1110</v>
      </c>
      <c r="F277" t="s">
        <v>398</v>
      </c>
      <c r="G277">
        <v>20</v>
      </c>
      <c r="H277" t="s">
        <v>1574</v>
      </c>
      <c r="I277" t="s">
        <v>1317</v>
      </c>
      <c r="J277" t="s">
        <v>1336</v>
      </c>
      <c r="K277">
        <v>2</v>
      </c>
    </row>
    <row r="278" spans="1:11" x14ac:dyDescent="0.25">
      <c r="A278">
        <v>158</v>
      </c>
      <c r="C278" t="s">
        <v>1441</v>
      </c>
      <c r="D278" t="s">
        <v>648</v>
      </c>
      <c r="E278" s="11" t="s">
        <v>1111</v>
      </c>
      <c r="F278" t="s">
        <v>399</v>
      </c>
      <c r="G278">
        <v>20</v>
      </c>
      <c r="H278" t="s">
        <v>1574</v>
      </c>
      <c r="I278" t="s">
        <v>1317</v>
      </c>
      <c r="J278" t="s">
        <v>1336</v>
      </c>
      <c r="K278">
        <v>3</v>
      </c>
    </row>
    <row r="279" spans="1:11" x14ac:dyDescent="0.25">
      <c r="A279">
        <v>159</v>
      </c>
      <c r="C279" t="s">
        <v>400</v>
      </c>
      <c r="D279" t="s">
        <v>649</v>
      </c>
      <c r="E279" s="11" t="s">
        <v>1112</v>
      </c>
      <c r="F279" t="s">
        <v>401</v>
      </c>
      <c r="G279">
        <v>20</v>
      </c>
      <c r="H279" t="s">
        <v>1574</v>
      </c>
      <c r="I279" t="s">
        <v>1317</v>
      </c>
      <c r="J279" t="s">
        <v>1336</v>
      </c>
      <c r="K279">
        <v>13</v>
      </c>
    </row>
    <row r="280" spans="1:11" x14ac:dyDescent="0.25">
      <c r="A280">
        <v>160</v>
      </c>
      <c r="C280" t="s">
        <v>1442</v>
      </c>
      <c r="D280" t="s">
        <v>650</v>
      </c>
      <c r="E280" s="11" t="s">
        <v>1113</v>
      </c>
      <c r="F280" t="s">
        <v>402</v>
      </c>
      <c r="G280">
        <v>20</v>
      </c>
      <c r="H280" t="s">
        <v>1574</v>
      </c>
      <c r="I280" t="s">
        <v>1317</v>
      </c>
      <c r="J280" t="s">
        <v>1336</v>
      </c>
      <c r="K280">
        <v>4</v>
      </c>
    </row>
    <row r="281" spans="1:11" x14ac:dyDescent="0.25">
      <c r="A281">
        <v>161</v>
      </c>
      <c r="C281" t="s">
        <v>1451</v>
      </c>
      <c r="D281" t="s">
        <v>651</v>
      </c>
      <c r="E281" s="11" t="s">
        <v>1114</v>
      </c>
      <c r="F281" t="s">
        <v>725</v>
      </c>
      <c r="G281">
        <v>20</v>
      </c>
      <c r="H281" t="s">
        <v>1574</v>
      </c>
      <c r="I281" t="s">
        <v>1317</v>
      </c>
      <c r="J281" t="s">
        <v>1336</v>
      </c>
      <c r="K281">
        <v>14</v>
      </c>
    </row>
    <row r="282" spans="1:11" x14ac:dyDescent="0.25">
      <c r="A282">
        <v>162</v>
      </c>
      <c r="C282" t="s">
        <v>1452</v>
      </c>
      <c r="D282" t="s">
        <v>652</v>
      </c>
      <c r="E282" s="11" t="s">
        <v>1115</v>
      </c>
      <c r="F282" t="s">
        <v>403</v>
      </c>
      <c r="G282">
        <v>20</v>
      </c>
      <c r="H282" t="s">
        <v>1574</v>
      </c>
      <c r="I282" t="s">
        <v>1317</v>
      </c>
      <c r="J282" t="s">
        <v>1336</v>
      </c>
      <c r="K282">
        <v>15</v>
      </c>
    </row>
    <row r="283" spans="1:11" x14ac:dyDescent="0.25">
      <c r="A283">
        <v>163</v>
      </c>
      <c r="C283" t="s">
        <v>1443</v>
      </c>
      <c r="D283" t="s">
        <v>653</v>
      </c>
      <c r="E283" s="11" t="s">
        <v>1116</v>
      </c>
      <c r="F283" t="s">
        <v>404</v>
      </c>
      <c r="G283">
        <v>20</v>
      </c>
      <c r="H283" t="s">
        <v>1574</v>
      </c>
      <c r="I283" t="s">
        <v>1317</v>
      </c>
      <c r="J283" t="s">
        <v>1336</v>
      </c>
      <c r="K283">
        <v>5</v>
      </c>
    </row>
    <row r="284" spans="1:11" x14ac:dyDescent="0.25">
      <c r="A284">
        <v>164</v>
      </c>
      <c r="C284" t="s">
        <v>1453</v>
      </c>
      <c r="D284" t="s">
        <v>729</v>
      </c>
      <c r="E284" s="11" t="s">
        <v>1117</v>
      </c>
      <c r="F284" t="s">
        <v>728</v>
      </c>
      <c r="G284">
        <v>20</v>
      </c>
      <c r="H284" t="s">
        <v>1574</v>
      </c>
      <c r="I284" t="s">
        <v>1317</v>
      </c>
      <c r="J284" t="s">
        <v>1336</v>
      </c>
      <c r="K284">
        <v>16</v>
      </c>
    </row>
    <row r="285" spans="1:11" x14ac:dyDescent="0.25">
      <c r="A285">
        <v>165</v>
      </c>
      <c r="C285" t="s">
        <v>1444</v>
      </c>
      <c r="D285" t="s">
        <v>654</v>
      </c>
      <c r="E285" s="11" t="s">
        <v>1118</v>
      </c>
      <c r="F285" t="s">
        <v>405</v>
      </c>
      <c r="G285">
        <v>20</v>
      </c>
      <c r="H285" t="s">
        <v>1574</v>
      </c>
      <c r="I285" t="s">
        <v>1317</v>
      </c>
      <c r="J285" t="s">
        <v>1336</v>
      </c>
      <c r="K285">
        <v>6</v>
      </c>
    </row>
    <row r="286" spans="1:11" x14ac:dyDescent="0.25">
      <c r="A286">
        <v>166</v>
      </c>
      <c r="C286" t="s">
        <v>1454</v>
      </c>
      <c r="D286" t="s">
        <v>655</v>
      </c>
      <c r="E286" s="11" t="s">
        <v>1119</v>
      </c>
      <c r="F286" t="s">
        <v>406</v>
      </c>
      <c r="G286">
        <v>20</v>
      </c>
      <c r="H286" t="s">
        <v>1574</v>
      </c>
      <c r="I286" t="s">
        <v>1317</v>
      </c>
      <c r="J286" t="s">
        <v>1336</v>
      </c>
      <c r="K286">
        <v>17</v>
      </c>
    </row>
    <row r="287" spans="1:11" x14ac:dyDescent="0.25">
      <c r="A287">
        <v>167</v>
      </c>
      <c r="C287" t="s">
        <v>1445</v>
      </c>
      <c r="D287" t="s">
        <v>656</v>
      </c>
      <c r="E287" s="11" t="s">
        <v>1120</v>
      </c>
      <c r="F287" t="s">
        <v>407</v>
      </c>
      <c r="G287">
        <v>20</v>
      </c>
      <c r="H287" t="s">
        <v>1574</v>
      </c>
      <c r="I287" t="s">
        <v>1317</v>
      </c>
      <c r="J287" t="s">
        <v>1336</v>
      </c>
      <c r="K287">
        <v>7</v>
      </c>
    </row>
    <row r="288" spans="1:11" x14ac:dyDescent="0.25">
      <c r="A288">
        <v>168</v>
      </c>
      <c r="C288" t="s">
        <v>1455</v>
      </c>
      <c r="D288" t="s">
        <v>657</v>
      </c>
      <c r="E288" s="11" t="s">
        <v>1121</v>
      </c>
      <c r="F288" t="s">
        <v>408</v>
      </c>
      <c r="G288">
        <v>20</v>
      </c>
      <c r="H288" t="s">
        <v>1574</v>
      </c>
      <c r="I288" t="s">
        <v>1317</v>
      </c>
      <c r="J288" t="s">
        <v>1336</v>
      </c>
      <c r="K288">
        <v>18</v>
      </c>
    </row>
    <row r="289" spans="1:11" x14ac:dyDescent="0.25">
      <c r="A289">
        <v>169</v>
      </c>
      <c r="C289" t="s">
        <v>1446</v>
      </c>
      <c r="D289" t="s">
        <v>658</v>
      </c>
      <c r="E289" s="11" t="s">
        <v>1122</v>
      </c>
      <c r="F289" t="s">
        <v>409</v>
      </c>
      <c r="G289">
        <v>20</v>
      </c>
      <c r="H289" t="s">
        <v>1574</v>
      </c>
      <c r="I289" t="s">
        <v>1317</v>
      </c>
      <c r="J289" t="s">
        <v>1336</v>
      </c>
      <c r="K289">
        <v>8</v>
      </c>
    </row>
    <row r="290" spans="1:11" x14ac:dyDescent="0.25">
      <c r="A290">
        <v>170</v>
      </c>
      <c r="C290" t="s">
        <v>1456</v>
      </c>
      <c r="D290" t="s">
        <v>659</v>
      </c>
      <c r="E290" s="11" t="s">
        <v>1123</v>
      </c>
      <c r="F290" t="s">
        <v>410</v>
      </c>
      <c r="G290">
        <v>20</v>
      </c>
      <c r="H290" t="s">
        <v>1574</v>
      </c>
      <c r="I290" t="s">
        <v>1317</v>
      </c>
      <c r="J290" t="s">
        <v>1336</v>
      </c>
      <c r="K290">
        <v>19</v>
      </c>
    </row>
    <row r="291" spans="1:11" x14ac:dyDescent="0.25">
      <c r="A291">
        <v>171</v>
      </c>
      <c r="C291" t="s">
        <v>1447</v>
      </c>
      <c r="D291" t="s">
        <v>411</v>
      </c>
      <c r="E291" s="11" t="s">
        <v>1124</v>
      </c>
      <c r="F291" t="s">
        <v>411</v>
      </c>
      <c r="G291">
        <v>20</v>
      </c>
      <c r="H291" t="s">
        <v>1574</v>
      </c>
      <c r="I291" t="s">
        <v>1317</v>
      </c>
      <c r="J291" t="s">
        <v>1336</v>
      </c>
      <c r="K291">
        <v>9</v>
      </c>
    </row>
    <row r="292" spans="1:11" x14ac:dyDescent="0.25">
      <c r="A292">
        <v>172</v>
      </c>
      <c r="C292" t="s">
        <v>1448</v>
      </c>
      <c r="D292" t="s">
        <v>412</v>
      </c>
      <c r="E292" s="11" t="s">
        <v>1125</v>
      </c>
      <c r="F292" t="s">
        <v>412</v>
      </c>
      <c r="G292">
        <v>20</v>
      </c>
      <c r="H292" t="s">
        <v>1574</v>
      </c>
      <c r="I292" t="s">
        <v>1317</v>
      </c>
      <c r="J292" t="s">
        <v>1336</v>
      </c>
      <c r="K292">
        <v>10</v>
      </c>
    </row>
    <row r="293" spans="1:11" x14ac:dyDescent="0.25">
      <c r="A293">
        <v>173</v>
      </c>
      <c r="C293" t="s">
        <v>1449</v>
      </c>
      <c r="D293" t="s">
        <v>413</v>
      </c>
      <c r="E293" s="11" t="s">
        <v>1126</v>
      </c>
      <c r="F293" t="s">
        <v>413</v>
      </c>
      <c r="G293">
        <v>20</v>
      </c>
      <c r="H293" t="s">
        <v>1574</v>
      </c>
      <c r="I293" t="s">
        <v>1317</v>
      </c>
      <c r="J293" t="s">
        <v>1336</v>
      </c>
      <c r="K293">
        <v>11</v>
      </c>
    </row>
    <row r="294" spans="1:11" x14ac:dyDescent="0.25">
      <c r="A294">
        <v>174</v>
      </c>
      <c r="C294" t="s">
        <v>1457</v>
      </c>
      <c r="D294" t="s">
        <v>660</v>
      </c>
      <c r="E294" s="11" t="s">
        <v>1127</v>
      </c>
      <c r="F294" t="s">
        <v>724</v>
      </c>
      <c r="G294">
        <v>20</v>
      </c>
      <c r="H294" t="s">
        <v>1574</v>
      </c>
      <c r="I294" t="s">
        <v>1317</v>
      </c>
      <c r="J294" t="s">
        <v>1336</v>
      </c>
      <c r="K294">
        <v>20</v>
      </c>
    </row>
    <row r="295" spans="1:11" x14ac:dyDescent="0.25">
      <c r="A295">
        <v>175</v>
      </c>
      <c r="C295" t="s">
        <v>1450</v>
      </c>
      <c r="D295" t="s">
        <v>414</v>
      </c>
      <c r="E295" s="11" t="s">
        <v>1128</v>
      </c>
      <c r="F295" t="s">
        <v>414</v>
      </c>
      <c r="G295">
        <v>20</v>
      </c>
      <c r="H295" t="s">
        <v>1574</v>
      </c>
      <c r="I295" t="s">
        <v>1317</v>
      </c>
      <c r="J295" t="s">
        <v>1336</v>
      </c>
      <c r="K295">
        <v>12</v>
      </c>
    </row>
    <row r="296" spans="1:11" x14ac:dyDescent="0.25">
      <c r="A296">
        <v>176</v>
      </c>
      <c r="C296" t="s">
        <v>1458</v>
      </c>
      <c r="D296" t="s">
        <v>661</v>
      </c>
      <c r="E296" s="11" t="s">
        <v>1129</v>
      </c>
      <c r="F296" t="s">
        <v>415</v>
      </c>
      <c r="G296">
        <v>20</v>
      </c>
      <c r="H296" t="s">
        <v>1574</v>
      </c>
      <c r="I296" t="s">
        <v>1317</v>
      </c>
      <c r="J296" t="s">
        <v>1336</v>
      </c>
      <c r="K296">
        <v>21</v>
      </c>
    </row>
    <row r="297" spans="1:11" x14ac:dyDescent="0.25">
      <c r="A297">
        <v>155</v>
      </c>
      <c r="C297" t="s">
        <v>1356</v>
      </c>
      <c r="D297" t="s">
        <v>420</v>
      </c>
      <c r="E297" s="11" t="s">
        <v>1108</v>
      </c>
      <c r="F297" t="s">
        <v>420</v>
      </c>
      <c r="G297">
        <v>21</v>
      </c>
      <c r="H297" t="s">
        <v>1556</v>
      </c>
      <c r="I297" t="s">
        <v>1314</v>
      </c>
      <c r="J297" t="s">
        <v>1321</v>
      </c>
      <c r="K297">
        <v>14</v>
      </c>
    </row>
    <row r="298" spans="1:11" x14ac:dyDescent="0.25">
      <c r="A298">
        <v>332</v>
      </c>
      <c r="C298" t="s">
        <v>1354</v>
      </c>
      <c r="D298" t="s">
        <v>418</v>
      </c>
      <c r="E298" s="11" t="s">
        <v>1279</v>
      </c>
      <c r="F298" t="s">
        <v>418</v>
      </c>
      <c r="G298">
        <v>21</v>
      </c>
      <c r="H298" t="s">
        <v>1556</v>
      </c>
      <c r="I298" t="s">
        <v>752</v>
      </c>
      <c r="J298" t="s">
        <v>752</v>
      </c>
    </row>
    <row r="299" spans="1:11" x14ac:dyDescent="0.25">
      <c r="A299">
        <v>341</v>
      </c>
      <c r="C299" t="s">
        <v>1532</v>
      </c>
      <c r="D299" t="s">
        <v>416</v>
      </c>
      <c r="E299" s="11" t="s">
        <v>1290</v>
      </c>
      <c r="F299" t="s">
        <v>416</v>
      </c>
      <c r="G299">
        <v>21</v>
      </c>
      <c r="H299" t="s">
        <v>1556</v>
      </c>
      <c r="I299" t="s">
        <v>1319</v>
      </c>
      <c r="J299" t="s">
        <v>1342</v>
      </c>
      <c r="K299">
        <v>5</v>
      </c>
    </row>
    <row r="300" spans="1:11" x14ac:dyDescent="0.25">
      <c r="A300">
        <v>342</v>
      </c>
      <c r="C300" t="s">
        <v>1533</v>
      </c>
      <c r="D300" t="s">
        <v>662</v>
      </c>
      <c r="E300" s="11" t="s">
        <v>1291</v>
      </c>
      <c r="F300" t="s">
        <v>417</v>
      </c>
      <c r="G300">
        <v>21</v>
      </c>
      <c r="H300" t="s">
        <v>1556</v>
      </c>
      <c r="I300" t="s">
        <v>1319</v>
      </c>
      <c r="J300" t="s">
        <v>1342</v>
      </c>
      <c r="K300">
        <v>6</v>
      </c>
    </row>
    <row r="301" spans="1:11" x14ac:dyDescent="0.25">
      <c r="A301">
        <v>343</v>
      </c>
      <c r="C301" t="s">
        <v>1534</v>
      </c>
      <c r="D301" t="s">
        <v>663</v>
      </c>
      <c r="E301" s="11" t="s">
        <v>1292</v>
      </c>
      <c r="F301" t="s">
        <v>419</v>
      </c>
      <c r="G301">
        <v>21</v>
      </c>
      <c r="H301" t="s">
        <v>1556</v>
      </c>
      <c r="I301" t="s">
        <v>1319</v>
      </c>
      <c r="J301" t="s">
        <v>1342</v>
      </c>
      <c r="K301">
        <v>7</v>
      </c>
    </row>
    <row r="302" spans="1:11" x14ac:dyDescent="0.25">
      <c r="A302">
        <v>18</v>
      </c>
      <c r="C302" t="s">
        <v>1343</v>
      </c>
      <c r="D302" t="s">
        <v>459</v>
      </c>
      <c r="E302" s="11" t="s">
        <v>972</v>
      </c>
      <c r="F302" t="s">
        <v>421</v>
      </c>
      <c r="G302">
        <v>22</v>
      </c>
      <c r="H302" t="s">
        <v>1561</v>
      </c>
      <c r="I302" t="s">
        <v>1314</v>
      </c>
      <c r="J302" t="s">
        <v>1322</v>
      </c>
      <c r="K302">
        <v>1</v>
      </c>
    </row>
    <row r="303" spans="1:11" x14ac:dyDescent="0.25">
      <c r="A303">
        <v>19</v>
      </c>
      <c r="C303" t="s">
        <v>1358</v>
      </c>
      <c r="D303" t="s">
        <v>664</v>
      </c>
      <c r="E303" s="11" t="s">
        <v>973</v>
      </c>
      <c r="F303" t="s">
        <v>422</v>
      </c>
      <c r="G303">
        <v>22</v>
      </c>
      <c r="H303" t="s">
        <v>1561</v>
      </c>
      <c r="I303" t="s">
        <v>1314</v>
      </c>
      <c r="J303" t="s">
        <v>1322</v>
      </c>
      <c r="K303">
        <v>2</v>
      </c>
    </row>
    <row r="304" spans="1:11" x14ac:dyDescent="0.25">
      <c r="A304">
        <v>20</v>
      </c>
      <c r="C304" t="s">
        <v>1359</v>
      </c>
      <c r="D304" t="s">
        <v>665</v>
      </c>
      <c r="E304" s="11" t="s">
        <v>974</v>
      </c>
      <c r="F304" t="s">
        <v>423</v>
      </c>
      <c r="G304">
        <v>22</v>
      </c>
      <c r="H304" t="s">
        <v>1561</v>
      </c>
      <c r="I304" t="s">
        <v>1314</v>
      </c>
      <c r="J304" t="s">
        <v>1322</v>
      </c>
      <c r="K304">
        <v>3</v>
      </c>
    </row>
    <row r="305" spans="1:11" x14ac:dyDescent="0.25">
      <c r="A305">
        <v>21</v>
      </c>
      <c r="C305" t="s">
        <v>1360</v>
      </c>
      <c r="D305" t="s">
        <v>666</v>
      </c>
      <c r="E305" s="11" t="s">
        <v>975</v>
      </c>
      <c r="F305" t="s">
        <v>424</v>
      </c>
      <c r="G305">
        <v>22</v>
      </c>
      <c r="H305" t="s">
        <v>1561</v>
      </c>
      <c r="I305" t="s">
        <v>1314</v>
      </c>
      <c r="J305" t="s">
        <v>1322</v>
      </c>
      <c r="K305">
        <v>4</v>
      </c>
    </row>
    <row r="306" spans="1:11" x14ac:dyDescent="0.25">
      <c r="A306">
        <v>22</v>
      </c>
      <c r="C306" t="s">
        <v>1361</v>
      </c>
      <c r="D306" t="s">
        <v>667</v>
      </c>
      <c r="E306" s="11" t="s">
        <v>976</v>
      </c>
      <c r="F306" t="s">
        <v>425</v>
      </c>
      <c r="G306">
        <v>22</v>
      </c>
      <c r="H306" t="s">
        <v>1561</v>
      </c>
      <c r="I306" t="s">
        <v>1314</v>
      </c>
      <c r="J306" t="s">
        <v>1322</v>
      </c>
      <c r="K306">
        <v>5</v>
      </c>
    </row>
    <row r="307" spans="1:11" x14ac:dyDescent="0.25">
      <c r="A307">
        <v>23</v>
      </c>
      <c r="C307" t="s">
        <v>1362</v>
      </c>
      <c r="D307" t="s">
        <v>668</v>
      </c>
      <c r="E307" s="11" t="s">
        <v>977</v>
      </c>
      <c r="F307" t="s">
        <v>426</v>
      </c>
      <c r="G307">
        <v>22</v>
      </c>
      <c r="H307" t="s">
        <v>1561</v>
      </c>
      <c r="I307" t="s">
        <v>1314</v>
      </c>
      <c r="J307" t="s">
        <v>1322</v>
      </c>
      <c r="K307">
        <v>6</v>
      </c>
    </row>
    <row r="308" spans="1:11" x14ac:dyDescent="0.25">
      <c r="A308">
        <v>24</v>
      </c>
      <c r="C308" t="s">
        <v>1363</v>
      </c>
      <c r="D308" t="s">
        <v>669</v>
      </c>
      <c r="E308" s="11" t="s">
        <v>978</v>
      </c>
      <c r="F308" t="s">
        <v>427</v>
      </c>
      <c r="G308">
        <v>22</v>
      </c>
      <c r="H308" t="s">
        <v>1561</v>
      </c>
      <c r="I308" t="s">
        <v>1314</v>
      </c>
      <c r="J308" t="s">
        <v>1322</v>
      </c>
      <c r="K308">
        <v>7</v>
      </c>
    </row>
    <row r="309" spans="1:11" x14ac:dyDescent="0.25">
      <c r="A309">
        <v>25</v>
      </c>
      <c r="C309" t="s">
        <v>1364</v>
      </c>
      <c r="D309" t="s">
        <v>428</v>
      </c>
      <c r="E309" s="11" t="s">
        <v>979</v>
      </c>
      <c r="F309" t="s">
        <v>428</v>
      </c>
      <c r="G309">
        <v>22</v>
      </c>
      <c r="H309" t="s">
        <v>1561</v>
      </c>
      <c r="I309" t="s">
        <v>1314</v>
      </c>
      <c r="J309" t="s">
        <v>1322</v>
      </c>
      <c r="K309">
        <v>8</v>
      </c>
    </row>
    <row r="310" spans="1:11" x14ac:dyDescent="0.25">
      <c r="A310">
        <v>26</v>
      </c>
      <c r="C310" t="s">
        <v>1365</v>
      </c>
      <c r="D310" t="s">
        <v>429</v>
      </c>
      <c r="E310" s="11" t="s">
        <v>980</v>
      </c>
      <c r="F310" t="s">
        <v>429</v>
      </c>
      <c r="G310">
        <v>22</v>
      </c>
      <c r="H310" t="s">
        <v>1561</v>
      </c>
      <c r="I310" t="s">
        <v>1314</v>
      </c>
      <c r="J310" t="s">
        <v>1322</v>
      </c>
      <c r="K310">
        <v>9</v>
      </c>
    </row>
    <row r="311" spans="1:11" x14ac:dyDescent="0.25">
      <c r="A311">
        <v>27</v>
      </c>
      <c r="C311" t="s">
        <v>1366</v>
      </c>
      <c r="D311" t="s">
        <v>430</v>
      </c>
      <c r="E311" s="11" t="s">
        <v>981</v>
      </c>
      <c r="F311" t="s">
        <v>430</v>
      </c>
      <c r="G311">
        <v>22</v>
      </c>
      <c r="H311" t="s">
        <v>1561</v>
      </c>
      <c r="I311" t="s">
        <v>1314</v>
      </c>
      <c r="J311" t="s">
        <v>1322</v>
      </c>
      <c r="K311">
        <v>10</v>
      </c>
    </row>
    <row r="312" spans="1:11" x14ac:dyDescent="0.25">
      <c r="A312">
        <v>308</v>
      </c>
      <c r="C312" t="s">
        <v>128</v>
      </c>
      <c r="D312" t="s">
        <v>670</v>
      </c>
      <c r="E312" s="11" t="s">
        <v>1258</v>
      </c>
      <c r="F312" t="s">
        <v>431</v>
      </c>
      <c r="G312">
        <v>23</v>
      </c>
      <c r="H312" t="s">
        <v>1560</v>
      </c>
      <c r="I312" t="s">
        <v>1314</v>
      </c>
      <c r="J312" t="s">
        <v>1321</v>
      </c>
      <c r="K312">
        <v>18</v>
      </c>
    </row>
    <row r="313" spans="1:11" x14ac:dyDescent="0.25">
      <c r="A313">
        <v>309</v>
      </c>
      <c r="C313" t="s">
        <v>1542</v>
      </c>
      <c r="D313" t="s">
        <v>671</v>
      </c>
      <c r="E313" s="11" t="s">
        <v>1259</v>
      </c>
      <c r="F313" t="s">
        <v>432</v>
      </c>
      <c r="G313">
        <v>23</v>
      </c>
      <c r="H313" t="s">
        <v>1560</v>
      </c>
      <c r="I313" t="s">
        <v>1319</v>
      </c>
      <c r="J313" t="s">
        <v>1342</v>
      </c>
      <c r="K313">
        <v>20</v>
      </c>
    </row>
    <row r="314" spans="1:11" x14ac:dyDescent="0.25">
      <c r="A314">
        <v>310</v>
      </c>
      <c r="C314" t="s">
        <v>1543</v>
      </c>
      <c r="D314" t="s">
        <v>672</v>
      </c>
      <c r="E314" s="11" t="s">
        <v>1260</v>
      </c>
      <c r="F314" t="s">
        <v>433</v>
      </c>
      <c r="G314">
        <v>23</v>
      </c>
      <c r="H314" t="s">
        <v>1560</v>
      </c>
      <c r="I314" t="s">
        <v>1319</v>
      </c>
      <c r="J314" t="s">
        <v>1342</v>
      </c>
      <c r="K314">
        <v>21</v>
      </c>
    </row>
    <row r="315" spans="1:11" x14ac:dyDescent="0.25">
      <c r="A315">
        <v>311</v>
      </c>
      <c r="C315" t="s">
        <v>434</v>
      </c>
      <c r="D315" t="s">
        <v>673</v>
      </c>
      <c r="E315" s="11" t="s">
        <v>1261</v>
      </c>
      <c r="F315" t="s">
        <v>435</v>
      </c>
      <c r="G315">
        <v>23</v>
      </c>
      <c r="H315" t="s">
        <v>1560</v>
      </c>
      <c r="I315" t="s">
        <v>1319</v>
      </c>
      <c r="J315" t="s">
        <v>1342</v>
      </c>
      <c r="K315">
        <v>22</v>
      </c>
    </row>
    <row r="316" spans="1:11" x14ac:dyDescent="0.25">
      <c r="A316">
        <v>312</v>
      </c>
      <c r="C316" t="s">
        <v>1544</v>
      </c>
      <c r="D316" t="s">
        <v>674</v>
      </c>
      <c r="E316" s="11" t="s">
        <v>1262</v>
      </c>
      <c r="F316" t="s">
        <v>436</v>
      </c>
      <c r="G316">
        <v>23</v>
      </c>
      <c r="H316" t="s">
        <v>1560</v>
      </c>
      <c r="I316" t="s">
        <v>1319</v>
      </c>
      <c r="J316" t="s">
        <v>1342</v>
      </c>
      <c r="K316">
        <v>23</v>
      </c>
    </row>
    <row r="317" spans="1:11" x14ac:dyDescent="0.25">
      <c r="A317">
        <v>313</v>
      </c>
      <c r="C317" t="s">
        <v>1545</v>
      </c>
      <c r="D317" t="s">
        <v>675</v>
      </c>
      <c r="E317" s="11" t="s">
        <v>1263</v>
      </c>
      <c r="F317" t="s">
        <v>437</v>
      </c>
      <c r="G317">
        <v>23</v>
      </c>
      <c r="H317" t="s">
        <v>1560</v>
      </c>
      <c r="I317" t="s">
        <v>1319</v>
      </c>
      <c r="J317" t="s">
        <v>1342</v>
      </c>
      <c r="K317">
        <v>24</v>
      </c>
    </row>
    <row r="318" spans="1:11" x14ac:dyDescent="0.25">
      <c r="A318">
        <v>28</v>
      </c>
      <c r="C318" t="s">
        <v>1353</v>
      </c>
      <c r="D318" t="s">
        <v>456</v>
      </c>
      <c r="E318" s="11" t="s">
        <v>970</v>
      </c>
      <c r="F318" t="s">
        <v>691</v>
      </c>
      <c r="G318">
        <v>24</v>
      </c>
      <c r="H318" t="s">
        <v>1554</v>
      </c>
      <c r="I318" t="s">
        <v>752</v>
      </c>
      <c r="J318" t="s">
        <v>752</v>
      </c>
    </row>
    <row r="319" spans="1:11" x14ac:dyDescent="0.25">
      <c r="A319">
        <v>198</v>
      </c>
      <c r="C319" t="s">
        <v>1427</v>
      </c>
      <c r="D319" t="s">
        <v>714</v>
      </c>
      <c r="E319" s="11" t="s">
        <v>1150</v>
      </c>
      <c r="F319" t="s">
        <v>727</v>
      </c>
      <c r="G319">
        <v>24</v>
      </c>
      <c r="H319" t="s">
        <v>1554</v>
      </c>
      <c r="I319" t="s">
        <v>1317</v>
      </c>
      <c r="J319" t="s">
        <v>1334</v>
      </c>
      <c r="K319">
        <v>1</v>
      </c>
    </row>
    <row r="320" spans="1:11" x14ac:dyDescent="0.25">
      <c r="A320">
        <v>199</v>
      </c>
      <c r="C320" t="s">
        <v>1428</v>
      </c>
      <c r="D320" t="s">
        <v>715</v>
      </c>
      <c r="E320" s="11" t="s">
        <v>1151</v>
      </c>
      <c r="F320" t="s">
        <v>693</v>
      </c>
      <c r="G320">
        <v>24</v>
      </c>
      <c r="H320" t="s">
        <v>1554</v>
      </c>
      <c r="I320" t="s">
        <v>1317</v>
      </c>
      <c r="J320" t="s">
        <v>1334</v>
      </c>
      <c r="K320">
        <v>2</v>
      </c>
    </row>
    <row r="321" spans="1:11" x14ac:dyDescent="0.25">
      <c r="A321">
        <v>200</v>
      </c>
      <c r="C321" t="s">
        <v>1429</v>
      </c>
      <c r="D321" t="s">
        <v>716</v>
      </c>
      <c r="E321" s="11" t="s">
        <v>1152</v>
      </c>
      <c r="F321" t="s">
        <v>694</v>
      </c>
      <c r="G321">
        <v>24</v>
      </c>
      <c r="H321" t="s">
        <v>1554</v>
      </c>
      <c r="I321" t="s">
        <v>1317</v>
      </c>
      <c r="J321" t="s">
        <v>1334</v>
      </c>
      <c r="K321">
        <v>3</v>
      </c>
    </row>
    <row r="322" spans="1:11" x14ac:dyDescent="0.25">
      <c r="A322">
        <v>201</v>
      </c>
      <c r="C322" t="s">
        <v>1430</v>
      </c>
      <c r="D322" t="s">
        <v>717</v>
      </c>
      <c r="E322" s="11" t="s">
        <v>1153</v>
      </c>
      <c r="F322" t="s">
        <v>726</v>
      </c>
      <c r="G322">
        <v>24</v>
      </c>
      <c r="H322" t="s">
        <v>1554</v>
      </c>
      <c r="I322" t="s">
        <v>1317</v>
      </c>
      <c r="J322" t="s">
        <v>1334</v>
      </c>
      <c r="K322">
        <v>4</v>
      </c>
    </row>
    <row r="323" spans="1:11" x14ac:dyDescent="0.25">
      <c r="A323">
        <v>202</v>
      </c>
      <c r="C323" t="s">
        <v>1432</v>
      </c>
      <c r="D323" t="s">
        <v>718</v>
      </c>
      <c r="E323" s="11" t="s">
        <v>1154</v>
      </c>
      <c r="F323" t="s">
        <v>695</v>
      </c>
      <c r="G323">
        <v>24</v>
      </c>
      <c r="H323" t="s">
        <v>1554</v>
      </c>
      <c r="I323" t="s">
        <v>1317</v>
      </c>
      <c r="J323" t="s">
        <v>1334</v>
      </c>
      <c r="K323">
        <v>6</v>
      </c>
    </row>
    <row r="324" spans="1:11" x14ac:dyDescent="0.25">
      <c r="A324">
        <v>203</v>
      </c>
      <c r="C324" t="s">
        <v>1431</v>
      </c>
      <c r="D324" t="s">
        <v>696</v>
      </c>
      <c r="E324" s="11" t="s">
        <v>1155</v>
      </c>
      <c r="F324" t="s">
        <v>696</v>
      </c>
      <c r="G324">
        <v>24</v>
      </c>
      <c r="H324" t="s">
        <v>1554</v>
      </c>
      <c r="I324" t="s">
        <v>1317</v>
      </c>
      <c r="J324" t="s">
        <v>1334</v>
      </c>
      <c r="K324">
        <v>5</v>
      </c>
    </row>
    <row r="325" spans="1:11" x14ac:dyDescent="0.25">
      <c r="A325">
        <v>204</v>
      </c>
      <c r="C325" t="s">
        <v>1437</v>
      </c>
      <c r="D325" t="s">
        <v>697</v>
      </c>
      <c r="E325" s="11" t="s">
        <v>1156</v>
      </c>
      <c r="F325" t="s">
        <v>697</v>
      </c>
      <c r="G325">
        <v>24</v>
      </c>
      <c r="H325" t="s">
        <v>1554</v>
      </c>
      <c r="I325" t="s">
        <v>1317</v>
      </c>
      <c r="J325" t="s">
        <v>1334</v>
      </c>
      <c r="K325">
        <v>11</v>
      </c>
    </row>
    <row r="326" spans="1:11" x14ac:dyDescent="0.25">
      <c r="A326">
        <v>205</v>
      </c>
      <c r="C326" t="s">
        <v>1433</v>
      </c>
      <c r="D326" t="s">
        <v>698</v>
      </c>
      <c r="E326" s="11" t="s">
        <v>1157</v>
      </c>
      <c r="F326" t="s">
        <v>698</v>
      </c>
      <c r="G326">
        <v>24</v>
      </c>
      <c r="H326" t="s">
        <v>1554</v>
      </c>
      <c r="I326" t="s">
        <v>1317</v>
      </c>
      <c r="J326" t="s">
        <v>1334</v>
      </c>
      <c r="K326">
        <v>7</v>
      </c>
    </row>
    <row r="327" spans="1:11" x14ac:dyDescent="0.25">
      <c r="A327">
        <v>206</v>
      </c>
      <c r="C327" t="s">
        <v>1438</v>
      </c>
      <c r="D327" t="s">
        <v>705</v>
      </c>
      <c r="E327" s="11" t="s">
        <v>1158</v>
      </c>
      <c r="F327" t="s">
        <v>705</v>
      </c>
      <c r="G327">
        <v>24</v>
      </c>
      <c r="H327" t="s">
        <v>1554</v>
      </c>
      <c r="I327" t="s">
        <v>1317</v>
      </c>
      <c r="J327" t="s">
        <v>1334</v>
      </c>
      <c r="K327">
        <v>12</v>
      </c>
    </row>
    <row r="328" spans="1:11" x14ac:dyDescent="0.25">
      <c r="A328">
        <v>207</v>
      </c>
      <c r="C328" t="s">
        <v>1434</v>
      </c>
      <c r="D328" t="s">
        <v>699</v>
      </c>
      <c r="E328" s="11" t="s">
        <v>1159</v>
      </c>
      <c r="F328" t="s">
        <v>699</v>
      </c>
      <c r="G328">
        <v>24</v>
      </c>
      <c r="H328" t="s">
        <v>1554</v>
      </c>
      <c r="I328" t="s">
        <v>1317</v>
      </c>
      <c r="J328" t="s">
        <v>1334</v>
      </c>
      <c r="K328">
        <v>8</v>
      </c>
    </row>
    <row r="329" spans="1:11" x14ac:dyDescent="0.25">
      <c r="A329">
        <v>208</v>
      </c>
      <c r="C329" t="s">
        <v>1435</v>
      </c>
      <c r="D329" t="s">
        <v>700</v>
      </c>
      <c r="E329" s="11" t="s">
        <v>1160</v>
      </c>
      <c r="F329" t="s">
        <v>700</v>
      </c>
      <c r="G329">
        <v>24</v>
      </c>
      <c r="H329" t="s">
        <v>1554</v>
      </c>
      <c r="I329" t="s">
        <v>1317</v>
      </c>
      <c r="J329" t="s">
        <v>1334</v>
      </c>
      <c r="K329">
        <v>9</v>
      </c>
    </row>
    <row r="330" spans="1:11" x14ac:dyDescent="0.25">
      <c r="A330">
        <v>209</v>
      </c>
      <c r="C330" t="s">
        <v>701</v>
      </c>
      <c r="D330" t="s">
        <v>702</v>
      </c>
      <c r="E330" s="11" t="s">
        <v>1161</v>
      </c>
      <c r="F330" t="s">
        <v>702</v>
      </c>
      <c r="G330">
        <v>24</v>
      </c>
      <c r="H330" t="s">
        <v>1554</v>
      </c>
      <c r="I330" t="s">
        <v>1317</v>
      </c>
      <c r="J330" t="s">
        <v>1334</v>
      </c>
      <c r="K330">
        <v>14</v>
      </c>
    </row>
    <row r="331" spans="1:11" x14ac:dyDescent="0.25">
      <c r="A331">
        <v>210</v>
      </c>
      <c r="C331" t="s">
        <v>1436</v>
      </c>
      <c r="D331" t="s">
        <v>719</v>
      </c>
      <c r="E331" s="11" t="s">
        <v>1162</v>
      </c>
      <c r="F331" t="s">
        <v>703</v>
      </c>
      <c r="G331">
        <v>24</v>
      </c>
      <c r="H331" t="s">
        <v>1554</v>
      </c>
      <c r="I331" t="s">
        <v>1317</v>
      </c>
      <c r="J331" t="s">
        <v>1334</v>
      </c>
      <c r="K331">
        <v>10</v>
      </c>
    </row>
    <row r="332" spans="1:11" x14ac:dyDescent="0.25">
      <c r="A332">
        <v>211</v>
      </c>
      <c r="C332" t="s">
        <v>1549</v>
      </c>
      <c r="D332" t="s">
        <v>720</v>
      </c>
      <c r="E332" s="11" t="s">
        <v>1163</v>
      </c>
      <c r="F332" t="s">
        <v>704</v>
      </c>
      <c r="G332">
        <v>24</v>
      </c>
      <c r="H332" t="s">
        <v>1554</v>
      </c>
      <c r="I332" t="s">
        <v>1317</v>
      </c>
      <c r="J332" t="s">
        <v>1334</v>
      </c>
      <c r="K332">
        <v>13</v>
      </c>
    </row>
    <row r="333" spans="1:11" x14ac:dyDescent="0.25">
      <c r="A333">
        <v>345</v>
      </c>
      <c r="C333" t="s">
        <v>1536</v>
      </c>
      <c r="D333" t="s">
        <v>692</v>
      </c>
      <c r="E333" s="11" t="s">
        <v>1294</v>
      </c>
      <c r="F333" t="s">
        <v>692</v>
      </c>
      <c r="G333">
        <v>24</v>
      </c>
      <c r="H333" t="s">
        <v>1554</v>
      </c>
      <c r="I333" t="s">
        <v>1319</v>
      </c>
      <c r="J333" t="s">
        <v>1342</v>
      </c>
      <c r="K333">
        <v>9</v>
      </c>
    </row>
    <row r="334" spans="1:11" x14ac:dyDescent="0.25">
      <c r="A334">
        <v>257</v>
      </c>
      <c r="C334" t="s">
        <v>677</v>
      </c>
      <c r="D334" t="s">
        <v>678</v>
      </c>
      <c r="E334" s="11" t="s">
        <v>1208</v>
      </c>
      <c r="F334" t="s">
        <v>678</v>
      </c>
      <c r="G334" t="s">
        <v>1553</v>
      </c>
      <c r="H334" t="s">
        <v>1577</v>
      </c>
      <c r="I334" t="s">
        <v>1319</v>
      </c>
      <c r="J334" t="s">
        <v>1342</v>
      </c>
      <c r="K334">
        <v>11</v>
      </c>
    </row>
    <row r="335" spans="1:11" x14ac:dyDescent="0.25">
      <c r="A335">
        <v>258</v>
      </c>
      <c r="C335" t="s">
        <v>679</v>
      </c>
      <c r="D335" t="s">
        <v>706</v>
      </c>
      <c r="E335" s="11" t="s">
        <v>1209</v>
      </c>
      <c r="F335" t="s">
        <v>681</v>
      </c>
      <c r="G335" t="s">
        <v>1553</v>
      </c>
      <c r="H335" t="s">
        <v>1577</v>
      </c>
      <c r="I335" t="s">
        <v>1319</v>
      </c>
      <c r="J335" t="s">
        <v>1342</v>
      </c>
      <c r="K335">
        <v>12</v>
      </c>
    </row>
    <row r="336" spans="1:11" x14ac:dyDescent="0.25">
      <c r="A336">
        <v>259</v>
      </c>
      <c r="C336" t="s">
        <v>1538</v>
      </c>
      <c r="D336" t="s">
        <v>707</v>
      </c>
      <c r="E336" s="11" t="s">
        <v>1210</v>
      </c>
      <c r="F336" t="s">
        <v>680</v>
      </c>
      <c r="G336" t="s">
        <v>1553</v>
      </c>
      <c r="H336" t="s">
        <v>1577</v>
      </c>
      <c r="I336" t="s">
        <v>1319</v>
      </c>
      <c r="J336" t="s">
        <v>1342</v>
      </c>
      <c r="K336">
        <v>13</v>
      </c>
    </row>
    <row r="337" spans="1:11" x14ac:dyDescent="0.25">
      <c r="A337">
        <v>260</v>
      </c>
      <c r="C337" t="s">
        <v>682</v>
      </c>
      <c r="D337" t="s">
        <v>712</v>
      </c>
      <c r="E337" s="11" t="s">
        <v>1211</v>
      </c>
      <c r="F337" t="s">
        <v>683</v>
      </c>
      <c r="G337" t="s">
        <v>1553</v>
      </c>
      <c r="H337" t="s">
        <v>1577</v>
      </c>
      <c r="I337" t="s">
        <v>1319</v>
      </c>
      <c r="J337" t="s">
        <v>1342</v>
      </c>
      <c r="K337">
        <v>14</v>
      </c>
    </row>
    <row r="338" spans="1:11" x14ac:dyDescent="0.25">
      <c r="A338">
        <v>261</v>
      </c>
      <c r="C338" t="s">
        <v>1539</v>
      </c>
      <c r="D338" t="s">
        <v>708</v>
      </c>
      <c r="E338" s="11" t="s">
        <v>1212</v>
      </c>
      <c r="F338" t="s">
        <v>684</v>
      </c>
      <c r="G338" t="s">
        <v>1553</v>
      </c>
      <c r="H338" t="s">
        <v>1577</v>
      </c>
      <c r="I338" t="s">
        <v>1319</v>
      </c>
      <c r="J338" t="s">
        <v>1342</v>
      </c>
      <c r="K338">
        <v>15</v>
      </c>
    </row>
    <row r="339" spans="1:11" x14ac:dyDescent="0.25">
      <c r="A339">
        <v>262</v>
      </c>
      <c r="C339" t="s">
        <v>1550</v>
      </c>
      <c r="D339" t="s">
        <v>709</v>
      </c>
      <c r="E339" s="11" t="s">
        <v>1213</v>
      </c>
      <c r="F339" t="s">
        <v>686</v>
      </c>
      <c r="G339" t="s">
        <v>1553</v>
      </c>
      <c r="H339" t="s">
        <v>1577</v>
      </c>
      <c r="I339" t="s">
        <v>1319</v>
      </c>
      <c r="J339" t="s">
        <v>1342</v>
      </c>
      <c r="K339">
        <v>16</v>
      </c>
    </row>
    <row r="340" spans="1:11" x14ac:dyDescent="0.25">
      <c r="A340">
        <v>263</v>
      </c>
      <c r="C340" t="s">
        <v>1540</v>
      </c>
      <c r="D340" t="s">
        <v>710</v>
      </c>
      <c r="E340" s="11" t="s">
        <v>1214</v>
      </c>
      <c r="F340" t="s">
        <v>687</v>
      </c>
      <c r="G340" t="s">
        <v>1553</v>
      </c>
      <c r="H340" t="s">
        <v>1577</v>
      </c>
      <c r="I340" t="s">
        <v>1319</v>
      </c>
      <c r="J340" t="s">
        <v>1342</v>
      </c>
      <c r="K340">
        <v>17</v>
      </c>
    </row>
    <row r="341" spans="1:11" x14ac:dyDescent="0.25">
      <c r="A341">
        <v>264</v>
      </c>
      <c r="C341" t="s">
        <v>1541</v>
      </c>
      <c r="D341" t="s">
        <v>689</v>
      </c>
      <c r="E341" s="11" t="s">
        <v>1215</v>
      </c>
      <c r="F341" t="s">
        <v>689</v>
      </c>
      <c r="G341" t="s">
        <v>1553</v>
      </c>
      <c r="H341" t="s">
        <v>1577</v>
      </c>
      <c r="I341" t="s">
        <v>1319</v>
      </c>
      <c r="J341" t="s">
        <v>1342</v>
      </c>
      <c r="K341">
        <v>18</v>
      </c>
    </row>
    <row r="342" spans="1:11" x14ac:dyDescent="0.25">
      <c r="A342">
        <v>265</v>
      </c>
      <c r="C342" t="s">
        <v>1551</v>
      </c>
      <c r="D342" t="s">
        <v>713</v>
      </c>
      <c r="E342" s="11" t="s">
        <v>1216</v>
      </c>
      <c r="F342" t="s">
        <v>690</v>
      </c>
      <c r="G342" t="s">
        <v>1553</v>
      </c>
      <c r="H342" t="s">
        <v>1577</v>
      </c>
      <c r="I342" t="s">
        <v>1319</v>
      </c>
      <c r="J342" t="s">
        <v>1342</v>
      </c>
      <c r="K342">
        <v>19</v>
      </c>
    </row>
    <row r="343" spans="1:11" x14ac:dyDescent="0.25">
      <c r="A343">
        <v>314</v>
      </c>
      <c r="C343" t="s">
        <v>1546</v>
      </c>
      <c r="D343" t="s">
        <v>711</v>
      </c>
      <c r="E343" s="11" t="s">
        <v>1264</v>
      </c>
      <c r="F343" t="s">
        <v>688</v>
      </c>
      <c r="G343" t="s">
        <v>1553</v>
      </c>
      <c r="H343" t="s">
        <v>1577</v>
      </c>
      <c r="I343" t="s">
        <v>1319</v>
      </c>
      <c r="J343" t="s">
        <v>1342</v>
      </c>
      <c r="K343">
        <v>25</v>
      </c>
    </row>
    <row r="344" spans="1:11" x14ac:dyDescent="0.25">
      <c r="A344">
        <v>344</v>
      </c>
      <c r="C344" t="s">
        <v>1535</v>
      </c>
      <c r="D344" t="s">
        <v>685</v>
      </c>
      <c r="E344" s="11" t="s">
        <v>1293</v>
      </c>
      <c r="F344" t="s">
        <v>685</v>
      </c>
      <c r="G344" t="s">
        <v>1553</v>
      </c>
      <c r="H344" t="s">
        <v>1577</v>
      </c>
      <c r="I344" t="s">
        <v>1319</v>
      </c>
      <c r="J344" t="s">
        <v>1342</v>
      </c>
      <c r="K344">
        <v>8</v>
      </c>
    </row>
    <row r="345" spans="1:11" x14ac:dyDescent="0.25">
      <c r="A345">
        <v>15</v>
      </c>
      <c r="C345" t="s">
        <v>34</v>
      </c>
      <c r="D345" t="s">
        <v>459</v>
      </c>
      <c r="E345" s="11" t="s">
        <v>969</v>
      </c>
      <c r="F345" t="s">
        <v>35</v>
      </c>
      <c r="G345" t="s">
        <v>438</v>
      </c>
      <c r="H345" t="s">
        <v>1578</v>
      </c>
      <c r="I345" t="s">
        <v>752</v>
      </c>
      <c r="J345" t="s">
        <v>752</v>
      </c>
    </row>
    <row r="346" spans="1:11" x14ac:dyDescent="0.25">
      <c r="A346">
        <v>16</v>
      </c>
      <c r="C346" t="s">
        <v>36</v>
      </c>
      <c r="D346" t="s">
        <v>456</v>
      </c>
      <c r="E346" s="11" t="s">
        <v>970</v>
      </c>
      <c r="F346" t="s">
        <v>1296</v>
      </c>
      <c r="G346" t="s">
        <v>438</v>
      </c>
      <c r="H346" t="s">
        <v>1578</v>
      </c>
      <c r="I346" t="s">
        <v>1314</v>
      </c>
      <c r="J346" t="s">
        <v>1322</v>
      </c>
      <c r="K346">
        <v>12</v>
      </c>
    </row>
    <row r="347" spans="1:11" x14ac:dyDescent="0.25">
      <c r="A347">
        <v>17</v>
      </c>
      <c r="C347" t="s">
        <v>37</v>
      </c>
      <c r="D347" t="s">
        <v>457</v>
      </c>
      <c r="E347" s="11" t="s">
        <v>971</v>
      </c>
      <c r="F347" t="s">
        <v>38</v>
      </c>
      <c r="G347" t="s">
        <v>438</v>
      </c>
      <c r="H347" t="s">
        <v>1578</v>
      </c>
      <c r="I347" t="s">
        <v>1314</v>
      </c>
      <c r="J347" t="s">
        <v>1322</v>
      </c>
      <c r="K347">
        <v>11</v>
      </c>
    </row>
    <row r="348" spans="1:11" x14ac:dyDescent="0.25">
      <c r="A348">
        <v>252</v>
      </c>
      <c r="C348" t="s">
        <v>32</v>
      </c>
      <c r="D348" t="s">
        <v>455</v>
      </c>
      <c r="E348" s="11" t="s">
        <v>1203</v>
      </c>
      <c r="F348" t="s">
        <v>33</v>
      </c>
      <c r="G348" t="s">
        <v>438</v>
      </c>
      <c r="H348" t="s">
        <v>1578</v>
      </c>
      <c r="I348" t="s">
        <v>1317</v>
      </c>
      <c r="J348" t="s">
        <v>1335</v>
      </c>
      <c r="K348">
        <v>1</v>
      </c>
    </row>
    <row r="349" spans="1:11" x14ac:dyDescent="0.25">
      <c r="A349">
        <v>253</v>
      </c>
      <c r="C349" t="s">
        <v>39</v>
      </c>
      <c r="D349" t="s">
        <v>458</v>
      </c>
      <c r="E349" s="11" t="s">
        <v>1204</v>
      </c>
      <c r="F349" t="s">
        <v>40</v>
      </c>
      <c r="G349" t="s">
        <v>438</v>
      </c>
      <c r="H349" t="s">
        <v>1578</v>
      </c>
      <c r="I349" t="s">
        <v>1317</v>
      </c>
      <c r="J349" t="s">
        <v>1335</v>
      </c>
      <c r="K349">
        <v>5</v>
      </c>
    </row>
    <row r="350" spans="1:11" x14ac:dyDescent="0.25">
      <c r="A350">
        <v>254</v>
      </c>
      <c r="C350" t="s">
        <v>41</v>
      </c>
      <c r="D350" t="s">
        <v>735</v>
      </c>
      <c r="E350" s="11" t="s">
        <v>1205</v>
      </c>
      <c r="F350" t="s">
        <v>42</v>
      </c>
      <c r="G350" t="s">
        <v>438</v>
      </c>
      <c r="H350" t="s">
        <v>1578</v>
      </c>
      <c r="I350" t="s">
        <v>1317</v>
      </c>
      <c r="J350" t="s">
        <v>1335</v>
      </c>
      <c r="K350">
        <v>2</v>
      </c>
    </row>
    <row r="351" spans="1:11" x14ac:dyDescent="0.25">
      <c r="A351">
        <v>255</v>
      </c>
      <c r="C351" t="s">
        <v>43</v>
      </c>
      <c r="D351" t="s">
        <v>736</v>
      </c>
      <c r="E351" s="11" t="s">
        <v>1206</v>
      </c>
      <c r="F351" t="s">
        <v>44</v>
      </c>
      <c r="G351" t="s">
        <v>438</v>
      </c>
      <c r="H351" t="s">
        <v>1578</v>
      </c>
      <c r="I351" t="s">
        <v>1317</v>
      </c>
      <c r="J351" t="s">
        <v>1335</v>
      </c>
      <c r="K351">
        <v>3</v>
      </c>
    </row>
    <row r="352" spans="1:11" x14ac:dyDescent="0.25">
      <c r="A352">
        <v>256</v>
      </c>
      <c r="C352" t="s">
        <v>45</v>
      </c>
      <c r="D352" t="s">
        <v>460</v>
      </c>
      <c r="E352" s="11" t="s">
        <v>1207</v>
      </c>
      <c r="F352" t="s">
        <v>46</v>
      </c>
      <c r="G352" t="s">
        <v>438</v>
      </c>
      <c r="H352" t="s">
        <v>1578</v>
      </c>
      <c r="I352" t="s">
        <v>1317</v>
      </c>
      <c r="J352" t="s">
        <v>1335</v>
      </c>
      <c r="K352">
        <v>4</v>
      </c>
    </row>
    <row r="353" spans="1:11" x14ac:dyDescent="0.25">
      <c r="A353">
        <v>336</v>
      </c>
      <c r="C353" t="s">
        <v>1537</v>
      </c>
      <c r="D353" t="s">
        <v>359</v>
      </c>
      <c r="E353" s="11" t="s">
        <v>1285</v>
      </c>
      <c r="F353" t="s">
        <v>359</v>
      </c>
      <c r="G353" t="s">
        <v>676</v>
      </c>
      <c r="H353" t="s">
        <v>1579</v>
      </c>
      <c r="I353" t="s">
        <v>1319</v>
      </c>
      <c r="J353" t="s">
        <v>1342</v>
      </c>
      <c r="K353">
        <v>10</v>
      </c>
    </row>
    <row r="354" spans="1:11" x14ac:dyDescent="0.25">
      <c r="A354" t="s">
        <v>750</v>
      </c>
      <c r="C354" t="s">
        <v>439</v>
      </c>
      <c r="D354" t="s">
        <v>749</v>
      </c>
      <c r="E354" s="11" t="s">
        <v>954</v>
      </c>
      <c r="F354" t="s">
        <v>440</v>
      </c>
      <c r="G354" t="s">
        <v>441</v>
      </c>
      <c r="I354" t="s">
        <v>1313</v>
      </c>
      <c r="J354" t="s">
        <v>751</v>
      </c>
    </row>
  </sheetData>
  <sortState ref="A1:K354">
    <sortCondition ref="G1:G354"/>
    <sortCondition ref="A1:A35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13" workbookViewId="0">
      <selection activeCell="A29" sqref="A29:A30"/>
    </sheetView>
  </sheetViews>
  <sheetFormatPr defaultRowHeight="15" x14ac:dyDescent="0.25"/>
  <sheetData>
    <row r="1" spans="1:7" ht="15.75" thickBot="1" x14ac:dyDescent="0.3">
      <c r="A1" s="17" t="s">
        <v>753</v>
      </c>
      <c r="B1" s="19" t="s">
        <v>754</v>
      </c>
      <c r="C1" s="19" t="s">
        <v>755</v>
      </c>
      <c r="D1" s="21" t="s">
        <v>756</v>
      </c>
      <c r="E1" s="22"/>
      <c r="F1" s="23"/>
      <c r="G1" s="17" t="s">
        <v>757</v>
      </c>
    </row>
    <row r="2" spans="1:7" ht="15.75" thickBot="1" x14ac:dyDescent="0.3">
      <c r="A2" s="18"/>
      <c r="B2" s="20"/>
      <c r="C2" s="20"/>
      <c r="D2" s="1" t="s">
        <v>758</v>
      </c>
      <c r="E2" s="1" t="s">
        <v>759</v>
      </c>
      <c r="F2" s="1" t="s">
        <v>760</v>
      </c>
      <c r="G2" s="18"/>
    </row>
    <row r="3" spans="1:7" x14ac:dyDescent="0.25">
      <c r="A3" s="26" t="s">
        <v>761</v>
      </c>
      <c r="B3" s="28" t="s">
        <v>762</v>
      </c>
      <c r="C3" s="2" t="s">
        <v>763</v>
      </c>
      <c r="D3" s="30" t="s">
        <v>765</v>
      </c>
      <c r="E3" s="30" t="s">
        <v>765</v>
      </c>
      <c r="F3" s="30" t="s">
        <v>766</v>
      </c>
      <c r="G3" s="24" t="s">
        <v>766</v>
      </c>
    </row>
    <row r="4" spans="1:7" ht="30.75" thickBot="1" x14ac:dyDescent="0.3">
      <c r="A4" s="27"/>
      <c r="B4" s="29"/>
      <c r="C4" s="3" t="s">
        <v>764</v>
      </c>
      <c r="D4" s="31"/>
      <c r="E4" s="31"/>
      <c r="F4" s="31"/>
      <c r="G4" s="25"/>
    </row>
    <row r="5" spans="1:7" x14ac:dyDescent="0.25">
      <c r="A5" s="26" t="s">
        <v>767</v>
      </c>
      <c r="B5" s="28" t="s">
        <v>768</v>
      </c>
      <c r="C5" s="4" t="s">
        <v>769</v>
      </c>
      <c r="D5" s="30" t="s">
        <v>771</v>
      </c>
      <c r="E5" s="30" t="s">
        <v>772</v>
      </c>
      <c r="F5" s="30" t="s">
        <v>773</v>
      </c>
      <c r="G5" s="24" t="s">
        <v>774</v>
      </c>
    </row>
    <row r="6" spans="1:7" ht="54" thickBot="1" x14ac:dyDescent="0.3">
      <c r="A6" s="27"/>
      <c r="B6" s="29"/>
      <c r="C6" s="5" t="s">
        <v>770</v>
      </c>
      <c r="D6" s="31"/>
      <c r="E6" s="31"/>
      <c r="F6" s="31"/>
      <c r="G6" s="25"/>
    </row>
    <row r="7" spans="1:7" ht="24" thickBot="1" x14ac:dyDescent="0.4">
      <c r="A7" s="6" t="s">
        <v>775</v>
      </c>
      <c r="B7" s="7" t="s">
        <v>776</v>
      </c>
      <c r="C7" s="8" t="s">
        <v>777</v>
      </c>
      <c r="D7" s="9" t="s">
        <v>778</v>
      </c>
      <c r="E7" s="9" t="s">
        <v>779</v>
      </c>
      <c r="F7" s="9" t="s">
        <v>780</v>
      </c>
      <c r="G7" s="8" t="s">
        <v>781</v>
      </c>
    </row>
    <row r="8" spans="1:7" ht="28.5" thickBot="1" x14ac:dyDescent="0.4">
      <c r="A8" s="6" t="s">
        <v>782</v>
      </c>
      <c r="B8" s="7" t="s">
        <v>783</v>
      </c>
      <c r="C8" s="8" t="s">
        <v>784</v>
      </c>
      <c r="D8" s="9" t="s">
        <v>785</v>
      </c>
      <c r="E8" s="9" t="s">
        <v>786</v>
      </c>
      <c r="F8" s="9" t="s">
        <v>787</v>
      </c>
      <c r="G8" s="8" t="s">
        <v>788</v>
      </c>
    </row>
    <row r="9" spans="1:7" ht="30" thickBot="1" x14ac:dyDescent="0.4">
      <c r="A9" s="6" t="s">
        <v>789</v>
      </c>
      <c r="B9" s="7" t="s">
        <v>790</v>
      </c>
      <c r="C9" s="6" t="s">
        <v>791</v>
      </c>
      <c r="D9" s="9" t="s">
        <v>792</v>
      </c>
      <c r="E9" s="9" t="s">
        <v>793</v>
      </c>
      <c r="F9" s="9" t="s">
        <v>794</v>
      </c>
      <c r="G9" s="8" t="s">
        <v>795</v>
      </c>
    </row>
    <row r="10" spans="1:7" ht="24" thickBot="1" x14ac:dyDescent="0.4">
      <c r="A10" s="6" t="s">
        <v>796</v>
      </c>
      <c r="B10" s="7" t="s">
        <v>797</v>
      </c>
      <c r="C10" s="8" t="s">
        <v>798</v>
      </c>
      <c r="D10" s="9" t="s">
        <v>799</v>
      </c>
      <c r="E10" s="9" t="s">
        <v>800</v>
      </c>
      <c r="F10" s="9" t="s">
        <v>801</v>
      </c>
      <c r="G10" s="8" t="s">
        <v>802</v>
      </c>
    </row>
    <row r="11" spans="1:7" ht="28.5" thickBot="1" x14ac:dyDescent="0.4">
      <c r="A11" s="6" t="s">
        <v>803</v>
      </c>
      <c r="B11" s="7" t="s">
        <v>804</v>
      </c>
      <c r="C11" s="8" t="s">
        <v>805</v>
      </c>
      <c r="D11" s="9" t="s">
        <v>806</v>
      </c>
      <c r="E11" s="9" t="s">
        <v>807</v>
      </c>
      <c r="F11" s="9" t="s">
        <v>808</v>
      </c>
      <c r="G11" s="8" t="s">
        <v>809</v>
      </c>
    </row>
    <row r="12" spans="1:7" ht="24" thickBot="1" x14ac:dyDescent="0.4">
      <c r="A12" s="6" t="s">
        <v>810</v>
      </c>
      <c r="B12" s="7" t="s">
        <v>811</v>
      </c>
      <c r="C12" s="8" t="s">
        <v>812</v>
      </c>
      <c r="D12" s="9" t="s">
        <v>813</v>
      </c>
      <c r="E12" s="9" t="s">
        <v>813</v>
      </c>
      <c r="F12" s="9" t="s">
        <v>814</v>
      </c>
      <c r="G12" s="8" t="s">
        <v>814</v>
      </c>
    </row>
    <row r="13" spans="1:7" ht="28.5" thickBot="1" x14ac:dyDescent="0.4">
      <c r="A13" s="6" t="s">
        <v>815</v>
      </c>
      <c r="B13" s="7" t="s">
        <v>816</v>
      </c>
      <c r="C13" s="8" t="s">
        <v>817</v>
      </c>
      <c r="D13" s="9" t="s">
        <v>818</v>
      </c>
      <c r="E13" s="9" t="s">
        <v>818</v>
      </c>
      <c r="F13" s="9" t="s">
        <v>819</v>
      </c>
      <c r="G13" s="8" t="s">
        <v>819</v>
      </c>
    </row>
    <row r="14" spans="1:7" ht="24" thickBot="1" x14ac:dyDescent="0.4">
      <c r="A14" s="6" t="s">
        <v>820</v>
      </c>
      <c r="B14" s="7" t="s">
        <v>821</v>
      </c>
      <c r="C14" s="8" t="s">
        <v>822</v>
      </c>
      <c r="D14" s="9" t="s">
        <v>823</v>
      </c>
      <c r="E14" s="9" t="s">
        <v>823</v>
      </c>
      <c r="F14" s="9" t="s">
        <v>824</v>
      </c>
      <c r="G14" s="8" t="s">
        <v>824</v>
      </c>
    </row>
    <row r="15" spans="1:7" ht="28.5" thickBot="1" x14ac:dyDescent="0.4">
      <c r="A15" s="6" t="s">
        <v>825</v>
      </c>
      <c r="B15" s="7" t="s">
        <v>826</v>
      </c>
      <c r="C15" s="8" t="s">
        <v>827</v>
      </c>
      <c r="D15" s="9" t="s">
        <v>828</v>
      </c>
      <c r="E15" s="9" t="s">
        <v>828</v>
      </c>
      <c r="F15" s="9" t="s">
        <v>829</v>
      </c>
      <c r="G15" s="8" t="s">
        <v>829</v>
      </c>
    </row>
    <row r="16" spans="1:7" ht="24" thickBot="1" x14ac:dyDescent="0.4">
      <c r="A16" s="6" t="s">
        <v>830</v>
      </c>
      <c r="B16" s="7" t="s">
        <v>831</v>
      </c>
      <c r="C16" s="8" t="s">
        <v>832</v>
      </c>
      <c r="D16" s="9" t="s">
        <v>833</v>
      </c>
      <c r="E16" s="9" t="s">
        <v>834</v>
      </c>
      <c r="F16" s="9" t="s">
        <v>835</v>
      </c>
      <c r="G16" s="8" t="s">
        <v>836</v>
      </c>
    </row>
    <row r="17" spans="1:7" ht="28.5" thickBot="1" x14ac:dyDescent="0.4">
      <c r="A17" s="6" t="s">
        <v>837</v>
      </c>
      <c r="B17" s="7" t="s">
        <v>838</v>
      </c>
      <c r="C17" s="8" t="s">
        <v>839</v>
      </c>
      <c r="D17" s="9" t="s">
        <v>840</v>
      </c>
      <c r="E17" s="9" t="s">
        <v>841</v>
      </c>
      <c r="F17" s="9" t="s">
        <v>842</v>
      </c>
      <c r="G17" s="8" t="s">
        <v>843</v>
      </c>
    </row>
    <row r="18" spans="1:7" ht="24" thickBot="1" x14ac:dyDescent="0.4">
      <c r="A18" s="6" t="s">
        <v>844</v>
      </c>
      <c r="B18" s="7" t="s">
        <v>845</v>
      </c>
      <c r="C18" s="8" t="s">
        <v>846</v>
      </c>
      <c r="D18" s="9" t="s">
        <v>847</v>
      </c>
      <c r="E18" s="9" t="s">
        <v>848</v>
      </c>
      <c r="F18" s="9" t="s">
        <v>849</v>
      </c>
      <c r="G18" s="8" t="s">
        <v>850</v>
      </c>
    </row>
    <row r="19" spans="1:7" ht="24" thickBot="1" x14ac:dyDescent="0.4">
      <c r="A19" s="6" t="s">
        <v>851</v>
      </c>
      <c r="B19" s="7" t="s">
        <v>852</v>
      </c>
      <c r="C19" s="8" t="s">
        <v>853</v>
      </c>
      <c r="D19" s="9" t="s">
        <v>854</v>
      </c>
      <c r="E19" s="9" t="s">
        <v>855</v>
      </c>
      <c r="F19" s="9" t="s">
        <v>856</v>
      </c>
      <c r="G19" s="8" t="s">
        <v>857</v>
      </c>
    </row>
    <row r="20" spans="1:7" ht="24" thickBot="1" x14ac:dyDescent="0.4">
      <c r="A20" s="6" t="s">
        <v>858</v>
      </c>
      <c r="B20" s="7" t="s">
        <v>859</v>
      </c>
      <c r="C20" s="8" t="s">
        <v>860</v>
      </c>
      <c r="D20" s="9" t="s">
        <v>861</v>
      </c>
      <c r="E20" s="9" t="s">
        <v>862</v>
      </c>
      <c r="F20" s="9" t="s">
        <v>863</v>
      </c>
      <c r="G20" s="8" t="s">
        <v>864</v>
      </c>
    </row>
    <row r="21" spans="1:7" ht="24" thickBot="1" x14ac:dyDescent="0.4">
      <c r="A21" s="6" t="s">
        <v>865</v>
      </c>
      <c r="B21" s="7" t="s">
        <v>866</v>
      </c>
      <c r="C21" s="6" t="s">
        <v>867</v>
      </c>
      <c r="D21" s="9" t="s">
        <v>868</v>
      </c>
      <c r="E21" s="9" t="s">
        <v>869</v>
      </c>
      <c r="F21" s="9" t="s">
        <v>870</v>
      </c>
      <c r="G21" s="8" t="s">
        <v>871</v>
      </c>
    </row>
    <row r="22" spans="1:7" ht="33" thickBot="1" x14ac:dyDescent="0.4">
      <c r="A22" s="6" t="s">
        <v>872</v>
      </c>
      <c r="B22" s="10" t="s">
        <v>873</v>
      </c>
      <c r="C22" s="8" t="s">
        <v>874</v>
      </c>
      <c r="D22" s="9" t="s">
        <v>875</v>
      </c>
      <c r="E22" s="9" t="s">
        <v>876</v>
      </c>
      <c r="F22" s="9" t="s">
        <v>877</v>
      </c>
      <c r="G22" s="8" t="s">
        <v>878</v>
      </c>
    </row>
    <row r="23" spans="1:7" x14ac:dyDescent="0.25">
      <c r="A23" s="26" t="s">
        <v>879</v>
      </c>
      <c r="B23" s="28" t="s">
        <v>880</v>
      </c>
      <c r="C23" s="4" t="s">
        <v>881</v>
      </c>
      <c r="D23" s="30" t="s">
        <v>883</v>
      </c>
      <c r="E23" s="30" t="s">
        <v>884</v>
      </c>
      <c r="F23" s="30" t="s">
        <v>885</v>
      </c>
      <c r="G23" s="24" t="s">
        <v>886</v>
      </c>
    </row>
    <row r="24" spans="1:7" ht="54" thickBot="1" x14ac:dyDescent="0.3">
      <c r="A24" s="27"/>
      <c r="B24" s="29"/>
      <c r="C24" s="5" t="s">
        <v>882</v>
      </c>
      <c r="D24" s="31"/>
      <c r="E24" s="31"/>
      <c r="F24" s="31"/>
      <c r="G24" s="25"/>
    </row>
    <row r="25" spans="1:7" x14ac:dyDescent="0.25">
      <c r="A25" s="26" t="s">
        <v>887</v>
      </c>
      <c r="B25" s="28" t="s">
        <v>888</v>
      </c>
      <c r="C25" s="4" t="s">
        <v>889</v>
      </c>
      <c r="D25" s="30" t="s">
        <v>891</v>
      </c>
      <c r="E25" s="30" t="s">
        <v>892</v>
      </c>
      <c r="F25" s="30" t="s">
        <v>893</v>
      </c>
      <c r="G25" s="32" t="s">
        <v>894</v>
      </c>
    </row>
    <row r="26" spans="1:7" ht="54" thickBot="1" x14ac:dyDescent="0.3">
      <c r="A26" s="27"/>
      <c r="B26" s="29"/>
      <c r="C26" s="5" t="s">
        <v>890</v>
      </c>
      <c r="D26" s="31"/>
      <c r="E26" s="31"/>
      <c r="F26" s="31"/>
      <c r="G26" s="33"/>
    </row>
    <row r="27" spans="1:7" x14ac:dyDescent="0.25">
      <c r="A27" s="26" t="s">
        <v>895</v>
      </c>
      <c r="B27" s="28" t="s">
        <v>896</v>
      </c>
      <c r="C27" s="4" t="s">
        <v>897</v>
      </c>
      <c r="D27" s="30" t="s">
        <v>898</v>
      </c>
      <c r="E27" s="30" t="s">
        <v>899</v>
      </c>
      <c r="F27" s="30" t="s">
        <v>900</v>
      </c>
      <c r="G27" s="32" t="s">
        <v>901</v>
      </c>
    </row>
    <row r="28" spans="1:7" ht="54" thickBot="1" x14ac:dyDescent="0.3">
      <c r="A28" s="27"/>
      <c r="B28" s="29"/>
      <c r="C28" s="5" t="s">
        <v>882</v>
      </c>
      <c r="D28" s="31"/>
      <c r="E28" s="31"/>
      <c r="F28" s="31"/>
      <c r="G28" s="33"/>
    </row>
    <row r="29" spans="1:7" x14ac:dyDescent="0.25">
      <c r="A29" s="26" t="s">
        <v>902</v>
      </c>
      <c r="B29" s="28" t="s">
        <v>903</v>
      </c>
      <c r="C29" s="4" t="s">
        <v>904</v>
      </c>
      <c r="D29" s="30" t="s">
        <v>905</v>
      </c>
      <c r="E29" s="30" t="s">
        <v>906</v>
      </c>
      <c r="F29" s="30" t="s">
        <v>907</v>
      </c>
      <c r="G29" s="24" t="s">
        <v>908</v>
      </c>
    </row>
    <row r="30" spans="1:7" ht="54" thickBot="1" x14ac:dyDescent="0.3">
      <c r="A30" s="27"/>
      <c r="B30" s="29"/>
      <c r="C30" s="5" t="s">
        <v>882</v>
      </c>
      <c r="D30" s="31"/>
      <c r="E30" s="31"/>
      <c r="F30" s="31"/>
      <c r="G30" s="25"/>
    </row>
    <row r="31" spans="1:7" ht="24" thickBot="1" x14ac:dyDescent="0.4">
      <c r="A31" s="6" t="s">
        <v>909</v>
      </c>
      <c r="B31" s="7" t="s">
        <v>910</v>
      </c>
      <c r="C31" s="8" t="s">
        <v>911</v>
      </c>
      <c r="D31" s="9" t="s">
        <v>912</v>
      </c>
      <c r="E31" s="9" t="s">
        <v>913</v>
      </c>
      <c r="F31" s="9" t="s">
        <v>914</v>
      </c>
      <c r="G31" s="8" t="s">
        <v>915</v>
      </c>
    </row>
    <row r="32" spans="1:7" ht="24" thickBot="1" x14ac:dyDescent="0.4">
      <c r="A32" s="6" t="s">
        <v>916</v>
      </c>
      <c r="B32" s="7" t="s">
        <v>917</v>
      </c>
      <c r="C32" s="8" t="s">
        <v>918</v>
      </c>
      <c r="D32" s="9" t="s">
        <v>919</v>
      </c>
      <c r="E32" s="9" t="s">
        <v>920</v>
      </c>
      <c r="F32" s="9" t="s">
        <v>921</v>
      </c>
      <c r="G32" s="8" t="s">
        <v>922</v>
      </c>
    </row>
    <row r="33" spans="1:7" ht="24" thickBot="1" x14ac:dyDescent="0.4">
      <c r="A33" s="6" t="s">
        <v>923</v>
      </c>
      <c r="B33" s="7" t="s">
        <v>924</v>
      </c>
      <c r="C33" s="8" t="s">
        <v>925</v>
      </c>
      <c r="D33" s="9" t="s">
        <v>926</v>
      </c>
      <c r="E33" s="9" t="s">
        <v>927</v>
      </c>
      <c r="F33" s="9" t="s">
        <v>928</v>
      </c>
      <c r="G33" s="8" t="s">
        <v>929</v>
      </c>
    </row>
    <row r="34" spans="1:7" ht="24" thickBot="1" x14ac:dyDescent="0.4">
      <c r="A34" s="6" t="s">
        <v>930</v>
      </c>
      <c r="B34" s="7" t="s">
        <v>931</v>
      </c>
      <c r="C34" s="8" t="s">
        <v>932</v>
      </c>
      <c r="D34" s="9" t="s">
        <v>933</v>
      </c>
      <c r="E34" s="9" t="s">
        <v>934</v>
      </c>
      <c r="F34" s="9" t="s">
        <v>935</v>
      </c>
      <c r="G34" s="8" t="s">
        <v>936</v>
      </c>
    </row>
    <row r="35" spans="1:7" ht="30" x14ac:dyDescent="0.25">
      <c r="A35" s="26" t="s">
        <v>937</v>
      </c>
      <c r="B35" s="28" t="s">
        <v>938</v>
      </c>
      <c r="C35" s="4" t="s">
        <v>939</v>
      </c>
      <c r="D35" s="30" t="s">
        <v>941</v>
      </c>
      <c r="E35" s="30" t="s">
        <v>941</v>
      </c>
      <c r="F35" s="30" t="s">
        <v>942</v>
      </c>
      <c r="G35" s="24" t="s">
        <v>942</v>
      </c>
    </row>
    <row r="36" spans="1:7" ht="78" thickBot="1" x14ac:dyDescent="0.3">
      <c r="A36" s="27"/>
      <c r="B36" s="29"/>
      <c r="C36" s="5" t="s">
        <v>940</v>
      </c>
      <c r="D36" s="31"/>
      <c r="E36" s="31"/>
      <c r="F36" s="31"/>
      <c r="G36" s="25"/>
    </row>
    <row r="37" spans="1:7" ht="30" x14ac:dyDescent="0.25">
      <c r="A37" s="26" t="s">
        <v>943</v>
      </c>
      <c r="B37" s="28" t="s">
        <v>944</v>
      </c>
      <c r="C37" s="4" t="s">
        <v>945</v>
      </c>
      <c r="D37" s="30" t="s">
        <v>947</v>
      </c>
      <c r="E37" s="30" t="s">
        <v>948</v>
      </c>
      <c r="F37" s="30" t="s">
        <v>949</v>
      </c>
      <c r="G37" s="32" t="s">
        <v>950</v>
      </c>
    </row>
    <row r="38" spans="1:7" ht="78" thickBot="1" x14ac:dyDescent="0.3">
      <c r="A38" s="27"/>
      <c r="B38" s="29"/>
      <c r="C38" s="5" t="s">
        <v>946</v>
      </c>
      <c r="D38" s="31"/>
      <c r="E38" s="31"/>
      <c r="F38" s="31"/>
      <c r="G38" s="33"/>
    </row>
  </sheetData>
  <mergeCells count="53">
    <mergeCell ref="G37:G38"/>
    <mergeCell ref="A35:A36"/>
    <mergeCell ref="B35:B36"/>
    <mergeCell ref="D35:D36"/>
    <mergeCell ref="E35:E36"/>
    <mergeCell ref="F35:F36"/>
    <mergeCell ref="G35:G36"/>
    <mergeCell ref="A37:A38"/>
    <mergeCell ref="B37:B38"/>
    <mergeCell ref="D37:D38"/>
    <mergeCell ref="E37:E38"/>
    <mergeCell ref="F37:F38"/>
    <mergeCell ref="G29:G30"/>
    <mergeCell ref="A27:A28"/>
    <mergeCell ref="B27:B28"/>
    <mergeCell ref="D27:D28"/>
    <mergeCell ref="E27:E28"/>
    <mergeCell ref="F27:F28"/>
    <mergeCell ref="G27:G28"/>
    <mergeCell ref="A29:A30"/>
    <mergeCell ref="B29:B30"/>
    <mergeCell ref="D29:D30"/>
    <mergeCell ref="E29:E30"/>
    <mergeCell ref="F29:F30"/>
    <mergeCell ref="G25:G26"/>
    <mergeCell ref="A23:A24"/>
    <mergeCell ref="B23:B24"/>
    <mergeCell ref="D23:D24"/>
    <mergeCell ref="E23:E24"/>
    <mergeCell ref="F23:F24"/>
    <mergeCell ref="G23:G24"/>
    <mergeCell ref="A25:A26"/>
    <mergeCell ref="B25:B26"/>
    <mergeCell ref="D25:D26"/>
    <mergeCell ref="E25:E26"/>
    <mergeCell ref="F25:F26"/>
    <mergeCell ref="G3:G4"/>
    <mergeCell ref="A5:A6"/>
    <mergeCell ref="B5:B6"/>
    <mergeCell ref="D5:D6"/>
    <mergeCell ref="E5:E6"/>
    <mergeCell ref="F5:F6"/>
    <mergeCell ref="G5:G6"/>
    <mergeCell ref="A3:A4"/>
    <mergeCell ref="B3:B4"/>
    <mergeCell ref="D3:D4"/>
    <mergeCell ref="E3:E4"/>
    <mergeCell ref="F3:F4"/>
    <mergeCell ref="A1:A2"/>
    <mergeCell ref="B1:B2"/>
    <mergeCell ref="C1:C2"/>
    <mergeCell ref="D1:F1"/>
    <mergeCell ref="G1:G2"/>
  </mergeCells>
  <hyperlinks>
    <hyperlink ref="B1" r:id="rId1" tooltip="Romanization of Arabic" display="http://en.wikipedia.org/wiki/Romanization_of_Arabic"/>
    <hyperlink ref="C1" r:id="rId2" tooltip="International Phonetic Alphabet" display="http://en.wikipedia.org/wiki/International_Phonetic_Alphabet"/>
    <hyperlink ref="C4" r:id="rId3" location="endnote_a" display="http://en.wikipedia.org/wiki/Arabic_alphabet - endnote_a"/>
    <hyperlink ref="G3" r:id="rId4" tooltip="ا" display="http://en.wikipedia.org/wiki/%D8%A7"/>
    <hyperlink ref="C5" r:id="rId5" tooltip="Voiced bilabial stop" display="http://en.wikipedia.org/wiki/Voiced_bilabial_stop"/>
    <hyperlink ref="G5" r:id="rId6" tooltip="ب" display="http://en.wikipedia.org/wiki/%D8%A8"/>
    <hyperlink ref="C7" r:id="rId7" tooltip="Voiceless alveolar stop" display="http://en.wikipedia.org/wiki/Voiceless_alveolar_stop"/>
    <hyperlink ref="G7" r:id="rId8" tooltip="ت" display="http://en.wikipedia.org/wiki/%D8%AA"/>
    <hyperlink ref="C8" r:id="rId9" tooltip="Voiceless dental non-sibilant fricative" display="http://en.wikipedia.org/wiki/Voiceless_dental_non-sibilant_fricative"/>
    <hyperlink ref="G8" r:id="rId10" tooltip="ث" display="http://en.wikipedia.org/wiki/%D8%AB"/>
    <hyperlink ref="G9" r:id="rId11" tooltip="ج" display="http://en.wikipedia.org/wiki/%D8%AC"/>
    <hyperlink ref="C10" r:id="rId12" tooltip="Voiceless pharyngeal fricative" display="http://en.wikipedia.org/wiki/Voiceless_pharyngeal_fricative"/>
    <hyperlink ref="G10" r:id="rId13" tooltip="ح" display="http://en.wikipedia.org/wiki/%D8%AD"/>
    <hyperlink ref="C11" r:id="rId14" tooltip="Voiceless velar fricative" display="http://en.wikipedia.org/wiki/Voiceless_velar_fricative"/>
    <hyperlink ref="G11" r:id="rId15" tooltip="خ" display="http://en.wikipedia.org/wiki/%D8%AE"/>
    <hyperlink ref="C12" r:id="rId16" tooltip="Voiced alveolar stop" display="http://en.wikipedia.org/wiki/Voiced_alveolar_stop"/>
    <hyperlink ref="G12" r:id="rId17" tooltip="د" display="http://en.wikipedia.org/wiki/%D8%AF"/>
    <hyperlink ref="C13" r:id="rId18" tooltip="Voiced dental fricative" display="http://en.wikipedia.org/wiki/Voiced_dental_fricative"/>
    <hyperlink ref="G13" r:id="rId19" tooltip="ذ" display="http://en.wikipedia.org/wiki/%D8%B0"/>
    <hyperlink ref="C14" r:id="rId20" tooltip="Alveolar trill" display="http://en.wikipedia.org/wiki/Alveolar_trill"/>
    <hyperlink ref="G14" r:id="rId21" tooltip="ر" display="http://en.wikipedia.org/wiki/%D8%B1"/>
    <hyperlink ref="C15" r:id="rId22" tooltip="Voiced alveolar sibilant" display="http://en.wikipedia.org/wiki/Voiced_alveolar_sibilant"/>
    <hyperlink ref="G15" r:id="rId23" tooltip="ز" display="http://en.wikipedia.org/wiki/%D8%B2"/>
    <hyperlink ref="C16" r:id="rId24" tooltip="Voiceless alveolar sibilant" display="http://en.wikipedia.org/wiki/Voiceless_alveolar_sibilant"/>
    <hyperlink ref="G16" r:id="rId25" tooltip="س" display="http://en.wikipedia.org/wiki/%D8%B3"/>
    <hyperlink ref="C17" r:id="rId26" tooltip="Voiceless palato-alveolar sibilant" display="http://en.wikipedia.org/wiki/Voiceless_palato-alveolar_sibilant"/>
    <hyperlink ref="G17" r:id="rId27" tooltip="ش" display="http://en.wikipedia.org/wiki/%D8%B4"/>
    <hyperlink ref="C18" r:id="rId28" tooltip="Pharyngealization" display="http://en.wikipedia.org/wiki/Pharyngealization"/>
    <hyperlink ref="G18" r:id="rId29" tooltip="ص" display="http://en.wikipedia.org/wiki/%D8%B5"/>
    <hyperlink ref="C19" r:id="rId30" tooltip="Pharyngealization" display="http://en.wikipedia.org/wiki/Pharyngealization"/>
    <hyperlink ref="G19" r:id="rId31" tooltip="ض" display="http://en.wikipedia.org/wiki/%D8%B6"/>
    <hyperlink ref="C20" r:id="rId32" tooltip="Pharyngealization" display="http://en.wikipedia.org/wiki/Pharyngealization"/>
    <hyperlink ref="G20" r:id="rId33" tooltip="ط" display="http://en.wikipedia.org/wiki/%D8%B7"/>
    <hyperlink ref="G21" r:id="rId34" tooltip="ظ" display="http://en.wikipedia.org/wiki/%D8%B8"/>
    <hyperlink ref="C22" r:id="rId35" tooltip="Voiced pharyngeal fricative" display="http://en.wikipedia.org/wiki/Voiced_pharyngeal_fricative"/>
    <hyperlink ref="G22" r:id="rId36" tooltip="ع" display="http://en.wikipedia.org/wiki/%D8%B9"/>
    <hyperlink ref="C23" r:id="rId37" tooltip="Voiced velar fricative" display="http://en.wikipedia.org/wiki/Voiced_velar_fricative"/>
    <hyperlink ref="G23" r:id="rId38" tooltip="غ" display="http://en.wikipedia.org/wiki/%D8%BA"/>
    <hyperlink ref="C25" r:id="rId39" tooltip="Voiceless labiodental fricative" display="http://en.wikipedia.org/wiki/Voiceless_labiodental_fricative"/>
    <hyperlink ref="C27" r:id="rId40" tooltip="Voiceless uvular stop" display="http://en.wikipedia.org/wiki/Voiceless_uvular_stop"/>
    <hyperlink ref="C29" r:id="rId41" tooltip="Voiceless velar stop" display="http://en.wikipedia.org/wiki/Voiceless_velar_stop"/>
    <hyperlink ref="G29" r:id="rId42" tooltip="ك" display="http://en.wikipedia.org/wiki/%D9%83"/>
    <hyperlink ref="C31" r:id="rId43" tooltip="Alveolar lateral approximant" display="http://en.wikipedia.org/wiki/Alveolar_lateral_approximant"/>
    <hyperlink ref="G31" r:id="rId44" tooltip="ل" display="http://en.wikipedia.org/wiki/%D9%84"/>
    <hyperlink ref="C32" r:id="rId45" tooltip="Bilabial nasal" display="http://en.wikipedia.org/wiki/Bilabial_nasal"/>
    <hyperlink ref="G32" r:id="rId46" tooltip="م" display="http://en.wikipedia.org/wiki/%D9%85"/>
    <hyperlink ref="C33" r:id="rId47" tooltip="Alveolar nasal" display="http://en.wikipedia.org/wiki/Alveolar_nasal"/>
    <hyperlink ref="G33" r:id="rId48" tooltip="ن" display="http://en.wikipedia.org/wiki/%D9%86"/>
    <hyperlink ref="C34" r:id="rId49" tooltip="Voiceless glottal fricative" display="http://en.wikipedia.org/wiki/Voiceless_glottal_fricative"/>
    <hyperlink ref="G34" r:id="rId50" tooltip="ه" display="http://en.wikipedia.org/wiki/%D9%87"/>
    <hyperlink ref="C35" r:id="rId51" tooltip="Labio-velar approximant" display="http://en.wikipedia.org/wiki/Labio-velar_approximant"/>
    <hyperlink ref="G35" r:id="rId52" tooltip="و" display="http://en.wikipedia.org/wiki/%D9%88"/>
    <hyperlink ref="C37" r:id="rId53" tooltip="Palatal approximant" display="http://en.wikipedia.org/wiki/Palatal_approximant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>
      <selection activeCell="A28" sqref="A28"/>
    </sheetView>
  </sheetViews>
  <sheetFormatPr defaultRowHeight="15" x14ac:dyDescent="0.25"/>
  <sheetData>
    <row r="1" spans="1:1" x14ac:dyDescent="0.25">
      <c r="A1" t="s">
        <v>766</v>
      </c>
    </row>
    <row r="2" spans="1:1" x14ac:dyDescent="0.25">
      <c r="A2" t="s">
        <v>774</v>
      </c>
    </row>
    <row r="3" spans="1:1" x14ac:dyDescent="0.25">
      <c r="A3" t="s">
        <v>781</v>
      </c>
    </row>
    <row r="4" spans="1:1" x14ac:dyDescent="0.25">
      <c r="A4" t="s">
        <v>788</v>
      </c>
    </row>
    <row r="5" spans="1:1" x14ac:dyDescent="0.25">
      <c r="A5" t="s">
        <v>795</v>
      </c>
    </row>
    <row r="6" spans="1:1" x14ac:dyDescent="0.25">
      <c r="A6" t="s">
        <v>802</v>
      </c>
    </row>
    <row r="7" spans="1:1" x14ac:dyDescent="0.25">
      <c r="A7" t="s">
        <v>809</v>
      </c>
    </row>
    <row r="8" spans="1:1" x14ac:dyDescent="0.25">
      <c r="A8" t="s">
        <v>814</v>
      </c>
    </row>
    <row r="9" spans="1:1" x14ac:dyDescent="0.25">
      <c r="A9" t="s">
        <v>819</v>
      </c>
    </row>
    <row r="10" spans="1:1" x14ac:dyDescent="0.25">
      <c r="A10" t="s">
        <v>824</v>
      </c>
    </row>
    <row r="11" spans="1:1" x14ac:dyDescent="0.25">
      <c r="A11" t="s">
        <v>829</v>
      </c>
    </row>
    <row r="12" spans="1:1" x14ac:dyDescent="0.25">
      <c r="A12" t="s">
        <v>836</v>
      </c>
    </row>
    <row r="13" spans="1:1" x14ac:dyDescent="0.25">
      <c r="A13" t="s">
        <v>843</v>
      </c>
    </row>
    <row r="14" spans="1:1" x14ac:dyDescent="0.25">
      <c r="A14" t="s">
        <v>850</v>
      </c>
    </row>
    <row r="15" spans="1:1" x14ac:dyDescent="0.25">
      <c r="A15" t="s">
        <v>857</v>
      </c>
    </row>
    <row r="16" spans="1:1" x14ac:dyDescent="0.25">
      <c r="A16" t="s">
        <v>864</v>
      </c>
    </row>
    <row r="17" spans="1:1" x14ac:dyDescent="0.25">
      <c r="A17" t="s">
        <v>871</v>
      </c>
    </row>
    <row r="18" spans="1:1" x14ac:dyDescent="0.25">
      <c r="A18" t="s">
        <v>878</v>
      </c>
    </row>
    <row r="19" spans="1:1" x14ac:dyDescent="0.25">
      <c r="A19" t="s">
        <v>886</v>
      </c>
    </row>
    <row r="20" spans="1:1" x14ac:dyDescent="0.25">
      <c r="A20" t="s">
        <v>951</v>
      </c>
    </row>
    <row r="21" spans="1:1" x14ac:dyDescent="0.25">
      <c r="A21" t="s">
        <v>952</v>
      </c>
    </row>
    <row r="22" spans="1:1" x14ac:dyDescent="0.25">
      <c r="A22" t="s">
        <v>908</v>
      </c>
    </row>
    <row r="23" spans="1:1" x14ac:dyDescent="0.25">
      <c r="A23" t="s">
        <v>915</v>
      </c>
    </row>
    <row r="24" spans="1:1" x14ac:dyDescent="0.25">
      <c r="A24" t="s">
        <v>922</v>
      </c>
    </row>
    <row r="25" spans="1:1" x14ac:dyDescent="0.25">
      <c r="A25" t="s">
        <v>929</v>
      </c>
    </row>
    <row r="26" spans="1:1" x14ac:dyDescent="0.25">
      <c r="A26" t="s">
        <v>936</v>
      </c>
    </row>
    <row r="27" spans="1:1" x14ac:dyDescent="0.25">
      <c r="A27" t="s">
        <v>942</v>
      </c>
    </row>
    <row r="28" spans="1:1" x14ac:dyDescent="0.25">
      <c r="A28" t="s">
        <v>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6"/>
  <sheetViews>
    <sheetView workbookViewId="0">
      <selection activeCell="G699" sqref="G699"/>
    </sheetView>
  </sheetViews>
  <sheetFormatPr defaultRowHeight="15" x14ac:dyDescent="0.25"/>
  <cols>
    <col min="1" max="1" width="19.85546875" style="16" customWidth="1"/>
    <col min="6" max="6" width="35.140625" customWidth="1"/>
    <col min="7" max="7" width="31.42578125" style="12" customWidth="1"/>
    <col min="13" max="13" width="28.7109375" customWidth="1"/>
  </cols>
  <sheetData>
    <row r="1" spans="1:13" x14ac:dyDescent="0.25">
      <c r="A1" s="15" t="str">
        <f>HYPERLINK("https://www.youtube.com/watch?v=e_dFFaECK5E","Video Lesson 4")</f>
        <v>Video Lesson 4</v>
      </c>
      <c r="B1" t="s">
        <v>1314</v>
      </c>
      <c r="C1" t="s">
        <v>1320</v>
      </c>
      <c r="D1">
        <v>1</v>
      </c>
      <c r="E1">
        <v>1</v>
      </c>
      <c r="F1" s="13" t="str">
        <f>HYPERLINK("https://www.youtube.com/watch?v=YMwQ4agNMPI","Video Lesson '2nd Valentine'")</f>
        <v>Video Lesson '2nd Valentine'</v>
      </c>
      <c r="G1" t="s">
        <v>1611</v>
      </c>
      <c r="H1" s="12" t="s">
        <v>1603</v>
      </c>
      <c r="M1" t="str">
        <f>"=hyperlink"&amp;"("&amp;""""&amp;H1&amp;""""&amp;","&amp;""""&amp;G1&amp;""""&amp;")"</f>
        <v>=hyperlink("https://www.youtube.com/watch?v=YMwQ4agNMPI","Video Lesson '2nd Valentine'")</v>
      </c>
    </row>
    <row r="2" spans="1:13" x14ac:dyDescent="0.25">
      <c r="E2">
        <v>1</v>
      </c>
      <c r="F2" s="13" t="str">
        <f>HYPERLINK("https://www.youtube.com/watch?v=EWu4a7ogxVA","Video Lesson 'Improvisation'")</f>
        <v>Video Lesson 'Improvisation'</v>
      </c>
      <c r="G2" t="s">
        <v>1612</v>
      </c>
      <c r="H2" s="12" t="s">
        <v>1609</v>
      </c>
      <c r="M2" t="str">
        <f>"=hyperlink"&amp;"("&amp;""""&amp;H2&amp;""""&amp;","&amp;""""&amp;G2&amp;""""&amp;")"</f>
        <v>=hyperlink("https://www.youtube.com/watch?v=EWu4a7ogxVA","Video Lesson 'Improvisation'")</v>
      </c>
    </row>
    <row r="3" spans="1:13" x14ac:dyDescent="0.25">
      <c r="A3" s="15" t="str">
        <f>HYPERLINK("https://www.youtube.com/watch?v=e_dFFaECK5E","Video Lesson 4")</f>
        <v>Video Lesson 4</v>
      </c>
      <c r="B3" t="s">
        <v>1314</v>
      </c>
      <c r="C3" t="s">
        <v>1320</v>
      </c>
      <c r="D3">
        <v>2</v>
      </c>
      <c r="E3">
        <v>2</v>
      </c>
      <c r="F3" s="13" t="str">
        <f>HYPERLINK("https://www.youtube.com/watch?v=QAEGmTKhMo4","Video Lesson 'Valentine'")</f>
        <v>Video Lesson 'Valentine'</v>
      </c>
      <c r="G3" t="s">
        <v>1613</v>
      </c>
      <c r="H3" s="12" t="s">
        <v>1583</v>
      </c>
      <c r="M3" t="str">
        <f t="shared" ref="M3:M28" si="0">"=hyperlink"&amp;"("&amp;""""&amp;H3&amp;""""&amp;","&amp;""""&amp;G3&amp;""""&amp;")"</f>
        <v>=hyperlink("https://www.youtube.com/watch?v=QAEGmTKhMo4","Video Lesson 'Valentine'")</v>
      </c>
    </row>
    <row r="4" spans="1:13" x14ac:dyDescent="0.25">
      <c r="E4">
        <v>2</v>
      </c>
      <c r="F4" s="13" t="str">
        <f>HYPERLINK("https://www.youtube.com/watch?v=7iovf94e4uU","Video Lesson 1")</f>
        <v>Video Lesson 1</v>
      </c>
      <c r="G4" t="s">
        <v>1569</v>
      </c>
      <c r="H4" s="12" t="s">
        <v>1581</v>
      </c>
      <c r="M4" t="str">
        <f t="shared" si="0"/>
        <v>=hyperlink("https://www.youtube.com/watch?v=7iovf94e4uU","Video Lesson 1")</v>
      </c>
    </row>
    <row r="5" spans="1:13" x14ac:dyDescent="0.25">
      <c r="A5" s="15" t="str">
        <f>HYPERLINK("https://www.youtube.com/watch?v=e_dFFaECK5E","Video Lesson 4")</f>
        <v>Video Lesson 4</v>
      </c>
      <c r="B5" t="s">
        <v>1314</v>
      </c>
      <c r="C5" t="s">
        <v>1320</v>
      </c>
      <c r="D5">
        <v>3</v>
      </c>
      <c r="E5">
        <v>3</v>
      </c>
      <c r="F5" s="13" t="str">
        <f>HYPERLINK("https://www.youtube.com/watch?v=Ivl-D6m04C4","Video Lesson 10")</f>
        <v>Video Lesson 10</v>
      </c>
      <c r="G5" t="s">
        <v>1563</v>
      </c>
      <c r="H5" s="12" t="s">
        <v>1594</v>
      </c>
      <c r="M5" t="str">
        <f t="shared" si="0"/>
        <v>=hyperlink("https://www.youtube.com/watch?v=Ivl-D6m04C4","Video Lesson 10")</v>
      </c>
    </row>
    <row r="6" spans="1:13" x14ac:dyDescent="0.25">
      <c r="E6">
        <v>3</v>
      </c>
      <c r="F6" s="13" t="str">
        <f>HYPERLINK("https://www.youtube.com/watch?v=1G46tEJOrww","Video Lesson 11")</f>
        <v>Video Lesson 11</v>
      </c>
      <c r="G6" t="s">
        <v>1568</v>
      </c>
      <c r="H6" s="12" t="s">
        <v>1595</v>
      </c>
      <c r="M6" t="str">
        <f t="shared" si="0"/>
        <v>=hyperlink("https://www.youtube.com/watch?v=1G46tEJOrww","Video Lesson 11")</v>
      </c>
    </row>
    <row r="7" spans="1:13" x14ac:dyDescent="0.25">
      <c r="A7" s="15" t="str">
        <f>HYPERLINK("https://www.youtube.com/watch?v=e_dFFaECK5E","Video Lesson 4")</f>
        <v>Video Lesson 4</v>
      </c>
      <c r="B7" t="s">
        <v>1314</v>
      </c>
      <c r="C7" t="s">
        <v>1320</v>
      </c>
      <c r="D7">
        <v>4</v>
      </c>
      <c r="E7">
        <v>4</v>
      </c>
      <c r="F7" s="13" t="str">
        <f>HYPERLINK("https://www.youtube.com/watch?v=4qB8qVfkH4A","Video Lesson 12")</f>
        <v>Video Lesson 12</v>
      </c>
      <c r="G7" t="s">
        <v>1573</v>
      </c>
      <c r="H7" s="12" t="s">
        <v>1596</v>
      </c>
      <c r="M7" t="str">
        <f t="shared" si="0"/>
        <v>=hyperlink("https://www.youtube.com/watch?v=4qB8qVfkH4A","Video Lesson 12")</v>
      </c>
    </row>
    <row r="8" spans="1:13" x14ac:dyDescent="0.25">
      <c r="E8">
        <v>4</v>
      </c>
      <c r="F8" s="13" t="str">
        <f>HYPERLINK("https://www.youtube.com/watch?v=CuxAdMsjkyY","Video Lesson 13")</f>
        <v>Video Lesson 13</v>
      </c>
      <c r="G8" t="s">
        <v>1562</v>
      </c>
      <c r="H8" s="12" t="s">
        <v>1597</v>
      </c>
      <c r="M8" t="str">
        <f t="shared" si="0"/>
        <v>=hyperlink("https://www.youtube.com/watch?v=CuxAdMsjkyY","Video Lesson 13")</v>
      </c>
    </row>
    <row r="9" spans="1:13" x14ac:dyDescent="0.25">
      <c r="A9" s="15" t="str">
        <f>HYPERLINK("https://www.youtube.com/watch?v=e_dFFaECK5E","Video Lesson 4")</f>
        <v>Video Lesson 4</v>
      </c>
      <c r="B9" t="s">
        <v>1314</v>
      </c>
      <c r="C9" t="s">
        <v>1320</v>
      </c>
      <c r="D9">
        <v>5</v>
      </c>
      <c r="E9">
        <v>5</v>
      </c>
      <c r="F9" s="13" t="str">
        <f>HYPERLINK("https://www.youtube.com/watch?v=CIw5yuG2h7k","Video Lesson 14")</f>
        <v>Video Lesson 14</v>
      </c>
      <c r="G9" t="s">
        <v>1558</v>
      </c>
      <c r="H9" s="12" t="s">
        <v>1598</v>
      </c>
      <c r="M9" t="str">
        <f t="shared" si="0"/>
        <v>=hyperlink("https://www.youtube.com/watch?v=CIw5yuG2h7k","Video Lesson 14")</v>
      </c>
    </row>
    <row r="10" spans="1:13" x14ac:dyDescent="0.25">
      <c r="E10">
        <v>5</v>
      </c>
      <c r="F10" s="13" t="str">
        <f>HYPERLINK("https://www.youtube.com/watch?v=mlf3S2Z-yzM","Video Lesson 15")</f>
        <v>Video Lesson 15</v>
      </c>
      <c r="G10" t="s">
        <v>1570</v>
      </c>
      <c r="H10" s="12" t="s">
        <v>1599</v>
      </c>
      <c r="M10" t="str">
        <f t="shared" si="0"/>
        <v>=hyperlink("https://www.youtube.com/watch?v=mlf3S2Z-yzM","Video Lesson 15")</v>
      </c>
    </row>
    <row r="11" spans="1:13" x14ac:dyDescent="0.25">
      <c r="A11" s="15" t="str">
        <f>HYPERLINK("https://www.youtube.com/watch?v=e_dFFaECK5E","Video Lesson 4")</f>
        <v>Video Lesson 4</v>
      </c>
      <c r="B11" t="s">
        <v>1314</v>
      </c>
      <c r="C11" t="s">
        <v>1320</v>
      </c>
      <c r="D11">
        <v>6</v>
      </c>
      <c r="E11">
        <v>6</v>
      </c>
      <c r="F11" s="13" t="str">
        <f>HYPERLINK("https://www.youtube.com/watch?v=-9H0tokUVvc","Video Lesson 16")</f>
        <v>Video Lesson 16</v>
      </c>
      <c r="G11" t="s">
        <v>1576</v>
      </c>
      <c r="H11" s="12" t="s">
        <v>1600</v>
      </c>
      <c r="M11" t="str">
        <f t="shared" si="0"/>
        <v>=hyperlink("https://www.youtube.com/watch?v=-9H0tokUVvc","Video Lesson 16")</v>
      </c>
    </row>
    <row r="12" spans="1:13" x14ac:dyDescent="0.25">
      <c r="E12">
        <v>6</v>
      </c>
      <c r="F12" s="13" t="str">
        <f>HYPERLINK("https://www.youtube.com/watch?v=FpQEAG3hsdA","Video Lesson 17")</f>
        <v>Video Lesson 17</v>
      </c>
      <c r="G12" t="s">
        <v>1572</v>
      </c>
      <c r="H12" s="12" t="s">
        <v>1601</v>
      </c>
      <c r="M12" t="str">
        <f t="shared" si="0"/>
        <v>=hyperlink("https://www.youtube.com/watch?v=FpQEAG3hsdA","Video Lesson 17")</v>
      </c>
    </row>
    <row r="13" spans="1:13" x14ac:dyDescent="0.25">
      <c r="A13" s="15" t="str">
        <f>HYPERLINK("https://www.youtube.com/watch?v=e_dFFaECK5E","Video Lesson 4")</f>
        <v>Video Lesson 4</v>
      </c>
      <c r="B13" t="s">
        <v>1314</v>
      </c>
      <c r="C13" t="s">
        <v>1320</v>
      </c>
      <c r="D13">
        <v>7</v>
      </c>
      <c r="E13">
        <v>7</v>
      </c>
      <c r="F13" s="13" t="str">
        <f>HYPERLINK("https://www.youtube.com/watch?v=Y56hvBhqBaQ","Video Lesson 18")</f>
        <v>Video Lesson 18</v>
      </c>
      <c r="G13" t="s">
        <v>1575</v>
      </c>
      <c r="H13" s="12" t="s">
        <v>1602</v>
      </c>
      <c r="M13" t="str">
        <f t="shared" si="0"/>
        <v>=hyperlink("https://www.youtube.com/watch?v=Y56hvBhqBaQ","Video Lesson 18")</v>
      </c>
    </row>
    <row r="14" spans="1:13" x14ac:dyDescent="0.25">
      <c r="E14">
        <v>7</v>
      </c>
      <c r="F14" s="13" t="str">
        <f>HYPERLINK("https://www.youtube.com/watch?v=Xop5dt-yhOA","Video Lesson 19")</f>
        <v>Video Lesson 19</v>
      </c>
      <c r="G14" t="s">
        <v>1559</v>
      </c>
      <c r="H14" t="s">
        <v>1604</v>
      </c>
      <c r="M14" t="str">
        <f t="shared" si="0"/>
        <v>=hyperlink("https://www.youtube.com/watch?v=Xop5dt-yhOA","Video Lesson 19")</v>
      </c>
    </row>
    <row r="15" spans="1:13" x14ac:dyDescent="0.25">
      <c r="A15" s="15" t="str">
        <f>HYPERLINK("https://www.youtube.com/watch?v=e_dFFaECK5E","Video Lesson 4")</f>
        <v>Video Lesson 4</v>
      </c>
      <c r="B15" t="s">
        <v>1314</v>
      </c>
      <c r="C15" t="s">
        <v>1320</v>
      </c>
      <c r="D15">
        <v>8</v>
      </c>
      <c r="E15">
        <v>8</v>
      </c>
      <c r="F15" s="13" t="str">
        <f>HYPERLINK("https://www.youtube.com/watch?v=E-TjOWZ5YQ0","Video Lesson 2")</f>
        <v>Video Lesson 2</v>
      </c>
      <c r="G15" t="s">
        <v>1564</v>
      </c>
      <c r="H15" s="13" t="s">
        <v>1582</v>
      </c>
      <c r="M15" t="str">
        <f t="shared" si="0"/>
        <v>=hyperlink("https://www.youtube.com/watch?v=E-TjOWZ5YQ0","Video Lesson 2")</v>
      </c>
    </row>
    <row r="16" spans="1:13" x14ac:dyDescent="0.25">
      <c r="E16">
        <v>8</v>
      </c>
      <c r="F16" s="13" t="str">
        <f>HYPERLINK("https://www.youtube.com/watch?v=Sjl8iPAcNo0","Video Lesson 20")</f>
        <v>Video Lesson 20</v>
      </c>
      <c r="G16" t="s">
        <v>1574</v>
      </c>
      <c r="H16" t="s">
        <v>1605</v>
      </c>
      <c r="M16" t="str">
        <f t="shared" si="0"/>
        <v>=hyperlink("https://www.youtube.com/watch?v=Sjl8iPAcNo0","Video Lesson 20")</v>
      </c>
    </row>
    <row r="17" spans="1:13" x14ac:dyDescent="0.25">
      <c r="A17" s="15" t="str">
        <f>HYPERLINK("https://www.youtube.com/watch?v=e_dFFaECK5E","Video Lesson 4")</f>
        <v>Video Lesson 4</v>
      </c>
      <c r="B17" t="s">
        <v>1314</v>
      </c>
      <c r="C17" t="s">
        <v>1320</v>
      </c>
      <c r="D17">
        <v>9</v>
      </c>
      <c r="E17">
        <v>9</v>
      </c>
      <c r="F17" s="13" t="str">
        <f>HYPERLINK("https://www.youtube.com/watch?v=jVxw8JRCMDk","Video Lesson 21")</f>
        <v>Video Lesson 21</v>
      </c>
      <c r="G17" t="s">
        <v>1556</v>
      </c>
      <c r="H17" t="s">
        <v>1606</v>
      </c>
      <c r="M17" t="str">
        <f t="shared" si="0"/>
        <v>=hyperlink("https://www.youtube.com/watch?v=jVxw8JRCMDk","Video Lesson 21")</v>
      </c>
    </row>
    <row r="18" spans="1:13" x14ac:dyDescent="0.25">
      <c r="E18">
        <v>9</v>
      </c>
      <c r="F18" s="13" t="str">
        <f>HYPERLINK("https://www.youtube.com/watch?v=kLZmQK8CWFU","Video Lesson 22")</f>
        <v>Video Lesson 22</v>
      </c>
      <c r="G18" t="s">
        <v>1561</v>
      </c>
      <c r="H18" t="s">
        <v>1607</v>
      </c>
      <c r="M18" t="str">
        <f t="shared" si="0"/>
        <v>=hyperlink("https://www.youtube.com/watch?v=kLZmQK8CWFU","Video Lesson 22")</v>
      </c>
    </row>
    <row r="19" spans="1:13" x14ac:dyDescent="0.25">
      <c r="A19" s="15" t="str">
        <f>HYPERLINK("https://www.youtube.com/watch?v=e_dFFaECK5E","Video Lesson 4")</f>
        <v>Video Lesson 4</v>
      </c>
      <c r="B19" t="s">
        <v>1314</v>
      </c>
      <c r="C19" t="s">
        <v>1320</v>
      </c>
      <c r="D19">
        <v>10</v>
      </c>
      <c r="E19">
        <v>10</v>
      </c>
      <c r="F19" s="13" t="str">
        <f>HYPERLINK("https://www.youtube.com/watch?v=RmEAQDsTTaE","Video Lesson 23")</f>
        <v>Video Lesson 23</v>
      </c>
      <c r="G19" t="s">
        <v>1560</v>
      </c>
      <c r="H19" s="13" t="s">
        <v>1608</v>
      </c>
      <c r="M19" t="str">
        <f t="shared" si="0"/>
        <v>=hyperlink("https://www.youtube.com/watch?v=RmEAQDsTTaE","Video Lesson 23")</v>
      </c>
    </row>
    <row r="20" spans="1:13" x14ac:dyDescent="0.25">
      <c r="E20">
        <v>10</v>
      </c>
      <c r="F20" s="13" t="str">
        <f>HYPERLINK("https://www.youtube.com/watch?v=M-mxlyVa6iM","Video Lesson 24")</f>
        <v>Video Lesson 24</v>
      </c>
      <c r="G20" t="s">
        <v>1554</v>
      </c>
      <c r="H20" t="s">
        <v>1610</v>
      </c>
      <c r="M20" t="str">
        <f t="shared" si="0"/>
        <v>=hyperlink("https://www.youtube.com/watch?v=M-mxlyVa6iM","Video Lesson 24")</v>
      </c>
    </row>
    <row r="21" spans="1:13" x14ac:dyDescent="0.25">
      <c r="A21" s="15" t="str">
        <f>HYPERLINK("https://www.youtube.com/watch?v=e_dFFaECK5E","Video Lesson 4")</f>
        <v>Video Lesson 4</v>
      </c>
      <c r="B21" t="s">
        <v>1314</v>
      </c>
      <c r="C21" t="s">
        <v>1320</v>
      </c>
      <c r="D21">
        <v>11</v>
      </c>
      <c r="E21">
        <v>11</v>
      </c>
      <c r="F21" s="13" t="str">
        <f>HYPERLINK("https://www.youtube.com/watch?v=QXklxwQ4px8","Video Lesson 3.1")</f>
        <v>Video Lesson 3.1</v>
      </c>
      <c r="G21" t="s">
        <v>1585</v>
      </c>
      <c r="H21" t="s">
        <v>1586</v>
      </c>
      <c r="M21" t="str">
        <f t="shared" si="0"/>
        <v>=hyperlink("https://www.youtube.com/watch?v=QXklxwQ4px8","Video Lesson 3.1")</v>
      </c>
    </row>
    <row r="22" spans="1:13" x14ac:dyDescent="0.25">
      <c r="E22">
        <v>11</v>
      </c>
      <c r="F22" s="13" t="str">
        <f>HYPERLINK("https://www.youtube.com/watch?v=bbpaAUOv8dE","Video Lesson 3.2")</f>
        <v>Video Lesson 3.2</v>
      </c>
      <c r="G22" t="s">
        <v>1584</v>
      </c>
      <c r="H22" t="s">
        <v>1587</v>
      </c>
      <c r="M22" t="str">
        <f t="shared" si="0"/>
        <v>=hyperlink("https://www.youtube.com/watch?v=bbpaAUOv8dE","Video Lesson 3.2")</v>
      </c>
    </row>
    <row r="23" spans="1:13" x14ac:dyDescent="0.25">
      <c r="A23" s="15" t="str">
        <f>HYPERLINK("https://www.youtube.com/watch?v=CIw5yuG2h7k","Video Lesson 14")</f>
        <v>Video Lesson 14</v>
      </c>
      <c r="B23" t="s">
        <v>1314</v>
      </c>
      <c r="C23" t="s">
        <v>1321</v>
      </c>
      <c r="D23">
        <v>1</v>
      </c>
      <c r="E23">
        <v>12</v>
      </c>
      <c r="F23" s="13" t="str">
        <f>HYPERLINK("https://www.youtube.com/watch?v=e_dFFaECK5E","Video Lesson 4")</f>
        <v>Video Lesson 4</v>
      </c>
      <c r="G23" t="s">
        <v>1557</v>
      </c>
      <c r="H23" t="s">
        <v>1588</v>
      </c>
      <c r="M23" t="str">
        <f t="shared" si="0"/>
        <v>=hyperlink("https://www.youtube.com/watch?v=e_dFFaECK5E","Video Lesson 4")</v>
      </c>
    </row>
    <row r="24" spans="1:13" x14ac:dyDescent="0.25">
      <c r="E24">
        <v>12</v>
      </c>
      <c r="F24" s="13" t="str">
        <f>HYPERLINK("https://www.youtube.com/watch?v=HPUSR1ERIv0","Video Lesson 5")</f>
        <v>Video Lesson 5</v>
      </c>
      <c r="G24" t="s">
        <v>1565</v>
      </c>
      <c r="H24" t="s">
        <v>1589</v>
      </c>
      <c r="M24" t="str">
        <f t="shared" si="0"/>
        <v>=hyperlink("https://www.youtube.com/watch?v=HPUSR1ERIv0","Video Lesson 5")</v>
      </c>
    </row>
    <row r="25" spans="1:13" x14ac:dyDescent="0.25">
      <c r="A25" s="15" t="str">
        <f>HYPERLINK("https://www.youtube.com/watch?v=CIw5yuG2h7k","Video Lesson 14")</f>
        <v>Video Lesson 14</v>
      </c>
      <c r="B25" t="s">
        <v>1314</v>
      </c>
      <c r="C25" t="s">
        <v>1321</v>
      </c>
      <c r="D25">
        <v>2</v>
      </c>
      <c r="E25">
        <v>13</v>
      </c>
      <c r="F25" s="13" t="str">
        <f>HYPERLINK("https://www.youtube.com/watch?v=DfQwYS9JfME","Video Lesson 6")</f>
        <v>Video Lesson 6</v>
      </c>
      <c r="G25" t="s">
        <v>1580</v>
      </c>
      <c r="H25" t="s">
        <v>1590</v>
      </c>
      <c r="M25" t="str">
        <f t="shared" si="0"/>
        <v>=hyperlink("https://www.youtube.com/watch?v=DfQwYS9JfME","Video Lesson 6")</v>
      </c>
    </row>
    <row r="26" spans="1:13" x14ac:dyDescent="0.25">
      <c r="E26">
        <v>13</v>
      </c>
      <c r="F26" s="13" t="str">
        <f>HYPERLINK("https://www.youtube.com/watch?v=kN_Mk1vvvzI","Video Lesson 7")</f>
        <v>Video Lesson 7</v>
      </c>
      <c r="G26" t="s">
        <v>1571</v>
      </c>
      <c r="H26" t="s">
        <v>1591</v>
      </c>
      <c r="M26" t="str">
        <f t="shared" si="0"/>
        <v>=hyperlink("https://www.youtube.com/watch?v=kN_Mk1vvvzI","Video Lesson 7")</v>
      </c>
    </row>
    <row r="27" spans="1:13" x14ac:dyDescent="0.25">
      <c r="A27" s="15" t="str">
        <f>HYPERLINK("https://www.youtube.com/watch?v=CIw5yuG2h7k","Video Lesson 14")</f>
        <v>Video Lesson 14</v>
      </c>
      <c r="B27" t="s">
        <v>1314</v>
      </c>
      <c r="C27" t="s">
        <v>1321</v>
      </c>
      <c r="D27">
        <v>3</v>
      </c>
      <c r="E27">
        <v>14</v>
      </c>
      <c r="F27" s="13" t="str">
        <f>HYPERLINK("https://www.youtube.com/watch?v=SGeR9HfhVRA","Video Lesson 8")</f>
        <v>Video Lesson 8</v>
      </c>
      <c r="G27" t="s">
        <v>1555</v>
      </c>
      <c r="H27" s="13" t="s">
        <v>1592</v>
      </c>
      <c r="M27" t="str">
        <f t="shared" si="0"/>
        <v>=hyperlink("https://www.youtube.com/watch?v=SGeR9HfhVRA","Video Lesson 8")</v>
      </c>
    </row>
    <row r="28" spans="1:13" x14ac:dyDescent="0.25">
      <c r="E28">
        <v>14</v>
      </c>
      <c r="F28" s="13" t="str">
        <f>HYPERLINK("https://www.youtube.com/watch?v=KUWhrhaqHsg","Video Lesson 9")</f>
        <v>Video Lesson 9</v>
      </c>
      <c r="G28" t="s">
        <v>1567</v>
      </c>
      <c r="H28" t="s">
        <v>1593</v>
      </c>
      <c r="M28" t="str">
        <f t="shared" si="0"/>
        <v>=hyperlink("https://www.youtube.com/watch?v=KUWhrhaqHsg","Video Lesson 9")</v>
      </c>
    </row>
    <row r="29" spans="1:13" x14ac:dyDescent="0.25">
      <c r="A29" s="15" t="str">
        <f>HYPERLINK("https://www.youtube.com/watch?v=CIw5yuG2h7k","Video Lesson 14")</f>
        <v>Video Lesson 14</v>
      </c>
      <c r="B29" t="s">
        <v>1314</v>
      </c>
      <c r="C29" t="s">
        <v>1321</v>
      </c>
      <c r="D29">
        <v>4</v>
      </c>
      <c r="E29">
        <v>15</v>
      </c>
    </row>
    <row r="30" spans="1:13" x14ac:dyDescent="0.25">
      <c r="E30">
        <v>15</v>
      </c>
      <c r="G30"/>
    </row>
    <row r="31" spans="1:13" x14ac:dyDescent="0.25">
      <c r="A31" s="15" t="str">
        <f>HYPERLINK("https://www.youtube.com/watch?v=CIw5yuG2h7k","Video Lesson 14")</f>
        <v>Video Lesson 14</v>
      </c>
      <c r="B31" t="s">
        <v>1314</v>
      </c>
      <c r="C31" t="s">
        <v>1321</v>
      </c>
      <c r="D31">
        <v>5</v>
      </c>
      <c r="E31">
        <v>16</v>
      </c>
      <c r="G31"/>
    </row>
    <row r="32" spans="1:13" x14ac:dyDescent="0.25">
      <c r="E32">
        <v>16</v>
      </c>
      <c r="G32"/>
    </row>
    <row r="33" spans="1:7" x14ac:dyDescent="0.25">
      <c r="A33" s="15" t="str">
        <f>HYPERLINK("https://www.youtube.com/watch?v=CIw5yuG2h7k","Video Lesson 14")</f>
        <v>Video Lesson 14</v>
      </c>
      <c r="B33" t="s">
        <v>1314</v>
      </c>
      <c r="C33" t="s">
        <v>1321</v>
      </c>
      <c r="D33">
        <v>6</v>
      </c>
      <c r="E33">
        <v>17</v>
      </c>
      <c r="G33"/>
    </row>
    <row r="34" spans="1:7" x14ac:dyDescent="0.25">
      <c r="E34">
        <v>17</v>
      </c>
      <c r="G34"/>
    </row>
    <row r="35" spans="1:7" x14ac:dyDescent="0.25">
      <c r="A35" s="15" t="str">
        <f>HYPERLINK("https://www.youtube.com/watch?v=CIw5yuG2h7k","Video Lesson 14")</f>
        <v>Video Lesson 14</v>
      </c>
      <c r="B35" t="s">
        <v>1314</v>
      </c>
      <c r="C35" t="s">
        <v>1321</v>
      </c>
      <c r="D35">
        <v>7</v>
      </c>
      <c r="E35">
        <v>18</v>
      </c>
      <c r="G35"/>
    </row>
    <row r="36" spans="1:7" x14ac:dyDescent="0.25">
      <c r="E36">
        <v>18</v>
      </c>
      <c r="G36"/>
    </row>
    <row r="37" spans="1:7" x14ac:dyDescent="0.25">
      <c r="A37" s="15" t="str">
        <f>HYPERLINK("https://www.youtube.com/watch?v=kN_Mk1vvvzI","Video Lesson 7")</f>
        <v>Video Lesson 7</v>
      </c>
      <c r="B37" t="s">
        <v>1314</v>
      </c>
      <c r="C37" t="s">
        <v>1321</v>
      </c>
      <c r="D37">
        <v>8</v>
      </c>
      <c r="E37">
        <v>19</v>
      </c>
      <c r="G37"/>
    </row>
    <row r="38" spans="1:7" x14ac:dyDescent="0.25">
      <c r="E38">
        <v>19</v>
      </c>
      <c r="G38"/>
    </row>
    <row r="39" spans="1:7" x14ac:dyDescent="0.25">
      <c r="A39" s="15" t="str">
        <f>HYPERLINK("https://www.youtube.com/watch?v=kN_Mk1vvvzI","Video Lesson 7")</f>
        <v>Video Lesson 7</v>
      </c>
      <c r="B39" t="s">
        <v>1314</v>
      </c>
      <c r="C39" t="s">
        <v>1321</v>
      </c>
      <c r="D39">
        <v>9</v>
      </c>
      <c r="E39">
        <v>20</v>
      </c>
      <c r="G39"/>
    </row>
    <row r="40" spans="1:7" x14ac:dyDescent="0.25">
      <c r="E40">
        <v>20</v>
      </c>
      <c r="G40"/>
    </row>
    <row r="41" spans="1:7" x14ac:dyDescent="0.25">
      <c r="A41" s="15" t="str">
        <f>HYPERLINK("https://www.youtube.com/watch?v=kN_Mk1vvvzI","Video Lesson 7")</f>
        <v>Video Lesson 7</v>
      </c>
      <c r="B41" t="s">
        <v>1314</v>
      </c>
      <c r="C41" t="s">
        <v>1321</v>
      </c>
      <c r="D41">
        <v>10</v>
      </c>
      <c r="E41">
        <v>21</v>
      </c>
      <c r="G41"/>
    </row>
    <row r="42" spans="1:7" x14ac:dyDescent="0.25">
      <c r="E42">
        <v>21</v>
      </c>
      <c r="G42"/>
    </row>
    <row r="43" spans="1:7" x14ac:dyDescent="0.25">
      <c r="A43" s="15" t="str">
        <f>HYPERLINK("https://www.youtube.com/watch?v=kN_Mk1vvvzI","Video Lesson 7")</f>
        <v>Video Lesson 7</v>
      </c>
      <c r="B43" t="s">
        <v>1314</v>
      </c>
      <c r="C43" t="s">
        <v>1321</v>
      </c>
      <c r="D43">
        <v>11</v>
      </c>
      <c r="E43">
        <v>22</v>
      </c>
      <c r="G43"/>
    </row>
    <row r="44" spans="1:7" x14ac:dyDescent="0.25">
      <c r="E44">
        <v>22</v>
      </c>
      <c r="G44"/>
    </row>
    <row r="45" spans="1:7" x14ac:dyDescent="0.25">
      <c r="A45" s="15" t="str">
        <f>HYPERLINK("https://www.youtube.com/watch?v=kN_Mk1vvvzI","Video Lesson 7")</f>
        <v>Video Lesson 7</v>
      </c>
      <c r="B45" t="s">
        <v>1314</v>
      </c>
      <c r="C45" t="s">
        <v>1321</v>
      </c>
      <c r="D45">
        <v>12</v>
      </c>
      <c r="E45">
        <v>23</v>
      </c>
      <c r="G45"/>
    </row>
    <row r="46" spans="1:7" x14ac:dyDescent="0.25">
      <c r="E46">
        <v>23</v>
      </c>
      <c r="G46"/>
    </row>
    <row r="47" spans="1:7" x14ac:dyDescent="0.25">
      <c r="A47" s="15" t="str">
        <f>HYPERLINK("https://www.youtube.com/watch?v=Xop5dt-yhOA","Video Lesson 19")</f>
        <v>Video Lesson 19</v>
      </c>
      <c r="B47" t="s">
        <v>1314</v>
      </c>
      <c r="C47" t="s">
        <v>1321</v>
      </c>
      <c r="D47">
        <v>13</v>
      </c>
      <c r="E47">
        <v>24</v>
      </c>
      <c r="G47"/>
    </row>
    <row r="48" spans="1:7" x14ac:dyDescent="0.25">
      <c r="E48">
        <v>24</v>
      </c>
      <c r="G48"/>
    </row>
    <row r="49" spans="1:7" x14ac:dyDescent="0.25">
      <c r="A49" s="15" t="str">
        <f>HYPERLINK("https://www.youtube.com/watch?v=jVxw8JRCMDk","Video Lesson 21")</f>
        <v>Video Lesson 21</v>
      </c>
      <c r="B49" t="s">
        <v>1314</v>
      </c>
      <c r="C49" t="s">
        <v>1321</v>
      </c>
      <c r="D49">
        <v>14</v>
      </c>
      <c r="E49">
        <v>25</v>
      </c>
      <c r="G49"/>
    </row>
    <row r="50" spans="1:7" x14ac:dyDescent="0.25">
      <c r="E50">
        <v>25</v>
      </c>
      <c r="G50"/>
    </row>
    <row r="51" spans="1:7" x14ac:dyDescent="0.25">
      <c r="A51" s="15" t="str">
        <f>HYPERLINK("https://www.youtube.com/watch?v=kN_Mk1vvvzI","Video Lesson 7")</f>
        <v>Video Lesson 7</v>
      </c>
      <c r="B51" t="s">
        <v>1314</v>
      </c>
      <c r="C51" t="s">
        <v>1321</v>
      </c>
      <c r="D51">
        <v>15</v>
      </c>
      <c r="E51">
        <v>26</v>
      </c>
      <c r="G51"/>
    </row>
    <row r="52" spans="1:7" x14ac:dyDescent="0.25">
      <c r="E52">
        <v>26</v>
      </c>
      <c r="G52"/>
    </row>
    <row r="53" spans="1:7" x14ac:dyDescent="0.25">
      <c r="A53" s="15" t="str">
        <f>HYPERLINK("https://www.youtube.com/watch?v=kN_Mk1vvvzI","Video Lesson 7")</f>
        <v>Video Lesson 7</v>
      </c>
      <c r="B53" t="s">
        <v>1314</v>
      </c>
      <c r="C53" t="s">
        <v>1321</v>
      </c>
      <c r="D53">
        <v>16</v>
      </c>
      <c r="E53">
        <v>27</v>
      </c>
      <c r="G53"/>
    </row>
    <row r="54" spans="1:7" x14ac:dyDescent="0.25">
      <c r="E54">
        <v>27</v>
      </c>
      <c r="G54"/>
    </row>
    <row r="55" spans="1:7" x14ac:dyDescent="0.25">
      <c r="A55" s="15" t="str">
        <f>HYPERLINK("https://www.youtube.com/watch?v=kN_Mk1vvvzI","Video Lesson 7")</f>
        <v>Video Lesson 7</v>
      </c>
      <c r="B55" t="s">
        <v>1314</v>
      </c>
      <c r="C55" t="s">
        <v>1321</v>
      </c>
      <c r="D55">
        <v>17</v>
      </c>
      <c r="E55">
        <v>28</v>
      </c>
      <c r="G55"/>
    </row>
    <row r="56" spans="1:7" x14ac:dyDescent="0.25">
      <c r="E56">
        <v>28</v>
      </c>
      <c r="G56"/>
    </row>
    <row r="57" spans="1:7" x14ac:dyDescent="0.25">
      <c r="A57" s="15" t="str">
        <f>HYPERLINK("https://www.youtube.com/watch?v=RmEAQDsTTaE","Video Lesson 23")</f>
        <v>Video Lesson 23</v>
      </c>
      <c r="B57" t="s">
        <v>1314</v>
      </c>
      <c r="C57" t="s">
        <v>1321</v>
      </c>
      <c r="D57">
        <v>18</v>
      </c>
      <c r="E57">
        <v>29</v>
      </c>
      <c r="G57"/>
    </row>
    <row r="58" spans="1:7" x14ac:dyDescent="0.25">
      <c r="E58">
        <v>29</v>
      </c>
      <c r="G58"/>
    </row>
    <row r="59" spans="1:7" x14ac:dyDescent="0.25">
      <c r="A59" s="15" t="str">
        <f>HYPERLINK("https://www.youtube.com/watch?v=kN_Mk1vvvzI","Video Lesson 7")</f>
        <v>Video Lesson 7</v>
      </c>
      <c r="B59" t="s">
        <v>1314</v>
      </c>
      <c r="C59" t="s">
        <v>1321</v>
      </c>
      <c r="D59">
        <v>19</v>
      </c>
      <c r="E59">
        <v>30</v>
      </c>
      <c r="G59"/>
    </row>
    <row r="60" spans="1:7" x14ac:dyDescent="0.25">
      <c r="E60">
        <v>30</v>
      </c>
      <c r="G60"/>
    </row>
    <row r="61" spans="1:7" x14ac:dyDescent="0.25">
      <c r="A61" s="15" t="str">
        <f>HYPERLINK("https://www.youtube.com/watch?v=kN_Mk1vvvzI","Video Lesson 7")</f>
        <v>Video Lesson 7</v>
      </c>
      <c r="B61" t="s">
        <v>1314</v>
      </c>
      <c r="C61" t="s">
        <v>1321</v>
      </c>
      <c r="D61">
        <v>20</v>
      </c>
      <c r="E61">
        <v>31</v>
      </c>
      <c r="G61"/>
    </row>
    <row r="62" spans="1:7" x14ac:dyDescent="0.25">
      <c r="E62">
        <v>31</v>
      </c>
      <c r="G62"/>
    </row>
    <row r="63" spans="1:7" x14ac:dyDescent="0.25">
      <c r="A63" s="15" t="str">
        <f>HYPERLINK("https://www.youtube.com/watch?v=kN_Mk1vvvzI","Video Lesson 7")</f>
        <v>Video Lesson 7</v>
      </c>
      <c r="B63" t="s">
        <v>1314</v>
      </c>
      <c r="C63" t="s">
        <v>1321</v>
      </c>
      <c r="D63">
        <v>21</v>
      </c>
      <c r="E63">
        <v>32</v>
      </c>
      <c r="G63"/>
    </row>
    <row r="64" spans="1:7" x14ac:dyDescent="0.25">
      <c r="E64">
        <v>32</v>
      </c>
      <c r="G64"/>
    </row>
    <row r="65" spans="1:7" x14ac:dyDescent="0.25">
      <c r="A65" s="15" t="str">
        <f>HYPERLINK("https://www.youtube.com/watch?v=kN_Mk1vvvzI","Video Lesson 7")</f>
        <v>Video Lesson 7</v>
      </c>
      <c r="B65" t="s">
        <v>1314</v>
      </c>
      <c r="C65" t="s">
        <v>1321</v>
      </c>
      <c r="D65">
        <v>22</v>
      </c>
      <c r="E65">
        <v>33</v>
      </c>
      <c r="G65"/>
    </row>
    <row r="66" spans="1:7" x14ac:dyDescent="0.25">
      <c r="E66">
        <v>33</v>
      </c>
      <c r="G66"/>
    </row>
    <row r="67" spans="1:7" x14ac:dyDescent="0.25">
      <c r="A67" s="15" t="str">
        <f>HYPERLINK("https://www.youtube.com/watch?v=kLZmQK8CWFU","Video Lesson 22")</f>
        <v>Video Lesson 22</v>
      </c>
      <c r="B67" t="s">
        <v>1314</v>
      </c>
      <c r="C67" t="s">
        <v>1322</v>
      </c>
      <c r="D67">
        <v>1</v>
      </c>
      <c r="E67">
        <v>34</v>
      </c>
      <c r="G67"/>
    </row>
    <row r="68" spans="1:7" x14ac:dyDescent="0.25">
      <c r="E68">
        <v>34</v>
      </c>
      <c r="G68"/>
    </row>
    <row r="69" spans="1:7" x14ac:dyDescent="0.25">
      <c r="A69" s="15" t="str">
        <f>HYPERLINK("https://www.youtube.com/watch?v=kLZmQK8CWFU","Video Lesson 22")</f>
        <v>Video Lesson 22</v>
      </c>
      <c r="B69" t="s">
        <v>1314</v>
      </c>
      <c r="C69" t="s">
        <v>1322</v>
      </c>
      <c r="D69">
        <v>2</v>
      </c>
      <c r="E69">
        <v>35</v>
      </c>
      <c r="G69"/>
    </row>
    <row r="70" spans="1:7" x14ac:dyDescent="0.25">
      <c r="E70">
        <v>35</v>
      </c>
      <c r="G70"/>
    </row>
    <row r="71" spans="1:7" x14ac:dyDescent="0.25">
      <c r="A71" s="15" t="str">
        <f>HYPERLINK("https://www.youtube.com/watch?v=kLZmQK8CWFU","Video Lesson 22")</f>
        <v>Video Lesson 22</v>
      </c>
      <c r="B71" t="s">
        <v>1314</v>
      </c>
      <c r="C71" t="s">
        <v>1322</v>
      </c>
      <c r="D71">
        <v>3</v>
      </c>
      <c r="E71">
        <v>36</v>
      </c>
      <c r="G71"/>
    </row>
    <row r="72" spans="1:7" x14ac:dyDescent="0.25">
      <c r="E72">
        <v>36</v>
      </c>
      <c r="G72"/>
    </row>
    <row r="73" spans="1:7" x14ac:dyDescent="0.25">
      <c r="A73" s="15" t="str">
        <f>HYPERLINK("https://www.youtube.com/watch?v=kLZmQK8CWFU","Video Lesson 22")</f>
        <v>Video Lesson 22</v>
      </c>
      <c r="B73" t="s">
        <v>1314</v>
      </c>
      <c r="C73" t="s">
        <v>1322</v>
      </c>
      <c r="D73">
        <v>4</v>
      </c>
      <c r="E73">
        <v>37</v>
      </c>
      <c r="G73"/>
    </row>
    <row r="74" spans="1:7" x14ac:dyDescent="0.25">
      <c r="E74">
        <v>37</v>
      </c>
      <c r="G74"/>
    </row>
    <row r="75" spans="1:7" x14ac:dyDescent="0.25">
      <c r="A75" s="15" t="str">
        <f>HYPERLINK("https://www.youtube.com/watch?v=kLZmQK8CWFU","Video Lesson 22")</f>
        <v>Video Lesson 22</v>
      </c>
      <c r="B75" t="s">
        <v>1314</v>
      </c>
      <c r="C75" t="s">
        <v>1322</v>
      </c>
      <c r="D75">
        <v>5</v>
      </c>
      <c r="E75">
        <v>38</v>
      </c>
      <c r="G75"/>
    </row>
    <row r="76" spans="1:7" x14ac:dyDescent="0.25">
      <c r="E76">
        <v>38</v>
      </c>
      <c r="G76"/>
    </row>
    <row r="77" spans="1:7" x14ac:dyDescent="0.25">
      <c r="A77" s="15" t="str">
        <f>HYPERLINK("https://www.youtube.com/watch?v=kLZmQK8CWFU","Video Lesson 22")</f>
        <v>Video Lesson 22</v>
      </c>
      <c r="B77" t="s">
        <v>1314</v>
      </c>
      <c r="C77" t="s">
        <v>1322</v>
      </c>
      <c r="D77">
        <v>6</v>
      </c>
      <c r="E77">
        <v>39</v>
      </c>
      <c r="G77"/>
    </row>
    <row r="78" spans="1:7" x14ac:dyDescent="0.25">
      <c r="E78">
        <v>39</v>
      </c>
      <c r="G78"/>
    </row>
    <row r="79" spans="1:7" x14ac:dyDescent="0.25">
      <c r="A79" s="15" t="str">
        <f>HYPERLINK("https://www.youtube.com/watch?v=kLZmQK8CWFU","Video Lesson 22")</f>
        <v>Video Lesson 22</v>
      </c>
      <c r="B79" t="s">
        <v>1314</v>
      </c>
      <c r="C79" t="s">
        <v>1322</v>
      </c>
      <c r="D79">
        <v>7</v>
      </c>
      <c r="E79">
        <v>40</v>
      </c>
      <c r="G79"/>
    </row>
    <row r="80" spans="1:7" x14ac:dyDescent="0.25">
      <c r="E80">
        <v>40</v>
      </c>
      <c r="G80"/>
    </row>
    <row r="81" spans="1:7" x14ac:dyDescent="0.25">
      <c r="A81" s="15" t="str">
        <f>HYPERLINK("https://www.youtube.com/watch?v=kLZmQK8CWFU","Video Lesson 22")</f>
        <v>Video Lesson 22</v>
      </c>
      <c r="B81" t="s">
        <v>1314</v>
      </c>
      <c r="C81" t="s">
        <v>1322</v>
      </c>
      <c r="D81">
        <v>8</v>
      </c>
      <c r="E81">
        <v>41</v>
      </c>
      <c r="G81"/>
    </row>
    <row r="82" spans="1:7" x14ac:dyDescent="0.25">
      <c r="E82">
        <v>41</v>
      </c>
      <c r="G82"/>
    </row>
    <row r="83" spans="1:7" x14ac:dyDescent="0.25">
      <c r="A83" s="15" t="str">
        <f>HYPERLINK("https://www.youtube.com/watch?v=kLZmQK8CWFU","Video Lesson 22")</f>
        <v>Video Lesson 22</v>
      </c>
      <c r="B83" t="s">
        <v>1314</v>
      </c>
      <c r="C83" t="s">
        <v>1322</v>
      </c>
      <c r="D83">
        <v>9</v>
      </c>
      <c r="E83">
        <v>42</v>
      </c>
      <c r="G83"/>
    </row>
    <row r="84" spans="1:7" x14ac:dyDescent="0.25">
      <c r="E84">
        <v>42</v>
      </c>
      <c r="G84"/>
    </row>
    <row r="85" spans="1:7" x14ac:dyDescent="0.25">
      <c r="A85" s="15" t="str">
        <f>HYPERLINK("https://www.youtube.com/watch?v=kLZmQK8CWFU","Video Lesson 22")</f>
        <v>Video Lesson 22</v>
      </c>
      <c r="B85" t="s">
        <v>1314</v>
      </c>
      <c r="C85" t="s">
        <v>1322</v>
      </c>
      <c r="D85">
        <v>10</v>
      </c>
      <c r="E85">
        <v>43</v>
      </c>
      <c r="G85"/>
    </row>
    <row r="86" spans="1:7" x14ac:dyDescent="0.25">
      <c r="E86">
        <v>43</v>
      </c>
      <c r="G86"/>
    </row>
    <row r="87" spans="1:7" x14ac:dyDescent="0.25">
      <c r="A87" s="15" t="str">
        <f>HYPERLINK("https://www.youtube.com/watch?v=QAEGmTKhMo4","Video Lesson 'Valentine'")</f>
        <v>Video Lesson 'Valentine'</v>
      </c>
      <c r="B87" t="s">
        <v>1314</v>
      </c>
      <c r="C87" t="s">
        <v>1322</v>
      </c>
      <c r="D87">
        <v>11</v>
      </c>
      <c r="E87">
        <v>44</v>
      </c>
      <c r="G87"/>
    </row>
    <row r="88" spans="1:7" x14ac:dyDescent="0.25">
      <c r="E88">
        <v>44</v>
      </c>
      <c r="G88"/>
    </row>
    <row r="89" spans="1:7" x14ac:dyDescent="0.25">
      <c r="A89" s="15" t="str">
        <f>HYPERLINK("https://www.youtube.com/watch?v=QAEGmTKhMo4","Video Lesson 'Valentine'")</f>
        <v>Video Lesson 'Valentine'</v>
      </c>
      <c r="B89" t="s">
        <v>1314</v>
      </c>
      <c r="C89" t="s">
        <v>1322</v>
      </c>
      <c r="D89">
        <v>12</v>
      </c>
      <c r="E89">
        <v>45</v>
      </c>
      <c r="G89"/>
    </row>
    <row r="90" spans="1:7" x14ac:dyDescent="0.25">
      <c r="E90">
        <v>45</v>
      </c>
      <c r="G90"/>
    </row>
    <row r="91" spans="1:7" x14ac:dyDescent="0.25">
      <c r="A91" s="15" t="str">
        <f>HYPERLINK("https://www.youtube.com/watch?v=CuxAdMsjkyY","Video Lesson 13")</f>
        <v>Video Lesson 13</v>
      </c>
      <c r="B91" t="s">
        <v>1314</v>
      </c>
      <c r="C91" t="s">
        <v>1323</v>
      </c>
      <c r="D91">
        <v>1</v>
      </c>
      <c r="E91">
        <v>46</v>
      </c>
      <c r="G91"/>
    </row>
    <row r="92" spans="1:7" x14ac:dyDescent="0.25">
      <c r="E92">
        <v>46</v>
      </c>
      <c r="G92"/>
    </row>
    <row r="93" spans="1:7" x14ac:dyDescent="0.25">
      <c r="A93" s="15" t="str">
        <f>HYPERLINK("https://www.youtube.com/watch?v=CuxAdMsjkyY","Video Lesson 13")</f>
        <v>Video Lesson 13</v>
      </c>
      <c r="B93" t="s">
        <v>1314</v>
      </c>
      <c r="C93" t="s">
        <v>1323</v>
      </c>
      <c r="D93">
        <v>2</v>
      </c>
      <c r="E93">
        <v>47</v>
      </c>
      <c r="G93"/>
    </row>
    <row r="94" spans="1:7" x14ac:dyDescent="0.25">
      <c r="E94">
        <v>47</v>
      </c>
      <c r="G94"/>
    </row>
    <row r="95" spans="1:7" x14ac:dyDescent="0.25">
      <c r="A95" s="15" t="str">
        <f>HYPERLINK("https://www.youtube.com/watch?v=CuxAdMsjkyY","Video Lesson 13")</f>
        <v>Video Lesson 13</v>
      </c>
      <c r="B95" t="s">
        <v>1314</v>
      </c>
      <c r="C95" t="s">
        <v>1323</v>
      </c>
      <c r="D95">
        <v>3</v>
      </c>
      <c r="E95">
        <v>48</v>
      </c>
      <c r="G95"/>
    </row>
    <row r="96" spans="1:7" x14ac:dyDescent="0.25">
      <c r="E96">
        <v>48</v>
      </c>
      <c r="G96"/>
    </row>
    <row r="97" spans="1:7" x14ac:dyDescent="0.25">
      <c r="A97" s="15" t="str">
        <f>HYPERLINK("https://www.youtube.com/watch?v=CuxAdMsjkyY","Video Lesson 13")</f>
        <v>Video Lesson 13</v>
      </c>
      <c r="B97" t="s">
        <v>1314</v>
      </c>
      <c r="C97" t="s">
        <v>1323</v>
      </c>
      <c r="D97">
        <v>4</v>
      </c>
      <c r="E97">
        <v>49</v>
      </c>
      <c r="G97"/>
    </row>
    <row r="98" spans="1:7" x14ac:dyDescent="0.25">
      <c r="E98">
        <v>49</v>
      </c>
      <c r="G98"/>
    </row>
    <row r="99" spans="1:7" x14ac:dyDescent="0.25">
      <c r="A99" s="15" t="str">
        <f>HYPERLINK("https://www.youtube.com/watch?v=CuxAdMsjkyY","Video Lesson 13")</f>
        <v>Video Lesson 13</v>
      </c>
      <c r="B99" t="s">
        <v>1314</v>
      </c>
      <c r="C99" t="s">
        <v>1323</v>
      </c>
      <c r="D99">
        <v>5</v>
      </c>
      <c r="E99">
        <v>50</v>
      </c>
      <c r="G99"/>
    </row>
    <row r="100" spans="1:7" x14ac:dyDescent="0.25">
      <c r="E100">
        <v>50</v>
      </c>
      <c r="G100"/>
    </row>
    <row r="101" spans="1:7" x14ac:dyDescent="0.25">
      <c r="A101" s="15" t="str">
        <f>HYPERLINK("https://www.youtube.com/watch?v=CuxAdMsjkyY","Video Lesson 13")</f>
        <v>Video Lesson 13</v>
      </c>
      <c r="B101" t="s">
        <v>1314</v>
      </c>
      <c r="C101" t="s">
        <v>1323</v>
      </c>
      <c r="D101">
        <v>6</v>
      </c>
      <c r="E101">
        <v>51</v>
      </c>
      <c r="G101"/>
    </row>
    <row r="102" spans="1:7" x14ac:dyDescent="0.25">
      <c r="E102">
        <v>51</v>
      </c>
      <c r="G102"/>
    </row>
    <row r="103" spans="1:7" x14ac:dyDescent="0.25">
      <c r="A103" s="15" t="str">
        <f>HYPERLINK("https://www.youtube.com/watch?v=CuxAdMsjkyY","Video Lesson 13")</f>
        <v>Video Lesson 13</v>
      </c>
      <c r="B103" t="s">
        <v>1314</v>
      </c>
      <c r="C103" t="s">
        <v>1323</v>
      </c>
      <c r="D103">
        <v>7</v>
      </c>
      <c r="E103">
        <v>52</v>
      </c>
      <c r="G103"/>
    </row>
    <row r="104" spans="1:7" x14ac:dyDescent="0.25">
      <c r="E104">
        <v>52</v>
      </c>
      <c r="G104"/>
    </row>
    <row r="105" spans="1:7" x14ac:dyDescent="0.25">
      <c r="A105" s="15" t="str">
        <f>HYPERLINK("https://www.youtube.com/watch?v=Ivl-D6m04C4","Video Lesson 10")</f>
        <v>Video Lesson 10</v>
      </c>
      <c r="B105" t="s">
        <v>1314</v>
      </c>
      <c r="C105" t="s">
        <v>1324</v>
      </c>
      <c r="D105">
        <v>1</v>
      </c>
      <c r="E105">
        <v>53</v>
      </c>
      <c r="G105"/>
    </row>
    <row r="106" spans="1:7" x14ac:dyDescent="0.25">
      <c r="E106">
        <v>53</v>
      </c>
      <c r="G106"/>
    </row>
    <row r="107" spans="1:7" x14ac:dyDescent="0.25">
      <c r="A107" s="15" t="str">
        <f>HYPERLINK("https://www.youtube.com/watch?v=Ivl-D6m04C4","Video Lesson 10")</f>
        <v>Video Lesson 10</v>
      </c>
      <c r="B107" t="s">
        <v>1314</v>
      </c>
      <c r="C107" t="s">
        <v>1324</v>
      </c>
      <c r="D107">
        <v>2</v>
      </c>
      <c r="E107">
        <v>54</v>
      </c>
      <c r="G107"/>
    </row>
    <row r="108" spans="1:7" x14ac:dyDescent="0.25">
      <c r="E108">
        <v>54</v>
      </c>
      <c r="G108"/>
    </row>
    <row r="109" spans="1:7" x14ac:dyDescent="0.25">
      <c r="A109" s="15" t="str">
        <f>HYPERLINK("https://www.youtube.com/watch?v=Ivl-D6m04C4","Video Lesson 10")</f>
        <v>Video Lesson 10</v>
      </c>
      <c r="B109" t="s">
        <v>1314</v>
      </c>
      <c r="C109" t="s">
        <v>1324</v>
      </c>
      <c r="D109">
        <v>3</v>
      </c>
      <c r="E109">
        <v>55</v>
      </c>
      <c r="G109"/>
    </row>
    <row r="110" spans="1:7" x14ac:dyDescent="0.25">
      <c r="E110">
        <v>55</v>
      </c>
      <c r="G110"/>
    </row>
    <row r="111" spans="1:7" x14ac:dyDescent="0.25">
      <c r="A111" s="15" t="str">
        <f>HYPERLINK("https://www.youtube.com/watch?v=Ivl-D6m04C4","Video Lesson 10")</f>
        <v>Video Lesson 10</v>
      </c>
      <c r="B111" t="s">
        <v>1314</v>
      </c>
      <c r="C111" t="s">
        <v>1324</v>
      </c>
      <c r="D111">
        <v>4</v>
      </c>
      <c r="E111">
        <v>56</v>
      </c>
      <c r="G111"/>
    </row>
    <row r="112" spans="1:7" x14ac:dyDescent="0.25">
      <c r="E112">
        <v>56</v>
      </c>
      <c r="G112"/>
    </row>
    <row r="113" spans="1:7" x14ac:dyDescent="0.25">
      <c r="A113" s="15" t="str">
        <f>HYPERLINK("https://www.youtube.com/watch?v=Ivl-D6m04C4","Video Lesson 10")</f>
        <v>Video Lesson 10</v>
      </c>
      <c r="B113" t="s">
        <v>1314</v>
      </c>
      <c r="C113" t="s">
        <v>1324</v>
      </c>
      <c r="D113">
        <v>5</v>
      </c>
      <c r="E113">
        <v>57</v>
      </c>
      <c r="G113"/>
    </row>
    <row r="114" spans="1:7" x14ac:dyDescent="0.25">
      <c r="E114">
        <v>57</v>
      </c>
      <c r="G114"/>
    </row>
    <row r="115" spans="1:7" x14ac:dyDescent="0.25">
      <c r="A115" s="15" t="str">
        <f>HYPERLINK("https://www.youtube.com/watch?v=Ivl-D6m04C4","Video Lesson 10")</f>
        <v>Video Lesson 10</v>
      </c>
      <c r="B115" t="s">
        <v>1314</v>
      </c>
      <c r="C115" t="s">
        <v>1324</v>
      </c>
      <c r="D115">
        <v>6</v>
      </c>
      <c r="E115">
        <v>58</v>
      </c>
      <c r="G115"/>
    </row>
    <row r="116" spans="1:7" x14ac:dyDescent="0.25">
      <c r="E116">
        <v>58</v>
      </c>
      <c r="G116"/>
    </row>
    <row r="117" spans="1:7" x14ac:dyDescent="0.25">
      <c r="A117" s="15" t="str">
        <f>HYPERLINK("https://www.youtube.com/watch?v=Ivl-D6m04C4","Video Lesson 10")</f>
        <v>Video Lesson 10</v>
      </c>
      <c r="B117" t="s">
        <v>1314</v>
      </c>
      <c r="C117" t="s">
        <v>1324</v>
      </c>
      <c r="D117">
        <v>7</v>
      </c>
      <c r="E117">
        <v>59</v>
      </c>
      <c r="G117"/>
    </row>
    <row r="118" spans="1:7" x14ac:dyDescent="0.25">
      <c r="E118">
        <v>59</v>
      </c>
      <c r="G118"/>
    </row>
    <row r="119" spans="1:7" x14ac:dyDescent="0.25">
      <c r="A119" s="15" t="str">
        <f>HYPERLINK("https://www.youtube.com/watch?v=Ivl-D6m04C4","Video Lesson 10")</f>
        <v>Video Lesson 10</v>
      </c>
      <c r="B119" t="s">
        <v>1314</v>
      </c>
      <c r="C119" t="s">
        <v>1324</v>
      </c>
      <c r="D119">
        <v>8</v>
      </c>
      <c r="E119">
        <v>60</v>
      </c>
      <c r="G119"/>
    </row>
    <row r="120" spans="1:7" x14ac:dyDescent="0.25">
      <c r="E120">
        <v>60</v>
      </c>
      <c r="G120"/>
    </row>
    <row r="121" spans="1:7" x14ac:dyDescent="0.25">
      <c r="A121" s="15" t="str">
        <f>HYPERLINK("https://www.youtube.com/watch?v=Ivl-D6m04C4","Video Lesson 10")</f>
        <v>Video Lesson 10</v>
      </c>
      <c r="B121" t="s">
        <v>1314</v>
      </c>
      <c r="C121" t="s">
        <v>1324</v>
      </c>
      <c r="D121">
        <v>9</v>
      </c>
      <c r="E121">
        <v>61</v>
      </c>
      <c r="G121"/>
    </row>
    <row r="122" spans="1:7" x14ac:dyDescent="0.25">
      <c r="E122">
        <v>61</v>
      </c>
      <c r="G122"/>
    </row>
    <row r="123" spans="1:7" x14ac:dyDescent="0.25">
      <c r="A123" s="15" t="str">
        <f>HYPERLINK("https://www.youtube.com/watch?v=Ivl-D6m04C4","Video Lesson 10")</f>
        <v>Video Lesson 10</v>
      </c>
      <c r="B123" t="s">
        <v>1314</v>
      </c>
      <c r="C123" t="s">
        <v>1324</v>
      </c>
      <c r="D123">
        <v>10</v>
      </c>
      <c r="E123">
        <v>62</v>
      </c>
      <c r="G123"/>
    </row>
    <row r="124" spans="1:7" x14ac:dyDescent="0.25">
      <c r="E124">
        <v>62</v>
      </c>
      <c r="G124"/>
    </row>
    <row r="125" spans="1:7" x14ac:dyDescent="0.25">
      <c r="A125" s="15" t="str">
        <f>HYPERLINK("https://www.youtube.com/watch?v=Ivl-D6m04C4","Video Lesson 10")</f>
        <v>Video Lesson 10</v>
      </c>
      <c r="B125" t="s">
        <v>1314</v>
      </c>
      <c r="C125" t="s">
        <v>1324</v>
      </c>
      <c r="D125">
        <v>11</v>
      </c>
      <c r="E125">
        <v>63</v>
      </c>
      <c r="G125"/>
    </row>
    <row r="126" spans="1:7" x14ac:dyDescent="0.25">
      <c r="E126">
        <v>63</v>
      </c>
      <c r="G126"/>
    </row>
    <row r="127" spans="1:7" x14ac:dyDescent="0.25">
      <c r="A127" s="15" t="str">
        <f>HYPERLINK("https://www.youtube.com/watch?v=Ivl-D6m04C4","Video Lesson 10")</f>
        <v>Video Lesson 10</v>
      </c>
      <c r="B127" t="s">
        <v>1314</v>
      </c>
      <c r="C127" t="s">
        <v>1324</v>
      </c>
      <c r="D127">
        <v>12</v>
      </c>
      <c r="E127">
        <v>64</v>
      </c>
      <c r="G127"/>
    </row>
    <row r="128" spans="1:7" x14ac:dyDescent="0.25">
      <c r="E128">
        <v>64</v>
      </c>
      <c r="G128"/>
    </row>
    <row r="129" spans="1:7" x14ac:dyDescent="0.25">
      <c r="A129" s="15" t="str">
        <f>HYPERLINK("https://www.youtube.com/watch?v=Ivl-D6m04C4","Video Lesson 10")</f>
        <v>Video Lesson 10</v>
      </c>
      <c r="B129" t="s">
        <v>1314</v>
      </c>
      <c r="C129" t="s">
        <v>1324</v>
      </c>
      <c r="D129">
        <v>13</v>
      </c>
      <c r="E129">
        <v>65</v>
      </c>
      <c r="G129"/>
    </row>
    <row r="130" spans="1:7" x14ac:dyDescent="0.25">
      <c r="E130">
        <v>65</v>
      </c>
      <c r="G130"/>
    </row>
    <row r="131" spans="1:7" x14ac:dyDescent="0.25">
      <c r="A131" s="15" t="str">
        <f>HYPERLINK("https://www.youtube.com/watch?v=Ivl-D6m04C4","Video Lesson 10")</f>
        <v>Video Lesson 10</v>
      </c>
      <c r="B131" t="s">
        <v>1314</v>
      </c>
      <c r="C131" t="s">
        <v>1324</v>
      </c>
      <c r="D131">
        <v>14</v>
      </c>
      <c r="E131">
        <v>66</v>
      </c>
      <c r="G131"/>
    </row>
    <row r="132" spans="1:7" x14ac:dyDescent="0.25">
      <c r="E132">
        <v>66</v>
      </c>
      <c r="G132"/>
    </row>
    <row r="133" spans="1:7" x14ac:dyDescent="0.25">
      <c r="A133" s="15" t="str">
        <f>HYPERLINK("https://www.youtube.com/watch?v=Ivl-D6m04C4","Video Lesson 10")</f>
        <v>Video Lesson 10</v>
      </c>
      <c r="B133" t="s">
        <v>1314</v>
      </c>
      <c r="C133" t="s">
        <v>1324</v>
      </c>
      <c r="D133">
        <v>15</v>
      </c>
      <c r="E133">
        <v>67</v>
      </c>
      <c r="G133"/>
    </row>
    <row r="134" spans="1:7" x14ac:dyDescent="0.25">
      <c r="E134">
        <v>67</v>
      </c>
      <c r="G134"/>
    </row>
    <row r="135" spans="1:7" x14ac:dyDescent="0.25">
      <c r="A135" s="15" t="str">
        <f>HYPERLINK("https://www.youtube.com/watch?v=Ivl-D6m04C4","Video Lesson 10")</f>
        <v>Video Lesson 10</v>
      </c>
      <c r="B135" t="s">
        <v>1314</v>
      </c>
      <c r="C135" t="s">
        <v>1324</v>
      </c>
      <c r="D135">
        <v>16</v>
      </c>
      <c r="E135">
        <v>68</v>
      </c>
      <c r="G135"/>
    </row>
    <row r="136" spans="1:7" x14ac:dyDescent="0.25">
      <c r="E136">
        <v>68</v>
      </c>
      <c r="G136"/>
    </row>
    <row r="137" spans="1:7" x14ac:dyDescent="0.25">
      <c r="A137" s="15" t="str">
        <f>HYPERLINK("https://www.youtube.com/watch?v=Ivl-D6m04C4","Video Lesson 10")</f>
        <v>Video Lesson 10</v>
      </c>
      <c r="B137" t="s">
        <v>1314</v>
      </c>
      <c r="C137" t="s">
        <v>1324</v>
      </c>
      <c r="D137">
        <v>17</v>
      </c>
      <c r="E137">
        <v>69</v>
      </c>
      <c r="G137"/>
    </row>
    <row r="138" spans="1:7" x14ac:dyDescent="0.25">
      <c r="E138">
        <v>69</v>
      </c>
      <c r="G138"/>
    </row>
    <row r="139" spans="1:7" x14ac:dyDescent="0.25">
      <c r="A139" s="15" t="str">
        <f>HYPERLINK("https://www.youtube.com/watch?v=Ivl-D6m04C4","Video Lesson 10")</f>
        <v>Video Lesson 10</v>
      </c>
      <c r="B139" t="s">
        <v>1314</v>
      </c>
      <c r="C139" t="s">
        <v>1324</v>
      </c>
      <c r="D139">
        <v>18</v>
      </c>
      <c r="E139">
        <v>70</v>
      </c>
      <c r="G139"/>
    </row>
    <row r="140" spans="1:7" x14ac:dyDescent="0.25">
      <c r="E140">
        <v>70</v>
      </c>
      <c r="G140"/>
    </row>
    <row r="141" spans="1:7" x14ac:dyDescent="0.25">
      <c r="A141" s="15" t="str">
        <f>HYPERLINK("https://www.youtube.com/watch?v=Ivl-D6m04C4","Video Lesson 10")</f>
        <v>Video Lesson 10</v>
      </c>
      <c r="B141" t="s">
        <v>1314</v>
      </c>
      <c r="C141" t="s">
        <v>1324</v>
      </c>
      <c r="D141">
        <v>19</v>
      </c>
      <c r="E141">
        <v>71</v>
      </c>
      <c r="G141"/>
    </row>
    <row r="142" spans="1:7" x14ac:dyDescent="0.25">
      <c r="E142">
        <v>71</v>
      </c>
      <c r="G142"/>
    </row>
    <row r="143" spans="1:7" x14ac:dyDescent="0.25">
      <c r="A143" s="15" t="str">
        <f>HYPERLINK("https://www.youtube.com/watch?v=Ivl-D6m04C4","Video Lesson 10")</f>
        <v>Video Lesson 10</v>
      </c>
      <c r="B143" t="s">
        <v>1314</v>
      </c>
      <c r="C143" t="s">
        <v>1324</v>
      </c>
      <c r="D143">
        <v>20</v>
      </c>
      <c r="E143">
        <v>72</v>
      </c>
      <c r="G143"/>
    </row>
    <row r="144" spans="1:7" x14ac:dyDescent="0.25">
      <c r="E144">
        <v>72</v>
      </c>
      <c r="G144"/>
    </row>
    <row r="145" spans="1:7" x14ac:dyDescent="0.25">
      <c r="A145" s="15" t="str">
        <f>HYPERLINK("https://www.youtube.com/watch?v=Ivl-D6m04C4","Video Lesson 10")</f>
        <v>Video Lesson 10</v>
      </c>
      <c r="B145" t="s">
        <v>1314</v>
      </c>
      <c r="C145" t="s">
        <v>1324</v>
      </c>
      <c r="D145">
        <v>21</v>
      </c>
      <c r="E145">
        <v>73</v>
      </c>
      <c r="G145"/>
    </row>
    <row r="146" spans="1:7" x14ac:dyDescent="0.25">
      <c r="E146">
        <v>73</v>
      </c>
      <c r="G146"/>
    </row>
    <row r="147" spans="1:7" x14ac:dyDescent="0.25">
      <c r="A147" s="15" t="str">
        <f>HYPERLINK("https://www.youtube.com/watch?v=Ivl-D6m04C4","Video Lesson 10")</f>
        <v>Video Lesson 10</v>
      </c>
      <c r="B147" t="s">
        <v>1314</v>
      </c>
      <c r="C147" t="s">
        <v>1324</v>
      </c>
      <c r="D147">
        <v>22</v>
      </c>
      <c r="E147">
        <v>74</v>
      </c>
      <c r="G147"/>
    </row>
    <row r="148" spans="1:7" x14ac:dyDescent="0.25">
      <c r="E148">
        <v>74</v>
      </c>
      <c r="G148"/>
    </row>
    <row r="149" spans="1:7" x14ac:dyDescent="0.25">
      <c r="A149" s="15" t="str">
        <f>HYPERLINK("https://www.youtube.com/watch?v=Ivl-D6m04C4","Video Lesson 10")</f>
        <v>Video Lesson 10</v>
      </c>
      <c r="B149" t="s">
        <v>1314</v>
      </c>
      <c r="C149" t="s">
        <v>1324</v>
      </c>
      <c r="D149">
        <v>23</v>
      </c>
      <c r="E149">
        <v>75</v>
      </c>
      <c r="G149"/>
    </row>
    <row r="150" spans="1:7" x14ac:dyDescent="0.25">
      <c r="E150">
        <v>75</v>
      </c>
      <c r="G150"/>
    </row>
    <row r="151" spans="1:7" x14ac:dyDescent="0.25">
      <c r="A151" s="15" t="str">
        <f>HYPERLINK("https://www.youtube.com/watch?v=E-TjOWZ5YQ0","Video Lesson 2")</f>
        <v>Video Lesson 2</v>
      </c>
      <c r="B151" t="s">
        <v>1315</v>
      </c>
      <c r="C151" t="s">
        <v>1325</v>
      </c>
      <c r="D151">
        <v>1</v>
      </c>
      <c r="E151">
        <v>76</v>
      </c>
      <c r="G151"/>
    </row>
    <row r="152" spans="1:7" x14ac:dyDescent="0.25">
      <c r="E152">
        <v>76</v>
      </c>
      <c r="G152"/>
    </row>
    <row r="153" spans="1:7" x14ac:dyDescent="0.25">
      <c r="A153" s="15" t="str">
        <f>HYPERLINK("https://www.youtube.com/watch?v=E-TjOWZ5YQ0","Video Lesson 2")</f>
        <v>Video Lesson 2</v>
      </c>
      <c r="B153" t="s">
        <v>1315</v>
      </c>
      <c r="C153" t="s">
        <v>1325</v>
      </c>
      <c r="D153">
        <v>2</v>
      </c>
      <c r="E153">
        <v>77</v>
      </c>
      <c r="G153"/>
    </row>
    <row r="154" spans="1:7" x14ac:dyDescent="0.25">
      <c r="E154">
        <v>77</v>
      </c>
      <c r="G154"/>
    </row>
    <row r="155" spans="1:7" x14ac:dyDescent="0.25">
      <c r="A155" s="15" t="str">
        <f>HYPERLINK("https://www.youtube.com/watch?v=E-TjOWZ5YQ0","Video Lesson 2")</f>
        <v>Video Lesson 2</v>
      </c>
      <c r="B155" t="s">
        <v>1315</v>
      </c>
      <c r="C155" t="s">
        <v>1325</v>
      </c>
      <c r="D155">
        <v>3</v>
      </c>
      <c r="E155">
        <v>78</v>
      </c>
      <c r="G155"/>
    </row>
    <row r="156" spans="1:7" x14ac:dyDescent="0.25">
      <c r="E156">
        <v>78</v>
      </c>
      <c r="G156"/>
    </row>
    <row r="157" spans="1:7" x14ac:dyDescent="0.25">
      <c r="A157" s="15" t="str">
        <f>HYPERLINK("https://www.youtube.com/watch?v=E-TjOWZ5YQ0","Video Lesson 2")</f>
        <v>Video Lesson 2</v>
      </c>
      <c r="B157" t="s">
        <v>1315</v>
      </c>
      <c r="C157" t="s">
        <v>1325</v>
      </c>
      <c r="D157">
        <v>4</v>
      </c>
      <c r="E157">
        <v>79</v>
      </c>
      <c r="G157"/>
    </row>
    <row r="158" spans="1:7" x14ac:dyDescent="0.25">
      <c r="E158">
        <v>79</v>
      </c>
      <c r="G158"/>
    </row>
    <row r="159" spans="1:7" x14ac:dyDescent="0.25">
      <c r="A159" s="15" t="str">
        <f>HYPERLINK("https://www.youtube.com/watch?v=E-TjOWZ5YQ0","Video Lesson 2")</f>
        <v>Video Lesson 2</v>
      </c>
      <c r="B159" t="s">
        <v>1315</v>
      </c>
      <c r="C159" t="s">
        <v>1325</v>
      </c>
      <c r="D159">
        <v>5</v>
      </c>
      <c r="E159">
        <v>80</v>
      </c>
      <c r="G159"/>
    </row>
    <row r="160" spans="1:7" x14ac:dyDescent="0.25">
      <c r="E160">
        <v>80</v>
      </c>
      <c r="G160"/>
    </row>
    <row r="161" spans="1:7" x14ac:dyDescent="0.25">
      <c r="A161" s="15" t="str">
        <f>HYPERLINK("https://www.youtube.com/watch?v=HPUSR1ERIv0","Video Lesson 5")</f>
        <v>Video Lesson 5</v>
      </c>
      <c r="B161" t="s">
        <v>1315</v>
      </c>
      <c r="C161" t="s">
        <v>1326</v>
      </c>
      <c r="D161">
        <v>1</v>
      </c>
      <c r="E161">
        <v>81</v>
      </c>
      <c r="G161"/>
    </row>
    <row r="162" spans="1:7" x14ac:dyDescent="0.25">
      <c r="E162">
        <v>81</v>
      </c>
      <c r="G162"/>
    </row>
    <row r="163" spans="1:7" x14ac:dyDescent="0.25">
      <c r="A163" s="15" t="str">
        <f>HYPERLINK("https://www.youtube.com/watch?v=HPUSR1ERIv0","Video Lesson 5")</f>
        <v>Video Lesson 5</v>
      </c>
      <c r="B163" t="s">
        <v>1315</v>
      </c>
      <c r="C163" t="s">
        <v>1326</v>
      </c>
      <c r="D163">
        <v>2</v>
      </c>
      <c r="E163">
        <v>82</v>
      </c>
      <c r="G163"/>
    </row>
    <row r="164" spans="1:7" x14ac:dyDescent="0.25">
      <c r="E164">
        <v>82</v>
      </c>
      <c r="G164"/>
    </row>
    <row r="165" spans="1:7" x14ac:dyDescent="0.25">
      <c r="A165" s="15" t="str">
        <f>HYPERLINK("https://www.youtube.com/watch?v=HPUSR1ERIv0","Video Lesson 5")</f>
        <v>Video Lesson 5</v>
      </c>
      <c r="B165" t="s">
        <v>1315</v>
      </c>
      <c r="C165" t="s">
        <v>1326</v>
      </c>
      <c r="D165">
        <v>3</v>
      </c>
      <c r="E165">
        <v>83</v>
      </c>
      <c r="G165"/>
    </row>
    <row r="166" spans="1:7" x14ac:dyDescent="0.25">
      <c r="E166">
        <v>83</v>
      </c>
      <c r="G166"/>
    </row>
    <row r="167" spans="1:7" x14ac:dyDescent="0.25">
      <c r="A167" s="15" t="str">
        <f>HYPERLINK("https://www.youtube.com/watch?v=HPUSR1ERIv0","Video Lesson 5")</f>
        <v>Video Lesson 5</v>
      </c>
      <c r="B167" t="s">
        <v>1315</v>
      </c>
      <c r="C167" t="s">
        <v>1326</v>
      </c>
      <c r="D167">
        <v>4</v>
      </c>
      <c r="E167">
        <v>84</v>
      </c>
      <c r="G167"/>
    </row>
    <row r="168" spans="1:7" x14ac:dyDescent="0.25">
      <c r="E168">
        <v>84</v>
      </c>
      <c r="G168"/>
    </row>
    <row r="169" spans="1:7" x14ac:dyDescent="0.25">
      <c r="A169" s="15" t="str">
        <f>HYPERLINK("https://www.youtube.com/watch?v=HPUSR1ERIv0","Video Lesson 5")</f>
        <v>Video Lesson 5</v>
      </c>
      <c r="B169" t="s">
        <v>1315</v>
      </c>
      <c r="C169" t="s">
        <v>1326</v>
      </c>
      <c r="D169">
        <v>5</v>
      </c>
      <c r="E169">
        <v>85</v>
      </c>
      <c r="G169"/>
    </row>
    <row r="170" spans="1:7" x14ac:dyDescent="0.25">
      <c r="E170">
        <v>85</v>
      </c>
      <c r="G170"/>
    </row>
    <row r="171" spans="1:7" x14ac:dyDescent="0.25">
      <c r="A171" s="15" t="str">
        <f>HYPERLINK("https://www.youtube.com/watch?v=HPUSR1ERIv0","Video Lesson 5")</f>
        <v>Video Lesson 5</v>
      </c>
      <c r="B171" t="s">
        <v>1315</v>
      </c>
      <c r="C171" t="s">
        <v>1326</v>
      </c>
      <c r="D171">
        <v>6</v>
      </c>
      <c r="E171">
        <v>86</v>
      </c>
      <c r="G171"/>
    </row>
    <row r="172" spans="1:7" x14ac:dyDescent="0.25">
      <c r="E172">
        <v>86</v>
      </c>
      <c r="G172"/>
    </row>
    <row r="173" spans="1:7" x14ac:dyDescent="0.25">
      <c r="A173" s="15" t="str">
        <f>HYPERLINK("https://www.youtube.com/watch?v=HPUSR1ERIv0","Video Lesson 5")</f>
        <v>Video Lesson 5</v>
      </c>
      <c r="B173" t="s">
        <v>1315</v>
      </c>
      <c r="C173" t="s">
        <v>1326</v>
      </c>
      <c r="D173">
        <v>7</v>
      </c>
      <c r="E173">
        <v>87</v>
      </c>
      <c r="G173"/>
    </row>
    <row r="174" spans="1:7" x14ac:dyDescent="0.25">
      <c r="E174">
        <v>87</v>
      </c>
      <c r="G174"/>
    </row>
    <row r="175" spans="1:7" x14ac:dyDescent="0.25">
      <c r="A175" s="15" t="str">
        <f>HYPERLINK("https://www.youtube.com/watch?v=HPUSR1ERIv0","Video Lesson 5")</f>
        <v>Video Lesson 5</v>
      </c>
      <c r="B175" t="s">
        <v>1315</v>
      </c>
      <c r="C175" t="s">
        <v>1326</v>
      </c>
      <c r="D175">
        <v>8</v>
      </c>
      <c r="E175">
        <v>88</v>
      </c>
      <c r="G175"/>
    </row>
    <row r="176" spans="1:7" x14ac:dyDescent="0.25">
      <c r="E176">
        <v>88</v>
      </c>
      <c r="G176"/>
    </row>
    <row r="177" spans="1:7" x14ac:dyDescent="0.25">
      <c r="A177" s="15" t="str">
        <f>HYPERLINK("https://www.youtube.com/watch?v=HPUSR1ERIv0","Video Lesson 5")</f>
        <v>Video Lesson 5</v>
      </c>
      <c r="B177" t="s">
        <v>1315</v>
      </c>
      <c r="C177" t="s">
        <v>1326</v>
      </c>
      <c r="D177">
        <v>9</v>
      </c>
      <c r="E177">
        <v>89</v>
      </c>
      <c r="G177"/>
    </row>
    <row r="178" spans="1:7" x14ac:dyDescent="0.25">
      <c r="E178">
        <v>89</v>
      </c>
      <c r="G178"/>
    </row>
    <row r="179" spans="1:7" x14ac:dyDescent="0.25">
      <c r="A179" s="15" t="str">
        <f>HYPERLINK("https://www.youtube.com/watch?v=bbpaAUOv8dE","Video Lesson 3.2")</f>
        <v>Video Lesson 3.2</v>
      </c>
      <c r="B179" t="s">
        <v>1315</v>
      </c>
      <c r="C179" t="s">
        <v>1326</v>
      </c>
      <c r="D179">
        <v>10</v>
      </c>
      <c r="E179">
        <v>90</v>
      </c>
      <c r="G179"/>
    </row>
    <row r="180" spans="1:7" x14ac:dyDescent="0.25">
      <c r="E180">
        <v>90</v>
      </c>
      <c r="G180"/>
    </row>
    <row r="181" spans="1:7" x14ac:dyDescent="0.25">
      <c r="A181" s="15" t="str">
        <f>HYPERLINK("https://www.youtube.com/watch?v=HPUSR1ERIv0","Video Lesson 5")</f>
        <v>Video Lesson 5</v>
      </c>
      <c r="B181" t="s">
        <v>1315</v>
      </c>
      <c r="C181" t="s">
        <v>1326</v>
      </c>
      <c r="D181">
        <v>11</v>
      </c>
      <c r="E181">
        <v>91</v>
      </c>
      <c r="G181"/>
    </row>
    <row r="182" spans="1:7" x14ac:dyDescent="0.25">
      <c r="E182">
        <v>91</v>
      </c>
      <c r="G182"/>
    </row>
    <row r="183" spans="1:7" x14ac:dyDescent="0.25">
      <c r="A183" s="15" t="str">
        <f>HYPERLINK("https://www.youtube.com/watch?v=bbpaAUOv8dE","Video Lesson 3.2")</f>
        <v>Video Lesson 3.2</v>
      </c>
      <c r="B183" t="s">
        <v>1315</v>
      </c>
      <c r="C183" t="s">
        <v>1326</v>
      </c>
      <c r="D183">
        <v>12</v>
      </c>
      <c r="E183">
        <v>92</v>
      </c>
      <c r="G183"/>
    </row>
    <row r="184" spans="1:7" x14ac:dyDescent="0.25">
      <c r="E184">
        <v>92</v>
      </c>
      <c r="G184"/>
    </row>
    <row r="185" spans="1:7" x14ac:dyDescent="0.25">
      <c r="A185" s="15" t="str">
        <f>HYPERLINK("https://www.youtube.com/watch?v=e_dFFaECK5E","Video Lesson 4")</f>
        <v>Video Lesson 4</v>
      </c>
      <c r="B185" t="s">
        <v>1315</v>
      </c>
      <c r="C185" t="s">
        <v>1327</v>
      </c>
      <c r="D185">
        <v>1</v>
      </c>
      <c r="E185">
        <v>93</v>
      </c>
      <c r="G185"/>
    </row>
    <row r="186" spans="1:7" x14ac:dyDescent="0.25">
      <c r="E186">
        <v>93</v>
      </c>
      <c r="G186"/>
    </row>
    <row r="187" spans="1:7" x14ac:dyDescent="0.25">
      <c r="A187" s="15" t="str">
        <f>HYPERLINK("https://www.youtube.com/watch?v=e_dFFaECK5E","Video Lesson 4")</f>
        <v>Video Lesson 4</v>
      </c>
      <c r="B187" t="s">
        <v>1315</v>
      </c>
      <c r="C187" t="s">
        <v>1327</v>
      </c>
      <c r="D187">
        <v>2</v>
      </c>
      <c r="E187">
        <v>94</v>
      </c>
      <c r="G187"/>
    </row>
    <row r="188" spans="1:7" x14ac:dyDescent="0.25">
      <c r="E188">
        <v>94</v>
      </c>
      <c r="G188"/>
    </row>
    <row r="189" spans="1:7" x14ac:dyDescent="0.25">
      <c r="A189" s="15" t="str">
        <f>HYPERLINK("https://www.youtube.com/watch?v=e_dFFaECK5E","Video Lesson 4")</f>
        <v>Video Lesson 4</v>
      </c>
      <c r="B189" t="s">
        <v>1315</v>
      </c>
      <c r="C189" t="s">
        <v>1327</v>
      </c>
      <c r="D189">
        <v>3</v>
      </c>
      <c r="E189">
        <v>95</v>
      </c>
      <c r="G189"/>
    </row>
    <row r="190" spans="1:7" x14ac:dyDescent="0.25">
      <c r="E190">
        <v>95</v>
      </c>
      <c r="G190"/>
    </row>
    <row r="191" spans="1:7" x14ac:dyDescent="0.25">
      <c r="A191" s="15" t="str">
        <f>HYPERLINK("https://www.youtube.com/watch?v=e_dFFaECK5E","Video Lesson 4")</f>
        <v>Video Lesson 4</v>
      </c>
      <c r="B191" t="s">
        <v>1315</v>
      </c>
      <c r="C191" t="s">
        <v>1327</v>
      </c>
      <c r="D191">
        <v>4</v>
      </c>
      <c r="E191">
        <v>96</v>
      </c>
      <c r="G191"/>
    </row>
    <row r="192" spans="1:7" x14ac:dyDescent="0.25">
      <c r="E192">
        <v>96</v>
      </c>
      <c r="G192"/>
    </row>
    <row r="193" spans="1:7" x14ac:dyDescent="0.25">
      <c r="A193" s="15" t="str">
        <f>HYPERLINK("https://www.youtube.com/watch?v=e_dFFaECK5E","Video Lesson 4")</f>
        <v>Video Lesson 4</v>
      </c>
      <c r="B193" t="s">
        <v>1315</v>
      </c>
      <c r="C193" t="s">
        <v>1327</v>
      </c>
      <c r="D193">
        <v>5</v>
      </c>
      <c r="E193">
        <v>97</v>
      </c>
      <c r="G193"/>
    </row>
    <row r="194" spans="1:7" x14ac:dyDescent="0.25">
      <c r="E194">
        <v>97</v>
      </c>
      <c r="G194"/>
    </row>
    <row r="195" spans="1:7" x14ac:dyDescent="0.25">
      <c r="A195" s="15" t="str">
        <f>HYPERLINK("https://www.youtube.com/watch?v=e_dFFaECK5E","Video Lesson 4")</f>
        <v>Video Lesson 4</v>
      </c>
      <c r="B195" t="s">
        <v>1315</v>
      </c>
      <c r="C195" t="s">
        <v>1327</v>
      </c>
      <c r="D195">
        <v>6</v>
      </c>
      <c r="E195">
        <v>98</v>
      </c>
      <c r="G195"/>
    </row>
    <row r="196" spans="1:7" x14ac:dyDescent="0.25">
      <c r="E196">
        <v>98</v>
      </c>
      <c r="G196"/>
    </row>
    <row r="197" spans="1:7" x14ac:dyDescent="0.25">
      <c r="A197" s="15" t="str">
        <f>HYPERLINK("https://www.youtube.com/watch?v=e_dFFaECK5E","Video Lesson 4")</f>
        <v>Video Lesson 4</v>
      </c>
      <c r="B197" t="s">
        <v>1315</v>
      </c>
      <c r="C197" t="s">
        <v>1327</v>
      </c>
      <c r="D197">
        <v>7</v>
      </c>
      <c r="E197">
        <v>99</v>
      </c>
      <c r="G197"/>
    </row>
    <row r="198" spans="1:7" x14ac:dyDescent="0.25">
      <c r="E198">
        <v>99</v>
      </c>
      <c r="G198"/>
    </row>
    <row r="199" spans="1:7" x14ac:dyDescent="0.25">
      <c r="A199" s="15" t="str">
        <f>HYPERLINK("https://www.youtube.com/watch?v=e_dFFaECK5E","Video Lesson 4")</f>
        <v>Video Lesson 4</v>
      </c>
      <c r="B199" t="s">
        <v>1315</v>
      </c>
      <c r="C199" t="s">
        <v>1327</v>
      </c>
      <c r="D199">
        <v>8</v>
      </c>
      <c r="E199">
        <v>100</v>
      </c>
      <c r="G199"/>
    </row>
    <row r="200" spans="1:7" x14ac:dyDescent="0.25">
      <c r="E200">
        <v>100</v>
      </c>
      <c r="G200"/>
    </row>
    <row r="201" spans="1:7" x14ac:dyDescent="0.25">
      <c r="A201" s="15" t="str">
        <f>HYPERLINK("https://www.youtube.com/watch?v=QXklxwQ4px8","Video Lesson 3.1")</f>
        <v>Video Lesson 3.1</v>
      </c>
      <c r="B201" t="s">
        <v>1315</v>
      </c>
      <c r="C201" t="s">
        <v>1328</v>
      </c>
      <c r="D201">
        <v>1</v>
      </c>
      <c r="E201">
        <v>101</v>
      </c>
      <c r="G201"/>
    </row>
    <row r="202" spans="1:7" x14ac:dyDescent="0.25">
      <c r="E202">
        <v>101</v>
      </c>
      <c r="G202"/>
    </row>
    <row r="203" spans="1:7" x14ac:dyDescent="0.25">
      <c r="A203" s="15" t="str">
        <f>HYPERLINK("https://www.youtube.com/watch?v=SGeR9HfhVRA","Video Lesson 8")</f>
        <v>Video Lesson 8</v>
      </c>
      <c r="B203" t="s">
        <v>1315</v>
      </c>
      <c r="C203" t="s">
        <v>1328</v>
      </c>
      <c r="D203">
        <v>2</v>
      </c>
      <c r="E203">
        <v>102</v>
      </c>
      <c r="G203"/>
    </row>
    <row r="204" spans="1:7" x14ac:dyDescent="0.25">
      <c r="E204">
        <v>102</v>
      </c>
      <c r="G204"/>
    </row>
    <row r="205" spans="1:7" x14ac:dyDescent="0.25">
      <c r="A205" s="15" t="str">
        <f>HYPERLINK("https://www.youtube.com/watch?v=QXklxwQ4px8","Video Lesson 3.1")</f>
        <v>Video Lesson 3.1</v>
      </c>
      <c r="B205" t="s">
        <v>1315</v>
      </c>
      <c r="C205" t="s">
        <v>1328</v>
      </c>
      <c r="D205">
        <v>3</v>
      </c>
      <c r="E205">
        <v>103</v>
      </c>
      <c r="G205"/>
    </row>
    <row r="206" spans="1:7" x14ac:dyDescent="0.25">
      <c r="E206">
        <v>103</v>
      </c>
      <c r="G206"/>
    </row>
    <row r="207" spans="1:7" x14ac:dyDescent="0.25">
      <c r="A207" s="15" t="str">
        <f>HYPERLINK("https://www.youtube.com/watch?v=QXklxwQ4px8","Video Lesson 3.1")</f>
        <v>Video Lesson 3.1</v>
      </c>
      <c r="B207" t="s">
        <v>1315</v>
      </c>
      <c r="C207" t="s">
        <v>1328</v>
      </c>
      <c r="D207">
        <v>4</v>
      </c>
      <c r="E207">
        <v>104</v>
      </c>
      <c r="G207"/>
    </row>
    <row r="208" spans="1:7" x14ac:dyDescent="0.25">
      <c r="E208">
        <v>104</v>
      </c>
      <c r="G208"/>
    </row>
    <row r="209" spans="1:7" x14ac:dyDescent="0.25">
      <c r="A209" s="15" t="str">
        <f>HYPERLINK("https://www.youtube.com/watch?v=QXklxwQ4px8","Video Lesson 3.1")</f>
        <v>Video Lesson 3.1</v>
      </c>
      <c r="B209" t="s">
        <v>1315</v>
      </c>
      <c r="C209" t="s">
        <v>1328</v>
      </c>
      <c r="D209">
        <v>5</v>
      </c>
      <c r="E209">
        <v>105</v>
      </c>
      <c r="G209"/>
    </row>
    <row r="210" spans="1:7" x14ac:dyDescent="0.25">
      <c r="E210">
        <v>105</v>
      </c>
      <c r="G210"/>
    </row>
    <row r="211" spans="1:7" x14ac:dyDescent="0.25">
      <c r="A211" s="15" t="str">
        <f>HYPERLINK("https://www.youtube.com/watch?v=QXklxwQ4px8","Video Lesson 3.1")</f>
        <v>Video Lesson 3.1</v>
      </c>
      <c r="B211" t="s">
        <v>1315</v>
      </c>
      <c r="C211" t="s">
        <v>1328</v>
      </c>
      <c r="D211">
        <v>6</v>
      </c>
      <c r="E211">
        <v>106</v>
      </c>
      <c r="G211"/>
    </row>
    <row r="212" spans="1:7" x14ac:dyDescent="0.25">
      <c r="E212">
        <v>106</v>
      </c>
      <c r="G212"/>
    </row>
    <row r="213" spans="1:7" x14ac:dyDescent="0.25">
      <c r="A213" s="15" t="str">
        <f>HYPERLINK("https://www.youtube.com/watch?v=SGeR9HfhVRA","Video Lesson 8")</f>
        <v>Video Lesson 8</v>
      </c>
      <c r="B213" t="s">
        <v>1315</v>
      </c>
      <c r="C213" t="s">
        <v>1328</v>
      </c>
      <c r="D213">
        <v>7</v>
      </c>
      <c r="E213">
        <v>107</v>
      </c>
      <c r="G213"/>
    </row>
    <row r="214" spans="1:7" x14ac:dyDescent="0.25">
      <c r="E214">
        <v>107</v>
      </c>
      <c r="G214"/>
    </row>
    <row r="215" spans="1:7" x14ac:dyDescent="0.25">
      <c r="A215" s="15" t="str">
        <f>HYPERLINK("https://www.youtube.com/watch?v=SGeR9HfhVRA","Video Lesson 8")</f>
        <v>Video Lesson 8</v>
      </c>
      <c r="B215" t="s">
        <v>1315</v>
      </c>
      <c r="C215" t="s">
        <v>1328</v>
      </c>
      <c r="D215">
        <v>8</v>
      </c>
      <c r="E215">
        <v>108</v>
      </c>
      <c r="G215"/>
    </row>
    <row r="216" spans="1:7" x14ac:dyDescent="0.25">
      <c r="E216">
        <v>108</v>
      </c>
      <c r="G216"/>
    </row>
    <row r="217" spans="1:7" x14ac:dyDescent="0.25">
      <c r="A217" s="15" t="str">
        <f>HYPERLINK("https://www.youtube.com/watch?v=SGeR9HfhVRA","Video Lesson 8")</f>
        <v>Video Lesson 8</v>
      </c>
      <c r="B217" t="s">
        <v>1315</v>
      </c>
      <c r="C217" t="s">
        <v>1328</v>
      </c>
      <c r="D217">
        <v>9</v>
      </c>
      <c r="E217">
        <v>109</v>
      </c>
      <c r="G217"/>
    </row>
    <row r="218" spans="1:7" x14ac:dyDescent="0.25">
      <c r="E218">
        <v>109</v>
      </c>
      <c r="G218"/>
    </row>
    <row r="219" spans="1:7" x14ac:dyDescent="0.25">
      <c r="A219" s="15" t="str">
        <f>HYPERLINK("https://www.youtube.com/watch?v=SGeR9HfhVRA","Video Lesson 8")</f>
        <v>Video Lesson 8</v>
      </c>
      <c r="B219" t="s">
        <v>1315</v>
      </c>
      <c r="C219" t="s">
        <v>1328</v>
      </c>
      <c r="D219">
        <v>10</v>
      </c>
      <c r="E219">
        <v>110</v>
      </c>
      <c r="G219"/>
    </row>
    <row r="220" spans="1:7" x14ac:dyDescent="0.25">
      <c r="E220">
        <v>110</v>
      </c>
      <c r="G220"/>
    </row>
    <row r="221" spans="1:7" x14ac:dyDescent="0.25">
      <c r="A221" s="15" t="str">
        <f>HYPERLINK("https://www.youtube.com/watch?v=SGeR9HfhVRA","Video Lesson 8")</f>
        <v>Video Lesson 8</v>
      </c>
      <c r="B221" t="s">
        <v>1315</v>
      </c>
      <c r="C221" t="s">
        <v>1328</v>
      </c>
      <c r="D221">
        <v>11</v>
      </c>
      <c r="E221">
        <v>111</v>
      </c>
      <c r="G221"/>
    </row>
    <row r="222" spans="1:7" x14ac:dyDescent="0.25">
      <c r="E222">
        <v>111</v>
      </c>
      <c r="G222"/>
    </row>
    <row r="223" spans="1:7" x14ac:dyDescent="0.25">
      <c r="A223" s="15" t="str">
        <f>HYPERLINK("https://www.youtube.com/watch?v=SGeR9HfhVRA","Video Lesson 8")</f>
        <v>Video Lesson 8</v>
      </c>
      <c r="B223" t="s">
        <v>1315</v>
      </c>
      <c r="C223" t="s">
        <v>1328</v>
      </c>
      <c r="D223">
        <v>12</v>
      </c>
      <c r="E223">
        <v>112</v>
      </c>
      <c r="G223"/>
    </row>
    <row r="224" spans="1:7" x14ac:dyDescent="0.25">
      <c r="E224">
        <v>112</v>
      </c>
      <c r="G224"/>
    </row>
    <row r="225" spans="1:7" x14ac:dyDescent="0.25">
      <c r="A225" s="15" t="str">
        <f>HYPERLINK("https://www.youtube.com/watch?v=SGeR9HfhVRA","Video Lesson 8")</f>
        <v>Video Lesson 8</v>
      </c>
      <c r="B225" t="s">
        <v>1315</v>
      </c>
      <c r="C225" t="s">
        <v>1328</v>
      </c>
      <c r="D225">
        <v>13</v>
      </c>
      <c r="E225">
        <v>113</v>
      </c>
      <c r="G225"/>
    </row>
    <row r="226" spans="1:7" x14ac:dyDescent="0.25">
      <c r="E226">
        <v>113</v>
      </c>
      <c r="G226"/>
    </row>
    <row r="227" spans="1:7" x14ac:dyDescent="0.25">
      <c r="A227" s="15" t="str">
        <f>HYPERLINK("https://www.youtube.com/watch?v=SGeR9HfhVRA","Video Lesson 8")</f>
        <v>Video Lesson 8</v>
      </c>
      <c r="B227" t="s">
        <v>1315</v>
      </c>
      <c r="C227" t="s">
        <v>1328</v>
      </c>
      <c r="D227">
        <v>14</v>
      </c>
      <c r="E227">
        <v>114</v>
      </c>
      <c r="G227"/>
    </row>
    <row r="228" spans="1:7" x14ac:dyDescent="0.25">
      <c r="E228">
        <v>114</v>
      </c>
      <c r="G228"/>
    </row>
    <row r="229" spans="1:7" x14ac:dyDescent="0.25">
      <c r="A229" s="15" t="str">
        <f>HYPERLINK("https://www.youtube.com/watch?v=1G46tEJOrww","Video Lesson 11")</f>
        <v>Video Lesson 11</v>
      </c>
      <c r="B229" t="s">
        <v>1315</v>
      </c>
      <c r="C229" t="s">
        <v>1329</v>
      </c>
      <c r="D229">
        <v>1</v>
      </c>
      <c r="E229">
        <v>115</v>
      </c>
      <c r="G229"/>
    </row>
    <row r="230" spans="1:7" x14ac:dyDescent="0.25">
      <c r="E230">
        <v>115</v>
      </c>
      <c r="G230"/>
    </row>
    <row r="231" spans="1:7" x14ac:dyDescent="0.25">
      <c r="A231" s="15" t="str">
        <f>HYPERLINK("https://www.youtube.com/watch?v=1G46tEJOrww","Video Lesson 11")</f>
        <v>Video Lesson 11</v>
      </c>
      <c r="B231" t="s">
        <v>1315</v>
      </c>
      <c r="C231" t="s">
        <v>1329</v>
      </c>
      <c r="D231">
        <v>2</v>
      </c>
      <c r="E231">
        <v>116</v>
      </c>
      <c r="G231"/>
    </row>
    <row r="232" spans="1:7" x14ac:dyDescent="0.25">
      <c r="E232">
        <v>116</v>
      </c>
      <c r="G232"/>
    </row>
    <row r="233" spans="1:7" x14ac:dyDescent="0.25">
      <c r="A233" s="15" t="str">
        <f>HYPERLINK("https://www.youtube.com/watch?v=1G46tEJOrww","Video Lesson 11")</f>
        <v>Video Lesson 11</v>
      </c>
      <c r="B233" t="s">
        <v>1315</v>
      </c>
      <c r="C233" t="s">
        <v>1329</v>
      </c>
      <c r="D233">
        <v>3</v>
      </c>
      <c r="E233">
        <v>117</v>
      </c>
      <c r="G233"/>
    </row>
    <row r="234" spans="1:7" x14ac:dyDescent="0.25">
      <c r="E234">
        <v>117</v>
      </c>
      <c r="G234"/>
    </row>
    <row r="235" spans="1:7" x14ac:dyDescent="0.25">
      <c r="A235" s="15" t="str">
        <f>HYPERLINK("https://www.youtube.com/watch?v=1G46tEJOrww","Video Lesson 11")</f>
        <v>Video Lesson 11</v>
      </c>
      <c r="B235" t="s">
        <v>1315</v>
      </c>
      <c r="C235" t="s">
        <v>1329</v>
      </c>
      <c r="D235">
        <v>4</v>
      </c>
      <c r="E235">
        <v>118</v>
      </c>
      <c r="G235"/>
    </row>
    <row r="236" spans="1:7" x14ac:dyDescent="0.25">
      <c r="E236">
        <v>118</v>
      </c>
      <c r="G236"/>
    </row>
    <row r="237" spans="1:7" x14ac:dyDescent="0.25">
      <c r="A237" s="15" t="str">
        <f>HYPERLINK("https://www.youtube.com/watch?v=1G46tEJOrww","Video Lesson 11")</f>
        <v>Video Lesson 11</v>
      </c>
      <c r="B237" t="s">
        <v>1315</v>
      </c>
      <c r="C237" t="s">
        <v>1329</v>
      </c>
      <c r="D237">
        <v>5</v>
      </c>
      <c r="E237">
        <v>119</v>
      </c>
      <c r="G237"/>
    </row>
    <row r="238" spans="1:7" x14ac:dyDescent="0.25">
      <c r="E238">
        <v>119</v>
      </c>
      <c r="G238"/>
    </row>
    <row r="239" spans="1:7" x14ac:dyDescent="0.25">
      <c r="A239" s="15" t="str">
        <f>HYPERLINK("https://www.youtube.com/watch?v=1G46tEJOrww","Video Lesson 11")</f>
        <v>Video Lesson 11</v>
      </c>
      <c r="B239" t="s">
        <v>1315</v>
      </c>
      <c r="C239" t="s">
        <v>1329</v>
      </c>
      <c r="D239">
        <v>6</v>
      </c>
      <c r="E239">
        <v>120</v>
      </c>
      <c r="G239"/>
    </row>
    <row r="240" spans="1:7" x14ac:dyDescent="0.25">
      <c r="E240">
        <v>120</v>
      </c>
      <c r="G240"/>
    </row>
    <row r="241" spans="1:7" x14ac:dyDescent="0.25">
      <c r="A241" s="15" t="str">
        <f>HYPERLINK("https://www.youtube.com/watch?v=E-TjOWZ5YQ0","Video Lesson 2")</f>
        <v>Video Lesson 2</v>
      </c>
      <c r="B241" t="s">
        <v>1315</v>
      </c>
      <c r="C241" t="s">
        <v>1329</v>
      </c>
      <c r="D241">
        <v>7</v>
      </c>
      <c r="E241">
        <v>121</v>
      </c>
      <c r="G241"/>
    </row>
    <row r="242" spans="1:7" x14ac:dyDescent="0.25">
      <c r="E242">
        <v>121</v>
      </c>
      <c r="G242"/>
    </row>
    <row r="243" spans="1:7" x14ac:dyDescent="0.25">
      <c r="A243" s="15" t="str">
        <f>HYPERLINK("https://www.youtube.com/watch?v=1G46tEJOrww","Video Lesson 11")</f>
        <v>Video Lesson 11</v>
      </c>
      <c r="B243" t="s">
        <v>1315</v>
      </c>
      <c r="C243" t="s">
        <v>1329</v>
      </c>
      <c r="D243">
        <v>8</v>
      </c>
      <c r="E243">
        <v>122</v>
      </c>
      <c r="G243"/>
    </row>
    <row r="244" spans="1:7" x14ac:dyDescent="0.25">
      <c r="E244">
        <v>122</v>
      </c>
      <c r="G244"/>
    </row>
    <row r="245" spans="1:7" x14ac:dyDescent="0.25">
      <c r="A245" s="15" t="str">
        <f>HYPERLINK("https://www.youtube.com/watch?v=1G46tEJOrww","Video Lesson 11")</f>
        <v>Video Lesson 11</v>
      </c>
      <c r="B245" t="s">
        <v>1315</v>
      </c>
      <c r="C245" t="s">
        <v>1329</v>
      </c>
      <c r="D245">
        <v>9</v>
      </c>
      <c r="E245">
        <v>123</v>
      </c>
      <c r="G245"/>
    </row>
    <row r="246" spans="1:7" x14ac:dyDescent="0.25">
      <c r="E246">
        <v>123</v>
      </c>
      <c r="G246"/>
    </row>
    <row r="247" spans="1:7" x14ac:dyDescent="0.25">
      <c r="A247" s="15" t="str">
        <f>HYPERLINK("https://www.youtube.com/watch?v=1G46tEJOrww","Video Lesson 11")</f>
        <v>Video Lesson 11</v>
      </c>
      <c r="B247" t="s">
        <v>1315</v>
      </c>
      <c r="C247" t="s">
        <v>1329</v>
      </c>
      <c r="D247">
        <v>10</v>
      </c>
      <c r="E247">
        <v>124</v>
      </c>
      <c r="G247"/>
    </row>
    <row r="248" spans="1:7" x14ac:dyDescent="0.25">
      <c r="E248">
        <v>124</v>
      </c>
      <c r="G248"/>
    </row>
    <row r="249" spans="1:7" x14ac:dyDescent="0.25">
      <c r="A249" s="15" t="str">
        <f>HYPERLINK("https://www.youtube.com/watch?v=1G46tEJOrww","Video Lesson 11")</f>
        <v>Video Lesson 11</v>
      </c>
      <c r="B249" t="s">
        <v>1315</v>
      </c>
      <c r="C249" t="s">
        <v>1329</v>
      </c>
      <c r="D249">
        <v>11</v>
      </c>
      <c r="E249">
        <v>125</v>
      </c>
      <c r="G249"/>
    </row>
    <row r="250" spans="1:7" x14ac:dyDescent="0.25">
      <c r="E250">
        <v>125</v>
      </c>
      <c r="G250"/>
    </row>
    <row r="251" spans="1:7" x14ac:dyDescent="0.25">
      <c r="A251" s="15" t="str">
        <f>HYPERLINK("https://www.youtube.com/watch?v=1G46tEJOrww","Video Lesson 11")</f>
        <v>Video Lesson 11</v>
      </c>
      <c r="B251" t="s">
        <v>1315</v>
      </c>
      <c r="C251" t="s">
        <v>1329</v>
      </c>
      <c r="D251">
        <v>12</v>
      </c>
      <c r="E251">
        <v>126</v>
      </c>
      <c r="G251"/>
    </row>
    <row r="252" spans="1:7" x14ac:dyDescent="0.25">
      <c r="E252">
        <v>126</v>
      </c>
      <c r="G252"/>
    </row>
    <row r="253" spans="1:7" x14ac:dyDescent="0.25">
      <c r="A253" s="15" t="str">
        <f>HYPERLINK("https://www.youtube.com/watch?v=1G46tEJOrww","Video Lesson 11")</f>
        <v>Video Lesson 11</v>
      </c>
      <c r="B253" t="s">
        <v>1315</v>
      </c>
      <c r="C253" t="s">
        <v>1329</v>
      </c>
      <c r="D253">
        <v>13</v>
      </c>
      <c r="E253">
        <v>127</v>
      </c>
      <c r="G253"/>
    </row>
    <row r="254" spans="1:7" x14ac:dyDescent="0.25">
      <c r="E254">
        <v>127</v>
      </c>
      <c r="G254"/>
    </row>
    <row r="255" spans="1:7" x14ac:dyDescent="0.25">
      <c r="A255" s="15" t="str">
        <f>HYPERLINK("https://www.youtube.com/watch?v=1G46tEJOrww","Video Lesson 11")</f>
        <v>Video Lesson 11</v>
      </c>
      <c r="B255" t="s">
        <v>1315</v>
      </c>
      <c r="C255" t="s">
        <v>1329</v>
      </c>
      <c r="D255">
        <v>14</v>
      </c>
      <c r="E255">
        <v>128</v>
      </c>
      <c r="G255"/>
    </row>
    <row r="256" spans="1:7" x14ac:dyDescent="0.25">
      <c r="E256">
        <v>128</v>
      </c>
      <c r="G256"/>
    </row>
    <row r="257" spans="1:7" x14ac:dyDescent="0.25">
      <c r="A257" s="15" t="str">
        <f>HYPERLINK("https://www.youtube.com/watch?v=7iovf94e4uU","Video Lesson 1")</f>
        <v>Video Lesson 1</v>
      </c>
      <c r="B257" t="s">
        <v>1316</v>
      </c>
      <c r="C257" t="s">
        <v>1330</v>
      </c>
      <c r="D257">
        <v>1</v>
      </c>
      <c r="E257">
        <v>129</v>
      </c>
      <c r="G257"/>
    </row>
    <row r="258" spans="1:7" x14ac:dyDescent="0.25">
      <c r="E258">
        <v>129</v>
      </c>
      <c r="G258"/>
    </row>
    <row r="259" spans="1:7" x14ac:dyDescent="0.25">
      <c r="A259" s="15" t="str">
        <f>HYPERLINK("https://www.youtube.com/watch?v=KUWhrhaqHsg","Video Lesson 9")</f>
        <v>Video Lesson 9</v>
      </c>
      <c r="B259" t="s">
        <v>1316</v>
      </c>
      <c r="C259" t="s">
        <v>1330</v>
      </c>
      <c r="D259">
        <v>2</v>
      </c>
      <c r="E259">
        <v>130</v>
      </c>
      <c r="G259"/>
    </row>
    <row r="260" spans="1:7" x14ac:dyDescent="0.25">
      <c r="E260">
        <v>130</v>
      </c>
      <c r="G260"/>
    </row>
    <row r="261" spans="1:7" x14ac:dyDescent="0.25">
      <c r="A261" s="15" t="str">
        <f>HYPERLINK("https://www.youtube.com/watch?v=KUWhrhaqHsg","Video Lesson 9")</f>
        <v>Video Lesson 9</v>
      </c>
      <c r="B261" t="s">
        <v>1316</v>
      </c>
      <c r="C261" t="s">
        <v>1330</v>
      </c>
      <c r="D261">
        <v>3</v>
      </c>
      <c r="E261">
        <v>131</v>
      </c>
      <c r="G261"/>
    </row>
    <row r="262" spans="1:7" x14ac:dyDescent="0.25">
      <c r="E262">
        <v>131</v>
      </c>
      <c r="G262"/>
    </row>
    <row r="263" spans="1:7" x14ac:dyDescent="0.25">
      <c r="A263" s="15" t="str">
        <f>HYPERLINK("https://www.youtube.com/watch?v=KUWhrhaqHsg","Video Lesson 9")</f>
        <v>Video Lesson 9</v>
      </c>
      <c r="B263" t="s">
        <v>1316</v>
      </c>
      <c r="C263" t="s">
        <v>1330</v>
      </c>
      <c r="D263">
        <v>4</v>
      </c>
      <c r="E263">
        <v>132</v>
      </c>
      <c r="G263"/>
    </row>
    <row r="264" spans="1:7" x14ac:dyDescent="0.25">
      <c r="E264">
        <v>132</v>
      </c>
      <c r="G264"/>
    </row>
    <row r="265" spans="1:7" x14ac:dyDescent="0.25">
      <c r="A265" s="15" t="str">
        <f>HYPERLINK("https://www.youtube.com/watch?v=mlf3S2Z-yzM","Video Lesson 15")</f>
        <v>Video Lesson 15</v>
      </c>
      <c r="B265" t="s">
        <v>1316</v>
      </c>
      <c r="C265" t="s">
        <v>1330</v>
      </c>
      <c r="D265">
        <v>5</v>
      </c>
      <c r="E265">
        <v>133</v>
      </c>
      <c r="G265"/>
    </row>
    <row r="266" spans="1:7" x14ac:dyDescent="0.25">
      <c r="E266">
        <v>133</v>
      </c>
      <c r="G266"/>
    </row>
    <row r="267" spans="1:7" x14ac:dyDescent="0.25">
      <c r="A267" s="15" t="str">
        <f>HYPERLINK("https://www.youtube.com/watch?v=mlf3S2Z-yzM","Video Lesson 15")</f>
        <v>Video Lesson 15</v>
      </c>
      <c r="B267" t="s">
        <v>1316</v>
      </c>
      <c r="C267" t="s">
        <v>1330</v>
      </c>
      <c r="D267">
        <v>6</v>
      </c>
      <c r="E267">
        <v>134</v>
      </c>
      <c r="G267"/>
    </row>
    <row r="268" spans="1:7" x14ac:dyDescent="0.25">
      <c r="E268">
        <v>134</v>
      </c>
      <c r="G268"/>
    </row>
    <row r="269" spans="1:7" x14ac:dyDescent="0.25">
      <c r="A269" s="15" t="str">
        <f>HYPERLINK("https://www.youtube.com/watch?v=7iovf94e4uU","Video Lesson 1")</f>
        <v>Video Lesson 1</v>
      </c>
      <c r="B269" t="s">
        <v>1316</v>
      </c>
      <c r="C269" t="s">
        <v>1330</v>
      </c>
      <c r="D269">
        <v>7</v>
      </c>
      <c r="E269">
        <v>135</v>
      </c>
      <c r="G269"/>
    </row>
    <row r="270" spans="1:7" x14ac:dyDescent="0.25">
      <c r="E270">
        <v>135</v>
      </c>
      <c r="G270"/>
    </row>
    <row r="271" spans="1:7" x14ac:dyDescent="0.25">
      <c r="A271" s="15" t="str">
        <f>HYPERLINK("https://www.youtube.com/watch?v=7iovf94e4uU","Video Lesson 1")</f>
        <v>Video Lesson 1</v>
      </c>
      <c r="B271" t="s">
        <v>1316</v>
      </c>
      <c r="C271" t="s">
        <v>1330</v>
      </c>
      <c r="D271">
        <v>8</v>
      </c>
      <c r="E271">
        <v>136</v>
      </c>
      <c r="G271"/>
    </row>
    <row r="272" spans="1:7" x14ac:dyDescent="0.25">
      <c r="E272">
        <v>136</v>
      </c>
      <c r="G272"/>
    </row>
    <row r="273" spans="1:7" x14ac:dyDescent="0.25">
      <c r="A273" s="15" t="str">
        <f>HYPERLINK("https://www.youtube.com/watch?v=mlf3S2Z-yzM","Video Lesson 15")</f>
        <v>Video Lesson 15</v>
      </c>
      <c r="B273" t="s">
        <v>1316</v>
      </c>
      <c r="C273" t="s">
        <v>1330</v>
      </c>
      <c r="D273">
        <v>9</v>
      </c>
      <c r="E273">
        <v>137</v>
      </c>
      <c r="G273"/>
    </row>
    <row r="274" spans="1:7" x14ac:dyDescent="0.25">
      <c r="E274">
        <v>137</v>
      </c>
      <c r="G274"/>
    </row>
    <row r="275" spans="1:7" x14ac:dyDescent="0.25">
      <c r="A275" s="15" t="str">
        <f>HYPERLINK("https://www.youtube.com/watch?v=mlf3S2Z-yzM","Video Lesson 15")</f>
        <v>Video Lesson 15</v>
      </c>
      <c r="B275" t="s">
        <v>1316</v>
      </c>
      <c r="C275" t="s">
        <v>1330</v>
      </c>
      <c r="D275">
        <v>10</v>
      </c>
      <c r="E275">
        <v>138</v>
      </c>
      <c r="G275"/>
    </row>
    <row r="276" spans="1:7" x14ac:dyDescent="0.25">
      <c r="E276">
        <v>138</v>
      </c>
      <c r="G276"/>
    </row>
    <row r="277" spans="1:7" x14ac:dyDescent="0.25">
      <c r="A277" s="15" t="str">
        <f>HYPERLINK("https://www.youtube.com/watch?v=mlf3S2Z-yzM","Video Lesson 15")</f>
        <v>Video Lesson 15</v>
      </c>
      <c r="B277" t="s">
        <v>1316</v>
      </c>
      <c r="C277" t="s">
        <v>1330</v>
      </c>
      <c r="D277">
        <v>11</v>
      </c>
      <c r="E277">
        <v>139</v>
      </c>
      <c r="G277"/>
    </row>
    <row r="278" spans="1:7" x14ac:dyDescent="0.25">
      <c r="E278">
        <v>139</v>
      </c>
      <c r="G278"/>
    </row>
    <row r="279" spans="1:7" x14ac:dyDescent="0.25">
      <c r="A279" s="15" t="str">
        <f>HYPERLINK("https://www.youtube.com/watch?v=mlf3S2Z-yzM","Video Lesson 15")</f>
        <v>Video Lesson 15</v>
      </c>
      <c r="B279" t="s">
        <v>1316</v>
      </c>
      <c r="C279" t="s">
        <v>1330</v>
      </c>
      <c r="D279">
        <v>12</v>
      </c>
      <c r="E279">
        <v>140</v>
      </c>
      <c r="G279"/>
    </row>
    <row r="280" spans="1:7" x14ac:dyDescent="0.25">
      <c r="E280">
        <v>140</v>
      </c>
      <c r="G280"/>
    </row>
    <row r="281" spans="1:7" x14ac:dyDescent="0.25">
      <c r="A281" s="15" t="str">
        <f>HYPERLINK("https://www.youtube.com/watch?v=mlf3S2Z-yzM","Video Lesson 15")</f>
        <v>Video Lesson 15</v>
      </c>
      <c r="B281" t="s">
        <v>1316</v>
      </c>
      <c r="C281" t="s">
        <v>1330</v>
      </c>
      <c r="D281">
        <v>13</v>
      </c>
      <c r="E281">
        <v>141</v>
      </c>
      <c r="G281"/>
    </row>
    <row r="282" spans="1:7" x14ac:dyDescent="0.25">
      <c r="E282">
        <v>141</v>
      </c>
      <c r="G282"/>
    </row>
    <row r="283" spans="1:7" x14ac:dyDescent="0.25">
      <c r="A283" s="15" t="str">
        <f>HYPERLINK("https://www.youtube.com/watch?v=mlf3S2Z-yzM","Video Lesson 15")</f>
        <v>Video Lesson 15</v>
      </c>
      <c r="B283" t="s">
        <v>1316</v>
      </c>
      <c r="C283" t="s">
        <v>1330</v>
      </c>
      <c r="D283">
        <v>14</v>
      </c>
      <c r="E283">
        <v>142</v>
      </c>
      <c r="G283"/>
    </row>
    <row r="284" spans="1:7" x14ac:dyDescent="0.25">
      <c r="E284">
        <v>142</v>
      </c>
      <c r="G284"/>
    </row>
    <row r="285" spans="1:7" x14ac:dyDescent="0.25">
      <c r="A285" s="15" t="str">
        <f>HYPERLINK("https://www.youtube.com/watch?v=mlf3S2Z-yzM","Video Lesson 15")</f>
        <v>Video Lesson 15</v>
      </c>
      <c r="B285" t="s">
        <v>1316</v>
      </c>
      <c r="C285" t="s">
        <v>1330</v>
      </c>
      <c r="D285">
        <v>15</v>
      </c>
      <c r="E285">
        <v>143</v>
      </c>
      <c r="G285"/>
    </row>
    <row r="286" spans="1:7" x14ac:dyDescent="0.25">
      <c r="E286">
        <v>143</v>
      </c>
      <c r="G286"/>
    </row>
    <row r="287" spans="1:7" x14ac:dyDescent="0.25">
      <c r="A287" s="15" t="str">
        <f>HYPERLINK("https://www.youtube.com/watch?v=mlf3S2Z-yzM","Video Lesson 15")</f>
        <v>Video Lesson 15</v>
      </c>
      <c r="B287" t="s">
        <v>1316</v>
      </c>
      <c r="C287" t="s">
        <v>1330</v>
      </c>
      <c r="D287">
        <v>16</v>
      </c>
      <c r="E287">
        <v>144</v>
      </c>
      <c r="G287"/>
    </row>
    <row r="288" spans="1:7" x14ac:dyDescent="0.25">
      <c r="E288">
        <v>144</v>
      </c>
      <c r="G288"/>
    </row>
    <row r="289" spans="1:7" x14ac:dyDescent="0.25">
      <c r="A289" s="15" t="str">
        <f>HYPERLINK("https://www.youtube.com/watch?v=KUWhrhaqHsg","Video Lesson 9")</f>
        <v>Video Lesson 9</v>
      </c>
      <c r="B289" t="s">
        <v>1316</v>
      </c>
      <c r="C289" t="s">
        <v>1330</v>
      </c>
      <c r="D289">
        <v>17</v>
      </c>
      <c r="E289">
        <v>145</v>
      </c>
      <c r="G289"/>
    </row>
    <row r="290" spans="1:7" x14ac:dyDescent="0.25">
      <c r="E290">
        <v>145</v>
      </c>
      <c r="G290"/>
    </row>
    <row r="291" spans="1:7" x14ac:dyDescent="0.25">
      <c r="A291" s="15" t="str">
        <f>HYPERLINK("https://www.youtube.com/watch?v=KUWhrhaqHsg","Video Lesson 9")</f>
        <v>Video Lesson 9</v>
      </c>
      <c r="B291" t="s">
        <v>1316</v>
      </c>
      <c r="C291" t="s">
        <v>1330</v>
      </c>
      <c r="D291">
        <v>18</v>
      </c>
      <c r="E291">
        <v>146</v>
      </c>
      <c r="G291"/>
    </row>
    <row r="292" spans="1:7" x14ac:dyDescent="0.25">
      <c r="E292">
        <v>146</v>
      </c>
      <c r="G292"/>
    </row>
    <row r="293" spans="1:7" x14ac:dyDescent="0.25">
      <c r="A293" s="15" t="str">
        <f>HYPERLINK("https://www.youtube.com/watch?v=DfQwYS9JfME","Video Lesson 6")</f>
        <v>Video Lesson 6</v>
      </c>
      <c r="B293" t="s">
        <v>1316</v>
      </c>
      <c r="C293" t="s">
        <v>1331</v>
      </c>
      <c r="D293">
        <v>1</v>
      </c>
      <c r="E293">
        <v>147</v>
      </c>
      <c r="G293"/>
    </row>
    <row r="294" spans="1:7" x14ac:dyDescent="0.25">
      <c r="E294">
        <v>147</v>
      </c>
      <c r="G294"/>
    </row>
    <row r="295" spans="1:7" x14ac:dyDescent="0.25">
      <c r="A295" s="15" t="str">
        <f>HYPERLINK("https://www.youtube.com/watch?v=DfQwYS9JfME","Video Lesson 6")</f>
        <v>Video Lesson 6</v>
      </c>
      <c r="B295" t="s">
        <v>1316</v>
      </c>
      <c r="C295" t="s">
        <v>1331</v>
      </c>
      <c r="D295">
        <v>2</v>
      </c>
      <c r="E295">
        <v>148</v>
      </c>
      <c r="G295"/>
    </row>
    <row r="296" spans="1:7" x14ac:dyDescent="0.25">
      <c r="E296">
        <v>148</v>
      </c>
      <c r="G296"/>
    </row>
    <row r="297" spans="1:7" x14ac:dyDescent="0.25">
      <c r="A297" s="15" t="str">
        <f>HYPERLINK("https://www.youtube.com/watch?v=1G46tEJOrww","Video Lesson 11")</f>
        <v>Video Lesson 11</v>
      </c>
      <c r="B297" t="s">
        <v>1316</v>
      </c>
      <c r="C297" t="s">
        <v>1331</v>
      </c>
      <c r="D297">
        <v>3</v>
      </c>
      <c r="E297">
        <v>149</v>
      </c>
      <c r="G297"/>
    </row>
    <row r="298" spans="1:7" x14ac:dyDescent="0.25">
      <c r="E298">
        <v>149</v>
      </c>
      <c r="G298"/>
    </row>
    <row r="299" spans="1:7" x14ac:dyDescent="0.25">
      <c r="A299" s="15" t="str">
        <f>HYPERLINK("https://www.youtube.com/watch?v=KUWhrhaqHsg","Video Lesson 9")</f>
        <v>Video Lesson 9</v>
      </c>
      <c r="B299" t="s">
        <v>1316</v>
      </c>
      <c r="C299" t="s">
        <v>1331</v>
      </c>
      <c r="D299">
        <v>4</v>
      </c>
      <c r="E299">
        <v>150</v>
      </c>
      <c r="G299"/>
    </row>
    <row r="300" spans="1:7" x14ac:dyDescent="0.25">
      <c r="E300">
        <v>150</v>
      </c>
      <c r="G300"/>
    </row>
    <row r="301" spans="1:7" x14ac:dyDescent="0.25">
      <c r="A301" s="15" t="str">
        <f>HYPERLINK("https://www.youtube.com/watch?v=KUWhrhaqHsg","Video Lesson 9")</f>
        <v>Video Lesson 9</v>
      </c>
      <c r="B301" t="s">
        <v>1316</v>
      </c>
      <c r="C301" t="s">
        <v>1331</v>
      </c>
      <c r="D301">
        <v>5</v>
      </c>
      <c r="E301">
        <v>151</v>
      </c>
      <c r="G301"/>
    </row>
    <row r="302" spans="1:7" x14ac:dyDescent="0.25">
      <c r="E302">
        <v>151</v>
      </c>
      <c r="G302"/>
    </row>
    <row r="303" spans="1:7" x14ac:dyDescent="0.25">
      <c r="A303" s="15" t="str">
        <f>HYPERLINK("https://www.youtube.com/watch?v=KUWhrhaqHsg","Video Lesson 9")</f>
        <v>Video Lesson 9</v>
      </c>
      <c r="B303" t="s">
        <v>1316</v>
      </c>
      <c r="C303" t="s">
        <v>1331</v>
      </c>
      <c r="D303">
        <v>6</v>
      </c>
      <c r="E303">
        <v>152</v>
      </c>
      <c r="G303"/>
    </row>
    <row r="304" spans="1:7" x14ac:dyDescent="0.25">
      <c r="E304">
        <v>152</v>
      </c>
      <c r="G304"/>
    </row>
    <row r="305" spans="1:7" x14ac:dyDescent="0.25">
      <c r="A305" s="15" t="str">
        <f>HYPERLINK("https://www.youtube.com/watch?v=KUWhrhaqHsg","Video Lesson 9")</f>
        <v>Video Lesson 9</v>
      </c>
      <c r="B305" t="s">
        <v>1316</v>
      </c>
      <c r="C305" t="s">
        <v>1331</v>
      </c>
      <c r="D305">
        <v>7</v>
      </c>
      <c r="E305">
        <v>153</v>
      </c>
      <c r="G305"/>
    </row>
    <row r="306" spans="1:7" x14ac:dyDescent="0.25">
      <c r="E306">
        <v>153</v>
      </c>
      <c r="G306"/>
    </row>
    <row r="307" spans="1:7" x14ac:dyDescent="0.25">
      <c r="A307" s="15" t="str">
        <f>HYPERLINK("https://www.youtube.com/watch?v=KUWhrhaqHsg","Video Lesson 9")</f>
        <v>Video Lesson 9</v>
      </c>
      <c r="B307" t="s">
        <v>1316</v>
      </c>
      <c r="C307" t="s">
        <v>1331</v>
      </c>
      <c r="D307">
        <v>8</v>
      </c>
      <c r="E307">
        <v>154</v>
      </c>
      <c r="G307"/>
    </row>
    <row r="308" spans="1:7" x14ac:dyDescent="0.25">
      <c r="E308">
        <v>154</v>
      </c>
      <c r="G308"/>
    </row>
    <row r="309" spans="1:7" x14ac:dyDescent="0.25">
      <c r="A309" s="15" t="str">
        <f>HYPERLINK("https://www.youtube.com/watch?v=KUWhrhaqHsg","Video Lesson 9")</f>
        <v>Video Lesson 9</v>
      </c>
      <c r="B309" t="s">
        <v>1316</v>
      </c>
      <c r="C309" t="s">
        <v>1331</v>
      </c>
      <c r="D309">
        <v>9</v>
      </c>
      <c r="E309">
        <v>155</v>
      </c>
      <c r="G309"/>
    </row>
    <row r="310" spans="1:7" x14ac:dyDescent="0.25">
      <c r="E310">
        <v>155</v>
      </c>
      <c r="G310"/>
    </row>
    <row r="311" spans="1:7" x14ac:dyDescent="0.25">
      <c r="A311" s="15" t="str">
        <f>HYPERLINK("https://www.youtube.com/watch?v=Ivl-D6m04C4","Video Lesson 10")</f>
        <v>Video Lesson 10</v>
      </c>
      <c r="B311" t="s">
        <v>1316</v>
      </c>
      <c r="C311" t="s">
        <v>1331</v>
      </c>
      <c r="D311">
        <v>10</v>
      </c>
      <c r="E311">
        <v>156</v>
      </c>
      <c r="G311"/>
    </row>
    <row r="312" spans="1:7" x14ac:dyDescent="0.25">
      <c r="E312">
        <v>156</v>
      </c>
      <c r="G312"/>
    </row>
    <row r="313" spans="1:7" x14ac:dyDescent="0.25">
      <c r="A313" s="15" t="str">
        <f>HYPERLINK("https://www.youtube.com/watch?v=FpQEAG3hsdA","Video Lesson 17")</f>
        <v>Video Lesson 17</v>
      </c>
      <c r="B313" t="s">
        <v>1316</v>
      </c>
      <c r="C313" t="s">
        <v>1332</v>
      </c>
      <c r="D313">
        <v>11</v>
      </c>
      <c r="E313">
        <v>157</v>
      </c>
      <c r="G313"/>
    </row>
    <row r="314" spans="1:7" x14ac:dyDescent="0.25">
      <c r="E314">
        <v>157</v>
      </c>
      <c r="G314"/>
    </row>
    <row r="315" spans="1:7" x14ac:dyDescent="0.25">
      <c r="A315" s="15" t="str">
        <f>HYPERLINK("https://www.youtube.com/watch?v=FpQEAG3hsdA","Video Lesson 17")</f>
        <v>Video Lesson 17</v>
      </c>
      <c r="B315" t="s">
        <v>1316</v>
      </c>
      <c r="C315" t="s">
        <v>1332</v>
      </c>
      <c r="D315">
        <v>12</v>
      </c>
      <c r="E315">
        <v>158</v>
      </c>
      <c r="G315"/>
    </row>
    <row r="316" spans="1:7" x14ac:dyDescent="0.25">
      <c r="E316">
        <v>158</v>
      </c>
      <c r="G316"/>
    </row>
    <row r="317" spans="1:7" x14ac:dyDescent="0.25">
      <c r="A317" s="15" t="str">
        <f>HYPERLINK("https://www.youtube.com/watch?v=4qB8qVfkH4A","Video Lesson 12")</f>
        <v>Video Lesson 12</v>
      </c>
      <c r="B317" t="s">
        <v>1317</v>
      </c>
      <c r="C317" t="s">
        <v>1333</v>
      </c>
      <c r="D317">
        <v>1</v>
      </c>
      <c r="E317">
        <v>159</v>
      </c>
      <c r="G317"/>
    </row>
    <row r="318" spans="1:7" x14ac:dyDescent="0.25">
      <c r="E318">
        <v>159</v>
      </c>
      <c r="G318"/>
    </row>
    <row r="319" spans="1:7" x14ac:dyDescent="0.25">
      <c r="A319" s="15" t="str">
        <f>HYPERLINK("https://www.youtube.com/watch?v=4qB8qVfkH4A","Video Lesson 12")</f>
        <v>Video Lesson 12</v>
      </c>
      <c r="B319" t="s">
        <v>1317</v>
      </c>
      <c r="C319" t="s">
        <v>1333</v>
      </c>
      <c r="D319">
        <v>2</v>
      </c>
      <c r="E319">
        <v>160</v>
      </c>
      <c r="G319"/>
    </row>
    <row r="320" spans="1:7" x14ac:dyDescent="0.25">
      <c r="E320">
        <v>160</v>
      </c>
      <c r="G320"/>
    </row>
    <row r="321" spans="1:7" x14ac:dyDescent="0.25">
      <c r="A321" s="15" t="str">
        <f>HYPERLINK("https://www.youtube.com/watch?v=4qB8qVfkH4A","Video Lesson 12")</f>
        <v>Video Lesson 12</v>
      </c>
      <c r="B321" t="s">
        <v>1317</v>
      </c>
      <c r="C321" t="s">
        <v>1333</v>
      </c>
      <c r="D321">
        <v>3</v>
      </c>
      <c r="E321">
        <v>161</v>
      </c>
      <c r="G321"/>
    </row>
    <row r="322" spans="1:7" x14ac:dyDescent="0.25">
      <c r="E322">
        <v>161</v>
      </c>
      <c r="G322"/>
    </row>
    <row r="323" spans="1:7" x14ac:dyDescent="0.25">
      <c r="A323" s="15" t="str">
        <f>HYPERLINK("https://www.youtube.com/watch?v=4qB8qVfkH4A","Video Lesson 12")</f>
        <v>Video Lesson 12</v>
      </c>
      <c r="B323" t="s">
        <v>1317</v>
      </c>
      <c r="C323" t="s">
        <v>1333</v>
      </c>
      <c r="D323">
        <v>4</v>
      </c>
      <c r="E323">
        <v>162</v>
      </c>
      <c r="G323"/>
    </row>
    <row r="324" spans="1:7" x14ac:dyDescent="0.25">
      <c r="E324">
        <v>162</v>
      </c>
      <c r="G324"/>
    </row>
    <row r="325" spans="1:7" x14ac:dyDescent="0.25">
      <c r="A325" s="15" t="str">
        <f>HYPERLINK("https://www.youtube.com/watch?v=4qB8qVfkH4A","Video Lesson 12")</f>
        <v>Video Lesson 12</v>
      </c>
      <c r="B325" t="s">
        <v>1317</v>
      </c>
      <c r="C325" t="s">
        <v>1333</v>
      </c>
      <c r="D325">
        <v>5</v>
      </c>
      <c r="E325">
        <v>163</v>
      </c>
      <c r="G325"/>
    </row>
    <row r="326" spans="1:7" x14ac:dyDescent="0.25">
      <c r="E326">
        <v>163</v>
      </c>
      <c r="G326"/>
    </row>
    <row r="327" spans="1:7" x14ac:dyDescent="0.25">
      <c r="A327" s="15" t="str">
        <f>HYPERLINK("https://www.youtube.com/watch?v=4qB8qVfkH4A","Video Lesson 12")</f>
        <v>Video Lesson 12</v>
      </c>
      <c r="B327" t="s">
        <v>1317</v>
      </c>
      <c r="C327" t="s">
        <v>1333</v>
      </c>
      <c r="D327">
        <v>6</v>
      </c>
      <c r="E327">
        <v>164</v>
      </c>
      <c r="G327"/>
    </row>
    <row r="328" spans="1:7" x14ac:dyDescent="0.25">
      <c r="E328">
        <v>164</v>
      </c>
      <c r="G328"/>
    </row>
    <row r="329" spans="1:7" x14ac:dyDescent="0.25">
      <c r="A329" s="15" t="str">
        <f>HYPERLINK("https://www.youtube.com/watch?v=4qB8qVfkH4A","Video Lesson 12")</f>
        <v>Video Lesson 12</v>
      </c>
      <c r="B329" t="s">
        <v>1317</v>
      </c>
      <c r="C329" t="s">
        <v>1333</v>
      </c>
      <c r="D329">
        <v>7</v>
      </c>
      <c r="E329">
        <v>165</v>
      </c>
      <c r="G329"/>
    </row>
    <row r="330" spans="1:7" x14ac:dyDescent="0.25">
      <c r="E330">
        <v>165</v>
      </c>
      <c r="G330"/>
    </row>
    <row r="331" spans="1:7" x14ac:dyDescent="0.25">
      <c r="A331" s="15" t="str">
        <f>HYPERLINK("https://www.youtube.com/watch?v=4qB8qVfkH4A","Video Lesson 12")</f>
        <v>Video Lesson 12</v>
      </c>
      <c r="B331" t="s">
        <v>1317</v>
      </c>
      <c r="C331" t="s">
        <v>1333</v>
      </c>
      <c r="D331">
        <v>8</v>
      </c>
      <c r="E331">
        <v>166</v>
      </c>
      <c r="G331"/>
    </row>
    <row r="332" spans="1:7" x14ac:dyDescent="0.25">
      <c r="E332">
        <v>166</v>
      </c>
      <c r="G332"/>
    </row>
    <row r="333" spans="1:7" x14ac:dyDescent="0.25">
      <c r="A333" s="15" t="str">
        <f>HYPERLINK("https://www.youtube.com/watch?v=4qB8qVfkH4A","Video Lesson 12")</f>
        <v>Video Lesson 12</v>
      </c>
      <c r="B333" t="s">
        <v>1317</v>
      </c>
      <c r="C333" t="s">
        <v>1333</v>
      </c>
      <c r="D333">
        <v>9</v>
      </c>
      <c r="E333">
        <v>167</v>
      </c>
      <c r="G333"/>
    </row>
    <row r="334" spans="1:7" x14ac:dyDescent="0.25">
      <c r="E334">
        <v>167</v>
      </c>
      <c r="G334"/>
    </row>
    <row r="335" spans="1:7" x14ac:dyDescent="0.25">
      <c r="A335" s="15" t="str">
        <f>HYPERLINK("https://www.youtube.com/watch?v=4qB8qVfkH4A","Video Lesson 12")</f>
        <v>Video Lesson 12</v>
      </c>
      <c r="B335" t="s">
        <v>1317</v>
      </c>
      <c r="C335" t="s">
        <v>1333</v>
      </c>
      <c r="D335">
        <v>10</v>
      </c>
      <c r="E335">
        <v>168</v>
      </c>
      <c r="G335"/>
    </row>
    <row r="336" spans="1:7" x14ac:dyDescent="0.25">
      <c r="E336">
        <v>168</v>
      </c>
      <c r="G336"/>
    </row>
    <row r="337" spans="1:8" x14ac:dyDescent="0.25">
      <c r="A337" s="15" t="str">
        <f>HYPERLINK("https://www.youtube.com/watch?v=4qB8qVfkH4A","Video Lesson 12")</f>
        <v>Video Lesson 12</v>
      </c>
      <c r="B337" t="s">
        <v>1317</v>
      </c>
      <c r="C337" t="s">
        <v>1333</v>
      </c>
      <c r="D337">
        <v>11</v>
      </c>
      <c r="E337">
        <v>169</v>
      </c>
      <c r="G337"/>
    </row>
    <row r="338" spans="1:8" x14ac:dyDescent="0.25">
      <c r="E338">
        <v>169</v>
      </c>
      <c r="G338"/>
    </row>
    <row r="339" spans="1:8" x14ac:dyDescent="0.25">
      <c r="A339" s="15" t="str">
        <f>HYPERLINK("https://www.youtube.com/watch?v=4qB8qVfkH4A","Video Lesson 12")</f>
        <v>Video Lesson 12</v>
      </c>
      <c r="B339" t="s">
        <v>1317</v>
      </c>
      <c r="C339" t="s">
        <v>1333</v>
      </c>
      <c r="D339">
        <v>12</v>
      </c>
      <c r="E339">
        <v>170</v>
      </c>
      <c r="G339"/>
    </row>
    <row r="340" spans="1:8" x14ac:dyDescent="0.25">
      <c r="E340">
        <v>170</v>
      </c>
      <c r="G340"/>
    </row>
    <row r="341" spans="1:8" x14ac:dyDescent="0.25">
      <c r="A341" s="15" t="str">
        <f>HYPERLINK("https://www.youtube.com/watch?v=4qB8qVfkH4A","Video Lesson 12")</f>
        <v>Video Lesson 12</v>
      </c>
      <c r="B341" t="s">
        <v>1317</v>
      </c>
      <c r="C341" t="s">
        <v>1333</v>
      </c>
      <c r="D341">
        <v>13</v>
      </c>
      <c r="E341">
        <v>171</v>
      </c>
      <c r="G341"/>
    </row>
    <row r="342" spans="1:8" x14ac:dyDescent="0.25">
      <c r="E342">
        <v>171</v>
      </c>
      <c r="G342"/>
    </row>
    <row r="343" spans="1:8" x14ac:dyDescent="0.25">
      <c r="A343" s="15" t="str">
        <f>HYPERLINK("https://www.youtube.com/watch?v=4qB8qVfkH4A","Video Lesson 12")</f>
        <v>Video Lesson 12</v>
      </c>
      <c r="B343" t="s">
        <v>1317</v>
      </c>
      <c r="C343" t="s">
        <v>1333</v>
      </c>
      <c r="D343">
        <v>14</v>
      </c>
      <c r="E343">
        <v>172</v>
      </c>
      <c r="G343"/>
    </row>
    <row r="344" spans="1:8" x14ac:dyDescent="0.25">
      <c r="E344">
        <v>172</v>
      </c>
      <c r="G344"/>
    </row>
    <row r="345" spans="1:8" x14ac:dyDescent="0.25">
      <c r="A345" s="15" t="str">
        <f>HYPERLINK("https://www.youtube.com/watch?v=4qB8qVfkH4A","Video Lesson 12")</f>
        <v>Video Lesson 12</v>
      </c>
      <c r="B345" t="s">
        <v>1317</v>
      </c>
      <c r="C345" t="s">
        <v>1333</v>
      </c>
      <c r="D345">
        <v>15</v>
      </c>
      <c r="E345">
        <v>173</v>
      </c>
      <c r="G345"/>
    </row>
    <row r="346" spans="1:8" x14ac:dyDescent="0.25">
      <c r="E346">
        <v>173</v>
      </c>
      <c r="G346"/>
    </row>
    <row r="347" spans="1:8" x14ac:dyDescent="0.25">
      <c r="A347" s="15" t="str">
        <f>HYPERLINK("https://www.youtube.com/watch?v=4qB8qVfkH4A","Video Lesson 12")</f>
        <v>Video Lesson 12</v>
      </c>
      <c r="B347" t="s">
        <v>1317</v>
      </c>
      <c r="C347" t="s">
        <v>1333</v>
      </c>
      <c r="D347">
        <v>16</v>
      </c>
      <c r="E347">
        <v>174</v>
      </c>
      <c r="G347"/>
    </row>
    <row r="348" spans="1:8" x14ac:dyDescent="0.25">
      <c r="E348">
        <v>174</v>
      </c>
      <c r="G348"/>
    </row>
    <row r="349" spans="1:8" x14ac:dyDescent="0.25">
      <c r="A349" s="15" t="str">
        <f>HYPERLINK("https://www.youtube.com/watch?v=4qB8qVfkH4A","Video Lesson 12")</f>
        <v>Video Lesson 12</v>
      </c>
      <c r="B349" t="s">
        <v>1317</v>
      </c>
      <c r="C349" t="s">
        <v>1333</v>
      </c>
      <c r="D349">
        <v>17</v>
      </c>
      <c r="E349">
        <v>175</v>
      </c>
      <c r="G349"/>
      <c r="H349" s="12"/>
    </row>
    <row r="350" spans="1:8" x14ac:dyDescent="0.25">
      <c r="E350">
        <v>175</v>
      </c>
      <c r="G350"/>
      <c r="H350" s="12"/>
    </row>
    <row r="351" spans="1:8" x14ac:dyDescent="0.25">
      <c r="A351" s="15" t="str">
        <f>HYPERLINK("https://www.youtube.com/watch?v=4qB8qVfkH4A","Video Lesson 12")</f>
        <v>Video Lesson 12</v>
      </c>
      <c r="B351" t="s">
        <v>1317</v>
      </c>
      <c r="C351" t="s">
        <v>1333</v>
      </c>
      <c r="D351">
        <v>18</v>
      </c>
      <c r="E351">
        <v>176</v>
      </c>
      <c r="G351"/>
      <c r="H351" s="12"/>
    </row>
    <row r="352" spans="1:8" x14ac:dyDescent="0.25">
      <c r="E352">
        <v>176</v>
      </c>
      <c r="G352"/>
      <c r="H352" s="12"/>
    </row>
    <row r="353" spans="1:8" x14ac:dyDescent="0.25">
      <c r="A353" s="15" t="str">
        <f>HYPERLINK("https://www.youtube.com/watch?v=4qB8qVfkH4A","Video Lesson 12")</f>
        <v>Video Lesson 12</v>
      </c>
      <c r="B353" t="s">
        <v>1317</v>
      </c>
      <c r="C353" t="s">
        <v>1333</v>
      </c>
      <c r="D353">
        <v>19</v>
      </c>
      <c r="E353">
        <v>177</v>
      </c>
      <c r="G353"/>
      <c r="H353" s="12"/>
    </row>
    <row r="354" spans="1:8" x14ac:dyDescent="0.25">
      <c r="E354">
        <v>177</v>
      </c>
      <c r="G354"/>
      <c r="H354" s="12"/>
    </row>
    <row r="355" spans="1:8" x14ac:dyDescent="0.25">
      <c r="A355" s="15" t="str">
        <f>HYPERLINK("https://www.youtube.com/watch?v=M-mxlyVa6iM","Video Lesson 24")</f>
        <v>Video Lesson 24</v>
      </c>
      <c r="B355" t="s">
        <v>1317</v>
      </c>
      <c r="C355" t="s">
        <v>1334</v>
      </c>
      <c r="D355">
        <v>1</v>
      </c>
      <c r="E355">
        <v>178</v>
      </c>
      <c r="G355"/>
      <c r="H355" s="12"/>
    </row>
    <row r="356" spans="1:8" x14ac:dyDescent="0.25">
      <c r="E356">
        <v>178</v>
      </c>
      <c r="G356"/>
      <c r="H356" s="12"/>
    </row>
    <row r="357" spans="1:8" x14ac:dyDescent="0.25">
      <c r="A357" s="15" t="str">
        <f>HYPERLINK("https://www.youtube.com/watch?v=M-mxlyVa6iM","Video Lesson 24")</f>
        <v>Video Lesson 24</v>
      </c>
      <c r="B357" t="s">
        <v>1317</v>
      </c>
      <c r="C357" t="s">
        <v>1334</v>
      </c>
      <c r="D357">
        <v>2</v>
      </c>
      <c r="E357">
        <v>179</v>
      </c>
      <c r="G357"/>
      <c r="H357" s="12"/>
    </row>
    <row r="358" spans="1:8" x14ac:dyDescent="0.25">
      <c r="E358">
        <v>179</v>
      </c>
      <c r="G358"/>
      <c r="H358" s="12"/>
    </row>
    <row r="359" spans="1:8" x14ac:dyDescent="0.25">
      <c r="A359" s="15" t="str">
        <f>HYPERLINK("https://www.youtube.com/watch?v=M-mxlyVa6iM","Video Lesson 24")</f>
        <v>Video Lesson 24</v>
      </c>
      <c r="B359" t="s">
        <v>1317</v>
      </c>
      <c r="C359" t="s">
        <v>1334</v>
      </c>
      <c r="D359">
        <v>3</v>
      </c>
      <c r="E359">
        <v>180</v>
      </c>
      <c r="G359"/>
      <c r="H359" s="12"/>
    </row>
    <row r="360" spans="1:8" x14ac:dyDescent="0.25">
      <c r="E360">
        <v>180</v>
      </c>
      <c r="G360"/>
      <c r="H360" s="12"/>
    </row>
    <row r="361" spans="1:8" x14ac:dyDescent="0.25">
      <c r="A361" s="15" t="str">
        <f>HYPERLINK("https://www.youtube.com/watch?v=M-mxlyVa6iM","Video Lesson 24")</f>
        <v>Video Lesson 24</v>
      </c>
      <c r="B361" t="s">
        <v>1317</v>
      </c>
      <c r="C361" t="s">
        <v>1334</v>
      </c>
      <c r="D361">
        <v>4</v>
      </c>
      <c r="E361">
        <v>181</v>
      </c>
      <c r="G361"/>
      <c r="H361" s="12"/>
    </row>
    <row r="362" spans="1:8" x14ac:dyDescent="0.25">
      <c r="E362">
        <v>181</v>
      </c>
      <c r="G362"/>
    </row>
    <row r="363" spans="1:8" x14ac:dyDescent="0.25">
      <c r="A363" s="15" t="str">
        <f>HYPERLINK("https://www.youtube.com/watch?v=M-mxlyVa6iM","Video Lesson 24")</f>
        <v>Video Lesson 24</v>
      </c>
      <c r="B363" t="s">
        <v>1317</v>
      </c>
      <c r="C363" t="s">
        <v>1334</v>
      </c>
      <c r="D363">
        <v>5</v>
      </c>
      <c r="E363">
        <v>182</v>
      </c>
      <c r="G363"/>
    </row>
    <row r="364" spans="1:8" x14ac:dyDescent="0.25">
      <c r="E364">
        <v>182</v>
      </c>
      <c r="G364"/>
    </row>
    <row r="365" spans="1:8" x14ac:dyDescent="0.25">
      <c r="A365" s="15" t="str">
        <f>HYPERLINK("https://www.youtube.com/watch?v=M-mxlyVa6iM","Video Lesson 24")</f>
        <v>Video Lesson 24</v>
      </c>
      <c r="B365" t="s">
        <v>1317</v>
      </c>
      <c r="C365" t="s">
        <v>1334</v>
      </c>
      <c r="D365">
        <v>6</v>
      </c>
      <c r="E365">
        <v>183</v>
      </c>
      <c r="G365"/>
    </row>
    <row r="366" spans="1:8" x14ac:dyDescent="0.25">
      <c r="E366">
        <v>183</v>
      </c>
      <c r="G366"/>
    </row>
    <row r="367" spans="1:8" x14ac:dyDescent="0.25">
      <c r="A367" s="15" t="str">
        <f>HYPERLINK("https://www.youtube.com/watch?v=M-mxlyVa6iM","Video Lesson 24")</f>
        <v>Video Lesson 24</v>
      </c>
      <c r="B367" t="s">
        <v>1317</v>
      </c>
      <c r="C367" t="s">
        <v>1334</v>
      </c>
      <c r="D367">
        <v>7</v>
      </c>
      <c r="E367">
        <v>184</v>
      </c>
      <c r="G367"/>
    </row>
    <row r="368" spans="1:8" x14ac:dyDescent="0.25">
      <c r="E368">
        <v>184</v>
      </c>
      <c r="G368"/>
    </row>
    <row r="369" spans="1:7" x14ac:dyDescent="0.25">
      <c r="A369" s="15" t="str">
        <f>HYPERLINK("https://www.youtube.com/watch?v=M-mxlyVa6iM","Video Lesson 24")</f>
        <v>Video Lesson 24</v>
      </c>
      <c r="B369" t="s">
        <v>1317</v>
      </c>
      <c r="C369" t="s">
        <v>1334</v>
      </c>
      <c r="D369">
        <v>8</v>
      </c>
      <c r="E369">
        <v>185</v>
      </c>
      <c r="G369"/>
    </row>
    <row r="370" spans="1:7" x14ac:dyDescent="0.25">
      <c r="E370">
        <v>185</v>
      </c>
      <c r="G370"/>
    </row>
    <row r="371" spans="1:7" x14ac:dyDescent="0.25">
      <c r="A371" s="15" t="str">
        <f>HYPERLINK("https://www.youtube.com/watch?v=M-mxlyVa6iM","Video Lesson 24")</f>
        <v>Video Lesson 24</v>
      </c>
      <c r="B371" t="s">
        <v>1317</v>
      </c>
      <c r="C371" t="s">
        <v>1334</v>
      </c>
      <c r="D371">
        <v>9</v>
      </c>
      <c r="E371">
        <v>186</v>
      </c>
      <c r="G371"/>
    </row>
    <row r="372" spans="1:7" x14ac:dyDescent="0.25">
      <c r="E372">
        <v>186</v>
      </c>
      <c r="G372"/>
    </row>
    <row r="373" spans="1:7" x14ac:dyDescent="0.25">
      <c r="A373" s="15" t="str">
        <f>HYPERLINK("https://www.youtube.com/watch?v=M-mxlyVa6iM","Video Lesson 24")</f>
        <v>Video Lesson 24</v>
      </c>
      <c r="B373" t="s">
        <v>1317</v>
      </c>
      <c r="C373" t="s">
        <v>1334</v>
      </c>
      <c r="D373">
        <v>10</v>
      </c>
      <c r="E373">
        <v>187</v>
      </c>
      <c r="G373"/>
    </row>
    <row r="374" spans="1:7" x14ac:dyDescent="0.25">
      <c r="E374">
        <v>187</v>
      </c>
      <c r="G374"/>
    </row>
    <row r="375" spans="1:7" x14ac:dyDescent="0.25">
      <c r="A375" s="15" t="str">
        <f>HYPERLINK("https://www.youtube.com/watch?v=M-mxlyVa6iM","Video Lesson 24")</f>
        <v>Video Lesson 24</v>
      </c>
      <c r="B375" t="s">
        <v>1317</v>
      </c>
      <c r="C375" t="s">
        <v>1334</v>
      </c>
      <c r="D375">
        <v>11</v>
      </c>
      <c r="E375">
        <v>188</v>
      </c>
      <c r="G375"/>
    </row>
    <row r="376" spans="1:7" x14ac:dyDescent="0.25">
      <c r="E376">
        <v>188</v>
      </c>
      <c r="G376"/>
    </row>
    <row r="377" spans="1:7" x14ac:dyDescent="0.25">
      <c r="A377" s="15" t="str">
        <f>HYPERLINK("https://www.youtube.com/watch?v=M-mxlyVa6iM","Video Lesson 24")</f>
        <v>Video Lesson 24</v>
      </c>
      <c r="B377" t="s">
        <v>1317</v>
      </c>
      <c r="C377" t="s">
        <v>1334</v>
      </c>
      <c r="D377">
        <v>12</v>
      </c>
      <c r="E377">
        <v>189</v>
      </c>
      <c r="G377"/>
    </row>
    <row r="378" spans="1:7" x14ac:dyDescent="0.25">
      <c r="E378">
        <v>189</v>
      </c>
      <c r="G378"/>
    </row>
    <row r="379" spans="1:7" x14ac:dyDescent="0.25">
      <c r="A379" s="15" t="str">
        <f>HYPERLINK("https://www.youtube.com/watch?v=M-mxlyVa6iM","Video Lesson 24")</f>
        <v>Video Lesson 24</v>
      </c>
      <c r="B379" t="s">
        <v>1317</v>
      </c>
      <c r="C379" t="s">
        <v>1334</v>
      </c>
      <c r="D379">
        <v>13</v>
      </c>
      <c r="E379">
        <v>190</v>
      </c>
      <c r="G379"/>
    </row>
    <row r="380" spans="1:7" x14ac:dyDescent="0.25">
      <c r="E380">
        <v>190</v>
      </c>
      <c r="G380"/>
    </row>
    <row r="381" spans="1:7" x14ac:dyDescent="0.25">
      <c r="A381" s="15" t="str">
        <f>HYPERLINK("https://www.youtube.com/watch?v=M-mxlyVa6iM","Video Lesson 24")</f>
        <v>Video Lesson 24</v>
      </c>
      <c r="B381" t="s">
        <v>1317</v>
      </c>
      <c r="C381" t="s">
        <v>1334</v>
      </c>
      <c r="D381">
        <v>14</v>
      </c>
      <c r="E381">
        <v>191</v>
      </c>
      <c r="G381"/>
    </row>
    <row r="382" spans="1:7" x14ac:dyDescent="0.25">
      <c r="E382">
        <v>191</v>
      </c>
      <c r="G382"/>
    </row>
    <row r="383" spans="1:7" x14ac:dyDescent="0.25">
      <c r="A383" s="15" t="str">
        <f>HYPERLINK("https://www.youtube.com/watch?v=QAEGmTKhMo4","Video Lesson 'Valentine'")</f>
        <v>Video Lesson 'Valentine'</v>
      </c>
      <c r="B383" t="s">
        <v>1317</v>
      </c>
      <c r="C383" t="s">
        <v>1335</v>
      </c>
      <c r="D383">
        <v>1</v>
      </c>
      <c r="E383">
        <v>192</v>
      </c>
      <c r="G383"/>
    </row>
    <row r="384" spans="1:7" x14ac:dyDescent="0.25">
      <c r="E384">
        <v>192</v>
      </c>
      <c r="G384"/>
    </row>
    <row r="385" spans="1:7" x14ac:dyDescent="0.25">
      <c r="A385" s="15" t="str">
        <f>HYPERLINK("https://www.youtube.com/watch?v=QAEGmTKhMo4","Video Lesson 'Valentine'")</f>
        <v>Video Lesson 'Valentine'</v>
      </c>
      <c r="B385" t="s">
        <v>1317</v>
      </c>
      <c r="C385" t="s">
        <v>1335</v>
      </c>
      <c r="D385">
        <v>2</v>
      </c>
      <c r="E385">
        <v>193</v>
      </c>
      <c r="G385"/>
    </row>
    <row r="386" spans="1:7" x14ac:dyDescent="0.25">
      <c r="E386">
        <v>193</v>
      </c>
      <c r="G386"/>
    </row>
    <row r="387" spans="1:7" x14ac:dyDescent="0.25">
      <c r="A387" s="15" t="str">
        <f>HYPERLINK("https://www.youtube.com/watch?v=QAEGmTKhMo4","Video Lesson 'Valentine'")</f>
        <v>Video Lesson 'Valentine'</v>
      </c>
      <c r="B387" t="s">
        <v>1317</v>
      </c>
      <c r="C387" t="s">
        <v>1335</v>
      </c>
      <c r="D387">
        <v>3</v>
      </c>
      <c r="E387">
        <v>194</v>
      </c>
      <c r="G387"/>
    </row>
    <row r="388" spans="1:7" x14ac:dyDescent="0.25">
      <c r="E388">
        <v>194</v>
      </c>
      <c r="G388"/>
    </row>
    <row r="389" spans="1:7" x14ac:dyDescent="0.25">
      <c r="A389" s="15" t="str">
        <f>HYPERLINK("https://www.youtube.com/watch?v=QAEGmTKhMo4","Video Lesson 'Valentine'")</f>
        <v>Video Lesson 'Valentine'</v>
      </c>
      <c r="B389" t="s">
        <v>1317</v>
      </c>
      <c r="C389" t="s">
        <v>1335</v>
      </c>
      <c r="D389">
        <v>4</v>
      </c>
      <c r="E389">
        <v>195</v>
      </c>
      <c r="G389"/>
    </row>
    <row r="390" spans="1:7" x14ac:dyDescent="0.25">
      <c r="E390">
        <v>195</v>
      </c>
      <c r="G390"/>
    </row>
    <row r="391" spans="1:7" x14ac:dyDescent="0.25">
      <c r="A391" s="15" t="str">
        <f>HYPERLINK("https://www.youtube.com/watch?v=QAEGmTKhMo4","Video Lesson 'Valentine'")</f>
        <v>Video Lesson 'Valentine'</v>
      </c>
      <c r="B391" t="s">
        <v>1317</v>
      </c>
      <c r="C391" t="s">
        <v>1335</v>
      </c>
      <c r="D391">
        <v>5</v>
      </c>
      <c r="E391">
        <v>196</v>
      </c>
      <c r="G391"/>
    </row>
    <row r="392" spans="1:7" x14ac:dyDescent="0.25">
      <c r="E392">
        <v>196</v>
      </c>
      <c r="G392"/>
    </row>
    <row r="393" spans="1:7" x14ac:dyDescent="0.25">
      <c r="A393" s="15" t="str">
        <f>HYPERLINK("https://www.youtube.com/watch?v=Sjl8iPAcNo0","Video Lesson 20")</f>
        <v>Video Lesson 20</v>
      </c>
      <c r="B393" t="s">
        <v>1317</v>
      </c>
      <c r="C393" t="s">
        <v>1336</v>
      </c>
      <c r="D393">
        <v>1</v>
      </c>
      <c r="E393">
        <v>197</v>
      </c>
      <c r="G393"/>
    </row>
    <row r="394" spans="1:7" x14ac:dyDescent="0.25">
      <c r="E394">
        <v>197</v>
      </c>
      <c r="G394"/>
    </row>
    <row r="395" spans="1:7" x14ac:dyDescent="0.25">
      <c r="A395" s="15" t="str">
        <f>HYPERLINK("https://www.youtube.com/watch?v=Sjl8iPAcNo0","Video Lesson 20")</f>
        <v>Video Lesson 20</v>
      </c>
      <c r="B395" t="s">
        <v>1317</v>
      </c>
      <c r="C395" t="s">
        <v>1336</v>
      </c>
      <c r="D395">
        <v>2</v>
      </c>
      <c r="E395">
        <v>198</v>
      </c>
      <c r="G395"/>
    </row>
    <row r="396" spans="1:7" x14ac:dyDescent="0.25">
      <c r="E396">
        <v>198</v>
      </c>
      <c r="G396"/>
    </row>
    <row r="397" spans="1:7" x14ac:dyDescent="0.25">
      <c r="A397" s="15" t="str">
        <f>HYPERLINK("https://www.youtube.com/watch?v=Sjl8iPAcNo0","Video Lesson 20")</f>
        <v>Video Lesson 20</v>
      </c>
      <c r="B397" t="s">
        <v>1317</v>
      </c>
      <c r="C397" t="s">
        <v>1336</v>
      </c>
      <c r="D397">
        <v>3</v>
      </c>
      <c r="E397">
        <v>199</v>
      </c>
      <c r="G397"/>
    </row>
    <row r="398" spans="1:7" x14ac:dyDescent="0.25">
      <c r="E398">
        <v>199</v>
      </c>
      <c r="G398"/>
    </row>
    <row r="399" spans="1:7" x14ac:dyDescent="0.25">
      <c r="A399" s="15" t="str">
        <f>HYPERLINK("https://www.youtube.com/watch?v=Sjl8iPAcNo0","Video Lesson 20")</f>
        <v>Video Lesson 20</v>
      </c>
      <c r="B399" t="s">
        <v>1317</v>
      </c>
      <c r="C399" t="s">
        <v>1336</v>
      </c>
      <c r="D399">
        <v>4</v>
      </c>
      <c r="E399">
        <v>200</v>
      </c>
      <c r="G399"/>
    </row>
    <row r="400" spans="1:7" x14ac:dyDescent="0.25">
      <c r="E400">
        <v>200</v>
      </c>
      <c r="G400"/>
    </row>
    <row r="401" spans="1:7" x14ac:dyDescent="0.25">
      <c r="A401" s="15" t="str">
        <f>HYPERLINK("https://www.youtube.com/watch?v=Sjl8iPAcNo0","Video Lesson 20")</f>
        <v>Video Lesson 20</v>
      </c>
      <c r="B401" t="s">
        <v>1317</v>
      </c>
      <c r="C401" t="s">
        <v>1336</v>
      </c>
      <c r="D401">
        <v>5</v>
      </c>
      <c r="E401">
        <v>201</v>
      </c>
      <c r="G401"/>
    </row>
    <row r="402" spans="1:7" x14ac:dyDescent="0.25">
      <c r="E402">
        <v>201</v>
      </c>
      <c r="G402"/>
    </row>
    <row r="403" spans="1:7" x14ac:dyDescent="0.25">
      <c r="A403" s="15" t="str">
        <f>HYPERLINK("https://www.youtube.com/watch?v=Sjl8iPAcNo0","Video Lesson 20")</f>
        <v>Video Lesson 20</v>
      </c>
      <c r="B403" t="s">
        <v>1317</v>
      </c>
      <c r="C403" t="s">
        <v>1336</v>
      </c>
      <c r="D403">
        <v>6</v>
      </c>
      <c r="E403">
        <v>202</v>
      </c>
      <c r="G403"/>
    </row>
    <row r="404" spans="1:7" x14ac:dyDescent="0.25">
      <c r="E404">
        <v>202</v>
      </c>
      <c r="G404"/>
    </row>
    <row r="405" spans="1:7" x14ac:dyDescent="0.25">
      <c r="A405" s="15" t="str">
        <f>HYPERLINK("https://www.youtube.com/watch?v=Sjl8iPAcNo0","Video Lesson 20")</f>
        <v>Video Lesson 20</v>
      </c>
      <c r="B405" t="s">
        <v>1317</v>
      </c>
      <c r="C405" t="s">
        <v>1336</v>
      </c>
      <c r="D405">
        <v>7</v>
      </c>
      <c r="E405">
        <v>203</v>
      </c>
      <c r="G405"/>
    </row>
    <row r="406" spans="1:7" x14ac:dyDescent="0.25">
      <c r="E406">
        <v>203</v>
      </c>
      <c r="G406"/>
    </row>
    <row r="407" spans="1:7" x14ac:dyDescent="0.25">
      <c r="A407" s="15" t="str">
        <f>HYPERLINK("https://www.youtube.com/watch?v=Sjl8iPAcNo0","Video Lesson 20")</f>
        <v>Video Lesson 20</v>
      </c>
      <c r="B407" t="s">
        <v>1317</v>
      </c>
      <c r="C407" t="s">
        <v>1336</v>
      </c>
      <c r="D407">
        <v>8</v>
      </c>
      <c r="E407">
        <v>204</v>
      </c>
      <c r="G407"/>
    </row>
    <row r="408" spans="1:7" x14ac:dyDescent="0.25">
      <c r="E408">
        <v>204</v>
      </c>
      <c r="G408"/>
    </row>
    <row r="409" spans="1:7" x14ac:dyDescent="0.25">
      <c r="A409" s="15" t="str">
        <f>HYPERLINK("https://www.youtube.com/watch?v=Sjl8iPAcNo0","Video Lesson 20")</f>
        <v>Video Lesson 20</v>
      </c>
      <c r="B409" t="s">
        <v>1317</v>
      </c>
      <c r="C409" t="s">
        <v>1336</v>
      </c>
      <c r="D409">
        <v>9</v>
      </c>
      <c r="E409">
        <v>205</v>
      </c>
      <c r="G409"/>
    </row>
    <row r="410" spans="1:7" x14ac:dyDescent="0.25">
      <c r="E410">
        <v>205</v>
      </c>
      <c r="G410"/>
    </row>
    <row r="411" spans="1:7" x14ac:dyDescent="0.25">
      <c r="A411" s="15" t="str">
        <f>HYPERLINK("https://www.youtube.com/watch?v=Sjl8iPAcNo0","Video Lesson 20")</f>
        <v>Video Lesson 20</v>
      </c>
      <c r="B411" t="s">
        <v>1317</v>
      </c>
      <c r="C411" t="s">
        <v>1336</v>
      </c>
      <c r="D411">
        <v>10</v>
      </c>
      <c r="E411">
        <v>206</v>
      </c>
      <c r="G411"/>
    </row>
    <row r="412" spans="1:7" x14ac:dyDescent="0.25">
      <c r="E412">
        <v>206</v>
      </c>
      <c r="G412"/>
    </row>
    <row r="413" spans="1:7" x14ac:dyDescent="0.25">
      <c r="A413" s="15" t="str">
        <f>HYPERLINK("https://www.youtube.com/watch?v=Sjl8iPAcNo0","Video Lesson 20")</f>
        <v>Video Lesson 20</v>
      </c>
      <c r="B413" t="s">
        <v>1317</v>
      </c>
      <c r="C413" t="s">
        <v>1336</v>
      </c>
      <c r="D413">
        <v>11</v>
      </c>
      <c r="E413">
        <v>207</v>
      </c>
      <c r="G413"/>
    </row>
    <row r="414" spans="1:7" x14ac:dyDescent="0.25">
      <c r="E414">
        <v>207</v>
      </c>
      <c r="G414"/>
    </row>
    <row r="415" spans="1:7" x14ac:dyDescent="0.25">
      <c r="A415" s="15" t="str">
        <f>HYPERLINK("https://www.youtube.com/watch?v=Sjl8iPAcNo0","Video Lesson 20")</f>
        <v>Video Lesson 20</v>
      </c>
      <c r="B415" t="s">
        <v>1317</v>
      </c>
      <c r="C415" t="s">
        <v>1336</v>
      </c>
      <c r="D415">
        <v>12</v>
      </c>
      <c r="E415">
        <v>208</v>
      </c>
      <c r="G415"/>
    </row>
    <row r="416" spans="1:7" x14ac:dyDescent="0.25">
      <c r="E416">
        <v>208</v>
      </c>
      <c r="G416"/>
    </row>
    <row r="417" spans="1:7" x14ac:dyDescent="0.25">
      <c r="A417" s="15" t="str">
        <f>HYPERLINK("https://www.youtube.com/watch?v=Sjl8iPAcNo0","Video Lesson 20")</f>
        <v>Video Lesson 20</v>
      </c>
      <c r="B417" t="s">
        <v>1317</v>
      </c>
      <c r="C417" t="s">
        <v>1336</v>
      </c>
      <c r="D417">
        <v>13</v>
      </c>
      <c r="E417">
        <v>209</v>
      </c>
      <c r="G417"/>
    </row>
    <row r="418" spans="1:7" x14ac:dyDescent="0.25">
      <c r="E418">
        <v>209</v>
      </c>
      <c r="G418"/>
    </row>
    <row r="419" spans="1:7" x14ac:dyDescent="0.25">
      <c r="A419" s="15" t="str">
        <f>HYPERLINK("https://www.youtube.com/watch?v=Sjl8iPAcNo0","Video Lesson 20")</f>
        <v>Video Lesson 20</v>
      </c>
      <c r="B419" t="s">
        <v>1317</v>
      </c>
      <c r="C419" t="s">
        <v>1336</v>
      </c>
      <c r="D419">
        <v>14</v>
      </c>
      <c r="E419">
        <v>210</v>
      </c>
      <c r="G419"/>
    </row>
    <row r="420" spans="1:7" x14ac:dyDescent="0.25">
      <c r="E420">
        <v>210</v>
      </c>
      <c r="G420"/>
    </row>
    <row r="421" spans="1:7" x14ac:dyDescent="0.25">
      <c r="A421" s="15" t="str">
        <f>HYPERLINK("https://www.youtube.com/watch?v=Sjl8iPAcNo0","Video Lesson 20")</f>
        <v>Video Lesson 20</v>
      </c>
      <c r="B421" t="s">
        <v>1317</v>
      </c>
      <c r="C421" t="s">
        <v>1336</v>
      </c>
      <c r="D421">
        <v>15</v>
      </c>
      <c r="E421">
        <v>211</v>
      </c>
      <c r="G421"/>
    </row>
    <row r="422" spans="1:7" x14ac:dyDescent="0.25">
      <c r="E422">
        <v>211</v>
      </c>
      <c r="G422"/>
    </row>
    <row r="423" spans="1:7" x14ac:dyDescent="0.25">
      <c r="A423" s="15" t="str">
        <f>HYPERLINK("https://www.youtube.com/watch?v=Sjl8iPAcNo0","Video Lesson 20")</f>
        <v>Video Lesson 20</v>
      </c>
      <c r="B423" t="s">
        <v>1317</v>
      </c>
      <c r="C423" t="s">
        <v>1336</v>
      </c>
      <c r="D423">
        <v>16</v>
      </c>
      <c r="E423">
        <v>212</v>
      </c>
      <c r="G423"/>
    </row>
    <row r="424" spans="1:7" x14ac:dyDescent="0.25">
      <c r="E424">
        <v>212</v>
      </c>
      <c r="G424"/>
    </row>
    <row r="425" spans="1:7" x14ac:dyDescent="0.25">
      <c r="A425" s="15" t="str">
        <f>HYPERLINK("https://www.youtube.com/watch?v=Sjl8iPAcNo0","Video Lesson 20")</f>
        <v>Video Lesson 20</v>
      </c>
      <c r="B425" t="s">
        <v>1317</v>
      </c>
      <c r="C425" t="s">
        <v>1336</v>
      </c>
      <c r="D425">
        <v>17</v>
      </c>
      <c r="E425">
        <v>213</v>
      </c>
      <c r="G425"/>
    </row>
    <row r="426" spans="1:7" x14ac:dyDescent="0.25">
      <c r="E426">
        <v>213</v>
      </c>
      <c r="G426"/>
    </row>
    <row r="427" spans="1:7" x14ac:dyDescent="0.25">
      <c r="A427" s="15" t="str">
        <f>HYPERLINK("https://www.youtube.com/watch?v=Sjl8iPAcNo0","Video Lesson 20")</f>
        <v>Video Lesson 20</v>
      </c>
      <c r="B427" t="s">
        <v>1317</v>
      </c>
      <c r="C427" t="s">
        <v>1336</v>
      </c>
      <c r="D427">
        <v>18</v>
      </c>
      <c r="E427">
        <v>214</v>
      </c>
      <c r="G427"/>
    </row>
    <row r="428" spans="1:7" x14ac:dyDescent="0.25">
      <c r="E428">
        <v>214</v>
      </c>
      <c r="G428"/>
    </row>
    <row r="429" spans="1:7" x14ac:dyDescent="0.25">
      <c r="A429" s="15" t="str">
        <f>HYPERLINK("https://www.youtube.com/watch?v=Sjl8iPAcNo0","Video Lesson 20")</f>
        <v>Video Lesson 20</v>
      </c>
      <c r="B429" t="s">
        <v>1317</v>
      </c>
      <c r="C429" t="s">
        <v>1336</v>
      </c>
      <c r="D429">
        <v>19</v>
      </c>
      <c r="E429">
        <v>215</v>
      </c>
      <c r="G429"/>
    </row>
    <row r="430" spans="1:7" x14ac:dyDescent="0.25">
      <c r="E430">
        <v>215</v>
      </c>
      <c r="G430"/>
    </row>
    <row r="431" spans="1:7" x14ac:dyDescent="0.25">
      <c r="A431" s="15" t="str">
        <f>HYPERLINK("https://www.youtube.com/watch?v=Sjl8iPAcNo0","Video Lesson 20")</f>
        <v>Video Lesson 20</v>
      </c>
      <c r="B431" t="s">
        <v>1317</v>
      </c>
      <c r="C431" t="s">
        <v>1336</v>
      </c>
      <c r="D431">
        <v>20</v>
      </c>
      <c r="E431">
        <v>216</v>
      </c>
      <c r="G431"/>
    </row>
    <row r="432" spans="1:7" x14ac:dyDescent="0.25">
      <c r="E432">
        <v>216</v>
      </c>
      <c r="G432"/>
    </row>
    <row r="433" spans="1:7" x14ac:dyDescent="0.25">
      <c r="A433" s="15" t="str">
        <f>HYPERLINK("https://www.youtube.com/watch?v=Sjl8iPAcNo0","Video Lesson 20")</f>
        <v>Video Lesson 20</v>
      </c>
      <c r="B433" t="s">
        <v>1317</v>
      </c>
      <c r="C433" t="s">
        <v>1336</v>
      </c>
      <c r="D433">
        <v>21</v>
      </c>
      <c r="E433">
        <v>217</v>
      </c>
      <c r="G433"/>
    </row>
    <row r="434" spans="1:7" x14ac:dyDescent="0.25">
      <c r="E434">
        <v>217</v>
      </c>
      <c r="G434"/>
    </row>
    <row r="435" spans="1:7" x14ac:dyDescent="0.25">
      <c r="A435" s="15" t="str">
        <f>HYPERLINK("https://www.youtube.com/watch?v=Y56hvBhqBaQ","Video Lesson 18")</f>
        <v>Video Lesson 18</v>
      </c>
      <c r="B435" t="s">
        <v>1318</v>
      </c>
      <c r="C435" t="s">
        <v>1337</v>
      </c>
      <c r="D435">
        <v>1</v>
      </c>
      <c r="E435">
        <v>218</v>
      </c>
      <c r="G435"/>
    </row>
    <row r="436" spans="1:7" x14ac:dyDescent="0.25">
      <c r="E436">
        <v>218</v>
      </c>
      <c r="G436"/>
    </row>
    <row r="437" spans="1:7" x14ac:dyDescent="0.25">
      <c r="A437" s="15" t="str">
        <f>HYPERLINK("https://www.youtube.com/watch?v=Y56hvBhqBaQ","Video Lesson 18")</f>
        <v>Video Lesson 18</v>
      </c>
      <c r="B437" t="s">
        <v>1318</v>
      </c>
      <c r="C437" t="s">
        <v>1337</v>
      </c>
      <c r="D437">
        <v>2</v>
      </c>
      <c r="E437">
        <v>219</v>
      </c>
      <c r="G437"/>
    </row>
    <row r="438" spans="1:7" x14ac:dyDescent="0.25">
      <c r="E438">
        <v>219</v>
      </c>
      <c r="G438"/>
    </row>
    <row r="439" spans="1:7" x14ac:dyDescent="0.25">
      <c r="A439" s="15" t="str">
        <f>HYPERLINK("https://www.youtube.com/watch?v=Y56hvBhqBaQ","Video Lesson 18")</f>
        <v>Video Lesson 18</v>
      </c>
      <c r="B439" t="s">
        <v>1318</v>
      </c>
      <c r="C439" t="s">
        <v>1337</v>
      </c>
      <c r="D439">
        <v>3</v>
      </c>
      <c r="E439">
        <v>220</v>
      </c>
      <c r="G439"/>
    </row>
    <row r="440" spans="1:7" x14ac:dyDescent="0.25">
      <c r="E440">
        <v>220</v>
      </c>
      <c r="G440"/>
    </row>
    <row r="441" spans="1:7" x14ac:dyDescent="0.25">
      <c r="A441" s="15" t="str">
        <f>HYPERLINK("https://www.youtube.com/watch?v=Y56hvBhqBaQ","Video Lesson 18")</f>
        <v>Video Lesson 18</v>
      </c>
      <c r="B441" t="s">
        <v>1318</v>
      </c>
      <c r="C441" t="s">
        <v>1337</v>
      </c>
      <c r="D441">
        <v>4</v>
      </c>
      <c r="E441">
        <v>221</v>
      </c>
      <c r="G441"/>
    </row>
    <row r="442" spans="1:7" x14ac:dyDescent="0.25">
      <c r="E442">
        <v>221</v>
      </c>
      <c r="G442"/>
    </row>
    <row r="443" spans="1:7" x14ac:dyDescent="0.25">
      <c r="A443" s="15" t="str">
        <f>HYPERLINK("https://www.youtube.com/watch?v=Y56hvBhqBaQ","Video Lesson 18")</f>
        <v>Video Lesson 18</v>
      </c>
      <c r="B443" t="s">
        <v>1318</v>
      </c>
      <c r="C443" t="s">
        <v>1337</v>
      </c>
      <c r="D443">
        <v>5</v>
      </c>
      <c r="E443">
        <v>222</v>
      </c>
      <c r="G443"/>
    </row>
    <row r="444" spans="1:7" x14ac:dyDescent="0.25">
      <c r="E444">
        <v>222</v>
      </c>
      <c r="G444"/>
    </row>
    <row r="445" spans="1:7" x14ac:dyDescent="0.25">
      <c r="A445" s="15" t="str">
        <f>HYPERLINK("https://www.youtube.com/watch?v=Y56hvBhqBaQ","Video Lesson 18")</f>
        <v>Video Lesson 18</v>
      </c>
      <c r="B445" t="s">
        <v>1318</v>
      </c>
      <c r="C445" t="s">
        <v>1337</v>
      </c>
      <c r="D445">
        <v>6</v>
      </c>
      <c r="E445">
        <v>223</v>
      </c>
      <c r="G445"/>
    </row>
    <row r="446" spans="1:7" x14ac:dyDescent="0.25">
      <c r="E446">
        <v>223</v>
      </c>
      <c r="G446"/>
    </row>
    <row r="447" spans="1:7" x14ac:dyDescent="0.25">
      <c r="A447" s="15" t="str">
        <f>HYPERLINK("https://www.youtube.com/watch?v=Y56hvBhqBaQ","Video Lesson 18")</f>
        <v>Video Lesson 18</v>
      </c>
      <c r="B447" t="s">
        <v>1318</v>
      </c>
      <c r="C447" t="s">
        <v>1337</v>
      </c>
      <c r="D447">
        <v>7</v>
      </c>
      <c r="E447">
        <v>224</v>
      </c>
      <c r="G447"/>
    </row>
    <row r="448" spans="1:7" x14ac:dyDescent="0.25">
      <c r="E448">
        <v>224</v>
      </c>
      <c r="G448"/>
    </row>
    <row r="449" spans="1:7" x14ac:dyDescent="0.25">
      <c r="A449" s="15" t="str">
        <f>HYPERLINK("https://www.youtube.com/watch?v=Y56hvBhqBaQ","Video Lesson 18")</f>
        <v>Video Lesson 18</v>
      </c>
      <c r="B449" t="s">
        <v>1318</v>
      </c>
      <c r="C449" t="s">
        <v>1337</v>
      </c>
      <c r="D449">
        <v>8</v>
      </c>
      <c r="E449">
        <v>225</v>
      </c>
      <c r="G449"/>
    </row>
    <row r="450" spans="1:7" x14ac:dyDescent="0.25">
      <c r="E450">
        <v>225</v>
      </c>
      <c r="G450"/>
    </row>
    <row r="451" spans="1:7" x14ac:dyDescent="0.25">
      <c r="A451" s="15" t="str">
        <f>HYPERLINK("https://www.youtube.com/watch?v=Y56hvBhqBaQ","Video Lesson 18")</f>
        <v>Video Lesson 18</v>
      </c>
      <c r="B451" t="s">
        <v>1318</v>
      </c>
      <c r="C451" t="s">
        <v>1337</v>
      </c>
      <c r="D451">
        <v>9</v>
      </c>
      <c r="E451">
        <v>226</v>
      </c>
      <c r="G451"/>
    </row>
    <row r="452" spans="1:7" x14ac:dyDescent="0.25">
      <c r="E452">
        <v>226</v>
      </c>
      <c r="G452"/>
    </row>
    <row r="453" spans="1:7" x14ac:dyDescent="0.25">
      <c r="A453" s="15" t="str">
        <f>HYPERLINK("https://www.youtube.com/watch?v=Y56hvBhqBaQ","Video Lesson 18")</f>
        <v>Video Lesson 18</v>
      </c>
      <c r="B453" t="s">
        <v>1318</v>
      </c>
      <c r="C453" t="s">
        <v>1337</v>
      </c>
      <c r="D453">
        <v>10</v>
      </c>
      <c r="E453">
        <v>227</v>
      </c>
      <c r="G453"/>
    </row>
    <row r="454" spans="1:7" x14ac:dyDescent="0.25">
      <c r="E454">
        <v>227</v>
      </c>
      <c r="G454"/>
    </row>
    <row r="455" spans="1:7" x14ac:dyDescent="0.25">
      <c r="A455" s="15" t="str">
        <f>HYPERLINK("https://www.youtube.com/watch?v=Y56hvBhqBaQ","Video Lesson 18")</f>
        <v>Video Lesson 18</v>
      </c>
      <c r="B455" t="s">
        <v>1318</v>
      </c>
      <c r="C455" t="s">
        <v>1337</v>
      </c>
      <c r="D455">
        <v>11</v>
      </c>
      <c r="E455">
        <v>228</v>
      </c>
      <c r="G455"/>
    </row>
    <row r="456" spans="1:7" x14ac:dyDescent="0.25">
      <c r="E456">
        <v>228</v>
      </c>
      <c r="G456"/>
    </row>
    <row r="457" spans="1:7" x14ac:dyDescent="0.25">
      <c r="A457" s="15" t="str">
        <f>HYPERLINK("https://www.youtube.com/watch?v=Y56hvBhqBaQ","Video Lesson 18")</f>
        <v>Video Lesson 18</v>
      </c>
      <c r="B457" t="s">
        <v>1318</v>
      </c>
      <c r="C457" t="s">
        <v>1337</v>
      </c>
      <c r="D457">
        <v>12</v>
      </c>
      <c r="E457">
        <v>229</v>
      </c>
      <c r="G457"/>
    </row>
    <row r="458" spans="1:7" x14ac:dyDescent="0.25">
      <c r="E458">
        <v>229</v>
      </c>
      <c r="G458"/>
    </row>
    <row r="459" spans="1:7" x14ac:dyDescent="0.25">
      <c r="A459" s="15" t="str">
        <f>HYPERLINK("https://www.youtube.com/watch?v=Y56hvBhqBaQ","Video Lesson 18")</f>
        <v>Video Lesson 18</v>
      </c>
      <c r="B459" t="s">
        <v>1318</v>
      </c>
      <c r="C459" t="s">
        <v>1337</v>
      </c>
      <c r="D459">
        <v>13</v>
      </c>
      <c r="E459">
        <v>230</v>
      </c>
      <c r="G459"/>
    </row>
    <row r="460" spans="1:7" x14ac:dyDescent="0.25">
      <c r="E460">
        <v>230</v>
      </c>
      <c r="G460"/>
    </row>
    <row r="461" spans="1:7" x14ac:dyDescent="0.25">
      <c r="A461" s="15" t="str">
        <f>HYPERLINK("https://www.youtube.com/watch?v=Y56hvBhqBaQ","Video Lesson 18")</f>
        <v>Video Lesson 18</v>
      </c>
      <c r="B461" t="s">
        <v>1318</v>
      </c>
      <c r="C461" t="s">
        <v>1337</v>
      </c>
      <c r="D461">
        <v>14</v>
      </c>
      <c r="E461">
        <v>231</v>
      </c>
      <c r="G461"/>
    </row>
    <row r="462" spans="1:7" x14ac:dyDescent="0.25">
      <c r="E462">
        <v>231</v>
      </c>
      <c r="G462"/>
    </row>
    <row r="463" spans="1:7" x14ac:dyDescent="0.25">
      <c r="A463" s="15" t="str">
        <f>HYPERLINK("https://www.youtube.com/watch?v=Y56hvBhqBaQ","Video Lesson 18")</f>
        <v>Video Lesson 18</v>
      </c>
      <c r="B463" t="s">
        <v>1318</v>
      </c>
      <c r="C463" t="s">
        <v>1337</v>
      </c>
      <c r="D463">
        <v>15</v>
      </c>
      <c r="E463">
        <v>232</v>
      </c>
      <c r="G463"/>
    </row>
    <row r="464" spans="1:7" x14ac:dyDescent="0.25">
      <c r="E464">
        <v>232</v>
      </c>
      <c r="G464"/>
    </row>
    <row r="465" spans="1:7" x14ac:dyDescent="0.25">
      <c r="A465" s="15" t="str">
        <f>HYPERLINK("https://www.youtube.com/watch?v=Y56hvBhqBaQ","Video Lesson 18")</f>
        <v>Video Lesson 18</v>
      </c>
      <c r="B465" t="s">
        <v>1318</v>
      </c>
      <c r="C465" t="s">
        <v>1337</v>
      </c>
      <c r="D465">
        <v>16</v>
      </c>
      <c r="E465">
        <v>233</v>
      </c>
      <c r="G465"/>
    </row>
    <row r="466" spans="1:7" x14ac:dyDescent="0.25">
      <c r="E466">
        <v>233</v>
      </c>
      <c r="G466"/>
    </row>
    <row r="467" spans="1:7" x14ac:dyDescent="0.25">
      <c r="A467" s="15" t="str">
        <f>HYPERLINK("https://www.youtube.com/watch?v=Y56hvBhqBaQ","Video Lesson 18")</f>
        <v>Video Lesson 18</v>
      </c>
      <c r="B467" t="s">
        <v>1318</v>
      </c>
      <c r="C467" t="s">
        <v>1337</v>
      </c>
      <c r="D467">
        <v>17</v>
      </c>
      <c r="E467">
        <v>234</v>
      </c>
      <c r="G467"/>
    </row>
    <row r="468" spans="1:7" x14ac:dyDescent="0.25">
      <c r="E468">
        <v>234</v>
      </c>
      <c r="G468"/>
    </row>
    <row r="469" spans="1:7" x14ac:dyDescent="0.25">
      <c r="A469" s="15" t="str">
        <f>HYPERLINK("https://www.youtube.com/watch?v=Y56hvBhqBaQ","Video Lesson 18")</f>
        <v>Video Lesson 18</v>
      </c>
      <c r="B469" t="s">
        <v>1318</v>
      </c>
      <c r="C469" t="s">
        <v>1337</v>
      </c>
      <c r="D469">
        <v>18</v>
      </c>
      <c r="E469">
        <v>235</v>
      </c>
      <c r="G469"/>
    </row>
    <row r="470" spans="1:7" x14ac:dyDescent="0.25">
      <c r="E470">
        <v>235</v>
      </c>
      <c r="G470"/>
    </row>
    <row r="471" spans="1:7" x14ac:dyDescent="0.25">
      <c r="A471" s="15" t="str">
        <f>HYPERLINK("https://www.youtube.com/watch?v=Y56hvBhqBaQ","Video Lesson 18")</f>
        <v>Video Lesson 18</v>
      </c>
      <c r="B471" t="s">
        <v>1318</v>
      </c>
      <c r="C471" t="s">
        <v>1337</v>
      </c>
      <c r="D471">
        <v>19</v>
      </c>
      <c r="E471">
        <v>236</v>
      </c>
      <c r="G471"/>
    </row>
    <row r="472" spans="1:7" x14ac:dyDescent="0.25">
      <c r="E472">
        <v>236</v>
      </c>
      <c r="G472"/>
    </row>
    <row r="473" spans="1:7" x14ac:dyDescent="0.25">
      <c r="A473" s="15" t="str">
        <f>HYPERLINK("https://www.youtube.com/watch?v=Y56hvBhqBaQ","Video Lesson 18")</f>
        <v>Video Lesson 18</v>
      </c>
      <c r="B473" t="s">
        <v>1318</v>
      </c>
      <c r="C473" t="s">
        <v>1337</v>
      </c>
      <c r="D473">
        <v>20</v>
      </c>
      <c r="E473">
        <v>237</v>
      </c>
      <c r="G473"/>
    </row>
    <row r="474" spans="1:7" x14ac:dyDescent="0.25">
      <c r="E474">
        <v>237</v>
      </c>
      <c r="G474"/>
    </row>
    <row r="475" spans="1:7" x14ac:dyDescent="0.25">
      <c r="A475" s="15" t="str">
        <f>HYPERLINK("https://www.youtube.com/watch?v=Y56hvBhqBaQ","Video Lesson 18")</f>
        <v>Video Lesson 18</v>
      </c>
      <c r="B475" t="s">
        <v>1318</v>
      </c>
      <c r="C475" t="s">
        <v>1337</v>
      </c>
      <c r="D475">
        <v>21</v>
      </c>
      <c r="E475">
        <v>238</v>
      </c>
      <c r="G475"/>
    </row>
    <row r="476" spans="1:7" x14ac:dyDescent="0.25">
      <c r="E476">
        <v>238</v>
      </c>
      <c r="G476"/>
    </row>
    <row r="477" spans="1:7" x14ac:dyDescent="0.25">
      <c r="A477" s="15" t="str">
        <f>HYPERLINK("https://www.youtube.com/watch?v=CuxAdMsjkyY","Video Lesson 13")</f>
        <v>Video Lesson 13</v>
      </c>
      <c r="B477" t="s">
        <v>1318</v>
      </c>
      <c r="C477" t="s">
        <v>1338</v>
      </c>
      <c r="D477">
        <v>1</v>
      </c>
      <c r="E477">
        <v>239</v>
      </c>
      <c r="G477"/>
    </row>
    <row r="478" spans="1:7" x14ac:dyDescent="0.25">
      <c r="E478">
        <v>239</v>
      </c>
      <c r="G478"/>
    </row>
    <row r="479" spans="1:7" x14ac:dyDescent="0.25">
      <c r="A479" s="15" t="str">
        <f>HYPERLINK("https://www.youtube.com/watch?v=CuxAdMsjkyY","Video Lesson 13")</f>
        <v>Video Lesson 13</v>
      </c>
      <c r="B479" t="s">
        <v>1318</v>
      </c>
      <c r="C479" t="s">
        <v>1338</v>
      </c>
      <c r="D479">
        <v>2</v>
      </c>
      <c r="E479">
        <v>240</v>
      </c>
      <c r="G479"/>
    </row>
    <row r="480" spans="1:7" x14ac:dyDescent="0.25">
      <c r="E480">
        <v>240</v>
      </c>
      <c r="G480"/>
    </row>
    <row r="481" spans="1:7" x14ac:dyDescent="0.25">
      <c r="A481" s="15" t="str">
        <f>HYPERLINK("https://www.youtube.com/watch?v=CuxAdMsjkyY","Video Lesson 13")</f>
        <v>Video Lesson 13</v>
      </c>
      <c r="B481" t="s">
        <v>1318</v>
      </c>
      <c r="C481" t="s">
        <v>1338</v>
      </c>
      <c r="D481">
        <v>3</v>
      </c>
      <c r="E481">
        <v>241</v>
      </c>
      <c r="G481"/>
    </row>
    <row r="482" spans="1:7" x14ac:dyDescent="0.25">
      <c r="E482">
        <v>241</v>
      </c>
      <c r="G482"/>
    </row>
    <row r="483" spans="1:7" x14ac:dyDescent="0.25">
      <c r="A483" s="15" t="str">
        <f>HYPERLINK("https://www.youtube.com/watch?v=CuxAdMsjkyY","Video Lesson 13")</f>
        <v>Video Lesson 13</v>
      </c>
      <c r="B483" t="s">
        <v>1318</v>
      </c>
      <c r="C483" t="s">
        <v>1338</v>
      </c>
      <c r="D483">
        <v>4</v>
      </c>
      <c r="E483">
        <v>242</v>
      </c>
      <c r="G483"/>
    </row>
    <row r="484" spans="1:7" x14ac:dyDescent="0.25">
      <c r="E484">
        <v>242</v>
      </c>
      <c r="G484"/>
    </row>
    <row r="485" spans="1:7" x14ac:dyDescent="0.25">
      <c r="A485" s="15" t="str">
        <f>HYPERLINK("https://www.youtube.com/watch?v=CuxAdMsjkyY","Video Lesson 13")</f>
        <v>Video Lesson 13</v>
      </c>
      <c r="B485" t="s">
        <v>1318</v>
      </c>
      <c r="C485" t="s">
        <v>1338</v>
      </c>
      <c r="D485">
        <v>5</v>
      </c>
      <c r="E485">
        <v>243</v>
      </c>
      <c r="G485"/>
    </row>
    <row r="486" spans="1:7" x14ac:dyDescent="0.25">
      <c r="E486">
        <v>243</v>
      </c>
      <c r="G486"/>
    </row>
    <row r="487" spans="1:7" x14ac:dyDescent="0.25">
      <c r="A487" s="15" t="str">
        <f>HYPERLINK("https://www.youtube.com/watch?v=CuxAdMsjkyY","Video Lesson 13")</f>
        <v>Video Lesson 13</v>
      </c>
      <c r="B487" t="s">
        <v>1318</v>
      </c>
      <c r="C487" t="s">
        <v>1338</v>
      </c>
      <c r="D487">
        <v>6</v>
      </c>
      <c r="E487">
        <v>244</v>
      </c>
      <c r="G487"/>
    </row>
    <row r="488" spans="1:7" x14ac:dyDescent="0.25">
      <c r="E488">
        <v>244</v>
      </c>
      <c r="G488"/>
    </row>
    <row r="489" spans="1:7" x14ac:dyDescent="0.25">
      <c r="A489" s="15" t="str">
        <f>HYPERLINK("https://www.youtube.com/watch?v=CuxAdMsjkyY","Video Lesson 13")</f>
        <v>Video Lesson 13</v>
      </c>
      <c r="B489" t="s">
        <v>1318</v>
      </c>
      <c r="C489" t="s">
        <v>1338</v>
      </c>
      <c r="D489">
        <v>7</v>
      </c>
      <c r="E489">
        <v>245</v>
      </c>
      <c r="G489"/>
    </row>
    <row r="490" spans="1:7" x14ac:dyDescent="0.25">
      <c r="E490">
        <v>245</v>
      </c>
      <c r="G490"/>
    </row>
    <row r="491" spans="1:7" x14ac:dyDescent="0.25">
      <c r="A491" s="15" t="str">
        <f>HYPERLINK("https://www.youtube.com/watch?v=CuxAdMsjkyY","Video Lesson 13")</f>
        <v>Video Lesson 13</v>
      </c>
      <c r="B491" t="s">
        <v>1318</v>
      </c>
      <c r="C491" t="s">
        <v>1338</v>
      </c>
      <c r="D491">
        <v>8</v>
      </c>
      <c r="E491">
        <v>246</v>
      </c>
      <c r="G491"/>
    </row>
    <row r="492" spans="1:7" x14ac:dyDescent="0.25">
      <c r="E492">
        <v>246</v>
      </c>
      <c r="G492"/>
    </row>
    <row r="493" spans="1:7" x14ac:dyDescent="0.25">
      <c r="A493" s="15" t="str">
        <f>HYPERLINK("https://www.youtube.com/watch?v=CuxAdMsjkyY","Video Lesson 13")</f>
        <v>Video Lesson 13</v>
      </c>
      <c r="B493" t="s">
        <v>1318</v>
      </c>
      <c r="C493" t="s">
        <v>1338</v>
      </c>
      <c r="D493">
        <v>9</v>
      </c>
      <c r="E493">
        <v>247</v>
      </c>
      <c r="G493"/>
    </row>
    <row r="494" spans="1:7" x14ac:dyDescent="0.25">
      <c r="E494">
        <v>247</v>
      </c>
      <c r="G494"/>
    </row>
    <row r="495" spans="1:7" x14ac:dyDescent="0.25">
      <c r="A495" s="15" t="str">
        <f>HYPERLINK("https://www.youtube.com/watch?v=CuxAdMsjkyY","Video Lesson 13")</f>
        <v>Video Lesson 13</v>
      </c>
      <c r="B495" t="s">
        <v>1318</v>
      </c>
      <c r="C495" t="s">
        <v>1338</v>
      </c>
      <c r="D495">
        <v>10</v>
      </c>
      <c r="E495">
        <v>248</v>
      </c>
      <c r="G495"/>
    </row>
    <row r="496" spans="1:7" x14ac:dyDescent="0.25">
      <c r="E496">
        <v>248</v>
      </c>
      <c r="G496"/>
    </row>
    <row r="497" spans="1:7" x14ac:dyDescent="0.25">
      <c r="A497" s="15" t="str">
        <f>HYPERLINK("https://www.youtube.com/watch?v=CuxAdMsjkyY","Video Lesson 13")</f>
        <v>Video Lesson 13</v>
      </c>
      <c r="B497" t="s">
        <v>1318</v>
      </c>
      <c r="C497" t="s">
        <v>1338</v>
      </c>
      <c r="D497">
        <v>11</v>
      </c>
      <c r="E497">
        <v>249</v>
      </c>
      <c r="G497"/>
    </row>
    <row r="498" spans="1:7" x14ac:dyDescent="0.25">
      <c r="E498">
        <v>249</v>
      </c>
      <c r="G498"/>
    </row>
    <row r="499" spans="1:7" x14ac:dyDescent="0.25">
      <c r="A499" s="15" t="str">
        <f>HYPERLINK("https://www.youtube.com/watch?v=CuxAdMsjkyY","Video Lesson 13")</f>
        <v>Video Lesson 13</v>
      </c>
      <c r="B499" t="s">
        <v>1318</v>
      </c>
      <c r="C499" t="s">
        <v>1338</v>
      </c>
      <c r="D499">
        <v>12</v>
      </c>
      <c r="E499">
        <v>250</v>
      </c>
      <c r="G499"/>
    </row>
    <row r="500" spans="1:7" x14ac:dyDescent="0.25">
      <c r="E500">
        <v>250</v>
      </c>
      <c r="G500"/>
    </row>
    <row r="501" spans="1:7" x14ac:dyDescent="0.25">
      <c r="A501" s="15" t="str">
        <f>HYPERLINK("https://www.youtube.com/watch?v=CuxAdMsjkyY","Video Lesson 13")</f>
        <v>Video Lesson 13</v>
      </c>
      <c r="B501" t="s">
        <v>1318</v>
      </c>
      <c r="C501" t="s">
        <v>1338</v>
      </c>
      <c r="D501">
        <v>13</v>
      </c>
      <c r="E501">
        <v>251</v>
      </c>
      <c r="G501"/>
    </row>
    <row r="502" spans="1:7" x14ac:dyDescent="0.25">
      <c r="E502">
        <v>251</v>
      </c>
      <c r="G502"/>
    </row>
    <row r="503" spans="1:7" x14ac:dyDescent="0.25">
      <c r="A503" s="15" t="str">
        <f>HYPERLINK("https://www.youtube.com/watch?v=CuxAdMsjkyY","Video Lesson 13")</f>
        <v>Video Lesson 13</v>
      </c>
      <c r="B503" t="s">
        <v>1318</v>
      </c>
      <c r="C503" t="s">
        <v>1338</v>
      </c>
      <c r="D503">
        <v>14</v>
      </c>
      <c r="E503">
        <v>252</v>
      </c>
      <c r="G503"/>
    </row>
    <row r="504" spans="1:7" x14ac:dyDescent="0.25">
      <c r="E504">
        <v>252</v>
      </c>
      <c r="G504"/>
    </row>
    <row r="505" spans="1:7" x14ac:dyDescent="0.25">
      <c r="A505" s="15" t="str">
        <f>HYPERLINK("https://www.youtube.com/watch?v=CuxAdMsjkyY","Video Lesson 13")</f>
        <v>Video Lesson 13</v>
      </c>
      <c r="B505" t="s">
        <v>1318</v>
      </c>
      <c r="C505" t="s">
        <v>1338</v>
      </c>
      <c r="D505">
        <v>15</v>
      </c>
      <c r="E505">
        <v>253</v>
      </c>
      <c r="G505"/>
    </row>
    <row r="506" spans="1:7" x14ac:dyDescent="0.25">
      <c r="E506">
        <v>253</v>
      </c>
      <c r="G506"/>
    </row>
    <row r="507" spans="1:7" x14ac:dyDescent="0.25">
      <c r="A507" s="15" t="str">
        <f>HYPERLINK("https://www.youtube.com/watch?v=CuxAdMsjkyY","Video Lesson 13")</f>
        <v>Video Lesson 13</v>
      </c>
      <c r="B507" t="s">
        <v>1318</v>
      </c>
      <c r="C507" t="s">
        <v>1338</v>
      </c>
      <c r="D507">
        <v>16</v>
      </c>
      <c r="E507">
        <v>254</v>
      </c>
      <c r="G507"/>
    </row>
    <row r="508" spans="1:7" x14ac:dyDescent="0.25">
      <c r="E508">
        <v>254</v>
      </c>
      <c r="G508"/>
    </row>
    <row r="509" spans="1:7" x14ac:dyDescent="0.25">
      <c r="A509" s="15" t="str">
        <f>HYPERLINK("https://www.youtube.com/watch?v=CuxAdMsjkyY","Video Lesson 13")</f>
        <v>Video Lesson 13</v>
      </c>
      <c r="B509" t="s">
        <v>1318</v>
      </c>
      <c r="C509" t="s">
        <v>1338</v>
      </c>
      <c r="D509">
        <v>17</v>
      </c>
      <c r="E509">
        <v>255</v>
      </c>
      <c r="G509"/>
    </row>
    <row r="510" spans="1:7" x14ac:dyDescent="0.25">
      <c r="E510">
        <v>255</v>
      </c>
      <c r="G510"/>
    </row>
    <row r="511" spans="1:7" x14ac:dyDescent="0.25">
      <c r="A511" s="15" t="str">
        <f>HYPERLINK("https://www.youtube.com/watch?v=CuxAdMsjkyY","Video Lesson 13")</f>
        <v>Video Lesson 13</v>
      </c>
      <c r="B511" t="s">
        <v>1318</v>
      </c>
      <c r="C511" t="s">
        <v>1338</v>
      </c>
      <c r="D511">
        <v>18</v>
      </c>
      <c r="E511">
        <v>256</v>
      </c>
      <c r="G511"/>
    </row>
    <row r="512" spans="1:7" x14ac:dyDescent="0.25">
      <c r="E512">
        <v>256</v>
      </c>
      <c r="G512"/>
    </row>
    <row r="513" spans="1:7" x14ac:dyDescent="0.25">
      <c r="A513" s="15" t="str">
        <f>HYPERLINK("https://www.youtube.com/watch?v=CuxAdMsjkyY","Video Lesson 13")</f>
        <v>Video Lesson 13</v>
      </c>
      <c r="B513" t="s">
        <v>1318</v>
      </c>
      <c r="C513" t="s">
        <v>1338</v>
      </c>
      <c r="D513">
        <v>19</v>
      </c>
      <c r="E513">
        <v>257</v>
      </c>
      <c r="G513"/>
    </row>
    <row r="514" spans="1:7" x14ac:dyDescent="0.25">
      <c r="E514">
        <v>257</v>
      </c>
      <c r="G514"/>
    </row>
    <row r="515" spans="1:7" x14ac:dyDescent="0.25">
      <c r="A515" s="15" t="str">
        <f>HYPERLINK("https://www.youtube.com/watch?v=CuxAdMsjkyY","Video Lesson 13")</f>
        <v>Video Lesson 13</v>
      </c>
      <c r="B515" t="s">
        <v>1318</v>
      </c>
      <c r="C515" t="s">
        <v>1338</v>
      </c>
      <c r="D515">
        <v>20</v>
      </c>
      <c r="E515">
        <v>258</v>
      </c>
      <c r="G515"/>
    </row>
    <row r="516" spans="1:7" x14ac:dyDescent="0.25">
      <c r="E516">
        <v>258</v>
      </c>
      <c r="G516"/>
    </row>
    <row r="517" spans="1:7" x14ac:dyDescent="0.25">
      <c r="A517" s="15" t="str">
        <f>HYPERLINK("https://www.youtube.com/watch?v=CuxAdMsjkyY","Video Lesson 13")</f>
        <v>Video Lesson 13</v>
      </c>
      <c r="B517" t="s">
        <v>1318</v>
      </c>
      <c r="C517" t="s">
        <v>1338</v>
      </c>
      <c r="D517">
        <v>21</v>
      </c>
      <c r="E517">
        <v>259</v>
      </c>
      <c r="G517"/>
    </row>
    <row r="518" spans="1:7" x14ac:dyDescent="0.25">
      <c r="E518">
        <v>259</v>
      </c>
      <c r="G518"/>
    </row>
    <row r="519" spans="1:7" x14ac:dyDescent="0.25">
      <c r="A519" s="15" t="str">
        <f>HYPERLINK("https://www.youtube.com/watch?v=-9H0tokUVvc","Video Lesson 16")</f>
        <v>Video Lesson 16</v>
      </c>
      <c r="B519" t="s">
        <v>1318</v>
      </c>
      <c r="C519" t="s">
        <v>1339</v>
      </c>
      <c r="D519">
        <v>1</v>
      </c>
      <c r="E519">
        <v>260</v>
      </c>
      <c r="G519"/>
    </row>
    <row r="520" spans="1:7" x14ac:dyDescent="0.25">
      <c r="E520">
        <v>260</v>
      </c>
      <c r="G520"/>
    </row>
    <row r="521" spans="1:7" x14ac:dyDescent="0.25">
      <c r="A521" s="15" t="str">
        <f>HYPERLINK("https://www.youtube.com/watch?v=-9H0tokUVvc","Video Lesson 16")</f>
        <v>Video Lesson 16</v>
      </c>
      <c r="B521" t="s">
        <v>1318</v>
      </c>
      <c r="C521" t="s">
        <v>1339</v>
      </c>
      <c r="D521">
        <v>2</v>
      </c>
      <c r="E521">
        <v>261</v>
      </c>
      <c r="G521"/>
    </row>
    <row r="522" spans="1:7" x14ac:dyDescent="0.25">
      <c r="E522">
        <v>261</v>
      </c>
      <c r="G522"/>
    </row>
    <row r="523" spans="1:7" x14ac:dyDescent="0.25">
      <c r="A523" s="15" t="str">
        <f>HYPERLINK("https://www.youtube.com/watch?v=-9H0tokUVvc","Video Lesson 16")</f>
        <v>Video Lesson 16</v>
      </c>
      <c r="B523" t="s">
        <v>1318</v>
      </c>
      <c r="C523" t="s">
        <v>1339</v>
      </c>
      <c r="D523">
        <v>3</v>
      </c>
      <c r="E523">
        <v>262</v>
      </c>
      <c r="G523"/>
    </row>
    <row r="524" spans="1:7" x14ac:dyDescent="0.25">
      <c r="E524">
        <v>262</v>
      </c>
      <c r="G524"/>
    </row>
    <row r="525" spans="1:7" x14ac:dyDescent="0.25">
      <c r="A525" s="15" t="str">
        <f>HYPERLINK("https://www.youtube.com/watch?v=-9H0tokUVvc","Video Lesson 16")</f>
        <v>Video Lesson 16</v>
      </c>
      <c r="B525" t="s">
        <v>1318</v>
      </c>
      <c r="C525" t="s">
        <v>1339</v>
      </c>
      <c r="D525">
        <v>4</v>
      </c>
      <c r="E525">
        <v>263</v>
      </c>
      <c r="G525"/>
    </row>
    <row r="526" spans="1:7" x14ac:dyDescent="0.25">
      <c r="E526">
        <v>263</v>
      </c>
      <c r="G526"/>
    </row>
    <row r="527" spans="1:7" x14ac:dyDescent="0.25">
      <c r="A527" s="15" t="str">
        <f>HYPERLINK("https://www.youtube.com/watch?v=-9H0tokUVvc","Video Lesson 16")</f>
        <v>Video Lesson 16</v>
      </c>
      <c r="B527" t="s">
        <v>1318</v>
      </c>
      <c r="C527" t="s">
        <v>1339</v>
      </c>
      <c r="D527">
        <v>5</v>
      </c>
      <c r="E527">
        <v>264</v>
      </c>
      <c r="G527"/>
    </row>
    <row r="528" spans="1:7" x14ac:dyDescent="0.25">
      <c r="E528">
        <v>264</v>
      </c>
      <c r="G528"/>
    </row>
    <row r="529" spans="1:7" x14ac:dyDescent="0.25">
      <c r="A529" s="15" t="str">
        <f>HYPERLINK("https://www.youtube.com/watch?v=-9H0tokUVvc","Video Lesson 16")</f>
        <v>Video Lesson 16</v>
      </c>
      <c r="B529" t="s">
        <v>1318</v>
      </c>
      <c r="C529" t="s">
        <v>1339</v>
      </c>
      <c r="D529">
        <v>6</v>
      </c>
      <c r="E529">
        <v>265</v>
      </c>
      <c r="G529"/>
    </row>
    <row r="530" spans="1:7" x14ac:dyDescent="0.25">
      <c r="E530">
        <v>265</v>
      </c>
      <c r="G530"/>
    </row>
    <row r="531" spans="1:7" x14ac:dyDescent="0.25">
      <c r="A531" s="15" t="str">
        <f>HYPERLINK("https://www.youtube.com/watch?v=-9H0tokUVvc","Video Lesson 16")</f>
        <v>Video Lesson 16</v>
      </c>
      <c r="B531" t="s">
        <v>1318</v>
      </c>
      <c r="C531" t="s">
        <v>1339</v>
      </c>
      <c r="D531">
        <v>7</v>
      </c>
      <c r="E531">
        <v>266</v>
      </c>
      <c r="G531"/>
    </row>
    <row r="532" spans="1:7" x14ac:dyDescent="0.25">
      <c r="E532">
        <v>266</v>
      </c>
      <c r="G532"/>
    </row>
    <row r="533" spans="1:7" x14ac:dyDescent="0.25">
      <c r="A533" s="15" t="str">
        <f>HYPERLINK("https://www.youtube.com/watch?v=-9H0tokUVvc","Video Lesson 16")</f>
        <v>Video Lesson 16</v>
      </c>
      <c r="B533" t="s">
        <v>1318</v>
      </c>
      <c r="C533" t="s">
        <v>1339</v>
      </c>
      <c r="D533">
        <v>8</v>
      </c>
      <c r="E533">
        <v>267</v>
      </c>
      <c r="G533"/>
    </row>
    <row r="534" spans="1:7" x14ac:dyDescent="0.25">
      <c r="E534">
        <v>267</v>
      </c>
      <c r="G534"/>
    </row>
    <row r="535" spans="1:7" x14ac:dyDescent="0.25">
      <c r="A535" s="15" t="str">
        <f>HYPERLINK("https://www.youtube.com/watch?v=-9H0tokUVvc","Video Lesson 16")</f>
        <v>Video Lesson 16</v>
      </c>
      <c r="B535" t="s">
        <v>1318</v>
      </c>
      <c r="C535" t="s">
        <v>1339</v>
      </c>
      <c r="D535">
        <v>9</v>
      </c>
      <c r="E535">
        <v>268</v>
      </c>
      <c r="G535"/>
    </row>
    <row r="536" spans="1:7" x14ac:dyDescent="0.25">
      <c r="E536">
        <v>268</v>
      </c>
      <c r="G536"/>
    </row>
    <row r="537" spans="1:7" x14ac:dyDescent="0.25">
      <c r="A537" s="15" t="str">
        <f>HYPERLINK("https://www.youtube.com/watch?v=-9H0tokUVvc","Video Lesson 16")</f>
        <v>Video Lesson 16</v>
      </c>
      <c r="B537" t="s">
        <v>1318</v>
      </c>
      <c r="C537" t="s">
        <v>1339</v>
      </c>
      <c r="D537">
        <v>10</v>
      </c>
      <c r="E537">
        <v>269</v>
      </c>
      <c r="G537"/>
    </row>
    <row r="538" spans="1:7" x14ac:dyDescent="0.25">
      <c r="E538">
        <v>269</v>
      </c>
      <c r="G538"/>
    </row>
    <row r="539" spans="1:7" x14ac:dyDescent="0.25">
      <c r="A539" s="15" t="str">
        <f>HYPERLINK("https://www.youtube.com/watch?v=-9H0tokUVvc","Video Lesson 16")</f>
        <v>Video Lesson 16</v>
      </c>
      <c r="B539" t="s">
        <v>1318</v>
      </c>
      <c r="C539" t="s">
        <v>1339</v>
      </c>
      <c r="D539">
        <v>11</v>
      </c>
      <c r="E539">
        <v>270</v>
      </c>
      <c r="G539"/>
    </row>
    <row r="540" spans="1:7" x14ac:dyDescent="0.25">
      <c r="E540">
        <v>270</v>
      </c>
      <c r="G540"/>
    </row>
    <row r="541" spans="1:7" x14ac:dyDescent="0.25">
      <c r="A541" s="15" t="str">
        <f>HYPERLINK("https://www.youtube.com/watch?v=-9H0tokUVvc","Video Lesson 16")</f>
        <v>Video Lesson 16</v>
      </c>
      <c r="B541" t="s">
        <v>1318</v>
      </c>
      <c r="C541" t="s">
        <v>1339</v>
      </c>
      <c r="D541">
        <v>12</v>
      </c>
      <c r="E541">
        <v>271</v>
      </c>
      <c r="G541"/>
    </row>
    <row r="542" spans="1:7" x14ac:dyDescent="0.25">
      <c r="E542">
        <v>271</v>
      </c>
      <c r="G542"/>
    </row>
    <row r="543" spans="1:7" x14ac:dyDescent="0.25">
      <c r="A543" s="15" t="str">
        <f>HYPERLINK("https://www.youtube.com/watch?v=-9H0tokUVvc","Video Lesson 16")</f>
        <v>Video Lesson 16</v>
      </c>
      <c r="B543" t="s">
        <v>1318</v>
      </c>
      <c r="C543" t="s">
        <v>1339</v>
      </c>
      <c r="D543">
        <v>13</v>
      </c>
      <c r="E543">
        <v>272</v>
      </c>
      <c r="G543"/>
    </row>
    <row r="544" spans="1:7" x14ac:dyDescent="0.25">
      <c r="E544">
        <v>272</v>
      </c>
      <c r="G544"/>
    </row>
    <row r="545" spans="1:7" x14ac:dyDescent="0.25">
      <c r="A545" s="15" t="str">
        <f>HYPERLINK("https://www.youtube.com/watch?v=-9H0tokUVvc","Video Lesson 16")</f>
        <v>Video Lesson 16</v>
      </c>
      <c r="B545" t="s">
        <v>1318</v>
      </c>
      <c r="C545" t="s">
        <v>1339</v>
      </c>
      <c r="D545">
        <v>14</v>
      </c>
      <c r="E545">
        <v>273</v>
      </c>
      <c r="G545"/>
    </row>
    <row r="546" spans="1:7" x14ac:dyDescent="0.25">
      <c r="E546">
        <v>273</v>
      </c>
      <c r="G546"/>
    </row>
    <row r="547" spans="1:7" x14ac:dyDescent="0.25">
      <c r="A547" s="15" t="str">
        <f>HYPERLINK("https://www.youtube.com/watch?v=-9H0tokUVvc","Video Lesson 16")</f>
        <v>Video Lesson 16</v>
      </c>
      <c r="B547" t="s">
        <v>1318</v>
      </c>
      <c r="C547" t="s">
        <v>1339</v>
      </c>
      <c r="D547">
        <v>15</v>
      </c>
      <c r="E547">
        <v>274</v>
      </c>
      <c r="G547"/>
    </row>
    <row r="548" spans="1:7" x14ac:dyDescent="0.25">
      <c r="E548">
        <v>274</v>
      </c>
      <c r="G548"/>
    </row>
    <row r="549" spans="1:7" x14ac:dyDescent="0.25">
      <c r="A549" s="15" t="str">
        <f>HYPERLINK("https://www.youtube.com/watch?v=-9H0tokUVvc","Video Lesson 16")</f>
        <v>Video Lesson 16</v>
      </c>
      <c r="B549" t="s">
        <v>1318</v>
      </c>
      <c r="C549" t="s">
        <v>1339</v>
      </c>
      <c r="D549">
        <v>16</v>
      </c>
      <c r="E549">
        <v>275</v>
      </c>
      <c r="G549"/>
    </row>
    <row r="550" spans="1:7" x14ac:dyDescent="0.25">
      <c r="E550">
        <v>275</v>
      </c>
      <c r="G550"/>
    </row>
    <row r="551" spans="1:7" x14ac:dyDescent="0.25">
      <c r="A551" s="15" t="str">
        <f>HYPERLINK("https://www.youtube.com/watch?v=-9H0tokUVvc","Video Lesson 16")</f>
        <v>Video Lesson 16</v>
      </c>
      <c r="B551" t="s">
        <v>1318</v>
      </c>
      <c r="C551" t="s">
        <v>1339</v>
      </c>
      <c r="D551">
        <v>17</v>
      </c>
      <c r="E551">
        <v>276</v>
      </c>
      <c r="G551"/>
    </row>
    <row r="552" spans="1:7" x14ac:dyDescent="0.25">
      <c r="E552">
        <v>276</v>
      </c>
      <c r="G552"/>
    </row>
    <row r="553" spans="1:7" x14ac:dyDescent="0.25">
      <c r="A553" s="15" t="str">
        <f>HYPERLINK("https://www.youtube.com/watch?v=-9H0tokUVvc","Video Lesson 16")</f>
        <v>Video Lesson 16</v>
      </c>
      <c r="B553" t="s">
        <v>1318</v>
      </c>
      <c r="C553" t="s">
        <v>1339</v>
      </c>
      <c r="D553">
        <v>18</v>
      </c>
      <c r="E553">
        <v>277</v>
      </c>
      <c r="G553"/>
    </row>
    <row r="554" spans="1:7" x14ac:dyDescent="0.25">
      <c r="E554">
        <v>277</v>
      </c>
      <c r="G554"/>
    </row>
    <row r="555" spans="1:7" x14ac:dyDescent="0.25">
      <c r="A555" s="15" t="str">
        <f>HYPERLINK("https://www.youtube.com/watch?v=-9H0tokUVvc","Video Lesson 16")</f>
        <v>Video Lesson 16</v>
      </c>
      <c r="B555" t="s">
        <v>1318</v>
      </c>
      <c r="C555" t="s">
        <v>1339</v>
      </c>
      <c r="D555">
        <v>19</v>
      </c>
      <c r="E555">
        <v>278</v>
      </c>
      <c r="G555"/>
    </row>
    <row r="556" spans="1:7" x14ac:dyDescent="0.25">
      <c r="E556">
        <v>278</v>
      </c>
      <c r="G556"/>
    </row>
    <row r="557" spans="1:7" x14ac:dyDescent="0.25">
      <c r="A557" s="15" t="str">
        <f>HYPERLINK("https://www.youtube.com/watch?v=-9H0tokUVvc","Video Lesson 16")</f>
        <v>Video Lesson 16</v>
      </c>
      <c r="B557" t="s">
        <v>1318</v>
      </c>
      <c r="C557" t="s">
        <v>1339</v>
      </c>
      <c r="D557">
        <v>20</v>
      </c>
      <c r="E557">
        <v>279</v>
      </c>
      <c r="G557"/>
    </row>
    <row r="558" spans="1:7" x14ac:dyDescent="0.25">
      <c r="E558">
        <v>279</v>
      </c>
      <c r="G558"/>
    </row>
    <row r="559" spans="1:7" x14ac:dyDescent="0.25">
      <c r="A559" s="15" t="str">
        <f>HYPERLINK("https://www.youtube.com/watch?v=-9H0tokUVvc","Video Lesson 16")</f>
        <v>Video Lesson 16</v>
      </c>
      <c r="B559" t="s">
        <v>1318</v>
      </c>
      <c r="C559" t="s">
        <v>1339</v>
      </c>
      <c r="D559">
        <v>21</v>
      </c>
      <c r="E559">
        <v>280</v>
      </c>
      <c r="G559"/>
    </row>
    <row r="560" spans="1:7" x14ac:dyDescent="0.25">
      <c r="E560">
        <v>280</v>
      </c>
      <c r="G560"/>
    </row>
    <row r="561" spans="1:7" x14ac:dyDescent="0.25">
      <c r="A561" s="15" t="str">
        <f>HYPERLINK("https://www.youtube.com/watch?v=-9H0tokUVvc","Video Lesson 16")</f>
        <v>Video Lesson 16</v>
      </c>
      <c r="B561" t="s">
        <v>1318</v>
      </c>
      <c r="C561" t="s">
        <v>1339</v>
      </c>
      <c r="D561">
        <v>22</v>
      </c>
      <c r="E561">
        <v>281</v>
      </c>
      <c r="G561"/>
    </row>
    <row r="562" spans="1:7" x14ac:dyDescent="0.25">
      <c r="E562">
        <v>281</v>
      </c>
      <c r="G562"/>
    </row>
    <row r="563" spans="1:7" x14ac:dyDescent="0.25">
      <c r="A563" s="15" t="str">
        <f>HYPERLINK("https://www.youtube.com/watch?v=-9H0tokUVvc","Video Lesson 16")</f>
        <v>Video Lesson 16</v>
      </c>
      <c r="B563" t="s">
        <v>1318</v>
      </c>
      <c r="C563" t="s">
        <v>1339</v>
      </c>
      <c r="D563">
        <v>23</v>
      </c>
      <c r="E563">
        <v>282</v>
      </c>
      <c r="G563"/>
    </row>
    <row r="564" spans="1:7" x14ac:dyDescent="0.25">
      <c r="E564">
        <v>282</v>
      </c>
      <c r="G564"/>
    </row>
    <row r="565" spans="1:7" x14ac:dyDescent="0.25">
      <c r="A565" s="15" t="str">
        <f>HYPERLINK("https://www.youtube.com/watch?v=-9H0tokUVvc","Video Lesson 16")</f>
        <v>Video Lesson 16</v>
      </c>
      <c r="B565" t="s">
        <v>1318</v>
      </c>
      <c r="C565" t="s">
        <v>1339</v>
      </c>
      <c r="D565">
        <v>24</v>
      </c>
      <c r="E565">
        <v>283</v>
      </c>
      <c r="G565"/>
    </row>
    <row r="566" spans="1:7" x14ac:dyDescent="0.25">
      <c r="E566">
        <v>283</v>
      </c>
      <c r="G566"/>
    </row>
    <row r="567" spans="1:7" x14ac:dyDescent="0.25">
      <c r="A567" s="15" t="str">
        <f>HYPERLINK("https://www.youtube.com/watch?v=-9H0tokUVvc","Video Lesson 16")</f>
        <v>Video Lesson 16</v>
      </c>
      <c r="B567" t="s">
        <v>1318</v>
      </c>
      <c r="C567" t="s">
        <v>1339</v>
      </c>
      <c r="D567">
        <v>25</v>
      </c>
      <c r="E567">
        <v>284</v>
      </c>
      <c r="G567"/>
    </row>
    <row r="568" spans="1:7" x14ac:dyDescent="0.25">
      <c r="E568">
        <v>284</v>
      </c>
      <c r="G568"/>
    </row>
    <row r="569" spans="1:7" x14ac:dyDescent="0.25">
      <c r="A569" s="15" t="str">
        <f>HYPERLINK("https://www.youtube.com/watch?v=-9H0tokUVvc","Video Lesson 16")</f>
        <v>Video Lesson 16</v>
      </c>
      <c r="B569" t="s">
        <v>1318</v>
      </c>
      <c r="C569" t="s">
        <v>1339</v>
      </c>
      <c r="D569">
        <v>26</v>
      </c>
      <c r="E569">
        <v>285</v>
      </c>
      <c r="G569"/>
    </row>
    <row r="570" spans="1:7" x14ac:dyDescent="0.25">
      <c r="E570">
        <v>285</v>
      </c>
      <c r="G570"/>
    </row>
    <row r="571" spans="1:7" x14ac:dyDescent="0.25">
      <c r="A571" s="15" t="str">
        <f>HYPERLINK("https://www.youtube.com/watch?v=-9H0tokUVvc","Video Lesson 16")</f>
        <v>Video Lesson 16</v>
      </c>
      <c r="B571" t="s">
        <v>1318</v>
      </c>
      <c r="C571" t="s">
        <v>1339</v>
      </c>
      <c r="D571">
        <v>27</v>
      </c>
      <c r="E571">
        <v>286</v>
      </c>
      <c r="G571"/>
    </row>
    <row r="572" spans="1:7" x14ac:dyDescent="0.25">
      <c r="E572">
        <v>286</v>
      </c>
      <c r="G572"/>
    </row>
    <row r="573" spans="1:7" x14ac:dyDescent="0.25">
      <c r="A573" s="15" t="str">
        <f>HYPERLINK("https://www.youtube.com/watch?v=-9H0tokUVvc","Video Lesson 16")</f>
        <v>Video Lesson 16</v>
      </c>
      <c r="B573" t="s">
        <v>1318</v>
      </c>
      <c r="C573" t="s">
        <v>1339</v>
      </c>
      <c r="D573">
        <v>28</v>
      </c>
      <c r="E573">
        <v>287</v>
      </c>
      <c r="G573"/>
    </row>
    <row r="574" spans="1:7" x14ac:dyDescent="0.25">
      <c r="E574">
        <v>287</v>
      </c>
      <c r="G574"/>
    </row>
    <row r="575" spans="1:7" x14ac:dyDescent="0.25">
      <c r="A575" s="15" t="str">
        <f>HYPERLINK("https://www.youtube.com/watch?v=Xop5dt-yhOA","Video Lesson 19")</f>
        <v>Video Lesson 19</v>
      </c>
      <c r="B575" t="s">
        <v>1318</v>
      </c>
      <c r="C575" t="s">
        <v>1340</v>
      </c>
      <c r="D575">
        <v>1</v>
      </c>
      <c r="E575">
        <v>288</v>
      </c>
      <c r="G575"/>
    </row>
    <row r="576" spans="1:7" x14ac:dyDescent="0.25">
      <c r="E576">
        <v>288</v>
      </c>
      <c r="G576"/>
    </row>
    <row r="577" spans="1:7" x14ac:dyDescent="0.25">
      <c r="A577" s="15" t="str">
        <f>HYPERLINK("https://www.youtube.com/watch?v=Xop5dt-yhOA","Video Lesson 19")</f>
        <v>Video Lesson 19</v>
      </c>
      <c r="B577" t="s">
        <v>1318</v>
      </c>
      <c r="C577" t="s">
        <v>1340</v>
      </c>
      <c r="D577">
        <v>2</v>
      </c>
      <c r="E577">
        <v>289</v>
      </c>
      <c r="G577"/>
    </row>
    <row r="578" spans="1:7" x14ac:dyDescent="0.25">
      <c r="E578">
        <v>289</v>
      </c>
      <c r="G578"/>
    </row>
    <row r="579" spans="1:7" x14ac:dyDescent="0.25">
      <c r="A579" s="15" t="str">
        <f>HYPERLINK("https://www.youtube.com/watch?v=Xop5dt-yhOA","Video Lesson 19")</f>
        <v>Video Lesson 19</v>
      </c>
      <c r="B579" t="s">
        <v>1318</v>
      </c>
      <c r="C579" t="s">
        <v>1340</v>
      </c>
      <c r="D579">
        <v>3</v>
      </c>
      <c r="E579">
        <v>290</v>
      </c>
      <c r="G579"/>
    </row>
    <row r="580" spans="1:7" x14ac:dyDescent="0.25">
      <c r="E580">
        <v>290</v>
      </c>
      <c r="G580"/>
    </row>
    <row r="581" spans="1:7" x14ac:dyDescent="0.25">
      <c r="A581" s="15" t="str">
        <f>HYPERLINK("https://www.youtube.com/watch?v=Xop5dt-yhOA","Video Lesson 19")</f>
        <v>Video Lesson 19</v>
      </c>
      <c r="B581" t="s">
        <v>1318</v>
      </c>
      <c r="C581" t="s">
        <v>1340</v>
      </c>
      <c r="D581">
        <v>4</v>
      </c>
      <c r="E581">
        <v>291</v>
      </c>
      <c r="G581"/>
    </row>
    <row r="582" spans="1:7" x14ac:dyDescent="0.25">
      <c r="E582">
        <v>291</v>
      </c>
      <c r="G582"/>
    </row>
    <row r="583" spans="1:7" x14ac:dyDescent="0.25">
      <c r="A583" s="15" t="str">
        <f>HYPERLINK("https://www.youtube.com/watch?v=Xop5dt-yhOA","Video Lesson 19")</f>
        <v>Video Lesson 19</v>
      </c>
      <c r="B583" t="s">
        <v>1318</v>
      </c>
      <c r="C583" t="s">
        <v>1340</v>
      </c>
      <c r="D583">
        <v>5</v>
      </c>
      <c r="E583">
        <v>292</v>
      </c>
      <c r="G583"/>
    </row>
    <row r="584" spans="1:7" x14ac:dyDescent="0.25">
      <c r="E584">
        <v>292</v>
      </c>
      <c r="G584"/>
    </row>
    <row r="585" spans="1:7" x14ac:dyDescent="0.25">
      <c r="A585" s="15" t="str">
        <f>HYPERLINK("https://www.youtube.com/watch?v=Xop5dt-yhOA","Video Lesson 19")</f>
        <v>Video Lesson 19</v>
      </c>
      <c r="B585" t="s">
        <v>1318</v>
      </c>
      <c r="C585" t="s">
        <v>1340</v>
      </c>
      <c r="D585">
        <v>6</v>
      </c>
      <c r="E585">
        <v>293</v>
      </c>
      <c r="G585"/>
    </row>
    <row r="586" spans="1:7" x14ac:dyDescent="0.25">
      <c r="E586">
        <v>293</v>
      </c>
      <c r="G586"/>
    </row>
    <row r="587" spans="1:7" x14ac:dyDescent="0.25">
      <c r="A587" s="15" t="str">
        <f>HYPERLINK("https://www.youtube.com/watch?v=Xop5dt-yhOA","Video Lesson 19")</f>
        <v>Video Lesson 19</v>
      </c>
      <c r="B587" t="s">
        <v>1318</v>
      </c>
      <c r="C587" t="s">
        <v>1340</v>
      </c>
      <c r="D587">
        <v>7</v>
      </c>
      <c r="E587">
        <v>294</v>
      </c>
      <c r="G587"/>
    </row>
    <row r="588" spans="1:7" x14ac:dyDescent="0.25">
      <c r="E588">
        <v>294</v>
      </c>
      <c r="G588"/>
    </row>
    <row r="589" spans="1:7" x14ac:dyDescent="0.25">
      <c r="A589" s="15" t="str">
        <f>HYPERLINK("https://www.youtube.com/watch?v=Xop5dt-yhOA","Video Lesson 19")</f>
        <v>Video Lesson 19</v>
      </c>
      <c r="B589" t="s">
        <v>1318</v>
      </c>
      <c r="C589" t="s">
        <v>1340</v>
      </c>
      <c r="D589">
        <v>8</v>
      </c>
      <c r="E589">
        <v>295</v>
      </c>
      <c r="G589"/>
    </row>
    <row r="590" spans="1:7" x14ac:dyDescent="0.25">
      <c r="E590">
        <v>295</v>
      </c>
      <c r="G590"/>
    </row>
    <row r="591" spans="1:7" x14ac:dyDescent="0.25">
      <c r="A591" s="15" t="str">
        <f>HYPERLINK("https://www.youtube.com/watch?v=Xop5dt-yhOA","Video Lesson 19")</f>
        <v>Video Lesson 19</v>
      </c>
      <c r="B591" t="s">
        <v>1318</v>
      </c>
      <c r="C591" t="s">
        <v>1340</v>
      </c>
      <c r="D591">
        <v>9</v>
      </c>
      <c r="E591">
        <v>296</v>
      </c>
      <c r="G591"/>
    </row>
    <row r="592" spans="1:7" x14ac:dyDescent="0.25">
      <c r="E592">
        <v>296</v>
      </c>
      <c r="G592"/>
    </row>
    <row r="593" spans="1:7" x14ac:dyDescent="0.25">
      <c r="A593" s="15" t="str">
        <f>HYPERLINK("https://www.youtube.com/watch?v=Xop5dt-yhOA","Video Lesson 19")</f>
        <v>Video Lesson 19</v>
      </c>
      <c r="B593" t="s">
        <v>1318</v>
      </c>
      <c r="C593" t="s">
        <v>1340</v>
      </c>
      <c r="D593">
        <v>10</v>
      </c>
      <c r="E593">
        <v>297</v>
      </c>
      <c r="G593"/>
    </row>
    <row r="594" spans="1:7" x14ac:dyDescent="0.25">
      <c r="E594">
        <v>297</v>
      </c>
      <c r="G594"/>
    </row>
    <row r="595" spans="1:7" x14ac:dyDescent="0.25">
      <c r="A595" s="15" t="str">
        <f>HYPERLINK("https://www.youtube.com/watch?v=Xop5dt-yhOA","Video Lesson 19")</f>
        <v>Video Lesson 19</v>
      </c>
      <c r="B595" t="s">
        <v>1318</v>
      </c>
      <c r="C595" t="s">
        <v>1340</v>
      </c>
      <c r="D595">
        <v>11</v>
      </c>
      <c r="E595">
        <v>298</v>
      </c>
      <c r="G595"/>
    </row>
    <row r="596" spans="1:7" x14ac:dyDescent="0.25">
      <c r="E596">
        <v>298</v>
      </c>
      <c r="G596"/>
    </row>
    <row r="597" spans="1:7" x14ac:dyDescent="0.25">
      <c r="A597" s="15" t="str">
        <f>HYPERLINK("https://www.youtube.com/watch?v=Xop5dt-yhOA","Video Lesson 19")</f>
        <v>Video Lesson 19</v>
      </c>
      <c r="B597" t="s">
        <v>1318</v>
      </c>
      <c r="C597" t="s">
        <v>1340</v>
      </c>
      <c r="D597">
        <v>12</v>
      </c>
      <c r="E597">
        <v>299</v>
      </c>
      <c r="G597"/>
    </row>
    <row r="598" spans="1:7" x14ac:dyDescent="0.25">
      <c r="E598">
        <v>299</v>
      </c>
      <c r="G598"/>
    </row>
    <row r="599" spans="1:7" x14ac:dyDescent="0.25">
      <c r="A599" s="15" t="str">
        <f>HYPERLINK("https://www.youtube.com/watch?v=Xop5dt-yhOA","Video Lesson 19")</f>
        <v>Video Lesson 19</v>
      </c>
      <c r="B599" t="s">
        <v>1318</v>
      </c>
      <c r="C599" t="s">
        <v>1340</v>
      </c>
      <c r="D599">
        <v>13</v>
      </c>
      <c r="E599">
        <v>300</v>
      </c>
      <c r="G599"/>
    </row>
    <row r="600" spans="1:7" x14ac:dyDescent="0.25">
      <c r="E600">
        <v>300</v>
      </c>
      <c r="G600"/>
    </row>
    <row r="601" spans="1:7" x14ac:dyDescent="0.25">
      <c r="A601" s="15" t="str">
        <f>HYPERLINK("https://www.youtube.com/watch?v=Xop5dt-yhOA","Video Lesson 19")</f>
        <v>Video Lesson 19</v>
      </c>
      <c r="B601" t="s">
        <v>1318</v>
      </c>
      <c r="C601" t="s">
        <v>1340</v>
      </c>
      <c r="D601">
        <v>14</v>
      </c>
      <c r="E601">
        <v>301</v>
      </c>
      <c r="G601"/>
    </row>
    <row r="602" spans="1:7" x14ac:dyDescent="0.25">
      <c r="E602">
        <v>301</v>
      </c>
      <c r="G602"/>
    </row>
    <row r="603" spans="1:7" x14ac:dyDescent="0.25">
      <c r="A603" s="15" t="str">
        <f>HYPERLINK("https://www.youtube.com/watch?v=Xop5dt-yhOA","Video Lesson 19")</f>
        <v>Video Lesson 19</v>
      </c>
      <c r="B603" t="s">
        <v>1318</v>
      </c>
      <c r="C603" t="s">
        <v>1340</v>
      </c>
      <c r="D603">
        <v>15</v>
      </c>
      <c r="E603">
        <v>302</v>
      </c>
      <c r="G603"/>
    </row>
    <row r="604" spans="1:7" x14ac:dyDescent="0.25">
      <c r="E604">
        <v>302</v>
      </c>
      <c r="G604"/>
    </row>
    <row r="605" spans="1:7" x14ac:dyDescent="0.25">
      <c r="A605" s="15" t="str">
        <f>HYPERLINK("https://www.youtube.com/watch?v=Xop5dt-yhOA","Video Lesson 19")</f>
        <v>Video Lesson 19</v>
      </c>
      <c r="B605" t="s">
        <v>1318</v>
      </c>
      <c r="C605" t="s">
        <v>1340</v>
      </c>
      <c r="D605">
        <v>16</v>
      </c>
      <c r="E605">
        <v>303</v>
      </c>
      <c r="G605"/>
    </row>
    <row r="606" spans="1:7" x14ac:dyDescent="0.25">
      <c r="E606">
        <v>303</v>
      </c>
      <c r="G606"/>
    </row>
    <row r="607" spans="1:7" x14ac:dyDescent="0.25">
      <c r="A607" s="15" t="str">
        <f>HYPERLINK("https://www.youtube.com/watch?v=Xop5dt-yhOA","Video Lesson 19")</f>
        <v>Video Lesson 19</v>
      </c>
      <c r="B607" t="s">
        <v>1318</v>
      </c>
      <c r="C607" t="s">
        <v>1340</v>
      </c>
      <c r="D607">
        <v>17</v>
      </c>
      <c r="E607">
        <v>304</v>
      </c>
      <c r="G607"/>
    </row>
    <row r="608" spans="1:7" x14ac:dyDescent="0.25">
      <c r="E608">
        <v>304</v>
      </c>
      <c r="G608"/>
    </row>
    <row r="609" spans="1:7" x14ac:dyDescent="0.25">
      <c r="A609" s="15" t="str">
        <f>HYPERLINK("https://www.youtube.com/watch?v=Xop5dt-yhOA","Video Lesson 19")</f>
        <v>Video Lesson 19</v>
      </c>
      <c r="B609" t="s">
        <v>1318</v>
      </c>
      <c r="C609" t="s">
        <v>1340</v>
      </c>
      <c r="D609">
        <v>18</v>
      </c>
      <c r="E609">
        <v>305</v>
      </c>
      <c r="G609"/>
    </row>
    <row r="610" spans="1:7" x14ac:dyDescent="0.25">
      <c r="E610">
        <v>305</v>
      </c>
      <c r="G610"/>
    </row>
    <row r="611" spans="1:7" x14ac:dyDescent="0.25">
      <c r="A611" s="15" t="str">
        <f>HYPERLINK("https://www.youtube.com/watch?v=Xop5dt-yhOA","Video Lesson 19")</f>
        <v>Video Lesson 19</v>
      </c>
      <c r="B611" t="s">
        <v>1318</v>
      </c>
      <c r="C611" t="s">
        <v>1340</v>
      </c>
      <c r="D611">
        <v>19</v>
      </c>
      <c r="E611">
        <v>306</v>
      </c>
      <c r="G611"/>
    </row>
    <row r="612" spans="1:7" x14ac:dyDescent="0.25">
      <c r="E612">
        <v>306</v>
      </c>
      <c r="G612"/>
    </row>
    <row r="613" spans="1:7" x14ac:dyDescent="0.25">
      <c r="A613" s="15" t="str">
        <f>HYPERLINK("https://www.youtube.com/watch?v=Xop5dt-yhOA","Video Lesson 19")</f>
        <v>Video Lesson 19</v>
      </c>
      <c r="B613" t="s">
        <v>1318</v>
      </c>
      <c r="C613" t="s">
        <v>1340</v>
      </c>
      <c r="D613">
        <v>20</v>
      </c>
      <c r="E613">
        <v>307</v>
      </c>
      <c r="G613"/>
    </row>
    <row r="614" spans="1:7" x14ac:dyDescent="0.25">
      <c r="E614">
        <v>307</v>
      </c>
      <c r="G614"/>
    </row>
    <row r="615" spans="1:7" x14ac:dyDescent="0.25">
      <c r="A615" s="15" t="str">
        <f>HYPERLINK("https://www.youtube.com/watch?v=Xop5dt-yhOA","Video Lesson 19")</f>
        <v>Video Lesson 19</v>
      </c>
      <c r="B615" t="s">
        <v>1318</v>
      </c>
      <c r="C615" t="s">
        <v>1340</v>
      </c>
      <c r="D615">
        <v>21</v>
      </c>
      <c r="E615">
        <v>308</v>
      </c>
      <c r="G615"/>
    </row>
    <row r="616" spans="1:7" x14ac:dyDescent="0.25">
      <c r="E616">
        <v>308</v>
      </c>
      <c r="G616"/>
    </row>
    <row r="617" spans="1:7" x14ac:dyDescent="0.25">
      <c r="A617" s="15" t="str">
        <f>HYPERLINK("https://www.youtube.com/watch?v=Xop5dt-yhOA","Video Lesson 19")</f>
        <v>Video Lesson 19</v>
      </c>
      <c r="B617" t="s">
        <v>1318</v>
      </c>
      <c r="C617" t="s">
        <v>1340</v>
      </c>
      <c r="D617">
        <v>22</v>
      </c>
      <c r="E617">
        <v>309</v>
      </c>
      <c r="G617"/>
    </row>
    <row r="618" spans="1:7" x14ac:dyDescent="0.25">
      <c r="E618">
        <v>309</v>
      </c>
      <c r="G618"/>
    </row>
    <row r="619" spans="1:7" x14ac:dyDescent="0.25">
      <c r="A619" s="15" t="str">
        <f>HYPERLINK("https://www.youtube.com/watch?v=Xop5dt-yhOA","Video Lesson 19")</f>
        <v>Video Lesson 19</v>
      </c>
      <c r="B619" t="s">
        <v>1318</v>
      </c>
      <c r="C619" t="s">
        <v>1340</v>
      </c>
      <c r="D619">
        <v>23</v>
      </c>
      <c r="E619">
        <v>310</v>
      </c>
      <c r="G619"/>
    </row>
    <row r="620" spans="1:7" x14ac:dyDescent="0.25">
      <c r="E620">
        <v>310</v>
      </c>
      <c r="G620"/>
    </row>
    <row r="621" spans="1:7" x14ac:dyDescent="0.25">
      <c r="A621" s="15" t="str">
        <f>HYPERLINK("https://www.youtube.com/watch?v=Xop5dt-yhOA","Video Lesson 19")</f>
        <v>Video Lesson 19</v>
      </c>
      <c r="B621" t="s">
        <v>1318</v>
      </c>
      <c r="C621" t="s">
        <v>1340</v>
      </c>
      <c r="D621">
        <v>24</v>
      </c>
      <c r="E621">
        <v>311</v>
      </c>
      <c r="G621"/>
    </row>
    <row r="622" spans="1:7" x14ac:dyDescent="0.25">
      <c r="E622">
        <v>311</v>
      </c>
      <c r="G622"/>
    </row>
    <row r="623" spans="1:7" x14ac:dyDescent="0.25">
      <c r="A623" s="15" t="str">
        <f>HYPERLINK("https://www.youtube.com/watch?v=Xop5dt-yhOA","Video Lesson 19")</f>
        <v>Video Lesson 19</v>
      </c>
      <c r="B623" t="s">
        <v>1318</v>
      </c>
      <c r="C623" t="s">
        <v>1340</v>
      </c>
      <c r="D623">
        <v>25</v>
      </c>
      <c r="E623">
        <v>312</v>
      </c>
      <c r="G623"/>
    </row>
    <row r="624" spans="1:7" x14ac:dyDescent="0.25">
      <c r="E624">
        <v>312</v>
      </c>
      <c r="G624"/>
    </row>
    <row r="625" spans="1:7" x14ac:dyDescent="0.25">
      <c r="A625" s="15" t="str">
        <f>HYPERLINK("https://www.youtube.com/watch?v=Xop5dt-yhOA","Video Lesson 19")</f>
        <v>Video Lesson 19</v>
      </c>
      <c r="B625" t="s">
        <v>1318</v>
      </c>
      <c r="C625" t="s">
        <v>1340</v>
      </c>
      <c r="D625">
        <v>26</v>
      </c>
      <c r="E625">
        <v>313</v>
      </c>
      <c r="G625"/>
    </row>
    <row r="626" spans="1:7" x14ac:dyDescent="0.25">
      <c r="E626">
        <v>313</v>
      </c>
      <c r="G626"/>
    </row>
    <row r="627" spans="1:7" x14ac:dyDescent="0.25">
      <c r="A627" s="15" t="str">
        <f>HYPERLINK("https://www.youtube.com/watch?v=Xop5dt-yhOA","Video Lesson 19")</f>
        <v>Video Lesson 19</v>
      </c>
      <c r="B627" t="s">
        <v>1318</v>
      </c>
      <c r="C627" t="s">
        <v>1340</v>
      </c>
      <c r="D627">
        <v>27</v>
      </c>
      <c r="E627">
        <v>314</v>
      </c>
      <c r="G627"/>
    </row>
    <row r="628" spans="1:7" x14ac:dyDescent="0.25">
      <c r="E628">
        <v>314</v>
      </c>
      <c r="G628"/>
    </row>
    <row r="629" spans="1:7" x14ac:dyDescent="0.25">
      <c r="A629" s="15" t="str">
        <f>HYPERLINK("https://www.youtube.com/watch?v=Xop5dt-yhOA","Video Lesson 19")</f>
        <v>Video Lesson 19</v>
      </c>
      <c r="B629" t="s">
        <v>1318</v>
      </c>
      <c r="C629" t="s">
        <v>1340</v>
      </c>
      <c r="D629">
        <v>28</v>
      </c>
      <c r="E629">
        <v>315</v>
      </c>
      <c r="G629"/>
    </row>
    <row r="630" spans="1:7" x14ac:dyDescent="0.25">
      <c r="E630">
        <v>315</v>
      </c>
      <c r="G630"/>
    </row>
    <row r="631" spans="1:7" x14ac:dyDescent="0.25">
      <c r="A631" s="15" t="str">
        <f>HYPERLINK("https://www.youtube.com/watch?v=DfQwYS9JfME","Video Lesson 6")</f>
        <v>Video Lesson 6</v>
      </c>
      <c r="B631" t="s">
        <v>1318</v>
      </c>
      <c r="C631" t="s">
        <v>1341</v>
      </c>
      <c r="D631">
        <v>1</v>
      </c>
      <c r="E631">
        <v>316</v>
      </c>
      <c r="G631"/>
    </row>
    <row r="632" spans="1:7" x14ac:dyDescent="0.25">
      <c r="E632">
        <v>316</v>
      </c>
      <c r="G632"/>
    </row>
    <row r="633" spans="1:7" x14ac:dyDescent="0.25">
      <c r="A633" s="15" t="str">
        <f>HYPERLINK("https://www.youtube.com/watch?v=DfQwYS9JfME","Video Lesson 6")</f>
        <v>Video Lesson 6</v>
      </c>
      <c r="B633" t="s">
        <v>1318</v>
      </c>
      <c r="C633" t="s">
        <v>1341</v>
      </c>
      <c r="D633">
        <v>2</v>
      </c>
      <c r="E633">
        <v>317</v>
      </c>
      <c r="G633"/>
    </row>
    <row r="634" spans="1:7" x14ac:dyDescent="0.25">
      <c r="E634">
        <v>317</v>
      </c>
      <c r="G634"/>
    </row>
    <row r="635" spans="1:7" x14ac:dyDescent="0.25">
      <c r="A635" s="15" t="str">
        <f>HYPERLINK("https://www.youtube.com/watch?v=DfQwYS9JfME","Video Lesson 6")</f>
        <v>Video Lesson 6</v>
      </c>
      <c r="B635" t="s">
        <v>1318</v>
      </c>
      <c r="C635" t="s">
        <v>1341</v>
      </c>
      <c r="D635">
        <v>3</v>
      </c>
      <c r="E635">
        <v>318</v>
      </c>
      <c r="G635"/>
    </row>
    <row r="636" spans="1:7" x14ac:dyDescent="0.25">
      <c r="E636">
        <v>318</v>
      </c>
      <c r="G636"/>
    </row>
    <row r="637" spans="1:7" x14ac:dyDescent="0.25">
      <c r="A637" s="15" t="str">
        <f>HYPERLINK("https://www.youtube.com/watch?v=DfQwYS9JfME","Video Lesson 6")</f>
        <v>Video Lesson 6</v>
      </c>
      <c r="B637" t="s">
        <v>1318</v>
      </c>
      <c r="C637" t="s">
        <v>1341</v>
      </c>
      <c r="D637">
        <v>4</v>
      </c>
      <c r="E637">
        <v>319</v>
      </c>
      <c r="G637"/>
    </row>
    <row r="638" spans="1:7" x14ac:dyDescent="0.25">
      <c r="E638">
        <v>319</v>
      </c>
      <c r="G638"/>
    </row>
    <row r="639" spans="1:7" x14ac:dyDescent="0.25">
      <c r="A639" s="15" t="str">
        <f>HYPERLINK("https://www.youtube.com/watch?v=DfQwYS9JfME","Video Lesson 6")</f>
        <v>Video Lesson 6</v>
      </c>
      <c r="B639" t="s">
        <v>1318</v>
      </c>
      <c r="C639" t="s">
        <v>1341</v>
      </c>
      <c r="D639">
        <v>5</v>
      </c>
      <c r="E639">
        <v>320</v>
      </c>
      <c r="G639"/>
    </row>
    <row r="640" spans="1:7" x14ac:dyDescent="0.25">
      <c r="E640">
        <v>320</v>
      </c>
      <c r="G640"/>
    </row>
    <row r="641" spans="1:7" x14ac:dyDescent="0.25">
      <c r="A641" s="15" t="str">
        <f>HYPERLINK("https://www.youtube.com/watch?v=DfQwYS9JfME","Video Lesson 6")</f>
        <v>Video Lesson 6</v>
      </c>
      <c r="B641" t="s">
        <v>1318</v>
      </c>
      <c r="C641" t="s">
        <v>1341</v>
      </c>
      <c r="D641">
        <v>6</v>
      </c>
      <c r="E641">
        <v>321</v>
      </c>
      <c r="G641"/>
    </row>
    <row r="642" spans="1:7" x14ac:dyDescent="0.25">
      <c r="E642">
        <v>321</v>
      </c>
      <c r="G642"/>
    </row>
    <row r="643" spans="1:7" x14ac:dyDescent="0.25">
      <c r="A643" s="15" t="str">
        <f>HYPERLINK("https://www.youtube.com/watch?v=DfQwYS9JfME","Video Lesson 6")</f>
        <v>Video Lesson 6</v>
      </c>
      <c r="B643" t="s">
        <v>1318</v>
      </c>
      <c r="C643" t="s">
        <v>1341</v>
      </c>
      <c r="D643">
        <v>7</v>
      </c>
      <c r="E643">
        <v>322</v>
      </c>
      <c r="G643"/>
    </row>
    <row r="644" spans="1:7" x14ac:dyDescent="0.25">
      <c r="E644">
        <v>322</v>
      </c>
      <c r="G644"/>
    </row>
    <row r="645" spans="1:7" x14ac:dyDescent="0.25">
      <c r="A645" s="15" t="str">
        <f>HYPERLINK("https://www.youtube.com/watch?v=DfQwYS9JfME","Video Lesson 6")</f>
        <v>Video Lesson 6</v>
      </c>
      <c r="B645" t="s">
        <v>1318</v>
      </c>
      <c r="C645" t="s">
        <v>1341</v>
      </c>
      <c r="D645">
        <v>8</v>
      </c>
      <c r="E645">
        <v>323</v>
      </c>
      <c r="G645"/>
    </row>
    <row r="646" spans="1:7" x14ac:dyDescent="0.25">
      <c r="E646">
        <v>323</v>
      </c>
      <c r="G646"/>
    </row>
    <row r="647" spans="1:7" x14ac:dyDescent="0.25">
      <c r="A647" s="15" t="str">
        <f>HYPERLINK("https://www.youtube.com/watch?v=Xop5dt-yhOA","Video Lesson 19")</f>
        <v>Video Lesson 19</v>
      </c>
      <c r="B647" t="s">
        <v>1319</v>
      </c>
      <c r="C647" t="s">
        <v>1342</v>
      </c>
      <c r="D647">
        <v>1</v>
      </c>
      <c r="E647">
        <v>324</v>
      </c>
      <c r="G647"/>
    </row>
    <row r="648" spans="1:7" x14ac:dyDescent="0.25">
      <c r="E648">
        <v>324</v>
      </c>
      <c r="G648"/>
    </row>
    <row r="649" spans="1:7" x14ac:dyDescent="0.25">
      <c r="A649" s="15" t="str">
        <f>HYPERLINK("https://www.youtube.com/watch?v=Xop5dt-yhOA","Video Lesson 19")</f>
        <v>Video Lesson 19</v>
      </c>
      <c r="B649" t="s">
        <v>1319</v>
      </c>
      <c r="C649" t="s">
        <v>1342</v>
      </c>
      <c r="D649">
        <v>2</v>
      </c>
      <c r="E649">
        <v>325</v>
      </c>
      <c r="G649"/>
    </row>
    <row r="650" spans="1:7" x14ac:dyDescent="0.25">
      <c r="E650">
        <v>325</v>
      </c>
      <c r="G650"/>
    </row>
    <row r="651" spans="1:7" x14ac:dyDescent="0.25">
      <c r="A651" s="15" t="str">
        <f>HYPERLINK("https://www.youtube.com/watch?v=Xop5dt-yhOA","Video Lesson 19")</f>
        <v>Video Lesson 19</v>
      </c>
      <c r="B651" t="s">
        <v>1319</v>
      </c>
      <c r="C651" t="s">
        <v>1342</v>
      </c>
      <c r="D651">
        <v>3</v>
      </c>
      <c r="E651">
        <v>326</v>
      </c>
      <c r="G651"/>
    </row>
    <row r="652" spans="1:7" x14ac:dyDescent="0.25">
      <c r="E652">
        <v>326</v>
      </c>
      <c r="G652"/>
    </row>
    <row r="653" spans="1:7" x14ac:dyDescent="0.25">
      <c r="A653" s="15" t="str">
        <f>HYPERLINK("https://www.youtube.com/watch?v=Xop5dt-yhOA","Video Lesson 19")</f>
        <v>Video Lesson 19</v>
      </c>
      <c r="B653" t="s">
        <v>1319</v>
      </c>
      <c r="C653" t="s">
        <v>1342</v>
      </c>
      <c r="D653">
        <v>4</v>
      </c>
      <c r="E653">
        <v>327</v>
      </c>
      <c r="G653"/>
    </row>
    <row r="654" spans="1:7" x14ac:dyDescent="0.25">
      <c r="E654">
        <v>327</v>
      </c>
      <c r="G654"/>
    </row>
    <row r="655" spans="1:7" x14ac:dyDescent="0.25">
      <c r="A655" s="15" t="str">
        <f>HYPERLINK("https://www.youtube.com/watch?v=jVxw8JRCMDk","Video Lesson 21")</f>
        <v>Video Lesson 21</v>
      </c>
      <c r="B655" t="s">
        <v>1319</v>
      </c>
      <c r="C655" t="s">
        <v>1342</v>
      </c>
      <c r="D655">
        <v>5</v>
      </c>
      <c r="E655">
        <v>328</v>
      </c>
      <c r="G655"/>
    </row>
    <row r="656" spans="1:7" x14ac:dyDescent="0.25">
      <c r="E656">
        <v>328</v>
      </c>
      <c r="G656"/>
    </row>
    <row r="657" spans="1:7" x14ac:dyDescent="0.25">
      <c r="A657" s="15" t="str">
        <f>HYPERLINK("https://www.youtube.com/watch?v=jVxw8JRCMDk","Video Lesson 21")</f>
        <v>Video Lesson 21</v>
      </c>
      <c r="B657" t="s">
        <v>1319</v>
      </c>
      <c r="C657" t="s">
        <v>1342</v>
      </c>
      <c r="D657">
        <v>6</v>
      </c>
      <c r="E657">
        <v>329</v>
      </c>
      <c r="G657"/>
    </row>
    <row r="658" spans="1:7" x14ac:dyDescent="0.25">
      <c r="E658">
        <v>329</v>
      </c>
      <c r="G658"/>
    </row>
    <row r="659" spans="1:7" x14ac:dyDescent="0.25">
      <c r="A659" s="15" t="str">
        <f>HYPERLINK("https://www.youtube.com/watch?v=jVxw8JRCMDk","Video Lesson 21")</f>
        <v>Video Lesson 21</v>
      </c>
      <c r="B659" t="s">
        <v>1319</v>
      </c>
      <c r="C659" t="s">
        <v>1342</v>
      </c>
      <c r="D659">
        <v>7</v>
      </c>
      <c r="E659">
        <v>330</v>
      </c>
      <c r="G659"/>
    </row>
    <row r="660" spans="1:7" x14ac:dyDescent="0.25">
      <c r="E660">
        <v>330</v>
      </c>
      <c r="G660"/>
    </row>
    <row r="661" spans="1:7" x14ac:dyDescent="0.25">
      <c r="A661" s="15" t="str">
        <f>HYPERLINK("https://www.youtube.com/watch?v=EWu4a7ogxVA","Video Lesson 'Improvisation'")</f>
        <v>Video Lesson 'Improvisation'</v>
      </c>
      <c r="B661" t="s">
        <v>1319</v>
      </c>
      <c r="C661" t="s">
        <v>1342</v>
      </c>
      <c r="D661">
        <v>8</v>
      </c>
      <c r="E661">
        <v>331</v>
      </c>
      <c r="G661"/>
    </row>
    <row r="662" spans="1:7" x14ac:dyDescent="0.25">
      <c r="E662">
        <v>331</v>
      </c>
      <c r="G662"/>
    </row>
    <row r="663" spans="1:7" x14ac:dyDescent="0.25">
      <c r="A663" s="15" t="str">
        <f>HYPERLINK("https://www.youtube.com/watch?v=M-mxlyVa6iM","Video Lesson 24")</f>
        <v>Video Lesson 24</v>
      </c>
      <c r="B663" t="s">
        <v>1319</v>
      </c>
      <c r="C663" t="s">
        <v>1342</v>
      </c>
      <c r="D663">
        <v>9</v>
      </c>
      <c r="E663">
        <v>332</v>
      </c>
      <c r="G663"/>
    </row>
    <row r="664" spans="1:7" x14ac:dyDescent="0.25">
      <c r="E664">
        <v>332</v>
      </c>
      <c r="G664"/>
    </row>
    <row r="665" spans="1:7" x14ac:dyDescent="0.25">
      <c r="A665" s="15" t="str">
        <f>HYPERLINK("https://www.youtube.com/watch?v=YMwQ4agNMPI","Video Lesson '2nd Valentine'")</f>
        <v>Video Lesson '2nd Valentine'</v>
      </c>
      <c r="B665" t="s">
        <v>1319</v>
      </c>
      <c r="C665" t="s">
        <v>1342</v>
      </c>
      <c r="D665">
        <v>10</v>
      </c>
      <c r="E665">
        <v>333</v>
      </c>
      <c r="G665"/>
    </row>
    <row r="666" spans="1:7" x14ac:dyDescent="0.25">
      <c r="E666">
        <v>333</v>
      </c>
      <c r="G666"/>
    </row>
    <row r="667" spans="1:7" x14ac:dyDescent="0.25">
      <c r="A667" s="15" t="str">
        <f>HYPERLINK("https://www.youtube.com/watch?v=EWu4a7ogxVA","Video Lesson 'Improvisation'")</f>
        <v>Video Lesson 'Improvisation'</v>
      </c>
      <c r="B667" t="s">
        <v>1319</v>
      </c>
      <c r="C667" t="s">
        <v>1342</v>
      </c>
      <c r="D667">
        <v>11</v>
      </c>
      <c r="E667">
        <v>334</v>
      </c>
      <c r="G667"/>
    </row>
    <row r="668" spans="1:7" x14ac:dyDescent="0.25">
      <c r="E668">
        <v>334</v>
      </c>
      <c r="G668"/>
    </row>
    <row r="669" spans="1:7" x14ac:dyDescent="0.25">
      <c r="A669" s="15" t="str">
        <f>HYPERLINK("https://www.youtube.com/watch?v=EWu4a7ogxVA","Video Lesson 'Improvisation'")</f>
        <v>Video Lesson 'Improvisation'</v>
      </c>
      <c r="B669" t="s">
        <v>1319</v>
      </c>
      <c r="C669" t="s">
        <v>1342</v>
      </c>
      <c r="D669">
        <v>12</v>
      </c>
      <c r="E669">
        <v>335</v>
      </c>
      <c r="G669"/>
    </row>
    <row r="670" spans="1:7" x14ac:dyDescent="0.25">
      <c r="E670">
        <v>335</v>
      </c>
      <c r="G670"/>
    </row>
    <row r="671" spans="1:7" x14ac:dyDescent="0.25">
      <c r="A671" s="15" t="str">
        <f>HYPERLINK("https://www.youtube.com/watch?v=EWu4a7ogxVA","Video Lesson 'Improvisation'")</f>
        <v>Video Lesson 'Improvisation'</v>
      </c>
      <c r="B671" t="s">
        <v>1319</v>
      </c>
      <c r="C671" t="s">
        <v>1342</v>
      </c>
      <c r="D671">
        <v>13</v>
      </c>
      <c r="E671">
        <v>336</v>
      </c>
      <c r="G671"/>
    </row>
    <row r="672" spans="1:7" x14ac:dyDescent="0.25">
      <c r="E672">
        <v>336</v>
      </c>
      <c r="G672"/>
    </row>
    <row r="673" spans="1:7" x14ac:dyDescent="0.25">
      <c r="A673" s="15" t="str">
        <f>HYPERLINK("https://www.youtube.com/watch?v=EWu4a7ogxVA","Video Lesson 'Improvisation'")</f>
        <v>Video Lesson 'Improvisation'</v>
      </c>
      <c r="B673" t="s">
        <v>1319</v>
      </c>
      <c r="C673" t="s">
        <v>1342</v>
      </c>
      <c r="D673">
        <v>14</v>
      </c>
      <c r="E673">
        <v>337</v>
      </c>
      <c r="G673"/>
    </row>
    <row r="674" spans="1:7" x14ac:dyDescent="0.25">
      <c r="E674">
        <v>337</v>
      </c>
      <c r="G674"/>
    </row>
    <row r="675" spans="1:7" x14ac:dyDescent="0.25">
      <c r="A675" s="15" t="str">
        <f>HYPERLINK("https://www.youtube.com/watch?v=EWu4a7ogxVA","Video Lesson 'Improvisation'")</f>
        <v>Video Lesson 'Improvisation'</v>
      </c>
      <c r="B675" t="s">
        <v>1319</v>
      </c>
      <c r="C675" t="s">
        <v>1342</v>
      </c>
      <c r="D675">
        <v>15</v>
      </c>
      <c r="E675">
        <v>338</v>
      </c>
      <c r="G675"/>
    </row>
    <row r="676" spans="1:7" x14ac:dyDescent="0.25">
      <c r="E676">
        <v>338</v>
      </c>
      <c r="G676"/>
    </row>
    <row r="677" spans="1:7" x14ac:dyDescent="0.25">
      <c r="A677" s="15" t="str">
        <f>HYPERLINK("https://www.youtube.com/watch?v=EWu4a7ogxVA","Video Lesson 'Improvisation'")</f>
        <v>Video Lesson 'Improvisation'</v>
      </c>
      <c r="B677" t="s">
        <v>1319</v>
      </c>
      <c r="C677" t="s">
        <v>1342</v>
      </c>
      <c r="D677">
        <v>16</v>
      </c>
      <c r="E677">
        <v>339</v>
      </c>
      <c r="G677"/>
    </row>
    <row r="678" spans="1:7" x14ac:dyDescent="0.25">
      <c r="E678">
        <v>339</v>
      </c>
      <c r="G678"/>
    </row>
    <row r="679" spans="1:7" x14ac:dyDescent="0.25">
      <c r="A679" s="15" t="str">
        <f>HYPERLINK("https://www.youtube.com/watch?v=EWu4a7ogxVA","Video Lesson 'Improvisation'")</f>
        <v>Video Lesson 'Improvisation'</v>
      </c>
      <c r="B679" t="s">
        <v>1319</v>
      </c>
      <c r="C679" t="s">
        <v>1342</v>
      </c>
      <c r="D679">
        <v>17</v>
      </c>
      <c r="E679">
        <v>340</v>
      </c>
      <c r="G679"/>
    </row>
    <row r="680" spans="1:7" x14ac:dyDescent="0.25">
      <c r="E680">
        <v>340</v>
      </c>
      <c r="G680"/>
    </row>
    <row r="681" spans="1:7" x14ac:dyDescent="0.25">
      <c r="A681" s="15" t="str">
        <f>HYPERLINK("https://www.youtube.com/watch?v=EWu4a7ogxVA","Video Lesson 'Improvisation'")</f>
        <v>Video Lesson 'Improvisation'</v>
      </c>
      <c r="B681" t="s">
        <v>1319</v>
      </c>
      <c r="C681" t="s">
        <v>1342</v>
      </c>
      <c r="D681">
        <v>18</v>
      </c>
      <c r="E681">
        <v>341</v>
      </c>
      <c r="G681"/>
    </row>
    <row r="682" spans="1:7" x14ac:dyDescent="0.25">
      <c r="E682">
        <v>341</v>
      </c>
      <c r="G682"/>
    </row>
    <row r="683" spans="1:7" x14ac:dyDescent="0.25">
      <c r="A683" s="15" t="str">
        <f>HYPERLINK("https://www.youtube.com/watch?v=EWu4a7ogxVA","Video Lesson 'Improvisation'")</f>
        <v>Video Lesson 'Improvisation'</v>
      </c>
      <c r="B683" t="s">
        <v>1319</v>
      </c>
      <c r="C683" t="s">
        <v>1342</v>
      </c>
      <c r="D683">
        <v>19</v>
      </c>
      <c r="E683">
        <v>342</v>
      </c>
      <c r="G683"/>
    </row>
    <row r="684" spans="1:7" x14ac:dyDescent="0.25">
      <c r="E684">
        <v>342</v>
      </c>
      <c r="G684"/>
    </row>
    <row r="685" spans="1:7" x14ac:dyDescent="0.25">
      <c r="A685" s="15" t="str">
        <f>HYPERLINK("https://www.youtube.com/watch?v=RmEAQDsTTaE","Video Lesson 23")</f>
        <v>Video Lesson 23</v>
      </c>
      <c r="B685" t="s">
        <v>1319</v>
      </c>
      <c r="C685" t="s">
        <v>1342</v>
      </c>
      <c r="D685">
        <v>20</v>
      </c>
      <c r="E685">
        <v>343</v>
      </c>
      <c r="G685"/>
    </row>
    <row r="686" spans="1:7" x14ac:dyDescent="0.25">
      <c r="E686">
        <v>343</v>
      </c>
      <c r="G686"/>
    </row>
    <row r="687" spans="1:7" x14ac:dyDescent="0.25">
      <c r="A687" s="15" t="str">
        <f>HYPERLINK("https://www.youtube.com/watch?v=RmEAQDsTTaE","Video Lesson 23")</f>
        <v>Video Lesson 23</v>
      </c>
      <c r="B687" t="s">
        <v>1319</v>
      </c>
      <c r="C687" t="s">
        <v>1342</v>
      </c>
      <c r="D687">
        <v>21</v>
      </c>
      <c r="E687">
        <v>344</v>
      </c>
      <c r="G687"/>
    </row>
    <row r="688" spans="1:7" x14ac:dyDescent="0.25">
      <c r="E688">
        <v>344</v>
      </c>
      <c r="G688"/>
    </row>
    <row r="689" spans="1:7" x14ac:dyDescent="0.25">
      <c r="A689" s="15" t="str">
        <f>HYPERLINK("https://www.youtube.com/watch?v=RmEAQDsTTaE","Video Lesson 23")</f>
        <v>Video Lesson 23</v>
      </c>
      <c r="B689" t="s">
        <v>1319</v>
      </c>
      <c r="C689" t="s">
        <v>1342</v>
      </c>
      <c r="D689">
        <v>22</v>
      </c>
      <c r="E689">
        <v>345</v>
      </c>
      <c r="G689"/>
    </row>
    <row r="690" spans="1:7" x14ac:dyDescent="0.25">
      <c r="E690">
        <v>345</v>
      </c>
      <c r="G690"/>
    </row>
    <row r="691" spans="1:7" x14ac:dyDescent="0.25">
      <c r="A691" s="15" t="str">
        <f>HYPERLINK("https://www.youtube.com/watch?v=RmEAQDsTTaE","Video Lesson 23")</f>
        <v>Video Lesson 23</v>
      </c>
      <c r="B691" t="s">
        <v>1319</v>
      </c>
      <c r="C691" t="s">
        <v>1342</v>
      </c>
      <c r="D691">
        <v>23</v>
      </c>
      <c r="E691">
        <v>346</v>
      </c>
      <c r="G691"/>
    </row>
    <row r="692" spans="1:7" x14ac:dyDescent="0.25">
      <c r="E692">
        <v>346</v>
      </c>
      <c r="G692"/>
    </row>
    <row r="693" spans="1:7" x14ac:dyDescent="0.25">
      <c r="A693" s="15" t="str">
        <f>HYPERLINK("https://www.youtube.com/watch?v=RmEAQDsTTaE","Video Lesson 23")</f>
        <v>Video Lesson 23</v>
      </c>
      <c r="B693" t="s">
        <v>1319</v>
      </c>
      <c r="C693" t="s">
        <v>1342</v>
      </c>
      <c r="D693">
        <v>24</v>
      </c>
      <c r="E693">
        <v>347</v>
      </c>
      <c r="G693"/>
    </row>
    <row r="694" spans="1:7" x14ac:dyDescent="0.25">
      <c r="E694">
        <v>347</v>
      </c>
      <c r="G694"/>
    </row>
    <row r="695" spans="1:7" x14ac:dyDescent="0.25">
      <c r="A695" s="15" t="str">
        <f>HYPERLINK("https://www.youtube.com/watch?v=EWu4a7ogxVA","Video Lesson 'Improvisation'")</f>
        <v>Video Lesson 'Improvisation'</v>
      </c>
      <c r="B695" t="s">
        <v>1319</v>
      </c>
      <c r="C695" t="s">
        <v>1342</v>
      </c>
      <c r="D695">
        <v>25</v>
      </c>
      <c r="E695">
        <v>348</v>
      </c>
      <c r="G695"/>
    </row>
    <row r="696" spans="1:7" x14ac:dyDescent="0.25">
      <c r="E696">
        <v>348</v>
      </c>
      <c r="G696"/>
    </row>
  </sheetData>
  <sortState ref="A1:E696">
    <sortCondition ref="E1:E696"/>
  </sortState>
  <hyperlinks>
    <hyperlink ref="H15" r:id="rId1"/>
    <hyperlink ref="H19" r:id="rId2"/>
    <hyperlink ref="H27" r:id="rId3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workbookViewId="0">
      <selection activeCell="M91" sqref="M91:M104"/>
    </sheetView>
  </sheetViews>
  <sheetFormatPr defaultRowHeight="15" x14ac:dyDescent="0.25"/>
  <cols>
    <col min="1" max="1" width="49.28515625" bestFit="1" customWidth="1"/>
    <col min="2" max="2" width="28.28515625" customWidth="1"/>
  </cols>
  <sheetData>
    <row r="1" spans="1:16" x14ac:dyDescent="0.25">
      <c r="A1" t="s">
        <v>1614</v>
      </c>
      <c r="B1" t="s">
        <v>1615</v>
      </c>
      <c r="C1" t="str">
        <f>A1&amp;" / "&amp;B1</f>
        <v>Hello / marHaba</v>
      </c>
      <c r="E1" t="str">
        <f>A1&amp;" "&amp;B1</f>
        <v>Hello marHaba</v>
      </c>
      <c r="G1" t="str">
        <f t="shared" ref="G1:G32" si="0">A1&amp;":"&amp;B1</f>
        <v>Hello:marHaba</v>
      </c>
      <c r="J1" t="s">
        <v>1723</v>
      </c>
      <c r="L1">
        <v>1</v>
      </c>
      <c r="M1" t="s">
        <v>1877</v>
      </c>
      <c r="O1" t="s">
        <v>39</v>
      </c>
      <c r="P1" t="s">
        <v>458</v>
      </c>
    </row>
    <row r="2" spans="1:16" x14ac:dyDescent="0.25">
      <c r="A2" t="s">
        <v>1617</v>
      </c>
      <c r="B2" t="s">
        <v>1616</v>
      </c>
      <c r="C2" t="str">
        <f t="shared" ref="C2:C38" si="1">A2&amp;" / "&amp;B2</f>
        <v>I work / beshteghil</v>
      </c>
      <c r="E2" t="str">
        <f t="shared" ref="E2:E38" si="2">A2&amp;" "&amp;B2</f>
        <v>I work beshteghil</v>
      </c>
      <c r="G2" t="str">
        <f t="shared" si="0"/>
        <v>I work:beshteghil</v>
      </c>
      <c r="J2" t="s">
        <v>1748</v>
      </c>
      <c r="L2">
        <v>1</v>
      </c>
      <c r="M2" t="s">
        <v>1774</v>
      </c>
      <c r="O2" t="s">
        <v>1617</v>
      </c>
      <c r="P2" t="s">
        <v>1616</v>
      </c>
    </row>
    <row r="3" spans="1:16" x14ac:dyDescent="0.25">
      <c r="A3" t="s">
        <v>1618</v>
      </c>
      <c r="B3" t="s">
        <v>1619</v>
      </c>
      <c r="C3" t="str">
        <f t="shared" si="1"/>
        <v>My name is / esmeh</v>
      </c>
      <c r="E3" t="str">
        <f t="shared" si="2"/>
        <v>My name is esmeh</v>
      </c>
      <c r="G3" t="str">
        <f t="shared" si="0"/>
        <v>My name is:esmeh</v>
      </c>
      <c r="J3" t="s">
        <v>1762</v>
      </c>
      <c r="L3">
        <v>1</v>
      </c>
      <c r="M3" t="s">
        <v>1775</v>
      </c>
      <c r="O3" t="s">
        <v>1661</v>
      </c>
      <c r="P3" t="s">
        <v>1662</v>
      </c>
    </row>
    <row r="4" spans="1:16" x14ac:dyDescent="0.25">
      <c r="A4" t="s">
        <v>1620</v>
      </c>
      <c r="B4" t="s">
        <v>1621</v>
      </c>
      <c r="C4" t="str">
        <f t="shared" si="1"/>
        <v>Welcome / ahla w sahla</v>
      </c>
      <c r="E4" t="str">
        <f t="shared" si="2"/>
        <v>Welcome ahla w sahla</v>
      </c>
      <c r="G4" t="str">
        <f t="shared" si="0"/>
        <v>Welcome:ahla w sahla</v>
      </c>
      <c r="J4" t="s">
        <v>1729</v>
      </c>
      <c r="L4">
        <v>1</v>
      </c>
      <c r="M4" t="s">
        <v>1776</v>
      </c>
      <c r="O4" t="s">
        <v>1528</v>
      </c>
      <c r="P4" t="s">
        <v>360</v>
      </c>
    </row>
    <row r="5" spans="1:16" x14ac:dyDescent="0.25">
      <c r="A5" t="s">
        <v>1622</v>
      </c>
      <c r="B5" t="s">
        <v>1623</v>
      </c>
      <c r="C5" t="str">
        <f t="shared" si="1"/>
        <v>Excuse me / 3afwan</v>
      </c>
      <c r="E5" t="str">
        <f t="shared" si="2"/>
        <v>Excuse me 3afwan</v>
      </c>
      <c r="G5" t="str">
        <f t="shared" si="0"/>
        <v>Excuse me:3afwan</v>
      </c>
      <c r="J5" t="s">
        <v>1730</v>
      </c>
      <c r="L5">
        <v>1</v>
      </c>
      <c r="M5" t="s">
        <v>1777</v>
      </c>
      <c r="O5" t="s">
        <v>1643</v>
      </c>
      <c r="P5" t="s">
        <v>1644</v>
      </c>
    </row>
    <row r="6" spans="1:16" x14ac:dyDescent="0.25">
      <c r="A6" t="s">
        <v>1624</v>
      </c>
      <c r="B6" t="s">
        <v>1625</v>
      </c>
      <c r="C6" t="str">
        <f t="shared" si="1"/>
        <v>money  / masareh</v>
      </c>
      <c r="E6" t="str">
        <f t="shared" si="2"/>
        <v>money  masareh</v>
      </c>
      <c r="G6" t="str">
        <f t="shared" si="0"/>
        <v>money :masareh</v>
      </c>
      <c r="J6" t="s">
        <v>1727</v>
      </c>
      <c r="L6">
        <v>1</v>
      </c>
      <c r="M6" t="s">
        <v>1778</v>
      </c>
      <c r="O6" t="s">
        <v>118</v>
      </c>
      <c r="P6" t="s">
        <v>496</v>
      </c>
    </row>
    <row r="7" spans="1:16" x14ac:dyDescent="0.25">
      <c r="A7" t="s">
        <v>1626</v>
      </c>
      <c r="B7" t="s">
        <v>1627</v>
      </c>
      <c r="C7" t="str">
        <f t="shared" si="1"/>
        <v>How much / addeh</v>
      </c>
      <c r="E7" t="str">
        <f t="shared" si="2"/>
        <v>How much addeh</v>
      </c>
      <c r="G7" t="str">
        <f t="shared" si="0"/>
        <v>How much:addeh</v>
      </c>
      <c r="J7" t="s">
        <v>1771</v>
      </c>
      <c r="L7">
        <v>1</v>
      </c>
      <c r="M7" t="s">
        <v>1779</v>
      </c>
      <c r="O7" t="s">
        <v>1371</v>
      </c>
      <c r="P7" t="s">
        <v>183</v>
      </c>
    </row>
    <row r="8" spans="1:16" x14ac:dyDescent="0.25">
      <c r="A8" t="s">
        <v>1630</v>
      </c>
      <c r="B8" t="s">
        <v>1631</v>
      </c>
      <c r="C8" t="str">
        <f t="shared" si="1"/>
        <v>map  / khareeta</v>
      </c>
      <c r="E8" t="str">
        <f t="shared" si="2"/>
        <v>map  khareeta</v>
      </c>
      <c r="G8" t="str">
        <f t="shared" si="0"/>
        <v>map :khareeta</v>
      </c>
      <c r="J8" t="s">
        <v>1693</v>
      </c>
      <c r="L8">
        <v>1</v>
      </c>
      <c r="M8" t="s">
        <v>1780</v>
      </c>
      <c r="O8" t="s">
        <v>57</v>
      </c>
      <c r="P8" t="s">
        <v>466</v>
      </c>
    </row>
    <row r="9" spans="1:16" x14ac:dyDescent="0.25">
      <c r="A9" t="s">
        <v>1628</v>
      </c>
      <c r="B9" t="s">
        <v>1629</v>
      </c>
      <c r="C9" t="str">
        <f t="shared" si="1"/>
        <v>question / sou'aal</v>
      </c>
      <c r="E9" t="str">
        <f t="shared" si="2"/>
        <v>question sou'aal</v>
      </c>
      <c r="G9" t="str">
        <f t="shared" si="0"/>
        <v>question:sou'aal</v>
      </c>
      <c r="J9" t="s">
        <v>1743</v>
      </c>
      <c r="L9">
        <v>1</v>
      </c>
      <c r="M9" t="s">
        <v>1781</v>
      </c>
      <c r="O9" t="s">
        <v>1614</v>
      </c>
      <c r="P9" t="s">
        <v>1615</v>
      </c>
    </row>
    <row r="10" spans="1:16" x14ac:dyDescent="0.25">
      <c r="A10" t="s">
        <v>1632</v>
      </c>
      <c r="B10" t="s">
        <v>1633</v>
      </c>
      <c r="C10" t="str">
        <f t="shared" si="1"/>
        <v>room  / ouda</v>
      </c>
      <c r="E10" t="str">
        <f t="shared" si="2"/>
        <v>room  ouda</v>
      </c>
      <c r="G10" t="str">
        <f t="shared" si="0"/>
        <v>room :ouda</v>
      </c>
      <c r="J10" t="s">
        <v>1754</v>
      </c>
      <c r="L10">
        <v>2</v>
      </c>
      <c r="M10" t="s">
        <v>1782</v>
      </c>
      <c r="O10" t="s">
        <v>243</v>
      </c>
      <c r="P10" t="s">
        <v>244</v>
      </c>
    </row>
    <row r="11" spans="1:16" x14ac:dyDescent="0.25">
      <c r="A11" t="s">
        <v>1634</v>
      </c>
      <c r="B11" t="s">
        <v>577</v>
      </c>
      <c r="C11" t="str">
        <f t="shared" si="1"/>
        <v>week  / jem3a</v>
      </c>
      <c r="E11" t="str">
        <f t="shared" si="2"/>
        <v>week  jem3a</v>
      </c>
      <c r="G11" t="str">
        <f t="shared" si="0"/>
        <v>week :jem3a</v>
      </c>
      <c r="J11" t="s">
        <v>1689</v>
      </c>
      <c r="L11">
        <v>2</v>
      </c>
      <c r="M11" t="s">
        <v>1783</v>
      </c>
      <c r="O11" t="s">
        <v>141</v>
      </c>
      <c r="P11" t="s">
        <v>507</v>
      </c>
    </row>
    <row r="12" spans="1:16" x14ac:dyDescent="0.25">
      <c r="A12" t="s">
        <v>1635</v>
      </c>
      <c r="B12" t="s">
        <v>1636</v>
      </c>
      <c r="C12" t="str">
        <f t="shared" si="1"/>
        <v>cheaper / arkhas</v>
      </c>
      <c r="E12" t="str">
        <f t="shared" si="2"/>
        <v>cheaper arkhas</v>
      </c>
      <c r="G12" t="str">
        <f t="shared" si="0"/>
        <v>cheaper:arkhas</v>
      </c>
      <c r="J12" t="s">
        <v>1758</v>
      </c>
      <c r="L12">
        <v>2</v>
      </c>
      <c r="M12" t="s">
        <v>1784</v>
      </c>
      <c r="O12" t="s">
        <v>67</v>
      </c>
      <c r="P12" t="s">
        <v>470</v>
      </c>
    </row>
    <row r="13" spans="1:16" x14ac:dyDescent="0.25">
      <c r="A13" t="s">
        <v>1637</v>
      </c>
      <c r="B13" t="s">
        <v>1638</v>
      </c>
      <c r="C13" t="str">
        <f t="shared" si="1"/>
        <v>breakfast  / terwee'a</v>
      </c>
      <c r="E13" t="str">
        <f t="shared" si="2"/>
        <v>breakfast  terwee'a</v>
      </c>
      <c r="G13" t="str">
        <f t="shared" si="0"/>
        <v>breakfast :terwee'a</v>
      </c>
      <c r="J13" t="s">
        <v>1711</v>
      </c>
      <c r="L13">
        <v>2</v>
      </c>
      <c r="M13" t="s">
        <v>1785</v>
      </c>
      <c r="O13" t="s">
        <v>95</v>
      </c>
      <c r="P13" t="s">
        <v>485</v>
      </c>
    </row>
    <row r="14" spans="1:16" x14ac:dyDescent="0.25">
      <c r="A14" t="s">
        <v>49</v>
      </c>
      <c r="B14" t="s">
        <v>462</v>
      </c>
      <c r="C14" t="str">
        <f t="shared" si="1"/>
        <v>Zero  / sefer</v>
      </c>
      <c r="E14" t="str">
        <f t="shared" si="2"/>
        <v>Zero  sefer</v>
      </c>
      <c r="G14" t="str">
        <f t="shared" si="0"/>
        <v>Zero :sefer</v>
      </c>
      <c r="J14" t="s">
        <v>1772</v>
      </c>
      <c r="L14">
        <v>2</v>
      </c>
      <c r="M14" t="s">
        <v>1786</v>
      </c>
      <c r="O14" t="s">
        <v>128</v>
      </c>
      <c r="P14" t="s">
        <v>500</v>
      </c>
    </row>
    <row r="15" spans="1:16" x14ac:dyDescent="0.25">
      <c r="A15" t="s">
        <v>51</v>
      </c>
      <c r="B15" t="s">
        <v>463</v>
      </c>
      <c r="C15" t="str">
        <f t="shared" si="1"/>
        <v>One  / waHad</v>
      </c>
      <c r="E15" t="str">
        <f t="shared" si="2"/>
        <v>One  waHad</v>
      </c>
      <c r="G15" t="str">
        <f t="shared" si="0"/>
        <v>One :waHad</v>
      </c>
      <c r="J15" t="s">
        <v>1675</v>
      </c>
      <c r="L15">
        <v>2</v>
      </c>
      <c r="M15" t="s">
        <v>1787</v>
      </c>
      <c r="O15" t="s">
        <v>1657</v>
      </c>
      <c r="P15" t="s">
        <v>1658</v>
      </c>
    </row>
    <row r="16" spans="1:16" x14ac:dyDescent="0.25">
      <c r="A16" t="s">
        <v>53</v>
      </c>
      <c r="B16" t="s">
        <v>464</v>
      </c>
      <c r="C16" t="str">
        <f t="shared" si="1"/>
        <v>Two  / tnein</v>
      </c>
      <c r="E16" t="str">
        <f t="shared" si="2"/>
        <v>Two  tnein</v>
      </c>
      <c r="G16" t="str">
        <f t="shared" si="0"/>
        <v>Two :tnein</v>
      </c>
      <c r="J16" t="s">
        <v>1699</v>
      </c>
      <c r="L16">
        <v>2</v>
      </c>
      <c r="M16" t="s">
        <v>1788</v>
      </c>
      <c r="O16" t="s">
        <v>286</v>
      </c>
      <c r="P16" t="s">
        <v>577</v>
      </c>
    </row>
    <row r="17" spans="1:16" x14ac:dyDescent="0.25">
      <c r="A17" t="s">
        <v>55</v>
      </c>
      <c r="B17" t="s">
        <v>465</v>
      </c>
      <c r="C17" t="str">
        <f t="shared" si="1"/>
        <v>Three  / tleiteh</v>
      </c>
      <c r="E17" t="str">
        <f t="shared" si="2"/>
        <v>Three  tleiteh</v>
      </c>
      <c r="G17" t="str">
        <f t="shared" si="0"/>
        <v>Three :tleiteh</v>
      </c>
      <c r="J17" t="s">
        <v>1726</v>
      </c>
      <c r="L17">
        <v>2</v>
      </c>
      <c r="M17" t="s">
        <v>1789</v>
      </c>
      <c r="O17" t="s">
        <v>1659</v>
      </c>
      <c r="P17" t="s">
        <v>1660</v>
      </c>
    </row>
    <row r="18" spans="1:16" x14ac:dyDescent="0.25">
      <c r="A18" t="s">
        <v>57</v>
      </c>
      <c r="B18" t="s">
        <v>466</v>
      </c>
      <c r="C18" t="str">
        <f t="shared" si="1"/>
        <v>Four  / arb3a</v>
      </c>
      <c r="E18" t="str">
        <f t="shared" si="2"/>
        <v>Four  arb3a</v>
      </c>
      <c r="G18" t="str">
        <f t="shared" si="0"/>
        <v>Four :arb3a</v>
      </c>
      <c r="J18" t="s">
        <v>1691</v>
      </c>
      <c r="L18">
        <v>2</v>
      </c>
      <c r="M18" t="s">
        <v>1790</v>
      </c>
      <c r="O18" t="s">
        <v>139</v>
      </c>
      <c r="P18" t="s">
        <v>506</v>
      </c>
    </row>
    <row r="19" spans="1:16" x14ac:dyDescent="0.25">
      <c r="A19" t="s">
        <v>59</v>
      </c>
      <c r="B19" t="s">
        <v>467</v>
      </c>
      <c r="C19" t="str">
        <f t="shared" si="1"/>
        <v>Five  / khamseh</v>
      </c>
      <c r="E19" t="str">
        <f t="shared" si="2"/>
        <v>Five  khamseh</v>
      </c>
      <c r="G19" t="str">
        <f t="shared" si="0"/>
        <v>Five :khamseh</v>
      </c>
      <c r="J19" t="s">
        <v>1712</v>
      </c>
      <c r="L19">
        <v>3</v>
      </c>
      <c r="M19" t="s">
        <v>1791</v>
      </c>
      <c r="O19" t="s">
        <v>89</v>
      </c>
      <c r="P19" t="s">
        <v>483</v>
      </c>
    </row>
    <row r="20" spans="1:16" x14ac:dyDescent="0.25">
      <c r="A20" t="s">
        <v>61</v>
      </c>
      <c r="B20" t="s">
        <v>234</v>
      </c>
      <c r="C20" t="str">
        <f t="shared" si="1"/>
        <v>Six  / setteh</v>
      </c>
      <c r="E20" t="str">
        <f t="shared" si="2"/>
        <v>Six  setteh</v>
      </c>
      <c r="G20" t="str">
        <f t="shared" si="0"/>
        <v>Six :setteh</v>
      </c>
      <c r="J20" t="s">
        <v>1718</v>
      </c>
      <c r="L20">
        <v>3</v>
      </c>
      <c r="M20" t="s">
        <v>1792</v>
      </c>
      <c r="O20" t="s">
        <v>1356</v>
      </c>
      <c r="P20" t="s">
        <v>420</v>
      </c>
    </row>
    <row r="21" spans="1:16" x14ac:dyDescent="0.25">
      <c r="A21" t="s">
        <v>63</v>
      </c>
      <c r="B21" t="s">
        <v>468</v>
      </c>
      <c r="C21" t="str">
        <f t="shared" si="1"/>
        <v>Seven  / sab3a</v>
      </c>
      <c r="E21" t="str">
        <f>A21&amp;" "&amp;B21</f>
        <v>Seven  sab3a</v>
      </c>
      <c r="G21" t="str">
        <f t="shared" si="0"/>
        <v>Seven :sab3a</v>
      </c>
      <c r="J21" t="s">
        <v>1672</v>
      </c>
      <c r="L21">
        <v>3</v>
      </c>
      <c r="M21" t="s">
        <v>1793</v>
      </c>
      <c r="O21" t="s">
        <v>284</v>
      </c>
      <c r="P21" t="s">
        <v>574</v>
      </c>
    </row>
    <row r="22" spans="1:16" x14ac:dyDescent="0.25">
      <c r="A22" t="s">
        <v>65</v>
      </c>
      <c r="B22" t="s">
        <v>469</v>
      </c>
      <c r="C22" t="str">
        <f t="shared" si="1"/>
        <v>Eight  / tmeineh</v>
      </c>
      <c r="E22" t="str">
        <f t="shared" si="2"/>
        <v>Eight  tmeineh</v>
      </c>
      <c r="G22" t="str">
        <f t="shared" si="0"/>
        <v>Eight :tmeineh</v>
      </c>
      <c r="J22" t="s">
        <v>1759</v>
      </c>
      <c r="L22">
        <v>3</v>
      </c>
      <c r="M22" t="s">
        <v>1794</v>
      </c>
      <c r="O22" t="s">
        <v>1651</v>
      </c>
      <c r="P22" t="s">
        <v>1652</v>
      </c>
    </row>
    <row r="23" spans="1:16" x14ac:dyDescent="0.25">
      <c r="A23" t="s">
        <v>67</v>
      </c>
      <c r="B23" t="s">
        <v>470</v>
      </c>
      <c r="C23" t="str">
        <f t="shared" si="1"/>
        <v>Nine  / tes3a</v>
      </c>
      <c r="E23" t="str">
        <f t="shared" si="2"/>
        <v>Nine  tes3a</v>
      </c>
      <c r="G23" t="str">
        <f t="shared" si="0"/>
        <v>Nine :tes3a</v>
      </c>
      <c r="J23" t="s">
        <v>1746</v>
      </c>
      <c r="L23">
        <v>3</v>
      </c>
      <c r="M23" t="s">
        <v>1795</v>
      </c>
      <c r="O23" t="s">
        <v>1427</v>
      </c>
      <c r="P23" t="s">
        <v>714</v>
      </c>
    </row>
    <row r="24" spans="1:16" x14ac:dyDescent="0.25">
      <c r="A24" t="s">
        <v>69</v>
      </c>
      <c r="B24" t="s">
        <v>471</v>
      </c>
      <c r="C24" t="str">
        <f t="shared" si="1"/>
        <v>Ten  / 3ashra</v>
      </c>
      <c r="E24" t="str">
        <f t="shared" si="2"/>
        <v>Ten  3ashra</v>
      </c>
      <c r="G24" t="str">
        <f t="shared" si="0"/>
        <v>Ten :3ashra</v>
      </c>
      <c r="J24" t="s">
        <v>1737</v>
      </c>
      <c r="L24">
        <v>3</v>
      </c>
      <c r="M24" t="s">
        <v>1796</v>
      </c>
      <c r="O24" t="s">
        <v>1379</v>
      </c>
      <c r="P24" t="s">
        <v>528</v>
      </c>
    </row>
    <row r="25" spans="1:16" x14ac:dyDescent="0.25">
      <c r="A25" t="s">
        <v>1639</v>
      </c>
      <c r="B25" t="s">
        <v>1640</v>
      </c>
      <c r="C25" t="str">
        <f t="shared" si="1"/>
        <v>Where / wein</v>
      </c>
      <c r="E25" t="str">
        <f t="shared" si="2"/>
        <v>Where wein</v>
      </c>
      <c r="G25" t="str">
        <f t="shared" si="0"/>
        <v>Where:wein</v>
      </c>
      <c r="J25" t="s">
        <v>1728</v>
      </c>
      <c r="L25">
        <v>3</v>
      </c>
      <c r="M25" t="s">
        <v>1797</v>
      </c>
      <c r="O25" t="s">
        <v>1632</v>
      </c>
      <c r="P25" t="s">
        <v>1633</v>
      </c>
    </row>
    <row r="26" spans="1:16" x14ac:dyDescent="0.25">
      <c r="A26" t="s">
        <v>93</v>
      </c>
      <c r="B26" t="s">
        <v>418</v>
      </c>
      <c r="C26" t="str">
        <f t="shared" si="1"/>
        <v>Left  / shmeil</v>
      </c>
      <c r="E26" t="str">
        <f t="shared" si="2"/>
        <v>Left  shmeil</v>
      </c>
      <c r="G26" t="str">
        <f t="shared" si="0"/>
        <v>Left :shmeil</v>
      </c>
      <c r="J26" t="s">
        <v>1724</v>
      </c>
      <c r="L26">
        <v>3</v>
      </c>
      <c r="M26" t="s">
        <v>1798</v>
      </c>
      <c r="O26" t="s">
        <v>53</v>
      </c>
      <c r="P26" t="s">
        <v>464</v>
      </c>
    </row>
    <row r="27" spans="1:16" x14ac:dyDescent="0.25">
      <c r="A27" t="s">
        <v>95</v>
      </c>
      <c r="B27" t="s">
        <v>485</v>
      </c>
      <c r="C27" t="str">
        <f t="shared" si="1"/>
        <v>Right  / yameen</v>
      </c>
      <c r="E27" t="str">
        <f t="shared" si="2"/>
        <v>Right  yameen</v>
      </c>
      <c r="G27" t="str">
        <f t="shared" si="0"/>
        <v>Right :yameen</v>
      </c>
      <c r="J27" t="s">
        <v>1707</v>
      </c>
      <c r="L27">
        <v>4</v>
      </c>
      <c r="M27" t="s">
        <v>1799</v>
      </c>
      <c r="O27" t="s">
        <v>1378</v>
      </c>
      <c r="P27" t="s">
        <v>1299</v>
      </c>
    </row>
    <row r="28" spans="1:16" x14ac:dyDescent="0.25">
      <c r="A28" t="s">
        <v>97</v>
      </c>
      <c r="B28" t="s">
        <v>486</v>
      </c>
      <c r="C28" t="str">
        <f t="shared" si="1"/>
        <v>Straight  / deghreh</v>
      </c>
      <c r="E28" t="str">
        <f t="shared" si="2"/>
        <v>Straight  deghreh</v>
      </c>
      <c r="G28" t="str">
        <f t="shared" si="0"/>
        <v>Straight :deghreh</v>
      </c>
      <c r="J28" t="s">
        <v>1745</v>
      </c>
      <c r="L28">
        <v>4</v>
      </c>
      <c r="M28" t="s">
        <v>1800</v>
      </c>
      <c r="O28" t="s">
        <v>1535</v>
      </c>
      <c r="P28" t="s">
        <v>685</v>
      </c>
    </row>
    <row r="29" spans="1:16" x14ac:dyDescent="0.25">
      <c r="A29" t="s">
        <v>89</v>
      </c>
      <c r="B29" t="s">
        <v>483</v>
      </c>
      <c r="C29" t="str">
        <f t="shared" si="1"/>
        <v>Road  / taree'</v>
      </c>
      <c r="E29" t="str">
        <f t="shared" si="2"/>
        <v>Road  taree'</v>
      </c>
      <c r="G29" t="str">
        <f t="shared" si="0"/>
        <v>Road :taree'</v>
      </c>
      <c r="J29" t="s">
        <v>1731</v>
      </c>
      <c r="L29">
        <v>4</v>
      </c>
      <c r="M29" t="s">
        <v>1801</v>
      </c>
      <c r="O29" t="s">
        <v>51</v>
      </c>
      <c r="P29" t="s">
        <v>463</v>
      </c>
    </row>
    <row r="30" spans="1:16" x14ac:dyDescent="0.25">
      <c r="A30" t="s">
        <v>1641</v>
      </c>
      <c r="B30" t="s">
        <v>1642</v>
      </c>
      <c r="C30" t="str">
        <f t="shared" si="1"/>
        <v>How / kif</v>
      </c>
      <c r="E30" t="str">
        <f t="shared" si="2"/>
        <v>How kif</v>
      </c>
      <c r="G30" t="str">
        <f t="shared" si="0"/>
        <v>How:kif</v>
      </c>
      <c r="J30" t="s">
        <v>1757</v>
      </c>
      <c r="L30">
        <v>4</v>
      </c>
      <c r="M30" t="s">
        <v>1802</v>
      </c>
      <c r="O30" t="s">
        <v>1353</v>
      </c>
      <c r="P30" t="s">
        <v>691</v>
      </c>
    </row>
    <row r="31" spans="1:16" x14ac:dyDescent="0.25">
      <c r="A31" t="s">
        <v>1643</v>
      </c>
      <c r="B31" t="s">
        <v>1644</v>
      </c>
      <c r="C31" t="str">
        <f t="shared" si="1"/>
        <v>street  / sheiri3</v>
      </c>
      <c r="E31" t="str">
        <f t="shared" si="2"/>
        <v>street  sheiri3</v>
      </c>
      <c r="G31" t="str">
        <f t="shared" si="0"/>
        <v>street :sheiri3</v>
      </c>
      <c r="J31" t="s">
        <v>1674</v>
      </c>
      <c r="L31">
        <v>4</v>
      </c>
      <c r="M31" t="s">
        <v>1803</v>
      </c>
      <c r="O31" t="s">
        <v>1344</v>
      </c>
      <c r="P31" t="s">
        <v>553</v>
      </c>
    </row>
    <row r="32" spans="1:16" x14ac:dyDescent="0.25">
      <c r="A32" t="s">
        <v>1645</v>
      </c>
      <c r="B32" t="s">
        <v>1646</v>
      </c>
      <c r="C32" t="str">
        <f t="shared" si="1"/>
        <v>restaurant / mat3am</v>
      </c>
      <c r="E32" t="str">
        <f t="shared" si="2"/>
        <v>restaurant mat3am</v>
      </c>
      <c r="G32" t="str">
        <f t="shared" si="0"/>
        <v>restaurant:mat3am</v>
      </c>
      <c r="J32" t="s">
        <v>1673</v>
      </c>
      <c r="L32">
        <v>4</v>
      </c>
      <c r="M32" t="s">
        <v>1804</v>
      </c>
      <c r="O32" t="s">
        <v>1637</v>
      </c>
      <c r="P32" t="s">
        <v>1638</v>
      </c>
    </row>
    <row r="33" spans="1:16" x14ac:dyDescent="0.25">
      <c r="A33" t="s">
        <v>1647</v>
      </c>
      <c r="B33" t="s">
        <v>1648</v>
      </c>
      <c r="C33" t="str">
        <f t="shared" si="1"/>
        <v>What / shou</v>
      </c>
      <c r="E33" t="str">
        <f t="shared" si="2"/>
        <v>What shou</v>
      </c>
      <c r="G33" t="str">
        <f t="shared" ref="G33:G64" si="3">A33&amp;":"&amp;B33</f>
        <v>What:shou</v>
      </c>
      <c r="J33" t="s">
        <v>1753</v>
      </c>
      <c r="L33">
        <v>4</v>
      </c>
      <c r="M33" t="s">
        <v>1805</v>
      </c>
      <c r="O33" t="s">
        <v>1445</v>
      </c>
      <c r="P33" t="s">
        <v>656</v>
      </c>
    </row>
    <row r="34" spans="1:16" x14ac:dyDescent="0.25">
      <c r="A34" t="s">
        <v>1649</v>
      </c>
      <c r="B34" t="s">
        <v>1650</v>
      </c>
      <c r="C34" t="str">
        <f t="shared" si="1"/>
        <v>something / shi</v>
      </c>
      <c r="E34" t="str">
        <f t="shared" si="2"/>
        <v>something shi</v>
      </c>
      <c r="G34" t="str">
        <f t="shared" si="3"/>
        <v>something:shi</v>
      </c>
      <c r="J34" t="s">
        <v>1701</v>
      </c>
      <c r="L34">
        <v>4</v>
      </c>
      <c r="M34" t="s">
        <v>1806</v>
      </c>
      <c r="O34" t="s">
        <v>287</v>
      </c>
      <c r="P34" t="s">
        <v>282</v>
      </c>
    </row>
    <row r="35" spans="1:16" x14ac:dyDescent="0.25">
      <c r="A35" t="s">
        <v>128</v>
      </c>
      <c r="B35" t="s">
        <v>500</v>
      </c>
      <c r="C35" t="str">
        <f t="shared" si="1"/>
        <v>Summer  / seif</v>
      </c>
      <c r="E35" t="str">
        <f t="shared" si="2"/>
        <v>Summer  seif</v>
      </c>
      <c r="G35" t="str">
        <f t="shared" si="3"/>
        <v>Summer :seif</v>
      </c>
      <c r="J35" t="s">
        <v>1736</v>
      </c>
      <c r="L35">
        <v>4</v>
      </c>
      <c r="M35" t="s">
        <v>1807</v>
      </c>
      <c r="O35" t="s">
        <v>1547</v>
      </c>
      <c r="P35" t="s">
        <v>575</v>
      </c>
    </row>
    <row r="36" spans="1:16" x14ac:dyDescent="0.25">
      <c r="A36" t="s">
        <v>118</v>
      </c>
      <c r="B36" t="s">
        <v>496</v>
      </c>
      <c r="C36" t="str">
        <f t="shared" si="1"/>
        <v>Today  / lyom</v>
      </c>
      <c r="E36" t="str">
        <f t="shared" si="2"/>
        <v>Today  lyom</v>
      </c>
      <c r="G36" t="str">
        <f t="shared" si="3"/>
        <v>Today :lyom</v>
      </c>
      <c r="J36" t="s">
        <v>1714</v>
      </c>
      <c r="L36">
        <v>5</v>
      </c>
      <c r="M36" t="s">
        <v>1808</v>
      </c>
      <c r="O36" t="s">
        <v>63</v>
      </c>
      <c r="P36" t="s">
        <v>468</v>
      </c>
    </row>
    <row r="37" spans="1:16" x14ac:dyDescent="0.25">
      <c r="A37" t="s">
        <v>137</v>
      </c>
      <c r="B37" t="s">
        <v>505</v>
      </c>
      <c r="C37" t="str">
        <f t="shared" si="1"/>
        <v>Morning  / sobeH</v>
      </c>
      <c r="E37" t="str">
        <f t="shared" si="2"/>
        <v>Morning  sobeH</v>
      </c>
      <c r="G37" t="str">
        <f t="shared" si="3"/>
        <v>Morning :sobeH</v>
      </c>
      <c r="J37" t="s">
        <v>1679</v>
      </c>
      <c r="L37">
        <v>5</v>
      </c>
      <c r="M37" t="s">
        <v>1809</v>
      </c>
      <c r="O37" t="s">
        <v>1634</v>
      </c>
      <c r="P37" t="s">
        <v>577</v>
      </c>
    </row>
    <row r="38" spans="1:16" x14ac:dyDescent="0.25">
      <c r="A38" t="s">
        <v>139</v>
      </c>
      <c r="B38" t="s">
        <v>506</v>
      </c>
      <c r="C38" t="str">
        <f t="shared" si="1"/>
        <v>Noon  / doher</v>
      </c>
      <c r="E38" t="str">
        <f t="shared" si="2"/>
        <v>Noon  doher</v>
      </c>
      <c r="G38" t="str">
        <f t="shared" si="3"/>
        <v>Noon :doher</v>
      </c>
      <c r="J38" t="s">
        <v>1756</v>
      </c>
      <c r="L38">
        <v>5</v>
      </c>
      <c r="M38" t="s">
        <v>1810</v>
      </c>
      <c r="O38" t="s">
        <v>1368</v>
      </c>
      <c r="P38" t="s">
        <v>248</v>
      </c>
    </row>
    <row r="39" spans="1:16" x14ac:dyDescent="0.25">
      <c r="A39" t="s">
        <v>141</v>
      </c>
      <c r="B39" t="s">
        <v>507</v>
      </c>
      <c r="G39" t="str">
        <f t="shared" si="3"/>
        <v>Night :leil</v>
      </c>
      <c r="J39" t="s">
        <v>1747</v>
      </c>
      <c r="L39">
        <v>5</v>
      </c>
      <c r="M39" t="s">
        <v>1811</v>
      </c>
      <c r="O39" t="s">
        <v>1620</v>
      </c>
      <c r="P39" t="s">
        <v>1621</v>
      </c>
    </row>
    <row r="40" spans="1:16" x14ac:dyDescent="0.25">
      <c r="A40" t="s">
        <v>122</v>
      </c>
      <c r="B40" t="s">
        <v>498</v>
      </c>
      <c r="G40" t="str">
        <f t="shared" si="3"/>
        <v>Autumn :khareef</v>
      </c>
      <c r="J40" t="s">
        <v>1697</v>
      </c>
      <c r="L40">
        <v>5</v>
      </c>
      <c r="M40" t="s">
        <v>1812</v>
      </c>
      <c r="O40" t="s">
        <v>1447</v>
      </c>
      <c r="P40" t="s">
        <v>411</v>
      </c>
    </row>
    <row r="41" spans="1:16" x14ac:dyDescent="0.25">
      <c r="A41" t="s">
        <v>124</v>
      </c>
      <c r="B41" t="s">
        <v>1312</v>
      </c>
      <c r="G41" t="str">
        <f t="shared" si="3"/>
        <v>Winter :sheteh</v>
      </c>
      <c r="J41" t="s">
        <v>1704</v>
      </c>
      <c r="L41">
        <v>5</v>
      </c>
      <c r="M41" t="s">
        <v>1813</v>
      </c>
      <c r="O41" t="s">
        <v>1647</v>
      </c>
      <c r="P41" t="s">
        <v>1648</v>
      </c>
    </row>
    <row r="42" spans="1:16" x14ac:dyDescent="0.25">
      <c r="A42" t="s">
        <v>126</v>
      </c>
      <c r="B42" t="s">
        <v>499</v>
      </c>
      <c r="G42" t="str">
        <f t="shared" si="3"/>
        <v>Spring :rabee3</v>
      </c>
      <c r="J42" t="s">
        <v>1709</v>
      </c>
      <c r="L42">
        <v>5</v>
      </c>
      <c r="M42" t="s">
        <v>1814</v>
      </c>
      <c r="O42" t="s">
        <v>1446</v>
      </c>
      <c r="P42" t="s">
        <v>658</v>
      </c>
    </row>
    <row r="43" spans="1:16" x14ac:dyDescent="0.25">
      <c r="A43" t="s">
        <v>1651</v>
      </c>
      <c r="B43" t="s">
        <v>1652</v>
      </c>
      <c r="G43" t="str">
        <f t="shared" si="3"/>
        <v>bed :takhet</v>
      </c>
      <c r="J43" t="s">
        <v>1684</v>
      </c>
      <c r="L43">
        <v>5</v>
      </c>
      <c r="M43" t="s">
        <v>1815</v>
      </c>
      <c r="O43" t="s">
        <v>1377</v>
      </c>
      <c r="P43" t="s">
        <v>1298</v>
      </c>
    </row>
    <row r="44" spans="1:16" x14ac:dyDescent="0.25">
      <c r="A44" t="s">
        <v>143</v>
      </c>
      <c r="B44" t="s">
        <v>508</v>
      </c>
      <c r="G44" t="str">
        <f t="shared" si="3"/>
        <v>Home :beit</v>
      </c>
      <c r="J44" t="s">
        <v>1769</v>
      </c>
      <c r="L44">
        <v>6</v>
      </c>
      <c r="M44" t="s">
        <v>1816</v>
      </c>
      <c r="O44" t="s">
        <v>1365</v>
      </c>
      <c r="P44" t="s">
        <v>429</v>
      </c>
    </row>
    <row r="45" spans="1:16" x14ac:dyDescent="0.25">
      <c r="A45" t="s">
        <v>145</v>
      </c>
      <c r="B45" t="s">
        <v>509</v>
      </c>
      <c r="G45" t="str">
        <f t="shared" si="3"/>
        <v>Apartement :she'a</v>
      </c>
      <c r="J45" t="s">
        <v>1686</v>
      </c>
      <c r="L45">
        <v>6</v>
      </c>
      <c r="M45" t="s">
        <v>1817</v>
      </c>
      <c r="O45" t="s">
        <v>61</v>
      </c>
      <c r="P45" t="s">
        <v>234</v>
      </c>
    </row>
    <row r="46" spans="1:16" x14ac:dyDescent="0.25">
      <c r="A46" t="s">
        <v>1653</v>
      </c>
      <c r="B46" t="s">
        <v>1654</v>
      </c>
      <c r="G46" t="str">
        <f t="shared" si="3"/>
        <v>rent :ajaar</v>
      </c>
      <c r="J46" t="s">
        <v>1733</v>
      </c>
      <c r="L46">
        <v>6</v>
      </c>
      <c r="M46" t="s">
        <v>1818</v>
      </c>
      <c r="O46" t="s">
        <v>1639</v>
      </c>
      <c r="P46" t="s">
        <v>1640</v>
      </c>
    </row>
    <row r="47" spans="1:16" x14ac:dyDescent="0.25">
      <c r="A47" t="s">
        <v>1655</v>
      </c>
      <c r="B47" t="s">
        <v>1656</v>
      </c>
      <c r="G47" t="str">
        <f t="shared" si="3"/>
        <v>bathroom:Hemmeim</v>
      </c>
      <c r="J47" t="s">
        <v>1770</v>
      </c>
      <c r="L47">
        <v>6</v>
      </c>
      <c r="M47" t="s">
        <v>1819</v>
      </c>
      <c r="O47" t="s">
        <v>1372</v>
      </c>
      <c r="P47" t="s">
        <v>186</v>
      </c>
    </row>
    <row r="48" spans="1:16" x14ac:dyDescent="0.25">
      <c r="A48" t="s">
        <v>1657</v>
      </c>
      <c r="B48" t="s">
        <v>1658</v>
      </c>
      <c r="G48" t="str">
        <f t="shared" si="3"/>
        <v>tomorrow :bukra</v>
      </c>
      <c r="J48" t="s">
        <v>1670</v>
      </c>
      <c r="L48">
        <v>6</v>
      </c>
      <c r="M48" t="s">
        <v>1820</v>
      </c>
      <c r="O48" t="s">
        <v>124</v>
      </c>
      <c r="P48" t="s">
        <v>1312</v>
      </c>
    </row>
    <row r="49" spans="1:16" x14ac:dyDescent="0.25">
      <c r="A49" t="s">
        <v>1371</v>
      </c>
      <c r="B49" t="s">
        <v>183</v>
      </c>
      <c r="G49" t="str">
        <f t="shared" si="3"/>
        <v>And:wa</v>
      </c>
      <c r="J49" t="s">
        <v>1695</v>
      </c>
      <c r="L49">
        <v>6</v>
      </c>
      <c r="M49" t="s">
        <v>1821</v>
      </c>
      <c r="O49" t="s">
        <v>1448</v>
      </c>
      <c r="P49" t="s">
        <v>412</v>
      </c>
    </row>
    <row r="50" spans="1:16" x14ac:dyDescent="0.25">
      <c r="A50" t="s">
        <v>1372</v>
      </c>
      <c r="B50" t="s">
        <v>186</v>
      </c>
      <c r="G50" t="str">
        <f t="shared" si="3"/>
        <v>So:fa</v>
      </c>
      <c r="J50" t="s">
        <v>1740</v>
      </c>
      <c r="L50">
        <v>6</v>
      </c>
      <c r="M50" t="s">
        <v>1822</v>
      </c>
      <c r="O50" t="s">
        <v>49</v>
      </c>
      <c r="P50" t="s">
        <v>462</v>
      </c>
    </row>
    <row r="51" spans="1:16" x14ac:dyDescent="0.25">
      <c r="A51" t="s">
        <v>1373</v>
      </c>
      <c r="B51" t="s">
        <v>187</v>
      </c>
      <c r="G51" t="str">
        <f t="shared" si="3"/>
        <v>But:bas</v>
      </c>
      <c r="J51" t="s">
        <v>1719</v>
      </c>
      <c r="L51">
        <v>7</v>
      </c>
      <c r="M51" t="s">
        <v>1823</v>
      </c>
      <c r="O51" t="s">
        <v>1364</v>
      </c>
      <c r="P51" t="s">
        <v>428</v>
      </c>
    </row>
    <row r="52" spans="1:16" x14ac:dyDescent="0.25">
      <c r="A52" t="s">
        <v>1376</v>
      </c>
      <c r="B52" t="s">
        <v>1305</v>
      </c>
      <c r="G52" t="str">
        <f t="shared" si="3"/>
        <v>After:ba3dein</v>
      </c>
      <c r="J52" t="s">
        <v>1725</v>
      </c>
      <c r="L52">
        <v>7</v>
      </c>
      <c r="M52" t="s">
        <v>1824</v>
      </c>
      <c r="O52" t="s">
        <v>1628</v>
      </c>
      <c r="P52" t="s">
        <v>1629</v>
      </c>
    </row>
    <row r="53" spans="1:16" x14ac:dyDescent="0.25">
      <c r="A53" t="s">
        <v>1377</v>
      </c>
      <c r="B53" t="s">
        <v>1298</v>
      </c>
      <c r="G53" t="str">
        <f t="shared" si="3"/>
        <v>When:lamma</v>
      </c>
      <c r="J53" t="s">
        <v>1767</v>
      </c>
      <c r="L53">
        <v>7</v>
      </c>
      <c r="M53" t="s">
        <v>1825</v>
      </c>
      <c r="O53" t="s">
        <v>1653</v>
      </c>
      <c r="P53" t="s">
        <v>1654</v>
      </c>
    </row>
    <row r="54" spans="1:16" x14ac:dyDescent="0.25">
      <c r="A54" t="s">
        <v>1378</v>
      </c>
      <c r="B54" t="s">
        <v>1299</v>
      </c>
      <c r="G54" t="str">
        <f t="shared" si="3"/>
        <v>From:men</v>
      </c>
      <c r="J54" t="s">
        <v>1773</v>
      </c>
      <c r="L54">
        <v>7</v>
      </c>
      <c r="M54" t="s">
        <v>1826</v>
      </c>
    </row>
    <row r="55" spans="1:16" x14ac:dyDescent="0.25">
      <c r="A55" t="s">
        <v>1379</v>
      </c>
      <c r="B55" t="s">
        <v>528</v>
      </c>
      <c r="G55" t="str">
        <f t="shared" si="3"/>
        <v>On:3ala</v>
      </c>
      <c r="J55" t="s">
        <v>1669</v>
      </c>
      <c r="L55">
        <v>7</v>
      </c>
      <c r="M55" t="s">
        <v>1827</v>
      </c>
    </row>
    <row r="56" spans="1:16" x14ac:dyDescent="0.25">
      <c r="A56" t="s">
        <v>1380</v>
      </c>
      <c r="B56" t="s">
        <v>1300</v>
      </c>
      <c r="G56" t="str">
        <f t="shared" si="3"/>
        <v>About:3an</v>
      </c>
      <c r="J56" t="s">
        <v>1764</v>
      </c>
      <c r="L56">
        <v>7</v>
      </c>
      <c r="M56" t="s">
        <v>1828</v>
      </c>
    </row>
    <row r="57" spans="1:16" x14ac:dyDescent="0.25">
      <c r="A57" t="s">
        <v>1381</v>
      </c>
      <c r="B57" t="s">
        <v>1301</v>
      </c>
      <c r="G57" t="str">
        <f t="shared" si="3"/>
        <v>That:enno</v>
      </c>
      <c r="J57" t="s">
        <v>1744</v>
      </c>
      <c r="L57">
        <v>7</v>
      </c>
      <c r="M57" t="s">
        <v>1829</v>
      </c>
    </row>
    <row r="58" spans="1:16" x14ac:dyDescent="0.25">
      <c r="A58" t="s">
        <v>1382</v>
      </c>
      <c r="B58" t="s">
        <v>1302</v>
      </c>
      <c r="G58" t="str">
        <f t="shared" si="3"/>
        <v>Because:la'enno</v>
      </c>
      <c r="J58" t="s">
        <v>1698</v>
      </c>
      <c r="L58">
        <v>7</v>
      </c>
      <c r="M58" t="s">
        <v>1830</v>
      </c>
    </row>
    <row r="59" spans="1:16" x14ac:dyDescent="0.25">
      <c r="A59" t="s">
        <v>1389</v>
      </c>
      <c r="B59" t="s">
        <v>535</v>
      </c>
      <c r="G59" t="str">
        <f t="shared" si="3"/>
        <v>Shirt:ameess</v>
      </c>
      <c r="J59" t="s">
        <v>1703</v>
      </c>
      <c r="L59">
        <v>7</v>
      </c>
      <c r="M59" t="s">
        <v>1831</v>
      </c>
    </row>
    <row r="60" spans="1:16" x14ac:dyDescent="0.25">
      <c r="A60" t="s">
        <v>1390</v>
      </c>
      <c r="B60" t="s">
        <v>536</v>
      </c>
      <c r="G60" t="str">
        <f t="shared" si="3"/>
        <v>High heels:scarbeeneh</v>
      </c>
      <c r="J60" t="s">
        <v>1716</v>
      </c>
      <c r="L60">
        <v>8</v>
      </c>
      <c r="M60" t="s">
        <v>1832</v>
      </c>
    </row>
    <row r="61" spans="1:16" x14ac:dyDescent="0.25">
      <c r="A61" t="s">
        <v>1391</v>
      </c>
      <c r="B61" t="s">
        <v>208</v>
      </c>
      <c r="G61" t="str">
        <f t="shared" si="3"/>
        <v>Shoe:sobbat</v>
      </c>
      <c r="J61" t="s">
        <v>1685</v>
      </c>
      <c r="L61">
        <v>8</v>
      </c>
      <c r="M61" t="s">
        <v>1833</v>
      </c>
    </row>
    <row r="62" spans="1:16" x14ac:dyDescent="0.25">
      <c r="A62" t="s">
        <v>209</v>
      </c>
      <c r="B62" t="s">
        <v>210</v>
      </c>
      <c r="G62" t="str">
        <f t="shared" si="3"/>
        <v>Dress:fostan</v>
      </c>
      <c r="J62" t="s">
        <v>1668</v>
      </c>
      <c r="L62">
        <v>8</v>
      </c>
      <c r="M62" t="s">
        <v>1834</v>
      </c>
    </row>
    <row r="63" spans="1:16" x14ac:dyDescent="0.25">
      <c r="A63" t="s">
        <v>1392</v>
      </c>
      <c r="B63" t="s">
        <v>537</v>
      </c>
      <c r="G63" t="str">
        <f t="shared" si="3"/>
        <v>Glasses:3wayneit</v>
      </c>
      <c r="J63" t="s">
        <v>1732</v>
      </c>
      <c r="L63">
        <v>8</v>
      </c>
      <c r="M63" t="s">
        <v>1835</v>
      </c>
    </row>
    <row r="64" spans="1:16" x14ac:dyDescent="0.25">
      <c r="A64" t="s">
        <v>224</v>
      </c>
      <c r="B64" t="s">
        <v>546</v>
      </c>
      <c r="G64" t="str">
        <f t="shared" si="3"/>
        <v>Family:3ayleh</v>
      </c>
      <c r="J64" t="s">
        <v>1706</v>
      </c>
      <c r="L64">
        <v>8</v>
      </c>
      <c r="M64" t="s">
        <v>1836</v>
      </c>
    </row>
    <row r="65" spans="1:13" x14ac:dyDescent="0.25">
      <c r="A65" t="s">
        <v>243</v>
      </c>
      <c r="B65" t="s">
        <v>244</v>
      </c>
      <c r="G65" t="str">
        <f t="shared" ref="G65:G96" si="4">A65&amp;":"&amp;B65</f>
        <v>I:ana</v>
      </c>
      <c r="J65" t="s">
        <v>1690</v>
      </c>
      <c r="L65">
        <v>8</v>
      </c>
      <c r="M65" t="s">
        <v>1837</v>
      </c>
    </row>
    <row r="66" spans="1:13" x14ac:dyDescent="0.25">
      <c r="A66" t="s">
        <v>1367</v>
      </c>
      <c r="B66" t="s">
        <v>247</v>
      </c>
      <c r="G66" t="str">
        <f t="shared" si="4"/>
        <v>He:howeh</v>
      </c>
      <c r="J66" t="s">
        <v>1694</v>
      </c>
      <c r="L66">
        <v>8</v>
      </c>
      <c r="M66" t="s">
        <v>1838</v>
      </c>
    </row>
    <row r="67" spans="1:13" x14ac:dyDescent="0.25">
      <c r="A67" t="s">
        <v>1368</v>
      </c>
      <c r="B67" t="s">
        <v>248</v>
      </c>
      <c r="G67" t="str">
        <f t="shared" si="4"/>
        <v>She:hiyeh</v>
      </c>
      <c r="J67" t="s">
        <v>1702</v>
      </c>
      <c r="L67">
        <v>8</v>
      </c>
      <c r="M67" t="s">
        <v>1839</v>
      </c>
    </row>
    <row r="68" spans="1:13" x14ac:dyDescent="0.25">
      <c r="A68" t="s">
        <v>1344</v>
      </c>
      <c r="B68" t="s">
        <v>553</v>
      </c>
      <c r="G68" t="str">
        <f t="shared" si="4"/>
        <v>We:neHna</v>
      </c>
      <c r="J68" t="s">
        <v>1715</v>
      </c>
      <c r="L68">
        <v>8</v>
      </c>
      <c r="M68" t="s">
        <v>1840</v>
      </c>
    </row>
    <row r="69" spans="1:13" x14ac:dyDescent="0.25">
      <c r="A69" t="s">
        <v>1370</v>
      </c>
      <c r="B69" t="s">
        <v>251</v>
      </c>
      <c r="G69" t="str">
        <f t="shared" si="4"/>
        <v>They:henneh</v>
      </c>
      <c r="J69" t="s">
        <v>1741</v>
      </c>
      <c r="L69">
        <v>9</v>
      </c>
      <c r="M69" t="s">
        <v>1841</v>
      </c>
    </row>
    <row r="70" spans="1:13" x14ac:dyDescent="0.25">
      <c r="A70" t="s">
        <v>276</v>
      </c>
      <c r="B70" t="s">
        <v>573</v>
      </c>
      <c r="G70" t="str">
        <f t="shared" si="4"/>
        <v>Monday:tanein</v>
      </c>
      <c r="J70" t="s">
        <v>1763</v>
      </c>
      <c r="L70">
        <v>9</v>
      </c>
      <c r="M70" t="s">
        <v>1842</v>
      </c>
    </row>
    <row r="71" spans="1:13" x14ac:dyDescent="0.25">
      <c r="A71" t="s">
        <v>284</v>
      </c>
      <c r="B71" t="s">
        <v>574</v>
      </c>
      <c r="G71" t="str">
        <f t="shared" si="4"/>
        <v>Tuesday:taleita</v>
      </c>
      <c r="J71" t="s">
        <v>1705</v>
      </c>
      <c r="L71">
        <v>9</v>
      </c>
      <c r="M71" t="s">
        <v>1843</v>
      </c>
    </row>
    <row r="72" spans="1:13" x14ac:dyDescent="0.25">
      <c r="A72" t="s">
        <v>1547</v>
      </c>
      <c r="B72" t="s">
        <v>575</v>
      </c>
      <c r="G72" t="str">
        <f t="shared" si="4"/>
        <v>Wednsday:orb3a</v>
      </c>
      <c r="J72" t="s">
        <v>1696</v>
      </c>
      <c r="L72">
        <v>9</v>
      </c>
      <c r="M72" t="s">
        <v>1844</v>
      </c>
    </row>
    <row r="73" spans="1:13" x14ac:dyDescent="0.25">
      <c r="A73" t="s">
        <v>285</v>
      </c>
      <c r="B73" t="s">
        <v>576</v>
      </c>
      <c r="G73" t="str">
        <f t="shared" si="4"/>
        <v>Thursday:khamees</v>
      </c>
      <c r="J73" t="s">
        <v>1755</v>
      </c>
      <c r="L73">
        <v>9</v>
      </c>
      <c r="M73" t="s">
        <v>1845</v>
      </c>
    </row>
    <row r="74" spans="1:13" x14ac:dyDescent="0.25">
      <c r="A74" t="s">
        <v>286</v>
      </c>
      <c r="B74" t="s">
        <v>577</v>
      </c>
      <c r="G74" t="str">
        <f t="shared" si="4"/>
        <v>Friday:jem3a</v>
      </c>
      <c r="J74" t="s">
        <v>1738</v>
      </c>
      <c r="L74">
        <v>9</v>
      </c>
      <c r="M74" t="s">
        <v>1846</v>
      </c>
    </row>
    <row r="75" spans="1:13" x14ac:dyDescent="0.25">
      <c r="A75" t="s">
        <v>287</v>
      </c>
      <c r="B75" t="s">
        <v>282</v>
      </c>
      <c r="G75" t="str">
        <f t="shared" si="4"/>
        <v>Saturday:sabet</v>
      </c>
      <c r="J75" t="s">
        <v>1710</v>
      </c>
      <c r="L75">
        <v>10</v>
      </c>
      <c r="M75" t="s">
        <v>1847</v>
      </c>
    </row>
    <row r="76" spans="1:13" x14ac:dyDescent="0.25">
      <c r="A76" t="s">
        <v>288</v>
      </c>
      <c r="B76" t="s">
        <v>578</v>
      </c>
      <c r="G76" t="str">
        <f t="shared" si="4"/>
        <v>Sunday:aHad</v>
      </c>
      <c r="J76" t="s">
        <v>1766</v>
      </c>
      <c r="L76">
        <v>10</v>
      </c>
      <c r="M76" t="s">
        <v>1848</v>
      </c>
    </row>
    <row r="77" spans="1:13" x14ac:dyDescent="0.25">
      <c r="A77" t="s">
        <v>1528</v>
      </c>
      <c r="B77" t="s">
        <v>360</v>
      </c>
      <c r="G77" t="str">
        <f t="shared" si="4"/>
        <v>Rice:rezz</v>
      </c>
      <c r="J77" t="s">
        <v>1722</v>
      </c>
      <c r="L77">
        <v>10</v>
      </c>
      <c r="M77" t="s">
        <v>1849</v>
      </c>
    </row>
    <row r="78" spans="1:13" x14ac:dyDescent="0.25">
      <c r="A78" t="s">
        <v>1529</v>
      </c>
      <c r="B78" t="s">
        <v>361</v>
      </c>
      <c r="G78" t="str">
        <f t="shared" si="4"/>
        <v>Button:zerr</v>
      </c>
      <c r="J78" t="s">
        <v>1677</v>
      </c>
      <c r="L78">
        <v>10</v>
      </c>
      <c r="M78" t="s">
        <v>1850</v>
      </c>
    </row>
    <row r="79" spans="1:13" x14ac:dyDescent="0.25">
      <c r="A79" t="s">
        <v>1530</v>
      </c>
      <c r="B79" t="s">
        <v>362</v>
      </c>
      <c r="G79" t="str">
        <f t="shared" si="4"/>
        <v>Horn:zammour</v>
      </c>
      <c r="J79" t="s">
        <v>1683</v>
      </c>
      <c r="L79">
        <v>10</v>
      </c>
      <c r="M79" t="s">
        <v>1851</v>
      </c>
    </row>
    <row r="80" spans="1:13" x14ac:dyDescent="0.25">
      <c r="A80" t="s">
        <v>1531</v>
      </c>
      <c r="B80" t="s">
        <v>363</v>
      </c>
      <c r="G80" t="str">
        <f t="shared" si="4"/>
        <v>Gun:fared</v>
      </c>
      <c r="J80" t="s">
        <v>1721</v>
      </c>
      <c r="L80">
        <v>11</v>
      </c>
      <c r="M80" t="s">
        <v>1852</v>
      </c>
    </row>
    <row r="81" spans="1:13" x14ac:dyDescent="0.25">
      <c r="A81" t="s">
        <v>1443</v>
      </c>
      <c r="B81" t="s">
        <v>653</v>
      </c>
      <c r="G81" t="str">
        <f t="shared" si="4"/>
        <v>Anger:to3seeb</v>
      </c>
      <c r="J81" t="s">
        <v>1768</v>
      </c>
      <c r="L81">
        <v>11</v>
      </c>
      <c r="M81" t="s">
        <v>1853</v>
      </c>
    </row>
    <row r="82" spans="1:13" x14ac:dyDescent="0.25">
      <c r="A82" t="s">
        <v>1445</v>
      </c>
      <c r="B82" t="s">
        <v>656</v>
      </c>
      <c r="G82" t="str">
        <f t="shared" si="4"/>
        <v>Optimism:tafei'oul</v>
      </c>
      <c r="J82" t="s">
        <v>1682</v>
      </c>
      <c r="L82">
        <v>11</v>
      </c>
      <c r="M82" t="s">
        <v>1854</v>
      </c>
    </row>
    <row r="83" spans="1:13" x14ac:dyDescent="0.25">
      <c r="A83" t="s">
        <v>1446</v>
      </c>
      <c r="B83" t="s">
        <v>658</v>
      </c>
      <c r="G83" t="str">
        <f t="shared" si="4"/>
        <v>Pessimism:tashei'oum</v>
      </c>
      <c r="J83" t="s">
        <v>1765</v>
      </c>
      <c r="L83">
        <v>11</v>
      </c>
      <c r="M83" t="s">
        <v>1855</v>
      </c>
    </row>
    <row r="84" spans="1:13" x14ac:dyDescent="0.25">
      <c r="A84" t="s">
        <v>1447</v>
      </c>
      <c r="B84" t="s">
        <v>411</v>
      </c>
      <c r="G84" t="str">
        <f t="shared" si="4"/>
        <v>Orgasm:nashweh</v>
      </c>
      <c r="J84" t="s">
        <v>1735</v>
      </c>
      <c r="L84">
        <v>11</v>
      </c>
      <c r="M84" t="s">
        <v>1856</v>
      </c>
    </row>
    <row r="85" spans="1:13" x14ac:dyDescent="0.25">
      <c r="A85" t="s">
        <v>1448</v>
      </c>
      <c r="B85" t="s">
        <v>412</v>
      </c>
      <c r="G85" t="str">
        <f t="shared" si="4"/>
        <v>Pride:fakher</v>
      </c>
      <c r="J85" t="s">
        <v>1680</v>
      </c>
      <c r="L85">
        <v>12</v>
      </c>
      <c r="M85" t="s">
        <v>1857</v>
      </c>
    </row>
    <row r="86" spans="1:13" x14ac:dyDescent="0.25">
      <c r="A86" t="s">
        <v>1449</v>
      </c>
      <c r="B86" t="s">
        <v>413</v>
      </c>
      <c r="G86" t="str">
        <f t="shared" si="4"/>
        <v>Shyness:khajal</v>
      </c>
      <c r="J86" t="s">
        <v>1749</v>
      </c>
      <c r="L86">
        <v>12</v>
      </c>
      <c r="M86" t="s">
        <v>1858</v>
      </c>
    </row>
    <row r="87" spans="1:13" x14ac:dyDescent="0.25">
      <c r="A87" t="s">
        <v>1450</v>
      </c>
      <c r="B87" t="s">
        <v>414</v>
      </c>
      <c r="G87" t="str">
        <f t="shared" si="4"/>
        <v>Anxiety:ala'</v>
      </c>
      <c r="J87" t="s">
        <v>1742</v>
      </c>
      <c r="L87">
        <v>12</v>
      </c>
      <c r="M87" t="s">
        <v>1859</v>
      </c>
    </row>
    <row r="88" spans="1:13" x14ac:dyDescent="0.25">
      <c r="A88" t="s">
        <v>1356</v>
      </c>
      <c r="B88" t="s">
        <v>420</v>
      </c>
      <c r="G88" t="str">
        <f t="shared" si="4"/>
        <v>Sun:shames</v>
      </c>
      <c r="J88" t="s">
        <v>1739</v>
      </c>
      <c r="L88">
        <v>12</v>
      </c>
      <c r="M88" t="s">
        <v>1860</v>
      </c>
    </row>
    <row r="89" spans="1:13" x14ac:dyDescent="0.25">
      <c r="A89" t="s">
        <v>1532</v>
      </c>
      <c r="B89" t="s">
        <v>416</v>
      </c>
      <c r="G89" t="str">
        <f t="shared" si="4"/>
        <v>Fish:samak</v>
      </c>
      <c r="J89" t="s">
        <v>1688</v>
      </c>
      <c r="L89">
        <v>13</v>
      </c>
      <c r="M89" t="s">
        <v>1861</v>
      </c>
    </row>
    <row r="90" spans="1:13" x14ac:dyDescent="0.25">
      <c r="A90" t="s">
        <v>1533</v>
      </c>
      <c r="B90" t="s">
        <v>662</v>
      </c>
      <c r="G90" t="str">
        <f t="shared" si="4"/>
        <v>Guardian:Haares</v>
      </c>
      <c r="J90" t="s">
        <v>1678</v>
      </c>
      <c r="L90">
        <v>13</v>
      </c>
      <c r="M90" t="s">
        <v>1862</v>
      </c>
    </row>
    <row r="91" spans="1:13" x14ac:dyDescent="0.25">
      <c r="A91" t="s">
        <v>1534</v>
      </c>
      <c r="B91" t="s">
        <v>663</v>
      </c>
      <c r="G91" t="str">
        <f t="shared" si="4"/>
        <v>Grass:hasheesh</v>
      </c>
      <c r="J91" t="s">
        <v>1734</v>
      </c>
      <c r="L91">
        <v>14</v>
      </c>
      <c r="M91" t="s">
        <v>1863</v>
      </c>
    </row>
    <row r="92" spans="1:13" x14ac:dyDescent="0.25">
      <c r="A92" t="s">
        <v>1363</v>
      </c>
      <c r="B92" t="s">
        <v>669</v>
      </c>
      <c r="G92" t="str">
        <f t="shared" si="4"/>
        <v>Grey:rmeideh</v>
      </c>
      <c r="J92" t="s">
        <v>1671</v>
      </c>
      <c r="L92">
        <v>14</v>
      </c>
      <c r="M92" t="s">
        <v>1864</v>
      </c>
    </row>
    <row r="93" spans="1:13" x14ac:dyDescent="0.25">
      <c r="A93" t="s">
        <v>1364</v>
      </c>
      <c r="B93" t="s">
        <v>428</v>
      </c>
      <c r="G93" t="str">
        <f t="shared" si="4"/>
        <v>Purple:banafsajeh</v>
      </c>
      <c r="J93" t="s">
        <v>1751</v>
      </c>
      <c r="L93">
        <v>15</v>
      </c>
      <c r="M93" t="s">
        <v>1865</v>
      </c>
    </row>
    <row r="94" spans="1:13" x14ac:dyDescent="0.25">
      <c r="A94" t="s">
        <v>1365</v>
      </c>
      <c r="B94" t="s">
        <v>429</v>
      </c>
      <c r="G94" t="str">
        <f t="shared" si="4"/>
        <v>Pink:zahreh</v>
      </c>
      <c r="J94" t="s">
        <v>1700</v>
      </c>
      <c r="L94">
        <v>15</v>
      </c>
      <c r="M94" t="s">
        <v>1866</v>
      </c>
    </row>
    <row r="95" spans="1:13" x14ac:dyDescent="0.25">
      <c r="A95" t="s">
        <v>1366</v>
      </c>
      <c r="B95" t="s">
        <v>430</v>
      </c>
      <c r="G95" t="str">
        <f t="shared" si="4"/>
        <v>Brown:benneh</v>
      </c>
      <c r="J95" t="s">
        <v>1750</v>
      </c>
      <c r="L95">
        <v>16</v>
      </c>
      <c r="M95" t="s">
        <v>1867</v>
      </c>
    </row>
    <row r="96" spans="1:13" x14ac:dyDescent="0.25">
      <c r="A96" t="s">
        <v>1659</v>
      </c>
      <c r="B96" t="s">
        <v>1660</v>
      </c>
      <c r="G96" t="str">
        <f t="shared" si="4"/>
        <v>ice cream:bouza</v>
      </c>
      <c r="J96" t="s">
        <v>1720</v>
      </c>
      <c r="L96">
        <v>16</v>
      </c>
      <c r="M96" t="s">
        <v>1868</v>
      </c>
    </row>
    <row r="97" spans="1:13" x14ac:dyDescent="0.25">
      <c r="A97" t="s">
        <v>1661</v>
      </c>
      <c r="B97" t="s">
        <v>1662</v>
      </c>
      <c r="G97" t="str">
        <f t="shared" ref="G97:G106" si="5">A97&amp;":"&amp;B97</f>
        <v>nearest:a'rab</v>
      </c>
      <c r="J97" t="s">
        <v>1761</v>
      </c>
      <c r="L97">
        <v>17</v>
      </c>
      <c r="M97" t="s">
        <v>1869</v>
      </c>
    </row>
    <row r="98" spans="1:13" x14ac:dyDescent="0.25">
      <c r="A98" t="s">
        <v>1353</v>
      </c>
      <c r="B98" t="s">
        <v>691</v>
      </c>
      <c r="G98" t="str">
        <f t="shared" si="5"/>
        <v>Rose:wardeh</v>
      </c>
      <c r="J98" t="s">
        <v>1687</v>
      </c>
      <c r="L98">
        <v>17</v>
      </c>
      <c r="M98" t="s">
        <v>1870</v>
      </c>
    </row>
    <row r="99" spans="1:13" x14ac:dyDescent="0.25">
      <c r="A99" t="s">
        <v>1427</v>
      </c>
      <c r="B99" t="s">
        <v>714</v>
      </c>
      <c r="G99" t="str">
        <f t="shared" si="5"/>
        <v>Friendship:sadaa'a</v>
      </c>
      <c r="J99" t="s">
        <v>1692</v>
      </c>
      <c r="L99">
        <v>17</v>
      </c>
      <c r="M99" t="s">
        <v>1871</v>
      </c>
    </row>
    <row r="100" spans="1:13" x14ac:dyDescent="0.25">
      <c r="A100" t="s">
        <v>1536</v>
      </c>
      <c r="B100" t="s">
        <v>692</v>
      </c>
      <c r="G100" t="str">
        <f t="shared" si="5"/>
        <v>Flower:zahra</v>
      </c>
      <c r="J100" t="s">
        <v>1717</v>
      </c>
      <c r="L100">
        <v>18</v>
      </c>
      <c r="M100" t="s">
        <v>1872</v>
      </c>
    </row>
    <row r="101" spans="1:13" x14ac:dyDescent="0.25">
      <c r="A101" t="s">
        <v>1535</v>
      </c>
      <c r="B101" t="s">
        <v>685</v>
      </c>
      <c r="G101" t="str">
        <f t="shared" si="5"/>
        <v>Improvisation:ertijeil</v>
      </c>
      <c r="J101" t="s">
        <v>1708</v>
      </c>
      <c r="L101">
        <v>18</v>
      </c>
      <c r="M101" t="s">
        <v>1873</v>
      </c>
    </row>
    <row r="102" spans="1:13" x14ac:dyDescent="0.25">
      <c r="A102" t="s">
        <v>1663</v>
      </c>
      <c r="B102" t="s">
        <v>1664</v>
      </c>
      <c r="G102" t="str">
        <f t="shared" si="5"/>
        <v>coffee:ahweh</v>
      </c>
      <c r="J102" t="s">
        <v>1752</v>
      </c>
      <c r="L102">
        <v>19</v>
      </c>
      <c r="M102" t="s">
        <v>1874</v>
      </c>
    </row>
    <row r="103" spans="1:13" x14ac:dyDescent="0.25">
      <c r="A103" t="s">
        <v>679</v>
      </c>
      <c r="B103" t="s">
        <v>706</v>
      </c>
      <c r="G103" t="str">
        <f t="shared" si="5"/>
        <v>I drink coffee everyday:beshrab ahweh kel yom</v>
      </c>
      <c r="J103" t="s">
        <v>1681</v>
      </c>
      <c r="L103">
        <v>19</v>
      </c>
      <c r="M103" t="s">
        <v>1875</v>
      </c>
    </row>
    <row r="104" spans="1:13" x14ac:dyDescent="0.25">
      <c r="A104" t="s">
        <v>1665</v>
      </c>
      <c r="B104" t="s">
        <v>1666</v>
      </c>
      <c r="G104" t="str">
        <f t="shared" si="5"/>
        <v>kids:wleid</v>
      </c>
      <c r="J104" t="s">
        <v>1760</v>
      </c>
      <c r="L104">
        <v>20</v>
      </c>
      <c r="M104" t="s">
        <v>1876</v>
      </c>
    </row>
    <row r="105" spans="1:13" x14ac:dyDescent="0.25">
      <c r="A105" t="s">
        <v>1667</v>
      </c>
      <c r="B105" t="s">
        <v>460</v>
      </c>
      <c r="G105" t="str">
        <f t="shared" si="5"/>
        <v>kiss :bawseh</v>
      </c>
      <c r="J105" t="s">
        <v>1676</v>
      </c>
      <c r="L105">
        <v>21</v>
      </c>
    </row>
    <row r="106" spans="1:13" x14ac:dyDescent="0.25">
      <c r="A106" t="s">
        <v>39</v>
      </c>
      <c r="B106" t="s">
        <v>458</v>
      </c>
      <c r="G106" t="str">
        <f t="shared" si="5"/>
        <v>Heart :aleb</v>
      </c>
      <c r="J106" t="s">
        <v>1713</v>
      </c>
      <c r="L106">
        <v>22</v>
      </c>
    </row>
  </sheetData>
  <sortState ref="J1:L353">
    <sortCondition ref="L1:L35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A9" sqref="A1:A9"/>
    </sheetView>
  </sheetViews>
  <sheetFormatPr defaultRowHeight="15" x14ac:dyDescent="0.25"/>
  <sheetData>
    <row r="1" spans="1:6" x14ac:dyDescent="0.25">
      <c r="A1" t="s">
        <v>230</v>
      </c>
      <c r="B1">
        <v>1</v>
      </c>
      <c r="F1">
        <v>1</v>
      </c>
    </row>
    <row r="2" spans="1:6" x14ac:dyDescent="0.25">
      <c r="A2" t="s">
        <v>1881</v>
      </c>
      <c r="B2">
        <v>1</v>
      </c>
      <c r="F2">
        <v>1</v>
      </c>
    </row>
    <row r="3" spans="1:6" x14ac:dyDescent="0.25">
      <c r="A3" t="s">
        <v>1625</v>
      </c>
      <c r="B3">
        <v>1</v>
      </c>
      <c r="F3">
        <v>1</v>
      </c>
    </row>
    <row r="4" spans="1:6" x14ac:dyDescent="0.25">
      <c r="A4" t="s">
        <v>1894</v>
      </c>
      <c r="B4">
        <v>1</v>
      </c>
      <c r="F4">
        <v>1</v>
      </c>
    </row>
    <row r="5" spans="1:6" x14ac:dyDescent="0.25">
      <c r="A5" t="s">
        <v>474</v>
      </c>
      <c r="B5">
        <v>2</v>
      </c>
      <c r="F5">
        <v>1</v>
      </c>
    </row>
    <row r="6" spans="1:6" x14ac:dyDescent="0.25">
      <c r="A6" t="s">
        <v>250</v>
      </c>
      <c r="B6">
        <v>2</v>
      </c>
      <c r="F6">
        <v>1</v>
      </c>
    </row>
    <row r="7" spans="1:6" x14ac:dyDescent="0.25">
      <c r="A7" t="s">
        <v>1885</v>
      </c>
      <c r="B7">
        <v>2</v>
      </c>
      <c r="F7">
        <v>1</v>
      </c>
    </row>
    <row r="8" spans="1:6" x14ac:dyDescent="0.25">
      <c r="A8" t="s">
        <v>1633</v>
      </c>
      <c r="B8">
        <v>2</v>
      </c>
      <c r="F8">
        <v>1</v>
      </c>
    </row>
    <row r="9" spans="1:6" x14ac:dyDescent="0.25">
      <c r="A9" t="s">
        <v>1654</v>
      </c>
      <c r="B9">
        <v>3</v>
      </c>
      <c r="F9">
        <v>1</v>
      </c>
    </row>
    <row r="10" spans="1:6" x14ac:dyDescent="0.25">
      <c r="A10" t="s">
        <v>506</v>
      </c>
      <c r="B10">
        <v>3</v>
      </c>
      <c r="F10">
        <v>1</v>
      </c>
    </row>
    <row r="11" spans="1:6" x14ac:dyDescent="0.25">
      <c r="A11" t="s">
        <v>576</v>
      </c>
      <c r="B11">
        <v>3</v>
      </c>
      <c r="F11">
        <v>1</v>
      </c>
    </row>
    <row r="12" spans="1:6" x14ac:dyDescent="0.25">
      <c r="A12" t="s">
        <v>1889</v>
      </c>
      <c r="B12">
        <v>3</v>
      </c>
      <c r="F12">
        <v>1</v>
      </c>
    </row>
    <row r="13" spans="1:6" x14ac:dyDescent="0.25">
      <c r="A13" t="s">
        <v>1896</v>
      </c>
      <c r="B13">
        <v>3</v>
      </c>
      <c r="F13">
        <v>1</v>
      </c>
    </row>
    <row r="14" spans="1:6" x14ac:dyDescent="0.25">
      <c r="A14" t="s">
        <v>1887</v>
      </c>
      <c r="B14">
        <v>1</v>
      </c>
      <c r="F14">
        <v>2</v>
      </c>
    </row>
    <row r="15" spans="1:6" x14ac:dyDescent="0.25">
      <c r="A15" t="s">
        <v>1892</v>
      </c>
      <c r="B15">
        <v>1</v>
      </c>
      <c r="F15">
        <v>2</v>
      </c>
    </row>
    <row r="16" spans="1:6" x14ac:dyDescent="0.25">
      <c r="A16" t="s">
        <v>696</v>
      </c>
      <c r="B16">
        <v>1</v>
      </c>
      <c r="F16">
        <v>2</v>
      </c>
    </row>
    <row r="17" spans="1:6" x14ac:dyDescent="0.25">
      <c r="A17" t="s">
        <v>573</v>
      </c>
      <c r="B17">
        <v>1</v>
      </c>
      <c r="F17">
        <v>2</v>
      </c>
    </row>
    <row r="18" spans="1:6" x14ac:dyDescent="0.25">
      <c r="A18" t="s">
        <v>1660</v>
      </c>
      <c r="B18">
        <v>2</v>
      </c>
      <c r="F18">
        <v>2</v>
      </c>
    </row>
    <row r="19" spans="1:6" x14ac:dyDescent="0.25">
      <c r="A19" t="s">
        <v>251</v>
      </c>
      <c r="B19">
        <v>2</v>
      </c>
      <c r="F19">
        <v>2</v>
      </c>
    </row>
    <row r="20" spans="1:6" x14ac:dyDescent="0.25">
      <c r="A20" t="s">
        <v>1884</v>
      </c>
      <c r="B20">
        <v>2</v>
      </c>
      <c r="F20">
        <v>2</v>
      </c>
    </row>
    <row r="21" spans="1:6" x14ac:dyDescent="0.25">
      <c r="A21" t="s">
        <v>536</v>
      </c>
      <c r="B21">
        <v>2</v>
      </c>
      <c r="F21">
        <v>2</v>
      </c>
    </row>
    <row r="22" spans="1:6" x14ac:dyDescent="0.25">
      <c r="A22" t="s">
        <v>244</v>
      </c>
      <c r="B22">
        <v>3</v>
      </c>
      <c r="F22">
        <v>2</v>
      </c>
    </row>
    <row r="23" spans="1:6" x14ac:dyDescent="0.25">
      <c r="A23" t="s">
        <v>1879</v>
      </c>
      <c r="B23">
        <v>3</v>
      </c>
      <c r="F23">
        <v>2</v>
      </c>
    </row>
    <row r="24" spans="1:6" x14ac:dyDescent="0.25">
      <c r="A24" t="s">
        <v>1886</v>
      </c>
      <c r="B24">
        <v>3</v>
      </c>
      <c r="F24">
        <v>2</v>
      </c>
    </row>
    <row r="25" spans="1:6" x14ac:dyDescent="0.25">
      <c r="A25" t="s">
        <v>1888</v>
      </c>
      <c r="B25">
        <v>3</v>
      </c>
      <c r="F25">
        <v>2</v>
      </c>
    </row>
    <row r="26" spans="1:6" x14ac:dyDescent="0.25">
      <c r="A26" t="s">
        <v>1890</v>
      </c>
      <c r="B26">
        <v>1</v>
      </c>
      <c r="F26">
        <v>3</v>
      </c>
    </row>
    <row r="27" spans="1:6" x14ac:dyDescent="0.25">
      <c r="A27" t="s">
        <v>1878</v>
      </c>
      <c r="B27">
        <v>1</v>
      </c>
      <c r="F27">
        <v>3</v>
      </c>
    </row>
    <row r="28" spans="1:6" x14ac:dyDescent="0.25">
      <c r="A28" t="s">
        <v>1883</v>
      </c>
      <c r="B28">
        <v>1</v>
      </c>
      <c r="F28">
        <v>3</v>
      </c>
    </row>
    <row r="29" spans="1:6" x14ac:dyDescent="0.25">
      <c r="A29" t="s">
        <v>1880</v>
      </c>
      <c r="B29">
        <v>1</v>
      </c>
      <c r="F29">
        <v>3</v>
      </c>
    </row>
    <row r="30" spans="1:6" x14ac:dyDescent="0.25">
      <c r="A30" t="s">
        <v>1882</v>
      </c>
      <c r="B30">
        <v>1</v>
      </c>
      <c r="F30">
        <v>3</v>
      </c>
    </row>
    <row r="31" spans="1:6" x14ac:dyDescent="0.25">
      <c r="A31" t="s">
        <v>486</v>
      </c>
      <c r="B31">
        <v>2</v>
      </c>
      <c r="F31">
        <v>3</v>
      </c>
    </row>
    <row r="32" spans="1:6" x14ac:dyDescent="0.25">
      <c r="A32" t="s">
        <v>226</v>
      </c>
      <c r="B32">
        <v>2</v>
      </c>
      <c r="F32">
        <v>3</v>
      </c>
    </row>
    <row r="33" spans="1:6" x14ac:dyDescent="0.25">
      <c r="A33" t="s">
        <v>1895</v>
      </c>
      <c r="B33">
        <v>2</v>
      </c>
      <c r="F33">
        <v>3</v>
      </c>
    </row>
    <row r="34" spans="1:6" x14ac:dyDescent="0.25">
      <c r="A34" t="s">
        <v>1893</v>
      </c>
      <c r="B34">
        <v>2</v>
      </c>
      <c r="F34">
        <v>3</v>
      </c>
    </row>
    <row r="35" spans="1:6" x14ac:dyDescent="0.25">
      <c r="A35" t="s">
        <v>1891</v>
      </c>
      <c r="B35">
        <v>3</v>
      </c>
      <c r="F35">
        <v>3</v>
      </c>
    </row>
    <row r="36" spans="1:6" x14ac:dyDescent="0.25">
      <c r="A36" t="s">
        <v>248</v>
      </c>
      <c r="B36">
        <v>3</v>
      </c>
      <c r="F36">
        <v>3</v>
      </c>
    </row>
    <row r="37" spans="1:6" x14ac:dyDescent="0.25">
      <c r="A37" t="s">
        <v>416</v>
      </c>
      <c r="B37">
        <v>3</v>
      </c>
      <c r="F37">
        <v>3</v>
      </c>
    </row>
  </sheetData>
  <sortState ref="A1:F48">
    <sortCondition ref="F1:F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crosswords</vt:lpstr>
      <vt:lpstr>wordsearch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</dc:creator>
  <cp:lastModifiedBy>naim_elhajj@hotmail.com</cp:lastModifiedBy>
  <dcterms:created xsi:type="dcterms:W3CDTF">2013-09-15T11:38:46Z</dcterms:created>
  <dcterms:modified xsi:type="dcterms:W3CDTF">2016-07-12T15:15:23Z</dcterms:modified>
</cp:coreProperties>
</file>