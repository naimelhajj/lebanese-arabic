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\Lebanese Arabic\Phrasebook Vol 2\"/>
    </mc:Choice>
  </mc:AlternateContent>
  <bookViews>
    <workbookView xWindow="240" yWindow="105" windowWidth="7815" windowHeight="9285"/>
  </bookViews>
  <sheets>
    <sheet name="Sheet1" sheetId="1" r:id="rId1"/>
    <sheet name="Sheet2" sheetId="2" r:id="rId2"/>
    <sheet name="Sheet3" sheetId="3" r:id="rId3"/>
    <sheet name="Sheet4" sheetId="4" r:id="rId4"/>
    <sheet name="crosswords" sheetId="5" r:id="rId5"/>
    <sheet name="wordsearch" sheetId="6" r:id="rId6"/>
  </sheets>
  <calcPr calcId="152511"/>
</workbook>
</file>

<file path=xl/calcChain.xml><?xml version="1.0" encoding="utf-8"?>
<calcChain xmlns="http://schemas.openxmlformats.org/spreadsheetml/2006/main">
  <c r="G52" i="5" l="1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1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1" i="5"/>
  <c r="C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1" i="5"/>
  <c r="A665" i="4"/>
  <c r="A693" i="4"/>
  <c r="A691" i="4"/>
  <c r="A689" i="4"/>
  <c r="A687" i="4"/>
  <c r="A685" i="4"/>
  <c r="A663" i="4"/>
  <c r="A659" i="4"/>
  <c r="A657" i="4"/>
  <c r="A655" i="4"/>
  <c r="A315" i="4"/>
  <c r="A313" i="4"/>
  <c r="A295" i="4"/>
  <c r="A293" i="4"/>
  <c r="A311" i="4"/>
  <c r="A241" i="4"/>
  <c r="A271" i="4"/>
  <c r="A269" i="4"/>
  <c r="A257" i="4"/>
  <c r="A695" i="4"/>
  <c r="A661" i="4"/>
  <c r="A683" i="4"/>
  <c r="A681" i="4"/>
  <c r="A679" i="4"/>
  <c r="A677" i="4"/>
  <c r="A675" i="4"/>
  <c r="A673" i="4"/>
  <c r="A671" i="4"/>
  <c r="A669" i="4"/>
  <c r="A667" i="4"/>
  <c r="A653" i="4"/>
  <c r="A651" i="4"/>
  <c r="A649" i="4"/>
  <c r="A647" i="4"/>
  <c r="A645" i="4"/>
  <c r="A643" i="4"/>
  <c r="A641" i="4"/>
  <c r="A639" i="4"/>
  <c r="A637" i="4"/>
  <c r="A635" i="4"/>
  <c r="A633" i="4"/>
  <c r="A631" i="4"/>
  <c r="A629" i="4"/>
  <c r="A627" i="4"/>
  <c r="A625" i="4"/>
  <c r="A623" i="4"/>
  <c r="A621" i="4"/>
  <c r="A619" i="4"/>
  <c r="A617" i="4"/>
  <c r="A615" i="4"/>
  <c r="A613" i="4"/>
  <c r="A611" i="4"/>
  <c r="A609" i="4"/>
  <c r="A607" i="4"/>
  <c r="A605" i="4"/>
  <c r="A603" i="4"/>
  <c r="A601" i="4"/>
  <c r="A599" i="4"/>
  <c r="A597" i="4"/>
  <c r="A595" i="4"/>
  <c r="A593" i="4"/>
  <c r="A591" i="4"/>
  <c r="A589" i="4"/>
  <c r="A587" i="4"/>
  <c r="A585" i="4"/>
  <c r="A583" i="4"/>
  <c r="A581" i="4"/>
  <c r="A579" i="4"/>
  <c r="A577" i="4"/>
  <c r="A575" i="4"/>
  <c r="A573" i="4"/>
  <c r="A571" i="4"/>
  <c r="A569" i="4"/>
  <c r="A567" i="4"/>
  <c r="A565" i="4"/>
  <c r="A563" i="4"/>
  <c r="A561" i="4"/>
  <c r="A559" i="4"/>
  <c r="A557" i="4"/>
  <c r="A555" i="4"/>
  <c r="A553" i="4"/>
  <c r="A551" i="4"/>
  <c r="A549" i="4"/>
  <c r="A547" i="4"/>
  <c r="A545" i="4"/>
  <c r="A543" i="4"/>
  <c r="A541" i="4"/>
  <c r="A539" i="4"/>
  <c r="A537" i="4"/>
  <c r="A535" i="4"/>
  <c r="A533" i="4"/>
  <c r="A531" i="4"/>
  <c r="A529" i="4"/>
  <c r="A527" i="4"/>
  <c r="A525" i="4"/>
  <c r="A523" i="4"/>
  <c r="A521" i="4"/>
  <c r="A519" i="4"/>
  <c r="A517" i="4"/>
  <c r="A515" i="4"/>
  <c r="A513" i="4"/>
  <c r="A511" i="4"/>
  <c r="A509" i="4"/>
  <c r="A507" i="4"/>
  <c r="A505" i="4"/>
  <c r="A503" i="4"/>
  <c r="A501" i="4"/>
  <c r="A499" i="4"/>
  <c r="A497" i="4"/>
  <c r="A495" i="4"/>
  <c r="A493" i="4"/>
  <c r="A491" i="4"/>
  <c r="A489" i="4"/>
  <c r="A487" i="4"/>
  <c r="A485" i="4"/>
  <c r="A483" i="4"/>
  <c r="A481" i="4"/>
  <c r="A479" i="4"/>
  <c r="A477" i="4"/>
  <c r="A475" i="4"/>
  <c r="A473" i="4"/>
  <c r="A471" i="4"/>
  <c r="A469" i="4"/>
  <c r="A467" i="4"/>
  <c r="A465" i="4"/>
  <c r="A463" i="4"/>
  <c r="A461" i="4"/>
  <c r="A459" i="4"/>
  <c r="A457" i="4"/>
  <c r="A455" i="4"/>
  <c r="A453" i="4"/>
  <c r="A451" i="4"/>
  <c r="A449" i="4"/>
  <c r="A447" i="4"/>
  <c r="A445" i="4"/>
  <c r="A443" i="4"/>
  <c r="A441" i="4"/>
  <c r="A439" i="4"/>
  <c r="A437" i="4"/>
  <c r="A435" i="4"/>
  <c r="A391" i="4"/>
  <c r="A389" i="4"/>
  <c r="A387" i="4"/>
  <c r="A385" i="4"/>
  <c r="A383" i="4"/>
  <c r="A433" i="4"/>
  <c r="A431" i="4"/>
  <c r="A429" i="4"/>
  <c r="A427" i="4"/>
  <c r="A425" i="4"/>
  <c r="A423" i="4"/>
  <c r="A421" i="4"/>
  <c r="A419" i="4"/>
  <c r="A417" i="4"/>
  <c r="A415" i="4"/>
  <c r="A413" i="4"/>
  <c r="A411" i="4"/>
  <c r="A409" i="4"/>
  <c r="A407" i="4"/>
  <c r="A405" i="4"/>
  <c r="A403" i="4"/>
  <c r="A401" i="4"/>
  <c r="A399" i="4"/>
  <c r="A397" i="4"/>
  <c r="A395" i="4"/>
  <c r="A393" i="4"/>
  <c r="A381" i="4"/>
  <c r="A379" i="4"/>
  <c r="A377" i="4"/>
  <c r="A375" i="4"/>
  <c r="A373" i="4"/>
  <c r="A371" i="4"/>
  <c r="A369" i="4"/>
  <c r="A367" i="4"/>
  <c r="A365" i="4"/>
  <c r="A363" i="4"/>
  <c r="A361" i="4"/>
  <c r="A359" i="4"/>
  <c r="A357" i="4"/>
  <c r="A355" i="4"/>
  <c r="A353" i="4"/>
  <c r="A351" i="4"/>
  <c r="A349" i="4"/>
  <c r="A347" i="4"/>
  <c r="A345" i="4"/>
  <c r="A343" i="4"/>
  <c r="A341" i="4"/>
  <c r="A339" i="4"/>
  <c r="A337" i="4"/>
  <c r="A335" i="4"/>
  <c r="A333" i="4"/>
  <c r="A331" i="4"/>
  <c r="A329" i="4"/>
  <c r="A327" i="4"/>
  <c r="A325" i="4"/>
  <c r="A323" i="4"/>
  <c r="A321" i="4"/>
  <c r="A319" i="4"/>
  <c r="A317" i="4"/>
  <c r="A309" i="4"/>
  <c r="A307" i="4"/>
  <c r="A305" i="4"/>
  <c r="A303" i="4"/>
  <c r="A301" i="4"/>
  <c r="A299" i="4"/>
  <c r="A291" i="4"/>
  <c r="A289" i="4"/>
  <c r="A263" i="4"/>
  <c r="A261" i="4"/>
  <c r="A259" i="4"/>
  <c r="A287" i="4"/>
  <c r="A285" i="4"/>
  <c r="A283" i="4"/>
  <c r="A281" i="4"/>
  <c r="A279" i="4"/>
  <c r="A277" i="4"/>
  <c r="A275" i="4"/>
  <c r="A273" i="4"/>
  <c r="A267" i="4"/>
  <c r="A265" i="4"/>
  <c r="A297" i="4"/>
  <c r="A255" i="4"/>
  <c r="A253" i="4"/>
  <c r="A251" i="4"/>
  <c r="A249" i="4"/>
  <c r="A247" i="4"/>
  <c r="A245" i="4"/>
  <c r="A243" i="4"/>
  <c r="A239" i="4"/>
  <c r="A237" i="4"/>
  <c r="A235" i="4"/>
  <c r="A233" i="4"/>
  <c r="A231" i="4"/>
  <c r="A229" i="4"/>
  <c r="A183" i="4"/>
  <c r="A179" i="4"/>
  <c r="A211" i="4"/>
  <c r="A209" i="4"/>
  <c r="A207" i="4"/>
  <c r="A205" i="4"/>
  <c r="A201" i="4"/>
  <c r="A89" i="4"/>
  <c r="A87" i="4"/>
  <c r="A203" i="4"/>
  <c r="A227" i="4"/>
  <c r="A225" i="4"/>
  <c r="A223" i="4"/>
  <c r="A221" i="4"/>
  <c r="A219" i="4"/>
  <c r="A217" i="4"/>
  <c r="A215" i="4"/>
  <c r="A213" i="4"/>
  <c r="A199" i="4"/>
  <c r="A197" i="4"/>
  <c r="A195" i="4"/>
  <c r="A193" i="4"/>
  <c r="A191" i="4"/>
  <c r="A189" i="4"/>
  <c r="A187" i="4"/>
  <c r="A185" i="4"/>
  <c r="A181" i="4"/>
  <c r="A159" i="4"/>
  <c r="A177" i="4"/>
  <c r="A175" i="4"/>
  <c r="A173" i="4"/>
  <c r="A171" i="4"/>
  <c r="A169" i="4"/>
  <c r="A167" i="4"/>
  <c r="A165" i="4"/>
  <c r="A163" i="4"/>
  <c r="A161" i="4"/>
  <c r="A157" i="4"/>
  <c r="A155" i="4"/>
  <c r="A153" i="4"/>
  <c r="A151" i="4"/>
  <c r="A149" i="4"/>
  <c r="A147" i="4"/>
  <c r="A145" i="4"/>
  <c r="A143" i="4"/>
  <c r="A141" i="4"/>
  <c r="A139" i="4"/>
  <c r="A137" i="4"/>
  <c r="A135" i="4"/>
  <c r="A133" i="4"/>
  <c r="A131" i="4"/>
  <c r="A129" i="4"/>
  <c r="A127" i="4"/>
  <c r="A125" i="4"/>
  <c r="A123" i="4"/>
  <c r="A121" i="4"/>
  <c r="A119" i="4"/>
  <c r="A117" i="4"/>
  <c r="A115" i="4"/>
  <c r="A113" i="4"/>
  <c r="A111" i="4"/>
  <c r="A109" i="4"/>
  <c r="A107" i="4"/>
  <c r="A105" i="4"/>
  <c r="A103" i="4"/>
  <c r="A101" i="4"/>
  <c r="A99" i="4"/>
  <c r="A97" i="4"/>
  <c r="A95" i="4"/>
  <c r="A93" i="4"/>
  <c r="A91" i="4"/>
  <c r="A85" i="4"/>
  <c r="A83" i="4"/>
  <c r="A81" i="4"/>
  <c r="A79" i="4"/>
  <c r="A77" i="4"/>
  <c r="A75" i="4"/>
  <c r="A73" i="4"/>
  <c r="A71" i="4"/>
  <c r="A69" i="4"/>
  <c r="A67" i="4"/>
  <c r="A57" i="4"/>
  <c r="A49" i="4"/>
  <c r="A47" i="4"/>
  <c r="A65" i="4"/>
  <c r="A63" i="4"/>
  <c r="A61" i="4"/>
  <c r="A59" i="4"/>
  <c r="A55" i="4"/>
  <c r="A53" i="4"/>
  <c r="A51" i="4"/>
  <c r="A45" i="4"/>
  <c r="A43" i="4"/>
  <c r="A41" i="4"/>
  <c r="A39" i="4"/>
  <c r="A37" i="4"/>
  <c r="A35" i="4"/>
  <c r="A33" i="4"/>
  <c r="A31" i="4"/>
  <c r="A29" i="4"/>
  <c r="A27" i="4"/>
  <c r="A25" i="4"/>
  <c r="A23" i="4"/>
  <c r="A21" i="4"/>
  <c r="A19" i="4"/>
  <c r="A17" i="4"/>
  <c r="A15" i="4"/>
  <c r="A13" i="4"/>
  <c r="A11" i="4"/>
  <c r="A9" i="4"/>
  <c r="A7" i="4"/>
  <c r="A5" i="4"/>
  <c r="A3" i="4"/>
  <c r="A1" i="4"/>
  <c r="F1" i="4"/>
  <c r="F28" i="4"/>
  <c r="F27" i="4"/>
  <c r="F26" i="4"/>
  <c r="F24" i="4"/>
  <c r="F22" i="4"/>
  <c r="F20" i="4"/>
  <c r="F18" i="4"/>
  <c r="F16" i="4"/>
  <c r="F14" i="4"/>
  <c r="F12" i="4"/>
  <c r="F10" i="4"/>
  <c r="F8" i="4"/>
  <c r="F6" i="4"/>
  <c r="F4" i="4"/>
  <c r="F2" i="4"/>
  <c r="F25" i="4"/>
  <c r="F23" i="4"/>
  <c r="F21" i="4"/>
  <c r="F19" i="4"/>
  <c r="F17" i="4"/>
  <c r="F15" i="4"/>
  <c r="F13" i="4"/>
  <c r="F11" i="4"/>
  <c r="F9" i="4"/>
  <c r="F7" i="4"/>
  <c r="F5" i="4"/>
  <c r="F3" i="4"/>
  <c r="M1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" i="4"/>
</calcChain>
</file>

<file path=xl/sharedStrings.xml><?xml version="1.0" encoding="utf-8"?>
<sst xmlns="http://schemas.openxmlformats.org/spreadsheetml/2006/main" count="2370" uniqueCount="1542">
  <si>
    <t xml:space="preserve">Hello how are you </t>
  </si>
  <si>
    <t xml:space="preserve">Heart </t>
  </si>
  <si>
    <t xml:space="preserve">Zero </t>
  </si>
  <si>
    <t xml:space="preserve">One </t>
  </si>
  <si>
    <t xml:space="preserve">Two </t>
  </si>
  <si>
    <t xml:space="preserve">Three </t>
  </si>
  <si>
    <t xml:space="preserve">Four </t>
  </si>
  <si>
    <t xml:space="preserve">Five </t>
  </si>
  <si>
    <t xml:space="preserve">Six </t>
  </si>
  <si>
    <t xml:space="preserve">Seven </t>
  </si>
  <si>
    <t xml:space="preserve">Eight </t>
  </si>
  <si>
    <t xml:space="preserve">Nine </t>
  </si>
  <si>
    <t xml:space="preserve">Ten </t>
  </si>
  <si>
    <t xml:space="preserve">Road </t>
  </si>
  <si>
    <t xml:space="preserve">Left </t>
  </si>
  <si>
    <t xml:space="preserve">Right </t>
  </si>
  <si>
    <t xml:space="preserve">Straight </t>
  </si>
  <si>
    <t xml:space="preserve">Today </t>
  </si>
  <si>
    <t xml:space="preserve">Autumn </t>
  </si>
  <si>
    <t xml:space="preserve">Winter </t>
  </si>
  <si>
    <t xml:space="preserve">Spring </t>
  </si>
  <si>
    <t xml:space="preserve">Summer </t>
  </si>
  <si>
    <t xml:space="preserve">Morning </t>
  </si>
  <si>
    <t xml:space="preserve">Noon </t>
  </si>
  <si>
    <t xml:space="preserve">Night </t>
  </si>
  <si>
    <t xml:space="preserve">Home </t>
  </si>
  <si>
    <t xml:space="preserve">Apartement </t>
  </si>
  <si>
    <t>wa</t>
  </si>
  <si>
    <t>fa</t>
  </si>
  <si>
    <t>bas</t>
  </si>
  <si>
    <t>sobbat</t>
  </si>
  <si>
    <t>Dress</t>
  </si>
  <si>
    <t>fostan</t>
  </si>
  <si>
    <t>Family</t>
  </si>
  <si>
    <t>khaleh</t>
  </si>
  <si>
    <t>bayyeh</t>
  </si>
  <si>
    <t>setteh</t>
  </si>
  <si>
    <t>I</t>
  </si>
  <si>
    <t>ana</t>
  </si>
  <si>
    <t>howeh</t>
  </si>
  <si>
    <t>hiyeh</t>
  </si>
  <si>
    <t>ento</t>
  </si>
  <si>
    <t>henneh</t>
  </si>
  <si>
    <t>Monday</t>
  </si>
  <si>
    <t>sabet</t>
  </si>
  <si>
    <t>Tuesday</t>
  </si>
  <si>
    <t>Thursday</t>
  </si>
  <si>
    <t>Friday</t>
  </si>
  <si>
    <t>Saturday</t>
  </si>
  <si>
    <t>Sunday</t>
  </si>
  <si>
    <t>rezz</t>
  </si>
  <si>
    <t>zerr</t>
  </si>
  <si>
    <t>zammour</t>
  </si>
  <si>
    <t>fared</t>
  </si>
  <si>
    <t>nashweh</t>
  </si>
  <si>
    <t>fakher</t>
  </si>
  <si>
    <t>khajal</t>
  </si>
  <si>
    <t>ala'</t>
  </si>
  <si>
    <t>samak</t>
  </si>
  <si>
    <t>shmeil</t>
  </si>
  <si>
    <t>shames</t>
  </si>
  <si>
    <t>banafsajeh</t>
  </si>
  <si>
    <t>zahreh</t>
  </si>
  <si>
    <t>benneh</t>
  </si>
  <si>
    <t>English</t>
  </si>
  <si>
    <t>Video</t>
  </si>
  <si>
    <t>aleb</t>
  </si>
  <si>
    <t>bawseh</t>
  </si>
  <si>
    <t>sefer</t>
  </si>
  <si>
    <t>waHad</t>
  </si>
  <si>
    <t>tnein</t>
  </si>
  <si>
    <t>tleiteh</t>
  </si>
  <si>
    <t>arb3a</t>
  </si>
  <si>
    <t>khamseh</t>
  </si>
  <si>
    <t>sab3a</t>
  </si>
  <si>
    <t>tmeineh</t>
  </si>
  <si>
    <t>tes3a</t>
  </si>
  <si>
    <t>3ashra</t>
  </si>
  <si>
    <t>alf</t>
  </si>
  <si>
    <t>taree'</t>
  </si>
  <si>
    <t>yameen</t>
  </si>
  <si>
    <t>deghreh</t>
  </si>
  <si>
    <t>lyom</t>
  </si>
  <si>
    <t>khareef</t>
  </si>
  <si>
    <t>rabee3</t>
  </si>
  <si>
    <t>seif</t>
  </si>
  <si>
    <t>sobeH</t>
  </si>
  <si>
    <t>doher</t>
  </si>
  <si>
    <t>leil</t>
  </si>
  <si>
    <t>beit</t>
  </si>
  <si>
    <t>she'a</t>
  </si>
  <si>
    <t>3ala</t>
  </si>
  <si>
    <t>ameess</t>
  </si>
  <si>
    <t>scarbeeneh</t>
  </si>
  <si>
    <t>3wayneit</t>
  </si>
  <si>
    <t>3ayleh</t>
  </si>
  <si>
    <t>neHna</t>
  </si>
  <si>
    <t>tanein</t>
  </si>
  <si>
    <t>taleita</t>
  </si>
  <si>
    <t>orb3a</t>
  </si>
  <si>
    <t>khamees</t>
  </si>
  <si>
    <t>jem3a</t>
  </si>
  <si>
    <t>aHad</t>
  </si>
  <si>
    <t>to3seeb</t>
  </si>
  <si>
    <t>tafei'oul</t>
  </si>
  <si>
    <t>tashei'oum</t>
  </si>
  <si>
    <t>Haares</t>
  </si>
  <si>
    <t>hasheesh</t>
  </si>
  <si>
    <t>rmeideh</t>
  </si>
  <si>
    <t>I drink coffee everyday</t>
  </si>
  <si>
    <t>ertijeil</t>
  </si>
  <si>
    <t>wardeh</t>
  </si>
  <si>
    <t>zahra</t>
  </si>
  <si>
    <t>mnodhar</t>
  </si>
  <si>
    <t>beshrab ahweh kel yom</t>
  </si>
  <si>
    <t>sadaa'a</t>
  </si>
  <si>
    <t>marHaba keefik/keefak/keefkoun?</t>
  </si>
  <si>
    <t>Name</t>
  </si>
  <si>
    <t>Translit.</t>
  </si>
  <si>
    <t>Value (IPA)</t>
  </si>
  <si>
    <t>Contextual forms</t>
  </si>
  <si>
    <t>Isolated</t>
  </si>
  <si>
    <t>Final</t>
  </si>
  <si>
    <t>Medial</t>
  </si>
  <si>
    <t>Initial</t>
  </si>
  <si>
    <t>alif</t>
  </si>
  <si>
    <r>
      <t>ā / </t>
    </r>
    <r>
      <rPr>
        <sz val="12"/>
        <color rgb="FF000000"/>
        <rFont val="Arial"/>
        <family val="2"/>
      </rPr>
      <t> ’ </t>
    </r>
    <r>
      <rPr>
        <sz val="10"/>
        <color rgb="FF000000"/>
        <rFont val="Arial"/>
        <family val="2"/>
      </rPr>
      <t> (also </t>
    </r>
    <r>
      <rPr>
        <i/>
        <sz val="12"/>
        <color rgb="FF000000"/>
        <rFont val="Arial"/>
        <family val="2"/>
      </rPr>
      <t> ʾ </t>
    </r>
    <r>
      <rPr>
        <sz val="10"/>
        <color rgb="FF000000"/>
        <rFont val="Arial"/>
        <family val="2"/>
      </rPr>
      <t> )</t>
    </r>
  </si>
  <si>
    <t>various,</t>
  </si>
  <si>
    <t>including /aː/ [a]</t>
  </si>
  <si>
    <t>ـا</t>
  </si>
  <si>
    <t>ا</t>
  </si>
  <si>
    <t>bā’</t>
  </si>
  <si>
    <t>b</t>
  </si>
  <si>
    <t>/b/</t>
  </si>
  <si>
    <r>
      <t>(sometimes /</t>
    </r>
    <r>
      <rPr>
        <sz val="10"/>
        <color rgb="FF0B0080"/>
        <rFont val="Arial"/>
        <family val="2"/>
      </rPr>
      <t>p</t>
    </r>
    <r>
      <rPr>
        <sz val="10"/>
        <color rgb="FF000000"/>
        <rFont val="Arial"/>
        <family val="2"/>
      </rPr>
      <t>/ in loanwords)</t>
    </r>
    <r>
      <rPr>
        <vertAlign val="superscript"/>
        <sz val="10"/>
        <color rgb="FF0B0080"/>
        <rFont val="Arial"/>
        <family val="2"/>
      </rPr>
      <t>[b]</t>
    </r>
  </si>
  <si>
    <t>ـب</t>
  </si>
  <si>
    <t>ـبـ</t>
  </si>
  <si>
    <t>بـ</t>
  </si>
  <si>
    <t>ب</t>
  </si>
  <si>
    <t>tā’</t>
  </si>
  <si>
    <t>t</t>
  </si>
  <si>
    <t>/t/</t>
  </si>
  <si>
    <t>ـت</t>
  </si>
  <si>
    <t>ـتـ</t>
  </si>
  <si>
    <t>تـ</t>
  </si>
  <si>
    <t>ت</t>
  </si>
  <si>
    <t>thā’</t>
  </si>
  <si>
    <r>
      <t>th</t>
    </r>
    <r>
      <rPr>
        <sz val="10"/>
        <color rgb="FF000000"/>
        <rFont val="Arial"/>
        <family val="2"/>
      </rPr>
      <t> (also </t>
    </r>
    <r>
      <rPr>
        <i/>
        <sz val="10"/>
        <color rgb="FF000000"/>
        <rFont val="Arial"/>
        <family val="2"/>
      </rPr>
      <t>ṯ </t>
    </r>
    <r>
      <rPr>
        <sz val="10"/>
        <color rgb="FF000000"/>
        <rFont val="Arial"/>
        <family val="2"/>
      </rPr>
      <t>)</t>
    </r>
  </si>
  <si>
    <t>/θ/</t>
  </si>
  <si>
    <t>ـث</t>
  </si>
  <si>
    <t>ـثـ</t>
  </si>
  <si>
    <t>ثـ</t>
  </si>
  <si>
    <t>ث</t>
  </si>
  <si>
    <t>jīm</t>
  </si>
  <si>
    <r>
      <t>j</t>
    </r>
    <r>
      <rPr>
        <sz val="10"/>
        <color rgb="FF000000"/>
        <rFont val="Arial"/>
        <family val="2"/>
      </rPr>
      <t> (also </t>
    </r>
    <r>
      <rPr>
        <i/>
        <sz val="10"/>
        <color rgb="FF000000"/>
        <rFont val="Arial"/>
        <family val="2"/>
      </rPr>
      <t>ǧ, g </t>
    </r>
    <r>
      <rPr>
        <sz val="10"/>
        <color rgb="FF000000"/>
        <rFont val="Arial"/>
        <family val="2"/>
      </rPr>
      <t>)</t>
    </r>
  </si>
  <si>
    <r>
      <t>[</t>
    </r>
    <r>
      <rPr>
        <sz val="10"/>
        <color rgb="FF0B0080"/>
        <rFont val="Arial"/>
        <family val="2"/>
      </rPr>
      <t>d͡ʒ</t>
    </r>
    <r>
      <rPr>
        <sz val="10"/>
        <color rgb="FF000000"/>
        <rFont val="Arial"/>
        <family val="2"/>
      </rPr>
      <t>] ~ [</t>
    </r>
    <r>
      <rPr>
        <sz val="10"/>
        <color rgb="FF0B0080"/>
        <rFont val="Arial"/>
        <family val="2"/>
      </rPr>
      <t>ʒ</t>
    </r>
    <r>
      <rPr>
        <sz val="10"/>
        <color rgb="FF000000"/>
        <rFont val="Arial"/>
        <family val="2"/>
      </rPr>
      <t>] ~ [</t>
    </r>
    <r>
      <rPr>
        <sz val="10"/>
        <color rgb="FF0B0080"/>
        <rFont val="Arial"/>
        <family val="2"/>
      </rPr>
      <t>ɡ</t>
    </r>
    <r>
      <rPr>
        <sz val="10"/>
        <color rgb="FF000000"/>
        <rFont val="Arial"/>
        <family val="2"/>
      </rPr>
      <t>] </t>
    </r>
    <r>
      <rPr>
        <vertAlign val="superscript"/>
        <sz val="10"/>
        <color rgb="FF0B0080"/>
        <rFont val="Arial"/>
        <family val="2"/>
      </rPr>
      <t>[c]</t>
    </r>
  </si>
  <si>
    <t>ـج</t>
  </si>
  <si>
    <t>ـجـ</t>
  </si>
  <si>
    <t>جـ</t>
  </si>
  <si>
    <t>ج</t>
  </si>
  <si>
    <t>ḥā’</t>
  </si>
  <si>
    <t>ḥ</t>
  </si>
  <si>
    <t>/ħ/</t>
  </si>
  <si>
    <t>ـح</t>
  </si>
  <si>
    <t>ـحـ</t>
  </si>
  <si>
    <t>حـ</t>
  </si>
  <si>
    <t>ح</t>
  </si>
  <si>
    <t>khā’</t>
  </si>
  <si>
    <r>
      <t>kh</t>
    </r>
    <r>
      <rPr>
        <sz val="10"/>
        <color rgb="FF000000"/>
        <rFont val="Arial"/>
        <family val="2"/>
      </rPr>
      <t> (also </t>
    </r>
    <r>
      <rPr>
        <i/>
        <sz val="10"/>
        <color rgb="FF000000"/>
        <rFont val="Arial"/>
        <family val="2"/>
      </rPr>
      <t>ḫ, ḵ </t>
    </r>
    <r>
      <rPr>
        <sz val="10"/>
        <color rgb="FF000000"/>
        <rFont val="Arial"/>
        <family val="2"/>
      </rPr>
      <t>)</t>
    </r>
  </si>
  <si>
    <t>/x/</t>
  </si>
  <si>
    <t>ـخ</t>
  </si>
  <si>
    <t>ـخـ</t>
  </si>
  <si>
    <t>خـ</t>
  </si>
  <si>
    <t>خ</t>
  </si>
  <si>
    <t>dāl</t>
  </si>
  <si>
    <t>d</t>
  </si>
  <si>
    <t>/d/</t>
  </si>
  <si>
    <t>ـد</t>
  </si>
  <si>
    <t>د</t>
  </si>
  <si>
    <t>dhāl</t>
  </si>
  <si>
    <r>
      <t>dh</t>
    </r>
    <r>
      <rPr>
        <sz val="10"/>
        <color rgb="FF000000"/>
        <rFont val="Arial"/>
        <family val="2"/>
      </rPr>
      <t> (also </t>
    </r>
    <r>
      <rPr>
        <i/>
        <sz val="10"/>
        <color rgb="FF000000"/>
        <rFont val="Arial"/>
        <family val="2"/>
      </rPr>
      <t>ḏ </t>
    </r>
    <r>
      <rPr>
        <sz val="10"/>
        <color rgb="FF000000"/>
        <rFont val="Arial"/>
        <family val="2"/>
      </rPr>
      <t>)</t>
    </r>
  </si>
  <si>
    <t>/ð/</t>
  </si>
  <si>
    <t>ـذ</t>
  </si>
  <si>
    <t>ذ</t>
  </si>
  <si>
    <t>rā’</t>
  </si>
  <si>
    <t>r</t>
  </si>
  <si>
    <t>/r/</t>
  </si>
  <si>
    <t>ـر</t>
  </si>
  <si>
    <t>ر</t>
  </si>
  <si>
    <t>zayn / zāy</t>
  </si>
  <si>
    <t>z</t>
  </si>
  <si>
    <t>/z/</t>
  </si>
  <si>
    <t>ـز</t>
  </si>
  <si>
    <t>ز</t>
  </si>
  <si>
    <t>sīn</t>
  </si>
  <si>
    <t>s</t>
  </si>
  <si>
    <t>/s/</t>
  </si>
  <si>
    <t>ـس</t>
  </si>
  <si>
    <t>ـسـ</t>
  </si>
  <si>
    <t>سـ</t>
  </si>
  <si>
    <t>س</t>
  </si>
  <si>
    <t>shīn</t>
  </si>
  <si>
    <r>
      <t>sh</t>
    </r>
    <r>
      <rPr>
        <sz val="10"/>
        <color rgb="FF000000"/>
        <rFont val="Arial"/>
        <family val="2"/>
      </rPr>
      <t> (also </t>
    </r>
    <r>
      <rPr>
        <i/>
        <sz val="10"/>
        <color rgb="FF000000"/>
        <rFont val="Arial"/>
        <family val="2"/>
      </rPr>
      <t>š </t>
    </r>
    <r>
      <rPr>
        <sz val="10"/>
        <color rgb="FF000000"/>
        <rFont val="Arial"/>
        <family val="2"/>
      </rPr>
      <t>)</t>
    </r>
  </si>
  <si>
    <t>/ʃ/</t>
  </si>
  <si>
    <t>ـش</t>
  </si>
  <si>
    <t>ـشـ</t>
  </si>
  <si>
    <t>شـ</t>
  </si>
  <si>
    <t>ش</t>
  </si>
  <si>
    <t>ṣād</t>
  </si>
  <si>
    <t>ṣ</t>
  </si>
  <si>
    <t>/sˤ/</t>
  </si>
  <si>
    <t>ـص</t>
  </si>
  <si>
    <t>ـصـ</t>
  </si>
  <si>
    <t>صـ</t>
  </si>
  <si>
    <t>ص</t>
  </si>
  <si>
    <t>ḍād</t>
  </si>
  <si>
    <t>ḍ</t>
  </si>
  <si>
    <t>/dˤ/</t>
  </si>
  <si>
    <t>ـض</t>
  </si>
  <si>
    <t>ـضـ</t>
  </si>
  <si>
    <t>ضـ</t>
  </si>
  <si>
    <t>ض</t>
  </si>
  <si>
    <t>ṭā’</t>
  </si>
  <si>
    <t>ṭ</t>
  </si>
  <si>
    <t>/tˤ/</t>
  </si>
  <si>
    <t>ـط</t>
  </si>
  <si>
    <t>ـطـ</t>
  </si>
  <si>
    <t>طـ</t>
  </si>
  <si>
    <t>ط</t>
  </si>
  <si>
    <t>ẓā’</t>
  </si>
  <si>
    <t>ẓ</t>
  </si>
  <si>
    <r>
      <t>[</t>
    </r>
    <r>
      <rPr>
        <sz val="10"/>
        <color rgb="FF0B0080"/>
        <rFont val="Arial"/>
        <family val="2"/>
      </rPr>
      <t>ðˤ</t>
    </r>
    <r>
      <rPr>
        <sz val="10"/>
        <color rgb="FF000000"/>
        <rFont val="Arial"/>
        <family val="2"/>
      </rPr>
      <t>] ~ [</t>
    </r>
    <r>
      <rPr>
        <sz val="10"/>
        <color rgb="FF0B0080"/>
        <rFont val="Arial"/>
        <family val="2"/>
      </rPr>
      <t>zˤ</t>
    </r>
    <r>
      <rPr>
        <sz val="10"/>
        <color rgb="FF000000"/>
        <rFont val="Arial"/>
        <family val="2"/>
      </rPr>
      <t>]</t>
    </r>
  </si>
  <si>
    <t>ـظ</t>
  </si>
  <si>
    <t>ـظـ</t>
  </si>
  <si>
    <t>ظـ</t>
  </si>
  <si>
    <t>ظ</t>
  </si>
  <si>
    <t>‘ayn</t>
  </si>
  <si>
    <r>
      <t> ‘ </t>
    </r>
    <r>
      <rPr>
        <sz val="10"/>
        <color rgb="FF000000"/>
        <rFont val="Arial"/>
        <family val="2"/>
      </rPr>
      <t> (also </t>
    </r>
    <r>
      <rPr>
        <i/>
        <sz val="12"/>
        <color rgb="FF000000"/>
        <rFont val="Arial"/>
        <family val="2"/>
      </rPr>
      <t> ʿ </t>
    </r>
    <r>
      <rPr>
        <sz val="10"/>
        <color rgb="FF000000"/>
        <rFont val="Arial"/>
        <family val="2"/>
      </rPr>
      <t> )</t>
    </r>
  </si>
  <si>
    <t>/ʕ/</t>
  </si>
  <si>
    <t>ـع</t>
  </si>
  <si>
    <t>ـعـ</t>
  </si>
  <si>
    <t>عـ</t>
  </si>
  <si>
    <t>ع</t>
  </si>
  <si>
    <t>ghayn</t>
  </si>
  <si>
    <r>
      <t>gh</t>
    </r>
    <r>
      <rPr>
        <sz val="10"/>
        <color rgb="FF000000"/>
        <rFont val="Arial"/>
        <family val="2"/>
      </rPr>
      <t> (also </t>
    </r>
    <r>
      <rPr>
        <i/>
        <sz val="10"/>
        <color rgb="FF000000"/>
        <rFont val="Arial"/>
        <family val="2"/>
      </rPr>
      <t>ġ, ḡ </t>
    </r>
    <r>
      <rPr>
        <sz val="10"/>
        <color rgb="FF000000"/>
        <rFont val="Arial"/>
        <family val="2"/>
      </rPr>
      <t>)</t>
    </r>
  </si>
  <si>
    <t>/ɣ/</t>
  </si>
  <si>
    <r>
      <t>(sometimes /</t>
    </r>
    <r>
      <rPr>
        <sz val="10"/>
        <color rgb="FF0B0080"/>
        <rFont val="Arial"/>
        <family val="2"/>
      </rPr>
      <t>ɡ</t>
    </r>
    <r>
      <rPr>
        <sz val="10"/>
        <color rgb="FF000000"/>
        <rFont val="Arial"/>
        <family val="2"/>
      </rPr>
      <t>/ in loanwords)</t>
    </r>
    <r>
      <rPr>
        <vertAlign val="superscript"/>
        <sz val="10"/>
        <color rgb="FF0B0080"/>
        <rFont val="Arial"/>
        <family val="2"/>
      </rPr>
      <t>[c]</t>
    </r>
  </si>
  <si>
    <t>ـغ</t>
  </si>
  <si>
    <t>ـغـ</t>
  </si>
  <si>
    <t>غـ</t>
  </si>
  <si>
    <t>غ</t>
  </si>
  <si>
    <t>fā’</t>
  </si>
  <si>
    <t>f</t>
  </si>
  <si>
    <t>/f/</t>
  </si>
  <si>
    <r>
      <t>(sometimes /</t>
    </r>
    <r>
      <rPr>
        <sz val="10"/>
        <color rgb="FF0B0080"/>
        <rFont val="Arial"/>
        <family val="2"/>
      </rPr>
      <t>v</t>
    </r>
    <r>
      <rPr>
        <sz val="10"/>
        <color rgb="FF000000"/>
        <rFont val="Arial"/>
        <family val="2"/>
      </rPr>
      <t>/ in loanwords)</t>
    </r>
    <r>
      <rPr>
        <vertAlign val="superscript"/>
        <sz val="10"/>
        <color rgb="FF0B0080"/>
        <rFont val="Arial"/>
        <family val="2"/>
      </rPr>
      <t>[b]</t>
    </r>
  </si>
  <si>
    <t>ـف</t>
  </si>
  <si>
    <t>ـفـ</t>
  </si>
  <si>
    <t>فـ</t>
  </si>
  <si>
    <r>
      <t>ف</t>
    </r>
    <r>
      <rPr>
        <sz val="10"/>
        <color rgb="FF000000"/>
        <rFont val="Arial"/>
        <family val="2"/>
      </rPr>
      <t> </t>
    </r>
    <r>
      <rPr>
        <vertAlign val="superscript"/>
        <sz val="10"/>
        <color rgb="FF0B0080"/>
        <rFont val="Arial"/>
        <family val="2"/>
      </rPr>
      <t>[d]</t>
    </r>
  </si>
  <si>
    <t>qāf</t>
  </si>
  <si>
    <t>q</t>
  </si>
  <si>
    <t>/q/</t>
  </si>
  <si>
    <t>ـق</t>
  </si>
  <si>
    <t>ـقـ</t>
  </si>
  <si>
    <t>قـ</t>
  </si>
  <si>
    <r>
      <t>ق</t>
    </r>
    <r>
      <rPr>
        <sz val="10"/>
        <color rgb="FF000000"/>
        <rFont val="Arial"/>
        <family val="2"/>
      </rPr>
      <t> </t>
    </r>
    <r>
      <rPr>
        <vertAlign val="superscript"/>
        <sz val="10"/>
        <color rgb="FF0B0080"/>
        <rFont val="Arial"/>
        <family val="2"/>
      </rPr>
      <t>[d]</t>
    </r>
  </si>
  <si>
    <t>kāf</t>
  </si>
  <si>
    <t>k</t>
  </si>
  <si>
    <t>/k/</t>
  </si>
  <si>
    <t>ـك</t>
  </si>
  <si>
    <t>ـكـ</t>
  </si>
  <si>
    <t>كـ</t>
  </si>
  <si>
    <t>ك</t>
  </si>
  <si>
    <t>lām</t>
  </si>
  <si>
    <t>l</t>
  </si>
  <si>
    <t>/l/</t>
  </si>
  <si>
    <t>ـل</t>
  </si>
  <si>
    <t>ـلـ</t>
  </si>
  <si>
    <t>لـ</t>
  </si>
  <si>
    <t>ل</t>
  </si>
  <si>
    <t>mīm</t>
  </si>
  <si>
    <t>m</t>
  </si>
  <si>
    <t>/m/</t>
  </si>
  <si>
    <t>ـم</t>
  </si>
  <si>
    <t>ـمـ</t>
  </si>
  <si>
    <t>مـ</t>
  </si>
  <si>
    <t>م</t>
  </si>
  <si>
    <t>nūn</t>
  </si>
  <si>
    <t>n</t>
  </si>
  <si>
    <t>/n/</t>
  </si>
  <si>
    <t>ـن</t>
  </si>
  <si>
    <t>ـنـ</t>
  </si>
  <si>
    <t>نـ</t>
  </si>
  <si>
    <t>ن</t>
  </si>
  <si>
    <t>hā’</t>
  </si>
  <si>
    <t>h</t>
  </si>
  <si>
    <t>/h/</t>
  </si>
  <si>
    <t>ـه</t>
  </si>
  <si>
    <t>ـهـ</t>
  </si>
  <si>
    <t>هـ</t>
  </si>
  <si>
    <t>ه</t>
  </si>
  <si>
    <t>wāw</t>
  </si>
  <si>
    <t>w / ū / aw</t>
  </si>
  <si>
    <t>/w/, /uː/, /aw/,</t>
  </si>
  <si>
    <r>
      <t>sometimes /</t>
    </r>
    <r>
      <rPr>
        <sz val="10"/>
        <color rgb="FF0B0080"/>
        <rFont val="Arial"/>
        <family val="2"/>
      </rPr>
      <t>u</t>
    </r>
    <r>
      <rPr>
        <sz val="10"/>
        <color rgb="FF000000"/>
        <rFont val="Arial"/>
        <family val="2"/>
      </rPr>
      <t>/, /</t>
    </r>
    <r>
      <rPr>
        <sz val="10"/>
        <color rgb="FF0B0080"/>
        <rFont val="Arial"/>
        <family val="2"/>
      </rPr>
      <t>o</t>
    </r>
    <r>
      <rPr>
        <sz val="10"/>
        <color rgb="FF000000"/>
        <rFont val="Arial"/>
        <family val="2"/>
      </rPr>
      <t>/, and /</t>
    </r>
    <r>
      <rPr>
        <sz val="10"/>
        <color rgb="FF0B0080"/>
        <rFont val="Arial"/>
        <family val="2"/>
      </rPr>
      <t>oː</t>
    </r>
    <r>
      <rPr>
        <sz val="10"/>
        <color rgb="FF000000"/>
        <rFont val="Arial"/>
        <family val="2"/>
      </rPr>
      <t>/ in loanwords</t>
    </r>
  </si>
  <si>
    <t>ـو</t>
  </si>
  <si>
    <t>و</t>
  </si>
  <si>
    <t>yā’</t>
  </si>
  <si>
    <t>y / ī / ay</t>
  </si>
  <si>
    <t>/j/, /iː/, /aj/,</t>
  </si>
  <si>
    <r>
      <t>sometimes /</t>
    </r>
    <r>
      <rPr>
        <sz val="10"/>
        <color rgb="FF0B0080"/>
        <rFont val="Arial"/>
        <family val="2"/>
      </rPr>
      <t>i</t>
    </r>
    <r>
      <rPr>
        <sz val="10"/>
        <color rgb="FF000000"/>
        <rFont val="Arial"/>
        <family val="2"/>
      </rPr>
      <t>/, /</t>
    </r>
    <r>
      <rPr>
        <sz val="10"/>
        <color rgb="FF0B0080"/>
        <rFont val="Arial"/>
        <family val="2"/>
      </rPr>
      <t>e</t>
    </r>
    <r>
      <rPr>
        <sz val="10"/>
        <color rgb="FF000000"/>
        <rFont val="Arial"/>
        <family val="2"/>
      </rPr>
      <t>/, and /</t>
    </r>
    <r>
      <rPr>
        <sz val="10"/>
        <color rgb="FF0B0080"/>
        <rFont val="Arial"/>
        <family val="2"/>
      </rPr>
      <t>eː</t>
    </r>
    <r>
      <rPr>
        <sz val="10"/>
        <color rgb="FF000000"/>
        <rFont val="Arial"/>
        <family val="2"/>
      </rPr>
      <t>/ in loanwords</t>
    </r>
  </si>
  <si>
    <t>ـي</t>
  </si>
  <si>
    <t>ـيـ</t>
  </si>
  <si>
    <t>يـ</t>
  </si>
  <si>
    <r>
      <t>ي</t>
    </r>
    <r>
      <rPr>
        <sz val="10"/>
        <color rgb="FF000000"/>
        <rFont val="Arial"/>
        <family val="2"/>
      </rPr>
      <t> </t>
    </r>
    <r>
      <rPr>
        <vertAlign val="superscript"/>
        <sz val="10"/>
        <color rgb="FF0B0080"/>
        <rFont val="Arial"/>
        <family val="2"/>
      </rPr>
      <t>[e]</t>
    </r>
  </si>
  <si>
    <t>ف</t>
  </si>
  <si>
    <t>ق</t>
  </si>
  <si>
    <t>ي</t>
  </si>
  <si>
    <t>Arabic</t>
  </si>
  <si>
    <t>مَرحبا كيفِك/كيفَك/ كيفكُن؟</t>
  </si>
  <si>
    <t>lamma</t>
  </si>
  <si>
    <t>men</t>
  </si>
  <si>
    <t>3an</t>
  </si>
  <si>
    <t>enno</t>
  </si>
  <si>
    <t>la'enno</t>
  </si>
  <si>
    <t>ba3dein</t>
  </si>
  <si>
    <t>sheteh</t>
  </si>
  <si>
    <t>1- basic language</t>
  </si>
  <si>
    <t>2- travelling</t>
  </si>
  <si>
    <t>3- everyday</t>
  </si>
  <si>
    <t>4- family, friends and relationships</t>
  </si>
  <si>
    <t>5- conjugation</t>
  </si>
  <si>
    <t>6- random</t>
  </si>
  <si>
    <t>1- numbers</t>
  </si>
  <si>
    <t>2- days</t>
  </si>
  <si>
    <t>3- colors</t>
  </si>
  <si>
    <t>4- pronouns</t>
  </si>
  <si>
    <t>5- prepositions</t>
  </si>
  <si>
    <t>1- airport</t>
  </si>
  <si>
    <t>2- directions</t>
  </si>
  <si>
    <t>3- money</t>
  </si>
  <si>
    <t>4- accomodation</t>
  </si>
  <si>
    <t>5- shopping</t>
  </si>
  <si>
    <t>1- introductions</t>
  </si>
  <si>
    <t>2- general</t>
  </si>
  <si>
    <t>3- greetings</t>
  </si>
  <si>
    <t>1- family</t>
  </si>
  <si>
    <t>2- friends</t>
  </si>
  <si>
    <t>3- love</t>
  </si>
  <si>
    <t>4- emotions</t>
  </si>
  <si>
    <t>1- to have</t>
  </si>
  <si>
    <t>2- to go</t>
  </si>
  <si>
    <t>3- to eat</t>
  </si>
  <si>
    <t>4- to draw</t>
  </si>
  <si>
    <t>5- to want</t>
  </si>
  <si>
    <t>1- random</t>
  </si>
  <si>
    <t>We</t>
  </si>
  <si>
    <t>Rose</t>
  </si>
  <si>
    <t>Sun</t>
  </si>
  <si>
    <t>Grey</t>
  </si>
  <si>
    <t>Purple</t>
  </si>
  <si>
    <t>Pink</t>
  </si>
  <si>
    <t>Brown</t>
  </si>
  <si>
    <t>He</t>
  </si>
  <si>
    <t>She</t>
  </si>
  <si>
    <t>They</t>
  </si>
  <si>
    <t>And</t>
  </si>
  <si>
    <t>So</t>
  </si>
  <si>
    <t>But</t>
  </si>
  <si>
    <t>After</t>
  </si>
  <si>
    <t>When</t>
  </si>
  <si>
    <t>From</t>
  </si>
  <si>
    <t>On</t>
  </si>
  <si>
    <t>About</t>
  </si>
  <si>
    <t>That</t>
  </si>
  <si>
    <t>Because</t>
  </si>
  <si>
    <t>Shirt</t>
  </si>
  <si>
    <t>High heels</t>
  </si>
  <si>
    <t>Shoe</t>
  </si>
  <si>
    <t>Glasses</t>
  </si>
  <si>
    <t>Friendship</t>
  </si>
  <si>
    <t>Anger</t>
  </si>
  <si>
    <t>Optimism</t>
  </si>
  <si>
    <t>Pessimism</t>
  </si>
  <si>
    <t>Orgasm</t>
  </si>
  <si>
    <t>Pride</t>
  </si>
  <si>
    <t>Shyness</t>
  </si>
  <si>
    <t>Anxiety</t>
  </si>
  <si>
    <t>Rice</t>
  </si>
  <si>
    <t>Button</t>
  </si>
  <si>
    <t>Horn</t>
  </si>
  <si>
    <t>Gun</t>
  </si>
  <si>
    <t>Fish</t>
  </si>
  <si>
    <t>Guardian</t>
  </si>
  <si>
    <t>Grass</t>
  </si>
  <si>
    <t>Improvisation</t>
  </si>
  <si>
    <t>Flower</t>
  </si>
  <si>
    <t>Wednsday</t>
  </si>
  <si>
    <t>Video Lesson 24</t>
  </si>
  <si>
    <t>Video Lesson 8</t>
  </si>
  <si>
    <t>Video Lesson 21</t>
  </si>
  <si>
    <t>Video Lesson 4</t>
  </si>
  <si>
    <t>Video Lesson 14</t>
  </si>
  <si>
    <t>Video Lesson 19</t>
  </si>
  <si>
    <t>Video Lesson 23</t>
  </si>
  <si>
    <t>Video Lesson 22</t>
  </si>
  <si>
    <t>Video Lesson 13</t>
  </si>
  <si>
    <t>Video Lesson 10</t>
  </si>
  <si>
    <t>Video Lesson 2</t>
  </si>
  <si>
    <t>Video Lesson 5</t>
  </si>
  <si>
    <t>Video Lesson 9</t>
  </si>
  <si>
    <t>Video Lesson 11</t>
  </si>
  <si>
    <t>Video Lesson 1</t>
  </si>
  <si>
    <t>Video Lesson 15</t>
  </si>
  <si>
    <t>Video Lesson 7</t>
  </si>
  <si>
    <t>Video Lesson 17</t>
  </si>
  <si>
    <t>Video Lesson 12</t>
  </si>
  <si>
    <t>Video Lesson 20</t>
  </si>
  <si>
    <t>Video Lesson 18</t>
  </si>
  <si>
    <t>Video Lesson 16</t>
  </si>
  <si>
    <t>Video Lesson 6</t>
  </si>
  <si>
    <t>https://www.youtube.com/watch?v=7iovf94e4uU</t>
  </si>
  <si>
    <t>https://www.youtube.com/watch?v=E-TjOWZ5YQ0</t>
  </si>
  <si>
    <t>https://www.youtube.com/watch?v=QAEGmTKhMo4</t>
  </si>
  <si>
    <t>Video Lesson 3.2</t>
  </si>
  <si>
    <t>Video Lesson 3.1</t>
  </si>
  <si>
    <t>https://www.youtube.com/watch?v=QXklxwQ4px8</t>
  </si>
  <si>
    <t>https://www.youtube.com/watch?v=bbpaAUOv8dE</t>
  </si>
  <si>
    <t>https://www.youtube.com/watch?v=e_dFFaECK5E</t>
  </si>
  <si>
    <t>https://www.youtube.com/watch?v=HPUSR1ERIv0</t>
  </si>
  <si>
    <t>https://www.youtube.com/watch?v=DfQwYS9JfME</t>
  </si>
  <si>
    <t>https://www.youtube.com/watch?v=kN_Mk1vvvzI</t>
  </si>
  <si>
    <t>https://www.youtube.com/watch?v=SGeR9HfhVRA</t>
  </si>
  <si>
    <t>https://www.youtube.com/watch?v=KUWhrhaqHsg</t>
  </si>
  <si>
    <t>https://www.youtube.com/watch?v=Ivl-D6m04C4</t>
  </si>
  <si>
    <t>https://www.youtube.com/watch?v=1G46tEJOrww</t>
  </si>
  <si>
    <t>https://www.youtube.com/watch?v=4qB8qVfkH4A</t>
  </si>
  <si>
    <t>https://www.youtube.com/watch?v=CuxAdMsjkyY</t>
  </si>
  <si>
    <t>https://www.youtube.com/watch?v=CIw5yuG2h7k</t>
  </si>
  <si>
    <t>https://www.youtube.com/watch?v=mlf3S2Z-yzM</t>
  </si>
  <si>
    <t>https://www.youtube.com/watch?v=-9H0tokUVvc</t>
  </si>
  <si>
    <t>https://www.youtube.com/watch?v=FpQEAG3hsdA</t>
  </si>
  <si>
    <t>https://www.youtube.com/watch?v=Y56hvBhqBaQ</t>
  </si>
  <si>
    <t>https://www.youtube.com/watch?v=YMwQ4agNMPI</t>
  </si>
  <si>
    <t>https://www.youtube.com/watch?v=Xop5dt-yhOA</t>
  </si>
  <si>
    <t>https://www.youtube.com/watch?v=Sjl8iPAcNo0</t>
  </si>
  <si>
    <t>https://www.youtube.com/watch?v=jVxw8JRCMDk</t>
  </si>
  <si>
    <t>https://www.youtube.com/watch?v=kLZmQK8CWFU</t>
  </si>
  <si>
    <t>https://www.youtube.com/watch?v=RmEAQDsTTaE</t>
  </si>
  <si>
    <t>https://www.youtube.com/watch?v=EWu4a7ogxVA</t>
  </si>
  <si>
    <t>https://www.youtube.com/watch?v=M-mxlyVa6iM</t>
  </si>
  <si>
    <t>Video Lesson '2nd Valentine'</t>
  </si>
  <si>
    <t>Video Lesson 'Improvisation'</t>
  </si>
  <si>
    <t>Video Lesson 'Valentine'</t>
  </si>
  <si>
    <t>Hello</t>
  </si>
  <si>
    <t>marHaba</t>
  </si>
  <si>
    <t>beshteghil</t>
  </si>
  <si>
    <t>I work</t>
  </si>
  <si>
    <t>My name is</t>
  </si>
  <si>
    <t>esmeh</t>
  </si>
  <si>
    <t>Welcome</t>
  </si>
  <si>
    <t>ahla w sahla</t>
  </si>
  <si>
    <t>Excuse me</t>
  </si>
  <si>
    <t>3afwan</t>
  </si>
  <si>
    <t xml:space="preserve">money </t>
  </si>
  <si>
    <t>masareh</t>
  </si>
  <si>
    <t>How much</t>
  </si>
  <si>
    <t>addeh</t>
  </si>
  <si>
    <t>question</t>
  </si>
  <si>
    <t>sou'aal</t>
  </si>
  <si>
    <t xml:space="preserve">map </t>
  </si>
  <si>
    <t>khareeta</t>
  </si>
  <si>
    <t xml:space="preserve">room </t>
  </si>
  <si>
    <t>ouda</t>
  </si>
  <si>
    <t xml:space="preserve">week </t>
  </si>
  <si>
    <t>cheaper</t>
  </si>
  <si>
    <t>arkhas</t>
  </si>
  <si>
    <t xml:space="preserve">breakfast </t>
  </si>
  <si>
    <t>terwee'a</t>
  </si>
  <si>
    <t>Where</t>
  </si>
  <si>
    <t>wein</t>
  </si>
  <si>
    <t>How</t>
  </si>
  <si>
    <t>kif</t>
  </si>
  <si>
    <t xml:space="preserve">street </t>
  </si>
  <si>
    <t>sheiri3</t>
  </si>
  <si>
    <t>restaurant</t>
  </si>
  <si>
    <t>mat3am</t>
  </si>
  <si>
    <t>What</t>
  </si>
  <si>
    <t>shou</t>
  </si>
  <si>
    <t>something</t>
  </si>
  <si>
    <t>shi</t>
  </si>
  <si>
    <t xml:space="preserve">bed </t>
  </si>
  <si>
    <t>takhet</t>
  </si>
  <si>
    <t xml:space="preserve">rent </t>
  </si>
  <si>
    <t>ajaar</t>
  </si>
  <si>
    <t>bathroom</t>
  </si>
  <si>
    <t>Hemmeim</t>
  </si>
  <si>
    <t xml:space="preserve">tomorrow </t>
  </si>
  <si>
    <t>bukra</t>
  </si>
  <si>
    <t>ice cream</t>
  </si>
  <si>
    <t>bouza</t>
  </si>
  <si>
    <t>nearest</t>
  </si>
  <si>
    <t>a'rab</t>
  </si>
  <si>
    <t>coffee</t>
  </si>
  <si>
    <t>ahweh</t>
  </si>
  <si>
    <t>kids</t>
  </si>
  <si>
    <t>wleid</t>
  </si>
  <si>
    <t xml:space="preserve">kiss </t>
  </si>
  <si>
    <t>Hello:marHaba</t>
  </si>
  <si>
    <t>I work:beshteghil</t>
  </si>
  <si>
    <t>My name is:esmeh</t>
  </si>
  <si>
    <t>Welcome:ahla w sahla</t>
  </si>
  <si>
    <t>Excuse me:3afwan</t>
  </si>
  <si>
    <t>money :masareh</t>
  </si>
  <si>
    <t>How much:addeh</t>
  </si>
  <si>
    <t>map :khareeta</t>
  </si>
  <si>
    <t>question:sou'aal</t>
  </si>
  <si>
    <t>room :ouda</t>
  </si>
  <si>
    <t>week :jem3a</t>
  </si>
  <si>
    <t>cheaper:arkhas</t>
  </si>
  <si>
    <t>breakfast :terwee'a</t>
  </si>
  <si>
    <t>Zero :sefer</t>
  </si>
  <si>
    <t>One :waHad</t>
  </si>
  <si>
    <t>Two :tnein</t>
  </si>
  <si>
    <t>Three :tleiteh</t>
  </si>
  <si>
    <t>Four :arb3a</t>
  </si>
  <si>
    <t>Five :khamseh</t>
  </si>
  <si>
    <t>Six :setteh</t>
  </si>
  <si>
    <t>Seven :sab3a</t>
  </si>
  <si>
    <t>Eight :tmeineh</t>
  </si>
  <si>
    <t>Nine :tes3a</t>
  </si>
  <si>
    <t>Ten :3ashra</t>
  </si>
  <si>
    <t>Where:wein</t>
  </si>
  <si>
    <t>Left :shmeil</t>
  </si>
  <si>
    <t>Right :yameen</t>
  </si>
  <si>
    <t>Straight :deghreh</t>
  </si>
  <si>
    <t>Road :taree'</t>
  </si>
  <si>
    <t>How:kif</t>
  </si>
  <si>
    <t>street :sheiri3</t>
  </si>
  <si>
    <t>restaurant:mat3am</t>
  </si>
  <si>
    <t>What:shou</t>
  </si>
  <si>
    <t>something:shi</t>
  </si>
  <si>
    <t>Summer :seif</t>
  </si>
  <si>
    <t>Today :lyom</t>
  </si>
  <si>
    <t>Morning :sobeH</t>
  </si>
  <si>
    <t>Noon :doher</t>
  </si>
  <si>
    <t>Night :leil</t>
  </si>
  <si>
    <t>Autumn :khareef</t>
  </si>
  <si>
    <t>Winter :sheteh</t>
  </si>
  <si>
    <t>Spring :rabee3</t>
  </si>
  <si>
    <t>bed :takhet</t>
  </si>
  <si>
    <t>Home :beit</t>
  </si>
  <si>
    <t>Apartement :she'a</t>
  </si>
  <si>
    <t>rent :ajaar</t>
  </si>
  <si>
    <t>bathroom:Hemmeim</t>
  </si>
  <si>
    <t>tomorrow :bukra</t>
  </si>
  <si>
    <t>And:wa</t>
  </si>
  <si>
    <t>So:fa</t>
  </si>
  <si>
    <t>But:bas</t>
  </si>
  <si>
    <t>After:ba3dein</t>
  </si>
  <si>
    <t>When:lamma</t>
  </si>
  <si>
    <t>From:men</t>
  </si>
  <si>
    <t>On:3ala</t>
  </si>
  <si>
    <t>About:3an</t>
  </si>
  <si>
    <t>That:enno</t>
  </si>
  <si>
    <t>Because:la'enno</t>
  </si>
  <si>
    <t>Shirt:ameess</t>
  </si>
  <si>
    <t>High heels:scarbeeneh</t>
  </si>
  <si>
    <t>Shoe:sobbat</t>
  </si>
  <si>
    <t>Dress:fostan</t>
  </si>
  <si>
    <t>Glasses:3wayneit</t>
  </si>
  <si>
    <t>Family:3ayleh</t>
  </si>
  <si>
    <t>I:ana</t>
  </si>
  <si>
    <t>He:howeh</t>
  </si>
  <si>
    <t>She:hiyeh</t>
  </si>
  <si>
    <t>We:neHna</t>
  </si>
  <si>
    <t>They:henneh</t>
  </si>
  <si>
    <t>Monday:tanein</t>
  </si>
  <si>
    <t>Tuesday:taleita</t>
  </si>
  <si>
    <t>Wednsday:orb3a</t>
  </si>
  <si>
    <t>Thursday:khamees</t>
  </si>
  <si>
    <t>Friday:jem3a</t>
  </si>
  <si>
    <t>Saturday:sabet</t>
  </si>
  <si>
    <t>Sunday:aHad</t>
  </si>
  <si>
    <t>Rice:rezz</t>
  </si>
  <si>
    <t>Button:zerr</t>
  </si>
  <si>
    <t>Horn:zammour</t>
  </si>
  <si>
    <t>Gun:fared</t>
  </si>
  <si>
    <t>Anger:to3seeb</t>
  </si>
  <si>
    <t>Optimism:tafei'oul</t>
  </si>
  <si>
    <t>Pessimism:tashei'oum</t>
  </si>
  <si>
    <t>Orgasm:nashweh</t>
  </si>
  <si>
    <t>Pride:fakher</t>
  </si>
  <si>
    <t>Shyness:khajal</t>
  </si>
  <si>
    <t>Anxiety:ala'</t>
  </si>
  <si>
    <t>Sun:shames</t>
  </si>
  <si>
    <t>Fish:samak</t>
  </si>
  <si>
    <t>Guardian:Haares</t>
  </si>
  <si>
    <t>Grass:hasheesh</t>
  </si>
  <si>
    <t>Grey:rmeideh</t>
  </si>
  <si>
    <t>Purple:banafsajeh</t>
  </si>
  <si>
    <t>Pink:zahreh</t>
  </si>
  <si>
    <t>Brown:benneh</t>
  </si>
  <si>
    <t>ice cream:bouza</t>
  </si>
  <si>
    <t>nearest:a'rab</t>
  </si>
  <si>
    <t>Rose:wardeh</t>
  </si>
  <si>
    <t>Friendship:sadaa'a</t>
  </si>
  <si>
    <t>Flower:zahra</t>
  </si>
  <si>
    <t>Improvisation:ertijeil</t>
  </si>
  <si>
    <t>coffee:ahweh</t>
  </si>
  <si>
    <t>I drink coffee everyday:beshrab ahweh kel yom</t>
  </si>
  <si>
    <t>kids:wleid</t>
  </si>
  <si>
    <t>kiss :bawseh</t>
  </si>
  <si>
    <t>Heart :aleb</t>
  </si>
  <si>
    <t>Anger/to3seeb</t>
  </si>
  <si>
    <t>Brown/benneh</t>
  </si>
  <si>
    <t>Dress/fostan</t>
  </si>
  <si>
    <t>Glasses/3wayneit</t>
  </si>
  <si>
    <t>High heels/scarbeeneh</t>
  </si>
  <si>
    <t>kids/wleid</t>
  </si>
  <si>
    <t>Left /shmeil</t>
  </si>
  <si>
    <t>Sunday/aHad</t>
  </si>
  <si>
    <t>Anxiety/ala'</t>
  </si>
  <si>
    <t>Eight /tmeineh</t>
  </si>
  <si>
    <t>Grass/hasheesh</t>
  </si>
  <si>
    <t>Home /beit</t>
  </si>
  <si>
    <t>kiss /bawseh</t>
  </si>
  <si>
    <t>map /khareeta</t>
  </si>
  <si>
    <t>restaurant/mat3am</t>
  </si>
  <si>
    <t>Shirt/ameess</t>
  </si>
  <si>
    <t>Ten /3ashra</t>
  </si>
  <si>
    <t>Apartement /she'a</t>
  </si>
  <si>
    <t>But/bas</t>
  </si>
  <si>
    <t>Excuse me/3afwan</t>
  </si>
  <si>
    <t>Grey/rmeideh</t>
  </si>
  <si>
    <t>Horn/zammour</t>
  </si>
  <si>
    <t>Monday/tanein</t>
  </si>
  <si>
    <t>Shoe/sobbat</t>
  </si>
  <si>
    <t>That/enno</t>
  </si>
  <si>
    <t>Autumn /khareef</t>
  </si>
  <si>
    <t>Button/zerr</t>
  </si>
  <si>
    <t>Family/3ayleh</t>
  </si>
  <si>
    <t>Guardian/Haares</t>
  </si>
  <si>
    <t>How much/addeh</t>
  </si>
  <si>
    <t>money /masareh</t>
  </si>
  <si>
    <t>Shyness/khajal</t>
  </si>
  <si>
    <t>something/shi</t>
  </si>
  <si>
    <t>They/henneh</t>
  </si>
  <si>
    <t>bathroom/Hemmeim</t>
  </si>
  <si>
    <t>cheaper/arkhas</t>
  </si>
  <si>
    <t>Fish/samak</t>
  </si>
  <si>
    <t>Gun/fared</t>
  </si>
  <si>
    <t>How/kif</t>
  </si>
  <si>
    <t>Morning /sobeH</t>
  </si>
  <si>
    <t>Spring /rabee3</t>
  </si>
  <si>
    <t>Three /tleiteh</t>
  </si>
  <si>
    <t>coffee/ahweh</t>
  </si>
  <si>
    <t>Five /khamseh</t>
  </si>
  <si>
    <t>He/howeh</t>
  </si>
  <si>
    <t>Straight /deghreh</t>
  </si>
  <si>
    <t>Thursday/khamees</t>
  </si>
  <si>
    <t>After/ba3dein</t>
  </si>
  <si>
    <t>Because/la'enno</t>
  </si>
  <si>
    <t>Flower/zahra</t>
  </si>
  <si>
    <t>Heart /aleb</t>
  </si>
  <si>
    <t>I work/beshteghil</t>
  </si>
  <si>
    <t>nearest/a'rab</t>
  </si>
  <si>
    <t>Rice/rezz</t>
  </si>
  <si>
    <t>street /sheiri3</t>
  </si>
  <si>
    <t>Today /lyom</t>
  </si>
  <si>
    <t>And/wa</t>
  </si>
  <si>
    <t>Four /arb3a</t>
  </si>
  <si>
    <t>Hello/marHaba</t>
  </si>
  <si>
    <t>I/ana</t>
  </si>
  <si>
    <t>Night /leil</t>
  </si>
  <si>
    <t>Nine /tes3a</t>
  </si>
  <si>
    <t>Right /yameen</t>
  </si>
  <si>
    <t>Summer /seif</t>
  </si>
  <si>
    <t>tomorrow /bukra</t>
  </si>
  <si>
    <t>Friday/jem3a</t>
  </si>
  <si>
    <t>ice cream/bouza</t>
  </si>
  <si>
    <t>Noon /doher</t>
  </si>
  <si>
    <t>Road /taree'</t>
  </si>
  <si>
    <t>Sun/shames</t>
  </si>
  <si>
    <t>Tuesday/taleita</t>
  </si>
  <si>
    <t>bed /takhet</t>
  </si>
  <si>
    <t>Friendship/sadaa'a</t>
  </si>
  <si>
    <t>On/3ala</t>
  </si>
  <si>
    <t>room /ouda</t>
  </si>
  <si>
    <t>Two /tnein</t>
  </si>
  <si>
    <t>From/men</t>
  </si>
  <si>
    <t>Improvisation/ertijeil</t>
  </si>
  <si>
    <t>One /waHad</t>
  </si>
  <si>
    <t>Rose/wardeh</t>
  </si>
  <si>
    <t>We/neHna</t>
  </si>
  <si>
    <t>breakfast /terwee'a</t>
  </si>
  <si>
    <t>Optimism/tafei'oul</t>
  </si>
  <si>
    <t>Saturday/sabet</t>
  </si>
  <si>
    <t>Wednsday/orb3a</t>
  </si>
  <si>
    <t>Seven /sab3a</t>
  </si>
  <si>
    <t>week /jem3a</t>
  </si>
  <si>
    <t>She/hiyeh</t>
  </si>
  <si>
    <t>Welcome/ahla w sahla</t>
  </si>
  <si>
    <t>Orgasm/nashweh</t>
  </si>
  <si>
    <t>What/shou</t>
  </si>
  <si>
    <t>Pessimism/tashei'oum</t>
  </si>
  <si>
    <t>When/lamma</t>
  </si>
  <si>
    <t>Pink/zahreh</t>
  </si>
  <si>
    <t>Six /setteh</t>
  </si>
  <si>
    <t>Where/wein</t>
  </si>
  <si>
    <t>So/fa</t>
  </si>
  <si>
    <t>Winter /sheteh</t>
  </si>
  <si>
    <t>Pride/fakher</t>
  </si>
  <si>
    <t>Zero /sefer</t>
  </si>
  <si>
    <t>Purple/banafsajeh</t>
  </si>
  <si>
    <t>question/sou'aal</t>
  </si>
  <si>
    <t>rent /ajaar</t>
  </si>
  <si>
    <t>About/3an</t>
  </si>
  <si>
    <t>eikol</t>
  </si>
  <si>
    <t>eshrab</t>
  </si>
  <si>
    <t>neim</t>
  </si>
  <si>
    <t>eshteghil</t>
  </si>
  <si>
    <t>zgheereh</t>
  </si>
  <si>
    <t>kheir</t>
  </si>
  <si>
    <t>mbasatet</t>
  </si>
  <si>
    <t>kol</t>
  </si>
  <si>
    <t>kteibeh</t>
  </si>
  <si>
    <t>daraset</t>
  </si>
  <si>
    <t>neikoul</t>
  </si>
  <si>
    <t>mneikoul</t>
  </si>
  <si>
    <t>akalna</t>
  </si>
  <si>
    <t>btersoum</t>
  </si>
  <si>
    <t>kenna</t>
  </si>
  <si>
    <t>tersoum</t>
  </si>
  <si>
    <t>sayfiyeh</t>
  </si>
  <si>
    <t>natreen</t>
  </si>
  <si>
    <t>ward</t>
  </si>
  <si>
    <t>Latin</t>
  </si>
  <si>
    <t>Politics</t>
  </si>
  <si>
    <t>siyeseh</t>
  </si>
  <si>
    <t>سياسِة</t>
  </si>
  <si>
    <t>بَلَد</t>
  </si>
  <si>
    <t>balad</t>
  </si>
  <si>
    <t>Country</t>
  </si>
  <si>
    <t>Capital</t>
  </si>
  <si>
    <t>3asmeh</t>
  </si>
  <si>
    <t>عاصمة</t>
  </si>
  <si>
    <t>The capital of Lebanon is Beirut</t>
  </si>
  <si>
    <t>3asmit Lebnen, Beirut</t>
  </si>
  <si>
    <t>State</t>
  </si>
  <si>
    <t>dawleh/wileyeh</t>
  </si>
  <si>
    <t>President</t>
  </si>
  <si>
    <t>ra'is/ra'iseh</t>
  </si>
  <si>
    <t>رَئيس/ة</t>
  </si>
  <si>
    <t>King</t>
  </si>
  <si>
    <t>malik</t>
  </si>
  <si>
    <t>مَلِك</t>
  </si>
  <si>
    <t>Queen</t>
  </si>
  <si>
    <t>malikeh</t>
  </si>
  <si>
    <t>مَلِكة</t>
  </si>
  <si>
    <t>Republic</t>
  </si>
  <si>
    <t>joumhouriyeh</t>
  </si>
  <si>
    <t>Kingdom</t>
  </si>
  <si>
    <t>mamlakeh</t>
  </si>
  <si>
    <t>مَملَكِة</t>
  </si>
  <si>
    <t>Republic of Lebanon</t>
  </si>
  <si>
    <t>joumhouriyet Lebnen/el joumhouriyeh el Lebneniyeh</t>
  </si>
  <si>
    <t>Parliament</t>
  </si>
  <si>
    <t>barlamein</t>
  </si>
  <si>
    <t>بَرلَمان</t>
  </si>
  <si>
    <t>Ministry</t>
  </si>
  <si>
    <t>Minister</t>
  </si>
  <si>
    <t>Ministers</t>
  </si>
  <si>
    <t>wizara</t>
  </si>
  <si>
    <t>wazir</t>
  </si>
  <si>
    <t>wouzara</t>
  </si>
  <si>
    <t>وِزارَة</t>
  </si>
  <si>
    <t>وَزير</t>
  </si>
  <si>
    <t>وُزَرا</t>
  </si>
  <si>
    <t>Representative</t>
  </si>
  <si>
    <t>Representatives</t>
  </si>
  <si>
    <t>neiyib</t>
  </si>
  <si>
    <t>nouwweib</t>
  </si>
  <si>
    <t>نايب</t>
  </si>
  <si>
    <t>نُوّاب</t>
  </si>
  <si>
    <t>Nation</t>
  </si>
  <si>
    <t>oummeh</t>
  </si>
  <si>
    <t>United Nations</t>
  </si>
  <si>
    <t>el oumam el meteHdeh</t>
  </si>
  <si>
    <t>أُمّة</t>
  </si>
  <si>
    <t>Party</t>
  </si>
  <si>
    <t>Parties</t>
  </si>
  <si>
    <t>Hezeb</t>
  </si>
  <si>
    <t>aHzeib</t>
  </si>
  <si>
    <t>حِزب</t>
  </si>
  <si>
    <t>أحزاب</t>
  </si>
  <si>
    <t>Elections</t>
  </si>
  <si>
    <t>intikhabeit</t>
  </si>
  <si>
    <t>Revolution</t>
  </si>
  <si>
    <t>sawra</t>
  </si>
  <si>
    <t>ثَورَة</t>
  </si>
  <si>
    <t>Today, the representatives met at the patliament to elect a president</t>
  </si>
  <si>
    <t>el yom, el nouwweib jtama3o bil barlamein ta yentekhbo ra'ees</t>
  </si>
  <si>
    <t>اليوم, النوّاب جتمعوا تينتخبوا رئيس</t>
  </si>
  <si>
    <t>There are two main political parties in the United States</t>
  </si>
  <si>
    <t>fi Hezbein aseisiyyeh bil wileyeit el meteHdeh</t>
  </si>
  <si>
    <t>Fi azmit nifeiyeit bi Lebnen, wl Hkoumeh baeed ma le'yit Hal</t>
  </si>
  <si>
    <t>في أزمِة نفِايات بِلبنان، والحكومِة بَعد ما لقيت حَلّ</t>
  </si>
  <si>
    <t>Baladiyyeh/ baladiyyet</t>
  </si>
  <si>
    <t>بَلَدِيّة/ بَلَدِيّات</t>
  </si>
  <si>
    <t>Kel baladiyyeh, mas'ouleh aan fareiz el nifeiyeit</t>
  </si>
  <si>
    <t>كِلّ بَلَدِيّة، مَسؤولِة عَن فَرز النِفايات</t>
  </si>
  <si>
    <t>Peace</t>
  </si>
  <si>
    <t>Protest</t>
  </si>
  <si>
    <t>Protests</t>
  </si>
  <si>
    <t xml:space="preserve"> saleim</t>
  </si>
  <si>
    <t xml:space="preserve"> سَلام</t>
  </si>
  <si>
    <t xml:space="preserve"> selmiyyeh</t>
  </si>
  <si>
    <t xml:space="preserve"> سِلميّة</t>
  </si>
  <si>
    <t xml:space="preserve"> mouzahara</t>
  </si>
  <si>
    <t xml:space="preserve"> مُظاهَرَة</t>
  </si>
  <si>
    <t xml:space="preserve"> mouzaharat</t>
  </si>
  <si>
    <t xml:space="preserve"> مُظاهَرات</t>
  </si>
  <si>
    <t>Peaceful</t>
  </si>
  <si>
    <t xml:space="preserve">Fi mouzaharat selmiyyeh moustamerra bil aasmeh el Lebneniyeh, aam bettalib bi esti'alit wazir el bi'a </t>
  </si>
  <si>
    <t>في مُظاهرات سِلميّة مُستمرّة بالعاصمة اللبنانية، عَم بطالِب بإستقالة وَزير البيئة</t>
  </si>
  <si>
    <t>El yom, khamsin chakheis meito natijit enfijar</t>
  </si>
  <si>
    <t>اليَوم، خَمسين شَخص ماتوا نَتيجِة إنفجار</t>
  </si>
  <si>
    <t xml:space="preserve">Bil alfein w tleta3sh, majlis el nouwweib aaddalo el doustour, ta ye'daro ymaddeido la nafsoun </t>
  </si>
  <si>
    <t>There is a garbage crisis in Lebanon, and the government did not find a solution yet.</t>
  </si>
  <si>
    <t>Municipality/ies</t>
  </si>
  <si>
    <t>Every municipality is responsible for waste sorting</t>
  </si>
  <si>
    <t>There are ongoing peacful protests in the Lebanese capital demanding the resignation of the minister of the environment</t>
  </si>
  <si>
    <t>Today, fifty people were killed as a result of an explosion</t>
  </si>
  <si>
    <t>Martyr</t>
  </si>
  <si>
    <t>shaheed</t>
  </si>
  <si>
    <t>بل ألفين وتلاتعش مَجلِس النّواب عَدَّلوا الدُستور، تَ يقدَروا يمَدّدوا لَ نَفسُن</t>
  </si>
  <si>
    <t>شهيد</t>
  </si>
  <si>
    <t>In 2013, the parliament ammended the constitution to be able to extend their term</t>
  </si>
  <si>
    <t>good luck</t>
  </si>
  <si>
    <t xml:space="preserve"> mwaffa'/ mwaffa'a/ mwaffa'in</t>
  </si>
  <si>
    <t>موَفَق/ موَفَقَة/ موَفَقين</t>
  </si>
  <si>
    <t>Go with peace</t>
  </si>
  <si>
    <t xml:space="preserve"> maa el salemeh</t>
  </si>
  <si>
    <t>مَع السَلامة</t>
  </si>
  <si>
    <t>Stay</t>
  </si>
  <si>
    <t xml:space="preserve"> khallik/ khallikeh/ khallikon</t>
  </si>
  <si>
    <t>خَلّيك/ خَلّيكي/ خَلّيكُن</t>
  </si>
  <si>
    <t>stay a little more</t>
  </si>
  <si>
    <t>khallik (b'aa)  baad chway</t>
  </si>
  <si>
    <t xml:space="preserve"> خَلّيك (بقا) بَعد شوي</t>
  </si>
  <si>
    <t>God is with you</t>
  </si>
  <si>
    <t>allah maaak/ maiik/ maakoun</t>
  </si>
  <si>
    <t>الله مَعَك/ مَعِك/ مَعكُن</t>
  </si>
  <si>
    <t>drop by soon</t>
  </si>
  <si>
    <t xml:space="preserve"> teb'a toll/ teb'eh tolli/ teb'o tollo </t>
  </si>
  <si>
    <t>تبقَ طُلّ/ تبقي طُلّي/ تبقو طُلّو</t>
  </si>
  <si>
    <t>drop by</t>
  </si>
  <si>
    <t>mayyil/ mayleh/ maylo</t>
  </si>
  <si>
    <t>مَيّل/ مَيلي/ مَيلو</t>
  </si>
  <si>
    <t>come back again</t>
  </si>
  <si>
    <t xml:space="preserve"> iida/ idiya/ idouwa</t>
  </si>
  <si>
    <t>عيدا/ عيديا/ عيدووا</t>
  </si>
  <si>
    <t xml:space="preserve">where are you going? </t>
  </si>
  <si>
    <t>la wein?</t>
  </si>
  <si>
    <t xml:space="preserve"> ?لَوين</t>
  </si>
  <si>
    <t>مِنعادة</t>
  </si>
  <si>
    <t>come again: (for men, woman and groups)</t>
  </si>
  <si>
    <t>mn3adeh</t>
  </si>
  <si>
    <t>good night</t>
  </si>
  <si>
    <t xml:space="preserve"> saiideh/ tosbah aa kheir</t>
  </si>
  <si>
    <t>سَعيدة/ تُصبَح ع خَير</t>
  </si>
  <si>
    <t>good night for you too</t>
  </si>
  <si>
    <t>w enta/enteh/ ento min ahlo</t>
  </si>
  <si>
    <t xml:space="preserve"> و إنتَ/ إنتِ/ إنتو من أهلو</t>
  </si>
  <si>
    <t>sallim/ salmeh/ salmo</t>
  </si>
  <si>
    <t>سَّلِّم/ سَلمي/ سَلمو</t>
  </si>
  <si>
    <t>say hi</t>
  </si>
  <si>
    <t>done!</t>
  </si>
  <si>
    <t>wosil</t>
  </si>
  <si>
    <t>وُصِل</t>
  </si>
  <si>
    <t>ok, i have to go</t>
  </si>
  <si>
    <t>yalla, sar lezim emcheh</t>
  </si>
  <si>
    <t>يَلاّ صار لازِم إمشي</t>
  </si>
  <si>
    <t>ok we saw you  (we have to leave)</t>
  </si>
  <si>
    <t>yalla chefnekoun</t>
  </si>
  <si>
    <t>يلاّ شفناكُن</t>
  </si>
  <si>
    <t>do you want somenthing?</t>
  </si>
  <si>
    <t>baddak, baddik, badkoun chi?</t>
  </si>
  <si>
    <t>بَدَّك/ بَدِّك/ بَدكُن شي؟</t>
  </si>
  <si>
    <t>we're happy we saw you</t>
  </si>
  <si>
    <t>mbasatna chefnekoun</t>
  </si>
  <si>
    <t>مبسَطنا شفناكُن</t>
  </si>
  <si>
    <t>we will come back again</t>
  </si>
  <si>
    <t>mniidah gheir marra</t>
  </si>
  <si>
    <t>منعيدا غَير مَرّا</t>
  </si>
  <si>
    <t>body</t>
  </si>
  <si>
    <t>jesem</t>
  </si>
  <si>
    <t>جِسم</t>
  </si>
  <si>
    <t>jesmeh aam youjaaneh</t>
  </si>
  <si>
    <t>جِسمي عَم يوجَعني</t>
  </si>
  <si>
    <t>face</t>
  </si>
  <si>
    <t xml:space="preserve"> wejj</t>
  </si>
  <si>
    <t xml:space="preserve"> وِجّ</t>
  </si>
  <si>
    <t>eyebrows</t>
  </si>
  <si>
    <t xml:space="preserve"> hwejib</t>
  </si>
  <si>
    <t xml:space="preserve"> حواجِب</t>
  </si>
  <si>
    <t>nose</t>
  </si>
  <si>
    <t xml:space="preserve"> menkhar/mankhour</t>
  </si>
  <si>
    <t xml:space="preserve"> مِنخار/مَنخور</t>
  </si>
  <si>
    <t>eye</t>
  </si>
  <si>
    <t xml:space="preserve"> aayn</t>
  </si>
  <si>
    <t xml:space="preserve"> عَين</t>
  </si>
  <si>
    <t>eyes</t>
  </si>
  <si>
    <t xml:space="preserve"> ayoun</t>
  </si>
  <si>
    <t xml:space="preserve"> عيون</t>
  </si>
  <si>
    <t>eyelashes</t>
  </si>
  <si>
    <t xml:space="preserve"> rmouch</t>
  </si>
  <si>
    <t xml:space="preserve"> رموش</t>
  </si>
  <si>
    <t>mouth</t>
  </si>
  <si>
    <t xml:space="preserve"> temm</t>
  </si>
  <si>
    <t xml:space="preserve"> تِمّ</t>
  </si>
  <si>
    <t>cheek</t>
  </si>
  <si>
    <t xml:space="preserve"> khadd</t>
  </si>
  <si>
    <t xml:space="preserve"> خدّ</t>
  </si>
  <si>
    <t>cheeks</t>
  </si>
  <si>
    <t xml:space="preserve"> khdoud</t>
  </si>
  <si>
    <t xml:space="preserve"> خدود</t>
  </si>
  <si>
    <t>hair</t>
  </si>
  <si>
    <t xml:space="preserve"> chaeer</t>
  </si>
  <si>
    <t xml:space="preserve"> شَعر</t>
  </si>
  <si>
    <t>heyde el benet CHAARA TAWIL</t>
  </si>
  <si>
    <t>heyda el sabeh CHAARO ASIR</t>
  </si>
  <si>
    <t>neck</t>
  </si>
  <si>
    <t xml:space="preserve"> ra'beh</t>
  </si>
  <si>
    <t xml:space="preserve"> رَقبة</t>
  </si>
  <si>
    <t>chest/breast</t>
  </si>
  <si>
    <t xml:space="preserve"> soder</t>
  </si>
  <si>
    <t xml:space="preserve"> صُدر</t>
  </si>
  <si>
    <t>shoulders</t>
  </si>
  <si>
    <t xml:space="preserve"> kteif</t>
  </si>
  <si>
    <t xml:space="preserve"> كتاف</t>
  </si>
  <si>
    <t>arm</t>
  </si>
  <si>
    <t xml:space="preserve"> 'id</t>
  </si>
  <si>
    <t xml:space="preserve"> إيد</t>
  </si>
  <si>
    <t>stomach</t>
  </si>
  <si>
    <t xml:space="preserve"> meedeh</t>
  </si>
  <si>
    <t xml:space="preserve"> مِعدة</t>
  </si>
  <si>
    <t>belly</t>
  </si>
  <si>
    <t xml:space="preserve"> baten</t>
  </si>
  <si>
    <t xml:space="preserve"> بَطن</t>
  </si>
  <si>
    <t>hips</t>
  </si>
  <si>
    <t xml:space="preserve"> wrak</t>
  </si>
  <si>
    <t xml:space="preserve"> وراك</t>
  </si>
  <si>
    <t>waist</t>
  </si>
  <si>
    <t xml:space="preserve"> khaseir</t>
  </si>
  <si>
    <t xml:space="preserve"> خَصر</t>
  </si>
  <si>
    <t>leg</t>
  </si>
  <si>
    <t xml:space="preserve"> 'ejer</t>
  </si>
  <si>
    <t xml:space="preserve"> إجر</t>
  </si>
  <si>
    <t>legs</t>
  </si>
  <si>
    <t xml:space="preserve"> 'ejrein</t>
  </si>
  <si>
    <t xml:space="preserve"> إجرين</t>
  </si>
  <si>
    <t>knee</t>
  </si>
  <si>
    <t xml:space="preserve"> rekbeh</t>
  </si>
  <si>
    <t xml:space="preserve"> رِكبة</t>
  </si>
  <si>
    <t>go down on your knees</t>
  </si>
  <si>
    <t xml:space="preserve"> rkaa aala 'ejreik (for a man)</t>
  </si>
  <si>
    <t>fingers</t>
  </si>
  <si>
    <t xml:space="preserve"> 'asabee</t>
  </si>
  <si>
    <t xml:space="preserve"> أصابع</t>
  </si>
  <si>
    <t>toes</t>
  </si>
  <si>
    <t xml:space="preserve"> 'asabee el ejrein</t>
  </si>
  <si>
    <t xml:space="preserve"> أصابع الإجرين</t>
  </si>
  <si>
    <t>head</t>
  </si>
  <si>
    <t xml:space="preserve"> ras</t>
  </si>
  <si>
    <t xml:space="preserve"> راس</t>
  </si>
  <si>
    <t>i have a headache</t>
  </si>
  <si>
    <t xml:space="preserve"> raseh aam youjaaneh</t>
  </si>
  <si>
    <t xml:space="preserve"> راسي عم يوجعني</t>
  </si>
  <si>
    <t>ear</t>
  </si>
  <si>
    <t xml:space="preserve"> dayneh</t>
  </si>
  <si>
    <t xml:space="preserve"> دَينه</t>
  </si>
  <si>
    <t>ears</t>
  </si>
  <si>
    <t xml:space="preserve"> dinein</t>
  </si>
  <si>
    <t xml:space="preserve"> دينَين</t>
  </si>
  <si>
    <t>mole</t>
  </si>
  <si>
    <t xml:space="preserve"> chemiyeh</t>
  </si>
  <si>
    <t xml:space="preserve"> شاميّة</t>
  </si>
  <si>
    <t>tooth</t>
  </si>
  <si>
    <t xml:space="preserve"> seinn</t>
  </si>
  <si>
    <t xml:space="preserve"> سِنّ</t>
  </si>
  <si>
    <t>teeth</t>
  </si>
  <si>
    <t xml:space="preserve"> snein</t>
  </si>
  <si>
    <t xml:space="preserve"> سنان</t>
  </si>
  <si>
    <t xml:space="preserve"> lsein</t>
  </si>
  <si>
    <t xml:space="preserve"> لسان</t>
  </si>
  <si>
    <t>lip</t>
  </si>
  <si>
    <t xml:space="preserve"> cheiffeh</t>
  </si>
  <si>
    <t xml:space="preserve"> شِفّه</t>
  </si>
  <si>
    <t>tongue</t>
  </si>
  <si>
    <t>lips</t>
  </si>
  <si>
    <t xml:space="preserve"> chfeif</t>
  </si>
  <si>
    <t xml:space="preserve"> شفاف</t>
  </si>
  <si>
    <t>this girl is so skinny</t>
  </si>
  <si>
    <t xml:space="preserve"> heydeh el benet ktir diifeh</t>
  </si>
  <si>
    <t xml:space="preserve"> هيدي البنت كتير ضعيفه</t>
  </si>
  <si>
    <t>this boy is fat</t>
  </si>
  <si>
    <t>heyda el sabeh naseh</t>
  </si>
  <si>
    <t>هيدا الصَبي ناصِح</t>
  </si>
  <si>
    <t>24th february</t>
  </si>
  <si>
    <t xml:space="preserve"> arbaa w eechrin chbat</t>
  </si>
  <si>
    <t>أربعَة و عشرين ْشباط</t>
  </si>
  <si>
    <t>home</t>
  </si>
  <si>
    <t xml:space="preserve"> beit</t>
  </si>
  <si>
    <t xml:space="preserve"> بَيْت</t>
  </si>
  <si>
    <t>building</t>
  </si>
  <si>
    <t xml:space="preserve"> bineyeh</t>
  </si>
  <si>
    <t xml:space="preserve"> بناية</t>
  </si>
  <si>
    <t>Floor</t>
  </si>
  <si>
    <t xml:space="preserve"> tabe'/ tawabe'</t>
  </si>
  <si>
    <t xml:space="preserve"> طابقِ/ طَوابِق</t>
  </si>
  <si>
    <t>bi ayya tabe' enta aayech?</t>
  </si>
  <si>
    <t>bi ayya tabe' enteh aaycheh?</t>
  </si>
  <si>
    <t xml:space="preserve"> بأيّ طاِبق إنتِ عايشي؟</t>
  </si>
  <si>
    <t>bedroom</t>
  </si>
  <si>
    <t xml:space="preserve"> oudit el nom</t>
  </si>
  <si>
    <t xml:space="preserve"> قوضِة النَوْم</t>
  </si>
  <si>
    <t>living room</t>
  </si>
  <si>
    <t xml:space="preserve"> oudit el 'aadeh</t>
  </si>
  <si>
    <t>قوضِة القَعْدِة</t>
  </si>
  <si>
    <t>kitchen</t>
  </si>
  <si>
    <t xml:space="preserve"> matbakh</t>
  </si>
  <si>
    <t xml:space="preserve"> مَطبَخ</t>
  </si>
  <si>
    <t xml:space="preserve">chou aam totbokh? </t>
  </si>
  <si>
    <t xml:space="preserve"> شو عَم تُطبُخ؟</t>
  </si>
  <si>
    <t>chou aam totbkheh?</t>
  </si>
  <si>
    <t xml:space="preserve"> شو عَمُ تُطُبخي؟</t>
  </si>
  <si>
    <t xml:space="preserve"> hemmem</t>
  </si>
  <si>
    <t xml:space="preserve"> حَمّام</t>
  </si>
  <si>
    <t>bed</t>
  </si>
  <si>
    <t xml:space="preserve"> takhet</t>
  </si>
  <si>
    <t xml:space="preserve"> تَخْت</t>
  </si>
  <si>
    <t>closet</t>
  </si>
  <si>
    <t xml:space="preserve"> khzeneh</t>
  </si>
  <si>
    <t xml:space="preserve"> خْزانة</t>
  </si>
  <si>
    <t xml:space="preserve"> tyeib</t>
  </si>
  <si>
    <t xml:space="preserve"> تياب</t>
  </si>
  <si>
    <t>clothes</t>
  </si>
  <si>
    <t>towel</t>
  </si>
  <si>
    <t xml:space="preserve"> manchafeh</t>
  </si>
  <si>
    <t xml:space="preserve"> مَنشَفة</t>
  </si>
  <si>
    <t>soap</t>
  </si>
  <si>
    <t xml:space="preserve"> saboun</t>
  </si>
  <si>
    <t xml:space="preserve"> صابون</t>
  </si>
  <si>
    <t>el sobeh bghassil wejjeh</t>
  </si>
  <si>
    <t xml:space="preserve"> الصُبُح بغَسِّل وِجِّي</t>
  </si>
  <si>
    <t xml:space="preserve"> foren</t>
  </si>
  <si>
    <t>el sobeh mnrouh aal foren ta nechtreh mne'ich</t>
  </si>
  <si>
    <t xml:space="preserve"> الصُبُح مِنروح عَلى فُرن تَنِشتِري مْناقيش</t>
  </si>
  <si>
    <t>sink</t>
  </si>
  <si>
    <t xml:space="preserve"> majla</t>
  </si>
  <si>
    <t xml:space="preserve"> مَجلَى</t>
  </si>
  <si>
    <t>im waching the dishes</t>
  </si>
  <si>
    <t xml:space="preserve"> ana aam bejleh el shoun</t>
  </si>
  <si>
    <t xml:space="preserve"> أنا عَم بِجلي الصْحون</t>
  </si>
  <si>
    <t>dishe</t>
  </si>
  <si>
    <t xml:space="preserve"> sahein</t>
  </si>
  <si>
    <t xml:space="preserve"> صَحْن</t>
  </si>
  <si>
    <t>fork</t>
  </si>
  <si>
    <t xml:space="preserve"> chawkeh</t>
  </si>
  <si>
    <t xml:space="preserve"> شَوْكِة</t>
  </si>
  <si>
    <t>knife</t>
  </si>
  <si>
    <t xml:space="preserve"> sekkin</t>
  </si>
  <si>
    <t xml:space="preserve"> سِكّين</t>
  </si>
  <si>
    <t>spoon</t>
  </si>
  <si>
    <t xml:space="preserve"> malaa'a</t>
  </si>
  <si>
    <t xml:space="preserve"> مَلْعقة</t>
  </si>
  <si>
    <t>cup</t>
  </si>
  <si>
    <t xml:space="preserve"> kebbeyeh</t>
  </si>
  <si>
    <t xml:space="preserve"> كَبَاية</t>
  </si>
  <si>
    <t>couches</t>
  </si>
  <si>
    <t xml:space="preserve"> kanabeyeh</t>
  </si>
  <si>
    <t xml:space="preserve"> كَنَبايِة</t>
  </si>
  <si>
    <t>table(s)</t>
  </si>
  <si>
    <t>chair(s)</t>
  </si>
  <si>
    <t xml:space="preserve"> tawleh/ tawleit </t>
  </si>
  <si>
    <t>طَاوْلِة/ طاولات</t>
  </si>
  <si>
    <t xml:space="preserve"> kerseh/ karaseh</t>
  </si>
  <si>
    <t xml:space="preserve"> كِرسِي/ كَراسِي</t>
  </si>
  <si>
    <t xml:space="preserve"> بأيّ طابِق إنتَ عايش؟</t>
  </si>
  <si>
    <t>oven/bakery</t>
  </si>
  <si>
    <t xml:space="preserve"> فِرن</t>
  </si>
  <si>
    <t>I would like to</t>
  </si>
  <si>
    <t xml:space="preserve">badde </t>
  </si>
  <si>
    <t>I would like to order some food</t>
  </si>
  <si>
    <t>badde otloub akeil/talabiyyeh</t>
  </si>
  <si>
    <t>to where do you want us to deliver</t>
  </si>
  <si>
    <t>la wein mnwassela?</t>
  </si>
  <si>
    <t>street</t>
  </si>
  <si>
    <t>cheri3</t>
  </si>
  <si>
    <t>floor</t>
  </si>
  <si>
    <t>tabi'</t>
  </si>
  <si>
    <t>I live in St Lourde's street, in the fifth floor</t>
  </si>
  <si>
    <t>Ana 3ayche bi cheri3 St Lourde, bil tabi' el khamis</t>
  </si>
  <si>
    <t>face to</t>
  </si>
  <si>
    <t>bi wejj</t>
  </si>
  <si>
    <t>near</t>
  </si>
  <si>
    <t>Hadd</t>
  </si>
  <si>
    <t>ask about</t>
  </si>
  <si>
    <t>s'al 3ann</t>
  </si>
  <si>
    <t xml:space="preserve">chicken </t>
  </si>
  <si>
    <t xml:space="preserve">garlic </t>
  </si>
  <si>
    <t xml:space="preserve">pickles </t>
  </si>
  <si>
    <t>djeij</t>
  </si>
  <si>
    <t>toum</t>
  </si>
  <si>
    <t>kabis</t>
  </si>
  <si>
    <t>with</t>
  </si>
  <si>
    <t>ma3</t>
  </si>
  <si>
    <t xml:space="preserve">without </t>
  </si>
  <si>
    <t>bala</t>
  </si>
  <si>
    <t xml:space="preserve">I want a chicken sandwich without garlic, with pickels, extra Hommous </t>
  </si>
  <si>
    <t>Baddeh 3arous djeij, bala toum, ma3 kabis, Hommous extra</t>
  </si>
  <si>
    <t>extra</t>
  </si>
  <si>
    <t>zyeideh</t>
  </si>
  <si>
    <t>cheese</t>
  </si>
  <si>
    <t>jebneh</t>
  </si>
  <si>
    <t>I want to order three pizza pepperoni, extra cheese</t>
  </si>
  <si>
    <t>baddeh otloub tleiteh pizza pepperoni, zyedeh jebneh</t>
  </si>
  <si>
    <t>vegeterian</t>
  </si>
  <si>
    <t xml:space="preserve">nabeiteh </t>
  </si>
  <si>
    <t>do you have vegeterian pizza</t>
  </si>
  <si>
    <t>ingredients</t>
  </si>
  <si>
    <t xml:space="preserve">moukawwineit </t>
  </si>
  <si>
    <t>what do you put inside the pizza</t>
  </si>
  <si>
    <t>mushrooms</t>
  </si>
  <si>
    <t>foter</t>
  </si>
  <si>
    <t xml:space="preserve">to add </t>
  </si>
  <si>
    <t>to remove</t>
  </si>
  <si>
    <t xml:space="preserve">tzid </t>
  </si>
  <si>
    <t>tchil</t>
  </si>
  <si>
    <t>can you remove to mushrooms</t>
  </si>
  <si>
    <t xml:space="preserve">mustard </t>
  </si>
  <si>
    <t>khardal</t>
  </si>
  <si>
    <t>can you add mustard</t>
  </si>
  <si>
    <t>dressing</t>
  </si>
  <si>
    <t>salsa</t>
  </si>
  <si>
    <t>I want to change the dressing</t>
  </si>
  <si>
    <t>baddeh ghayir el salsa</t>
  </si>
  <si>
    <t xml:space="preserve">light </t>
  </si>
  <si>
    <t>khafif</t>
  </si>
  <si>
    <t>what do you have as something light</t>
  </si>
  <si>
    <t xml:space="preserve">chou 3andkoun chi khafif (for a group of people) </t>
  </si>
  <si>
    <t>dish of the day</t>
  </si>
  <si>
    <t xml:space="preserve">taba' el yom </t>
  </si>
  <si>
    <t>what is the dish of the day</t>
  </si>
  <si>
    <t xml:space="preserve">chou taba' el yom </t>
  </si>
  <si>
    <t>How much time the food will need to arrive</t>
  </si>
  <si>
    <t>ade bado wa'eit el akeil ta yousal</t>
  </si>
  <si>
    <t>cost</t>
  </si>
  <si>
    <t>ha'/ se3er</t>
  </si>
  <si>
    <t>how much will the food cost</t>
  </si>
  <si>
    <t>addeh byotla3 Ha' el akeil?</t>
  </si>
  <si>
    <t>بدّي</t>
  </si>
  <si>
    <t>بَدّي أُطلُب أَكل/ طَلَبيّة</t>
  </si>
  <si>
    <t>لَ وَين مِنوصّلا</t>
  </si>
  <si>
    <t>شارِع</t>
  </si>
  <si>
    <t>طابِق</t>
  </si>
  <si>
    <t>أنا عايشي بشارِع سانت لورد، بالطابِق الخامِس</t>
  </si>
  <si>
    <t>بِ وجّ</t>
  </si>
  <si>
    <t>حَدّ</t>
  </si>
  <si>
    <t>سآل عنّ</t>
  </si>
  <si>
    <t>دجاج</t>
  </si>
  <si>
    <t>توم</t>
  </si>
  <si>
    <t>كَبيس</t>
  </si>
  <si>
    <t xml:space="preserve">مَع  </t>
  </si>
  <si>
    <t>بَلا</t>
  </si>
  <si>
    <t>بَدّي عَروس دجاج، بَلا توم، مَع كبيس، أكسترا حُمّص</t>
  </si>
  <si>
    <t>زيادي</t>
  </si>
  <si>
    <t>جِبنة</t>
  </si>
  <si>
    <t>بَدّي أُطلُب تلاتي بيتزا ببروني زيادي جِبنة</t>
  </si>
  <si>
    <t>نَباتي</t>
  </si>
  <si>
    <t xml:space="preserve">مُكونات </t>
  </si>
  <si>
    <t>فُطُر</t>
  </si>
  <si>
    <t>تزيد</t>
  </si>
  <si>
    <t>تشيل</t>
  </si>
  <si>
    <t xml:space="preserve">خَردَل </t>
  </si>
  <si>
    <t>صَلصَة</t>
  </si>
  <si>
    <t>بدّي غَيِّر الصَلصَة</t>
  </si>
  <si>
    <t>خَفيف</t>
  </si>
  <si>
    <t>شو عَندكُن شي خَفيف</t>
  </si>
  <si>
    <t>طَبَق اليوم</t>
  </si>
  <si>
    <t>شو طَبَق اليوم</t>
  </si>
  <si>
    <t xml:space="preserve">أدّي بِيطلَع حَقّ الأكل </t>
  </si>
  <si>
    <t>Mondial</t>
  </si>
  <si>
    <t>ka'eis el 3alam/ Mondial</t>
  </si>
  <si>
    <t>team</t>
  </si>
  <si>
    <t>fari'</t>
  </si>
  <si>
    <t>what team do you support</t>
  </si>
  <si>
    <t>enta/ente ma3 ayya fari'/ aya fari' btchaji3/btchaj3e</t>
  </si>
  <si>
    <t>Player/s</t>
  </si>
  <si>
    <t>le3ib/le3beh/la3ibeh</t>
  </si>
  <si>
    <t>this year, the world cup is in Brezil</t>
  </si>
  <si>
    <t>Heyde el seneh, ka'eis el 3alam bil Brazil</t>
  </si>
  <si>
    <t>four years ago, it was in south Africa</t>
  </si>
  <si>
    <t xml:space="preserve">min arba3 snin, kein bi Afri'ya el jnoubiyeh </t>
  </si>
  <si>
    <t>She is with the Spanish team</t>
  </si>
  <si>
    <t>hiyeh ma3 el fari' el espaneh</t>
  </si>
  <si>
    <t>this year I don't support any team</t>
  </si>
  <si>
    <t>heyde el seneh, ana manne ma3 wala fari'</t>
  </si>
  <si>
    <t xml:space="preserve">I'am with </t>
  </si>
  <si>
    <t>ana ma3</t>
  </si>
  <si>
    <t xml:space="preserve">I'am against </t>
  </si>
  <si>
    <t>ana dodd</t>
  </si>
  <si>
    <t xml:space="preserve">gain </t>
  </si>
  <si>
    <t>rebeH</t>
  </si>
  <si>
    <t>my team will win</t>
  </si>
  <si>
    <t xml:space="preserve">fari'eh raH yerbaH </t>
  </si>
  <si>
    <t>Loss</t>
  </si>
  <si>
    <t xml:space="preserve">khsara </t>
  </si>
  <si>
    <t xml:space="preserve">I hope your team loses </t>
  </si>
  <si>
    <t>betmanna fari'ak/fari'ik yekhsar</t>
  </si>
  <si>
    <t>spanish team</t>
  </si>
  <si>
    <t>fari' espaneh</t>
  </si>
  <si>
    <t>Brazilian team</t>
  </si>
  <si>
    <t>fari' Brazileh</t>
  </si>
  <si>
    <t>Italian team</t>
  </si>
  <si>
    <t>fari' telyeneh (or italeh)</t>
  </si>
  <si>
    <t>Germanic team</t>
  </si>
  <si>
    <t xml:space="preserve">fari' Almaneh </t>
  </si>
  <si>
    <t>French team</t>
  </si>
  <si>
    <t xml:space="preserve">fari' faranseh (or frensewe) </t>
  </si>
  <si>
    <t>كأس العالَم</t>
  </si>
  <si>
    <t>فَريق</t>
  </si>
  <si>
    <t>إنتَ/إنتِ أيّا فريق بتشَجِّع/ بتشَجعي</t>
  </si>
  <si>
    <t>لاعِب/لاعبي/ لَعّيبي</t>
  </si>
  <si>
    <t>هَيدي السنة، كأس العالم بالبرازيل</t>
  </si>
  <si>
    <t>مِن أربَع سنين، كان بأفريقيا الجنوبيّة</t>
  </si>
  <si>
    <t>هيّ مَع الفَريق الأسباني</t>
  </si>
  <si>
    <t>هَيدي السنة، أنا مَنّي مَع ولا فَريق</t>
  </si>
  <si>
    <t>أنا مَع</t>
  </si>
  <si>
    <t>أنا ضُد</t>
  </si>
  <si>
    <t>ربح</t>
  </si>
  <si>
    <t>فَريقي رَح يربَح</t>
  </si>
  <si>
    <t>خسارَة</t>
  </si>
  <si>
    <t>بتمنّى فريقَك/ فَريقِك يخسَر (بتمنّى الفَريق اللّي بتشجعو/بتشَحعي يخسَر</t>
  </si>
  <si>
    <t>فَريق إسباني</t>
  </si>
  <si>
    <t>فَريق برازيلي</t>
  </si>
  <si>
    <t xml:space="preserve">فَريق طلياني/ إطالي </t>
  </si>
  <si>
    <t>فَريق ألماني</t>
  </si>
  <si>
    <t xml:space="preserve">فَريق فَرَنسي/ فرنساوي </t>
  </si>
  <si>
    <t>عاصمِة لبنان, بَيروت</t>
  </si>
  <si>
    <t>دَولة/ وِلاية</t>
  </si>
  <si>
    <t>جُمهورِيّة</t>
  </si>
  <si>
    <t>جُمهوريّة لبنان/ الجُمهوريّة اللّبنانيّة</t>
  </si>
  <si>
    <t>الأُمَم المِتِّحْدة</t>
  </si>
  <si>
    <t>إنتِخابات</t>
  </si>
  <si>
    <t>في حِزبين أساسيّة بالولايات المتِّحْدة</t>
  </si>
  <si>
    <t>أَدّي بَدّو وَقت الأكل تَ يوصَل</t>
  </si>
  <si>
    <t xml:space="preserve">حَقّ/ سِعر </t>
  </si>
  <si>
    <t>Ana teilmiz/  teilmizeh</t>
  </si>
  <si>
    <t xml:space="preserve">I study Arabic </t>
  </si>
  <si>
    <t>Ana bedrous Arabeh</t>
  </si>
  <si>
    <t>I am a student</t>
  </si>
  <si>
    <t xml:space="preserve">I study in the Lebanese univeristy </t>
  </si>
  <si>
    <t xml:space="preserve">Ana bedrous bil jemaa el lebneniyeh </t>
  </si>
  <si>
    <t xml:space="preserve">I am a student,  and study Arabic in the Lebanese univeristy  </t>
  </si>
  <si>
    <t xml:space="preserve">Ana teilmiz/teilmizeh, w bedrous Arabeh bil jemaa el lebneniyeh </t>
  </si>
  <si>
    <t xml:space="preserve">Pencil </t>
  </si>
  <si>
    <t>Alam rsas</t>
  </si>
  <si>
    <t xml:space="preserve">Pen </t>
  </si>
  <si>
    <t xml:space="preserve">Alam </t>
  </si>
  <si>
    <t>Paper</t>
  </si>
  <si>
    <t xml:space="preserve">I write </t>
  </si>
  <si>
    <t xml:space="preserve">Bektoub </t>
  </si>
  <si>
    <t xml:space="preserve">War'a </t>
  </si>
  <si>
    <t>I write with the pen on the paper</t>
  </si>
  <si>
    <t xml:space="preserve">Ana bektoub bil alam aala el war'a </t>
  </si>
  <si>
    <t xml:space="preserve">Book </t>
  </si>
  <si>
    <t xml:space="preserve">Kteib </t>
  </si>
  <si>
    <t xml:space="preserve">Notebook </t>
  </si>
  <si>
    <t xml:space="preserve">Daftar </t>
  </si>
  <si>
    <t xml:space="preserve">Ruler </t>
  </si>
  <si>
    <t xml:space="preserve">Mastara </t>
  </si>
  <si>
    <t xml:space="preserve">Board </t>
  </si>
  <si>
    <t>LawH</t>
  </si>
  <si>
    <t>May I go to the bathroom</t>
  </si>
  <si>
    <t>Fine rouH aal Hemmem</t>
  </si>
  <si>
    <t xml:space="preserve">Teacher (man) </t>
  </si>
  <si>
    <t xml:space="preserve">Eisteiz </t>
  </si>
  <si>
    <t xml:space="preserve">Teacher (woman) </t>
  </si>
  <si>
    <t>Maalmeh</t>
  </si>
  <si>
    <t xml:space="preserve">Can you lend me your pen </t>
  </si>
  <si>
    <t>معَلمة</t>
  </si>
  <si>
    <t>إستاذ</t>
  </si>
  <si>
    <t>فيني روح عَلى حَمّام</t>
  </si>
  <si>
    <t>لّوح</t>
  </si>
  <si>
    <t>مَسطَرَة</t>
  </si>
  <si>
    <t>دَفتَر</t>
  </si>
  <si>
    <t>كتاب</t>
  </si>
  <si>
    <t xml:space="preserve">أنا بِكتُب بالقَلَم عَلى الوَرقَة </t>
  </si>
  <si>
    <t>بِكتُب</t>
  </si>
  <si>
    <t>وَرقة</t>
  </si>
  <si>
    <t>قَلَم</t>
  </si>
  <si>
    <t>قَلَم رصاص</t>
  </si>
  <si>
    <t>أنا بدرُس عَرَبي</t>
  </si>
  <si>
    <t>أنا تلميذ/ تلميذة</t>
  </si>
  <si>
    <t>أنا بدرُس بالجامعة اللّبنانيّة</t>
  </si>
  <si>
    <t>أنا تلمبذ/تِلميذة، وبدرُس عَرَبي بالجامعَة اللّبنانيّة</t>
  </si>
  <si>
    <t>Why</t>
  </si>
  <si>
    <t xml:space="preserve">Leh/lech </t>
  </si>
  <si>
    <t>Why are you angry</t>
  </si>
  <si>
    <t xml:space="preserve">When </t>
  </si>
  <si>
    <t xml:space="preserve">Eimtan </t>
  </si>
  <si>
    <t xml:space="preserve">When are you traveling </t>
  </si>
  <si>
    <t xml:space="preserve">Who </t>
  </si>
  <si>
    <t xml:space="preserve">Min   </t>
  </si>
  <si>
    <t xml:space="preserve">Who is coming to the party </t>
  </si>
  <si>
    <t xml:space="preserve">Min jeyeh aal sahra </t>
  </si>
  <si>
    <t xml:space="preserve">How </t>
  </si>
  <si>
    <t xml:space="preserve">Kif </t>
  </si>
  <si>
    <t xml:space="preserve">How are you today </t>
  </si>
  <si>
    <t xml:space="preserve">How is your mother </t>
  </si>
  <si>
    <t xml:space="preserve">How is your father </t>
  </si>
  <si>
    <t xml:space="preserve">How are your children </t>
  </si>
  <si>
    <t xml:space="preserve">What </t>
  </si>
  <si>
    <t>Chou</t>
  </si>
  <si>
    <t xml:space="preserve">what is wrong with you </t>
  </si>
  <si>
    <t xml:space="preserve">Where </t>
  </si>
  <si>
    <t xml:space="preserve">wein </t>
  </si>
  <si>
    <t>where are you going</t>
  </si>
  <si>
    <t xml:space="preserve">What for </t>
  </si>
  <si>
    <t xml:space="preserve">La chou </t>
  </si>
  <si>
    <t xml:space="preserve">what are these mugs for </t>
  </si>
  <si>
    <t xml:space="preserve">La chou hawdeh el kebbeiyeit </t>
  </si>
  <si>
    <t xml:space="preserve">Since when </t>
  </si>
  <si>
    <t xml:space="preserve">Min eimtan </t>
  </si>
  <si>
    <t xml:space="preserve">Since when do you wear black </t>
  </si>
  <si>
    <t>Why not</t>
  </si>
  <si>
    <t xml:space="preserve">Lech la'/ leh la' </t>
  </si>
  <si>
    <t xml:space="preserve">What else </t>
  </si>
  <si>
    <t xml:space="preserve">Chou kamein </t>
  </si>
  <si>
    <t xml:space="preserve">What else do you suggest </t>
  </si>
  <si>
    <t xml:space="preserve">Chou kamein btoktoriH/btoktorHe/ btoktorHo </t>
  </si>
  <si>
    <t xml:space="preserve">Min emtan btelbous/bteilbseih/btelbso aswad </t>
  </si>
  <si>
    <t>Wein rayiH/ rayHa/ rayHin</t>
  </si>
  <si>
    <t>Chou beik/ beikeh/ beikoun</t>
  </si>
  <si>
    <t xml:space="preserve">kifoun wleidak/ wleidik/ wleidkoun </t>
  </si>
  <si>
    <t xml:space="preserve">kifak/ kifik/ kifkoun el yom </t>
  </si>
  <si>
    <t>Eimtan mseifar/ mseifra/ mseifrin</t>
  </si>
  <si>
    <t>How come</t>
  </si>
  <si>
    <t xml:space="preserve">Kif ta </t>
  </si>
  <si>
    <t xml:space="preserve">How come you are here </t>
  </si>
  <si>
    <t xml:space="preserve">Kif ta enta/enteh/ento hon </t>
  </si>
  <si>
    <t xml:space="preserve">How much </t>
  </si>
  <si>
    <t xml:space="preserve">Addeih </t>
  </si>
  <si>
    <t xml:space="preserve">how much does it cost </t>
  </si>
  <si>
    <t xml:space="preserve">Addeih Ha'o/ ha'a/ ha'oun </t>
  </si>
  <si>
    <t>أدّي حَقّو/ حَقّا/ حَقُّن</t>
  </si>
  <si>
    <t>أدّي</t>
  </si>
  <si>
    <t xml:space="preserve">كيف تَ إنتَ،/ إنتِ/ إنتو هون </t>
  </si>
  <si>
    <t xml:space="preserve">كيف تَ  </t>
  </si>
  <si>
    <t>شو كَمان بتُقطُرِح/ بتٌفطُرحي/ بتُقطُرحوا</t>
  </si>
  <si>
    <t xml:space="preserve">شو كَمان   </t>
  </si>
  <si>
    <t>ليش لاء</t>
  </si>
  <si>
    <t>مِن أمتَن بتلبُس/ بتلبسي/ بتلبسوا أسوَد</t>
  </si>
  <si>
    <t xml:space="preserve">مِن أمتَن    </t>
  </si>
  <si>
    <t xml:space="preserve">اَشو هَودي الكبايات </t>
  </si>
  <si>
    <t>لَشو</t>
  </si>
  <si>
    <t xml:space="preserve">وَين رايح/ رايحا/ رايحين </t>
  </si>
  <si>
    <t xml:space="preserve">وَين   </t>
  </si>
  <si>
    <t xml:space="preserve">شو باك/ بكي/ بكُن </t>
  </si>
  <si>
    <t>شو</t>
  </si>
  <si>
    <t xml:space="preserve">كيفُن ولادَك/ ولادِك/ ولادكُن </t>
  </si>
  <si>
    <t xml:space="preserve">Kifa emmak/ emmik/ emkoun </t>
  </si>
  <si>
    <t xml:space="preserve">كيفا إمَّك/ إمِّك/ إمكُن </t>
  </si>
  <si>
    <t xml:space="preserve">Kifo bayyak/ bayyik/ baykoun </t>
  </si>
  <si>
    <t xml:space="preserve">كيفو بيَّك/ بيِّك/ بيكُن </t>
  </si>
  <si>
    <t xml:space="preserve">كيفَك/ كيفِك/ كيفكُن </t>
  </si>
  <si>
    <t>كيف</t>
  </si>
  <si>
    <t xml:space="preserve">مين جليي على سَهرَة </t>
  </si>
  <si>
    <t xml:space="preserve">مين   </t>
  </si>
  <si>
    <t xml:space="preserve">أمتَن مسافَر/ مسافرَة/ مسافرين </t>
  </si>
  <si>
    <t xml:space="preserve">أمتَن   </t>
  </si>
  <si>
    <t>ليع معَّصَّب/ معَصبي/ معَصبين</t>
  </si>
  <si>
    <t xml:space="preserve">Leh maassab/ maassbeh/ maasbin </t>
  </si>
  <si>
    <t xml:space="preserve">ليه/ ليش </t>
  </si>
  <si>
    <t xml:space="preserve">Fik t3ire alam/ fikeh t3irine alam/ fikoun t3irouneh alam </t>
  </si>
  <si>
    <t>فيك تعيرني قَلَم/ فيكي تعيريني قَلَم/ فيكُن تعيروني قلَم</t>
  </si>
  <si>
    <t xml:space="preserve">Fik tzid/ fikeh tzideh/ fikoun tzido khardal </t>
  </si>
  <si>
    <t>فيك تزيد/ فيكي تزيدي/ فيكُن تزيدو خَردَل</t>
  </si>
  <si>
    <t xml:space="preserve">Fik tcheilleh/ fikeh tchilileh/ fikoun tchilouleh el foteir </t>
  </si>
  <si>
    <t xml:space="preserve">فيك تشللّي/ فيكي تشيليلي/ فيكُك تشيلولي الفُطُر </t>
  </si>
  <si>
    <t xml:space="preserve">chou btHot/ btHotteh/ btHotto fiya (or bi alba) </t>
  </si>
  <si>
    <t>شو بحُطّ/ بتحُطّي/ بتحُطّوا فيها (بِ قَلبا)</t>
  </si>
  <si>
    <t>aandak/aandik/aandkoun  pizza nabetiyeh</t>
  </si>
  <si>
    <t>عَندَك/عَندِك/ عَندكُن  بيتزا نباتيّة</t>
  </si>
  <si>
    <t>kam marra btfarcheh sneinak/ snenik/ sneinkoun  bil nhar?</t>
  </si>
  <si>
    <t>كَم مَرًّة بتفَرشي سنانَك/ سنانِك/ سنانكُن بالنهار؟</t>
  </si>
  <si>
    <t xml:space="preserve">Job </t>
  </si>
  <si>
    <t xml:space="preserve">Chegeil </t>
  </si>
  <si>
    <t>Jobs</t>
  </si>
  <si>
    <t xml:space="preserve">Achghal </t>
  </si>
  <si>
    <t xml:space="preserve">Show maker </t>
  </si>
  <si>
    <t xml:space="preserve">Keindarjeh </t>
  </si>
  <si>
    <t xml:space="preserve">Blacksmith </t>
  </si>
  <si>
    <t xml:space="preserve">Heddeid </t>
  </si>
  <si>
    <t xml:space="preserve">Carpenter </t>
  </si>
  <si>
    <t xml:space="preserve">Najjar </t>
  </si>
  <si>
    <t xml:space="preserve">Mechanic </t>
  </si>
  <si>
    <t>Mecanicien</t>
  </si>
  <si>
    <t xml:space="preserve">Grocery store </t>
  </si>
  <si>
    <t xml:space="preserve">Dikkein </t>
  </si>
  <si>
    <t xml:space="preserve">Grocery owner </t>
  </si>
  <si>
    <t xml:space="preserve">Dikkanjeh </t>
  </si>
  <si>
    <t xml:space="preserve">Vegetables </t>
  </si>
  <si>
    <t xml:space="preserve">khodra </t>
  </si>
  <si>
    <t xml:space="preserve">Vegetebale store owner </t>
  </si>
  <si>
    <t xml:space="preserve">Khadarjeih </t>
  </si>
  <si>
    <t xml:space="preserve">Garden </t>
  </si>
  <si>
    <t xml:space="preserve">Jnayneih </t>
  </si>
  <si>
    <t xml:space="preserve">Gardner </t>
  </si>
  <si>
    <t xml:space="preserve">Jnayneiteh </t>
  </si>
  <si>
    <t xml:space="preserve">Bread </t>
  </si>
  <si>
    <t xml:space="preserve">Khebeiz </t>
  </si>
  <si>
    <t>bread maker/ Baker</t>
  </si>
  <si>
    <t xml:space="preserve">kheibbeiz / Forran </t>
  </si>
  <si>
    <t xml:space="preserve">Hairdresser </t>
  </si>
  <si>
    <t xml:space="preserve">Hellei'/ coiffeur </t>
  </si>
  <si>
    <t xml:space="preserve">Fortune teller </t>
  </si>
  <si>
    <t xml:space="preserve">Bossar/ bossara </t>
  </si>
  <si>
    <t xml:space="preserve">Wall painter </t>
  </si>
  <si>
    <t xml:space="preserve">Torrach </t>
  </si>
  <si>
    <t xml:space="preserve">Tiles </t>
  </si>
  <si>
    <t xml:space="preserve">Blat </t>
  </si>
  <si>
    <t xml:space="preserve">tile worker </t>
  </si>
  <si>
    <t xml:space="preserve">Bollat </t>
  </si>
  <si>
    <t xml:space="preserve">Electrician </t>
  </si>
  <si>
    <t xml:space="preserve">Kahrabjeih </t>
  </si>
  <si>
    <t xml:space="preserve">Doorman </t>
  </si>
  <si>
    <t xml:space="preserve">Natour </t>
  </si>
  <si>
    <t xml:space="preserve">Tailor </t>
  </si>
  <si>
    <t xml:space="preserve">Khiyyat/ khiyyata </t>
  </si>
  <si>
    <t>خِيّاط/ خِيّاطَة</t>
  </si>
  <si>
    <t>ناطور</t>
  </si>
  <si>
    <t>كَهرَبجي</t>
  </si>
  <si>
    <t>بُلاّط</t>
  </si>
  <si>
    <t>بلاط</t>
  </si>
  <si>
    <t>طُرّاش</t>
  </si>
  <si>
    <t>بَّصّار/ بَصّارَة</t>
  </si>
  <si>
    <t>حِلاّق/ حِلاقَة</t>
  </si>
  <si>
    <t>خِبّاز/ فُرّان</t>
  </si>
  <si>
    <t>خِبز</t>
  </si>
  <si>
    <t xml:space="preserve">جنيناتي </t>
  </si>
  <si>
    <t>جنَينِة</t>
  </si>
  <si>
    <t xml:space="preserve">خَضَرجي </t>
  </si>
  <si>
    <t>خُضرَة</t>
  </si>
  <si>
    <t>دِكَّنجي</t>
  </si>
  <si>
    <t xml:space="preserve">دِكّان </t>
  </si>
  <si>
    <t xml:space="preserve">ميكانيسيان </t>
  </si>
  <si>
    <t xml:space="preserve">نَجّار </t>
  </si>
  <si>
    <t xml:space="preserve">حِدّاد </t>
  </si>
  <si>
    <t xml:space="preserve">كِندَرجي </t>
  </si>
  <si>
    <t xml:space="preserve">اشغال </t>
  </si>
  <si>
    <t xml:space="preserve">شغل </t>
  </si>
  <si>
    <t>Winter</t>
  </si>
  <si>
    <t xml:space="preserve">Cheiteh </t>
  </si>
  <si>
    <t>Cold</t>
  </si>
  <si>
    <t xml:space="preserve">Sa'aa </t>
  </si>
  <si>
    <t xml:space="preserve">Today, it's really cold </t>
  </si>
  <si>
    <t xml:space="preserve">El yom, ktir sa'aa </t>
  </si>
  <si>
    <t xml:space="preserve">Storm </t>
  </si>
  <si>
    <t xml:space="preserve">Aasfeih </t>
  </si>
  <si>
    <t xml:space="preserve">There is a storm coming soon </t>
  </si>
  <si>
    <t xml:space="preserve">Fi aasfeih jeiyeh ariban </t>
  </si>
  <si>
    <t>Snow</t>
  </si>
  <si>
    <t xml:space="preserve">Taleij </t>
  </si>
  <si>
    <t xml:space="preserve">it snowed yesterday </t>
  </si>
  <si>
    <t xml:space="preserve">Talajit mberiH </t>
  </si>
  <si>
    <t xml:space="preserve">The road was blocked </t>
  </si>
  <si>
    <t xml:space="preserve">El tari' kein ma'tou3/ msakkar </t>
  </si>
  <si>
    <t xml:space="preserve">Tari' </t>
  </si>
  <si>
    <t xml:space="preserve">It's too cold, I can't go out, not to catch a cold </t>
  </si>
  <si>
    <t xml:space="preserve">Ktir sa'aa, ma fineh odhar, ta ma omrad (or ta ma rachiH)  </t>
  </si>
  <si>
    <t>Heating machines</t>
  </si>
  <si>
    <t xml:space="preserve">wase'il tadfi'a </t>
  </si>
  <si>
    <t xml:space="preserve">Electrical heater </t>
  </si>
  <si>
    <t xml:space="preserve">Deffeiyeh </t>
  </si>
  <si>
    <t xml:space="preserve">Chimney </t>
  </si>
  <si>
    <t xml:space="preserve">Cheminee </t>
  </si>
  <si>
    <t xml:space="preserve">Coal </t>
  </si>
  <si>
    <t xml:space="preserve">Hatab </t>
  </si>
  <si>
    <t xml:space="preserve">Fuel </t>
  </si>
  <si>
    <t xml:space="preserve">mazout </t>
  </si>
  <si>
    <t xml:space="preserve">winter food </t>
  </si>
  <si>
    <t xml:space="preserve">Chestnut </t>
  </si>
  <si>
    <t xml:space="preserve">Kastana </t>
  </si>
  <si>
    <t xml:space="preserve">Grilled potatoe </t>
  </si>
  <si>
    <t xml:space="preserve">Batata mechwiyeh </t>
  </si>
  <si>
    <t xml:space="preserve">Soup </t>
  </si>
  <si>
    <t xml:space="preserve">Chawraba </t>
  </si>
  <si>
    <t xml:space="preserve">Scarf </t>
  </si>
  <si>
    <t xml:space="preserve">Cheil </t>
  </si>
  <si>
    <t xml:space="preserve">Gloves </t>
  </si>
  <si>
    <t xml:space="preserve">Kfouf </t>
  </si>
  <si>
    <t xml:space="preserve">Hat </t>
  </si>
  <si>
    <t xml:space="preserve">Bornayta </t>
  </si>
  <si>
    <t xml:space="preserve">Coat </t>
  </si>
  <si>
    <t xml:space="preserve">Kabbout </t>
  </si>
  <si>
    <t xml:space="preserve">I am going to the snow </t>
  </si>
  <si>
    <t xml:space="preserve">Ana rayHa aal taleij </t>
  </si>
  <si>
    <t xml:space="preserve">I am goig skiing </t>
  </si>
  <si>
    <t xml:space="preserve">Aana rayHa aamoul ski </t>
  </si>
  <si>
    <t xml:space="preserve">Keep warm </t>
  </si>
  <si>
    <t xml:space="preserve">Tddafa/ tdaffeh/ tdaffo mniH </t>
  </si>
  <si>
    <t>تدَفّى/ تدفّي/ تدفّوا منيح</t>
  </si>
  <si>
    <t xml:space="preserve">أنا رايحا أعمُل سكي </t>
  </si>
  <si>
    <t>انا رايحل على تَلج</t>
  </si>
  <si>
    <t>بُرنَيطَة</t>
  </si>
  <si>
    <t>كفوف</t>
  </si>
  <si>
    <t>كَبّوت</t>
  </si>
  <si>
    <t>شال</t>
  </si>
  <si>
    <t>شَوَبَة</t>
  </si>
  <si>
    <t xml:space="preserve">بطاطا مِشويّة </t>
  </si>
  <si>
    <t>كَستنا</t>
  </si>
  <si>
    <t xml:space="preserve">أكل الشِتي </t>
  </si>
  <si>
    <t xml:space="preserve">akeil el cheiteh </t>
  </si>
  <si>
    <t>مازوط</t>
  </si>
  <si>
    <t>حَطَب</t>
  </si>
  <si>
    <t>شوميني</t>
  </si>
  <si>
    <t>دِفّاية</t>
  </si>
  <si>
    <t>وَسائل تَدفِءة</t>
  </si>
  <si>
    <t>كنير سَقعَة، ما فيني أُضهّر، تَ ما أُمرَض</t>
  </si>
  <si>
    <t xml:space="preserve">طَريق </t>
  </si>
  <si>
    <t>الطَريق كان مَقطوع/ مسَكّر</t>
  </si>
  <si>
    <t>تَلَجِت مبارِح</t>
  </si>
  <si>
    <t>تَلج</t>
  </si>
  <si>
    <t xml:space="preserve">في عاصفِة جايي قَريبا" </t>
  </si>
  <si>
    <t xml:space="preserve">عَاصفِة </t>
  </si>
  <si>
    <t xml:space="preserve">اليوم، كنير سَقعَة </t>
  </si>
  <si>
    <t xml:space="preserve">سَقعَة </t>
  </si>
  <si>
    <t xml:space="preserve">شِتي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</si>
</sst>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i/>
      <sz val="10"/>
      <color rgb="FF000000"/>
      <name val="Arial"/>
      <family val="2"/>
    </font>
    <font>
      <sz val="12"/>
      <color rgb="FF000000"/>
      <name val="Arial"/>
      <family val="2"/>
    </font>
    <font>
      <i/>
      <sz val="12"/>
      <color rgb="FF000000"/>
      <name val="Arial"/>
      <family val="2"/>
    </font>
    <font>
      <vertAlign val="superscript"/>
      <sz val="10"/>
      <color rgb="FF0B0080"/>
      <name val="Arial"/>
      <family val="2"/>
    </font>
    <font>
      <sz val="18"/>
      <color rgb="FF000000"/>
      <name val="Arial"/>
      <family val="2"/>
    </font>
    <font>
      <sz val="18"/>
      <color rgb="FF0B0080"/>
      <name val="Arial"/>
      <family val="2"/>
    </font>
    <font>
      <sz val="10"/>
      <color rgb="FF0B0080"/>
      <name val="Arial"/>
      <family val="2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i/>
      <u/>
      <sz val="9"/>
      <color theme="10"/>
      <name val="Calibri"/>
      <family val="2"/>
    </font>
    <font>
      <i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  <fill>
      <patternFill patternType="solid">
        <fgColor rgb="FFF2F2F2"/>
        <bgColor indexed="64"/>
      </patternFill>
    </fill>
  </fills>
  <borders count="7">
    <border>
      <left/>
      <right/>
      <top/>
      <bottom/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/>
      <diagonal/>
    </border>
    <border>
      <left style="medium">
        <color rgb="FFAAAAAA"/>
      </left>
      <right style="medium">
        <color rgb="FFAAAAAA"/>
      </right>
      <top/>
      <bottom style="medium">
        <color rgb="FFAAAAAA"/>
      </bottom>
      <diagonal/>
    </border>
    <border>
      <left style="medium">
        <color rgb="FFAAAAAA"/>
      </left>
      <right/>
      <top style="medium">
        <color rgb="FFAAAAAA"/>
      </top>
      <bottom style="medium">
        <color rgb="FFAAAAAA"/>
      </bottom>
      <diagonal/>
    </border>
    <border>
      <left/>
      <right/>
      <top style="medium">
        <color rgb="FFAAAAAA"/>
      </top>
      <bottom style="medium">
        <color rgb="FFAAAAAA"/>
      </bottom>
      <diagonal/>
    </border>
    <border>
      <left/>
      <right style="medium">
        <color rgb="FFAAAAAA"/>
      </right>
      <top style="medium">
        <color rgb="FFAAAAAA"/>
      </top>
      <bottom style="medium">
        <color rgb="FFAAAAAA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33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wrapText="1"/>
    </xf>
    <xf numFmtId="0" fontId="10" fillId="2" borderId="3" xfId="1" applyFill="1" applyBorder="1" applyAlignment="1" applyProtection="1">
      <alignment horizontal="center" wrapText="1"/>
    </xf>
    <xf numFmtId="0" fontId="10" fillId="2" borderId="2" xfId="1" applyFill="1" applyBorder="1" applyAlignment="1" applyProtection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10" fillId="2" borderId="1" xfId="1" applyFill="1" applyBorder="1" applyAlignment="1" applyProtection="1">
      <alignment horizontal="center" wrapText="1"/>
    </xf>
    <xf numFmtId="0" fontId="7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1" fillId="0" borderId="0" xfId="0" applyFont="1"/>
    <xf numFmtId="0" fontId="0" fillId="0" borderId="0" xfId="0" applyFont="1"/>
    <xf numFmtId="0" fontId="10" fillId="0" borderId="0" xfId="1" applyAlignment="1" applyProtection="1"/>
    <xf numFmtId="0" fontId="12" fillId="0" borderId="0" xfId="1" applyFont="1" applyAlignment="1" applyProtection="1"/>
    <xf numFmtId="0" fontId="13" fillId="0" borderId="0" xfId="0" applyFont="1"/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0" fillId="3" borderId="2" xfId="1" applyFill="1" applyBorder="1" applyAlignment="1" applyProtection="1">
      <alignment horizontal="center" vertical="center" wrapText="1"/>
    </xf>
    <xf numFmtId="0" fontId="10" fillId="3" borderId="3" xfId="1" applyFill="1" applyBorder="1" applyAlignment="1" applyProtection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0" fillId="2" borderId="2" xfId="1" applyFill="1" applyBorder="1" applyAlignment="1" applyProtection="1">
      <alignment horizontal="center" wrapText="1"/>
    </xf>
    <xf numFmtId="0" fontId="10" fillId="2" borderId="3" xfId="1" applyFill="1" applyBorder="1" applyAlignment="1" applyProtection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7" fillId="2" borderId="2" xfId="0" applyFont="1" applyFill="1" applyBorder="1" applyAlignment="1">
      <alignment horizontal="center" wrapText="1"/>
    </xf>
    <xf numFmtId="0" fontId="7" fillId="2" borderId="3" xfId="0" applyFont="1" applyFill="1" applyBorder="1" applyAlignment="1">
      <alignment horizontal="center" wrapText="1"/>
    </xf>
    <xf numFmtId="0" fontId="8" fillId="2" borderId="2" xfId="0" applyFont="1" applyFill="1" applyBorder="1" applyAlignment="1">
      <alignment horizontal="center" wrapText="1"/>
    </xf>
    <xf numFmtId="0" fontId="8" fillId="2" borderId="3" xfId="0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en.wikipedia.org/wiki/%D8%AD" TargetMode="External"/><Relationship Id="rId18" Type="http://schemas.openxmlformats.org/officeDocument/2006/relationships/hyperlink" Target="http://en.wikipedia.org/wiki/Voiced_dental_fricative" TargetMode="External"/><Relationship Id="rId26" Type="http://schemas.openxmlformats.org/officeDocument/2006/relationships/hyperlink" Target="http://en.wikipedia.org/wiki/Voiceless_palato-alveolar_sibilant" TargetMode="External"/><Relationship Id="rId39" Type="http://schemas.openxmlformats.org/officeDocument/2006/relationships/hyperlink" Target="http://en.wikipedia.org/wiki/Voiceless_labiodental_fricative" TargetMode="External"/><Relationship Id="rId21" Type="http://schemas.openxmlformats.org/officeDocument/2006/relationships/hyperlink" Target="http://en.wikipedia.org/wiki/%D8%B1" TargetMode="External"/><Relationship Id="rId34" Type="http://schemas.openxmlformats.org/officeDocument/2006/relationships/hyperlink" Target="http://en.wikipedia.org/wiki/%D8%B8" TargetMode="External"/><Relationship Id="rId42" Type="http://schemas.openxmlformats.org/officeDocument/2006/relationships/hyperlink" Target="http://en.wikipedia.org/wiki/%D9%83" TargetMode="External"/><Relationship Id="rId47" Type="http://schemas.openxmlformats.org/officeDocument/2006/relationships/hyperlink" Target="http://en.wikipedia.org/wiki/Alveolar_nasal" TargetMode="External"/><Relationship Id="rId50" Type="http://schemas.openxmlformats.org/officeDocument/2006/relationships/hyperlink" Target="http://en.wikipedia.org/wiki/%D9%87" TargetMode="External"/><Relationship Id="rId7" Type="http://schemas.openxmlformats.org/officeDocument/2006/relationships/hyperlink" Target="http://en.wikipedia.org/wiki/Voiceless_alveolar_stop" TargetMode="External"/><Relationship Id="rId2" Type="http://schemas.openxmlformats.org/officeDocument/2006/relationships/hyperlink" Target="http://en.wikipedia.org/wiki/International_Phonetic_Alphabet" TargetMode="External"/><Relationship Id="rId16" Type="http://schemas.openxmlformats.org/officeDocument/2006/relationships/hyperlink" Target="http://en.wikipedia.org/wiki/Voiced_alveolar_stop" TargetMode="External"/><Relationship Id="rId29" Type="http://schemas.openxmlformats.org/officeDocument/2006/relationships/hyperlink" Target="http://en.wikipedia.org/wiki/%D8%B5" TargetMode="External"/><Relationship Id="rId11" Type="http://schemas.openxmlformats.org/officeDocument/2006/relationships/hyperlink" Target="http://en.wikipedia.org/wiki/%D8%AC" TargetMode="External"/><Relationship Id="rId24" Type="http://schemas.openxmlformats.org/officeDocument/2006/relationships/hyperlink" Target="http://en.wikipedia.org/wiki/Voiceless_alveolar_sibilant" TargetMode="External"/><Relationship Id="rId32" Type="http://schemas.openxmlformats.org/officeDocument/2006/relationships/hyperlink" Target="http://en.wikipedia.org/wiki/Pharyngealization" TargetMode="External"/><Relationship Id="rId37" Type="http://schemas.openxmlformats.org/officeDocument/2006/relationships/hyperlink" Target="http://en.wikipedia.org/wiki/Voiced_velar_fricative" TargetMode="External"/><Relationship Id="rId40" Type="http://schemas.openxmlformats.org/officeDocument/2006/relationships/hyperlink" Target="http://en.wikipedia.org/wiki/Voiceless_uvular_stop" TargetMode="External"/><Relationship Id="rId45" Type="http://schemas.openxmlformats.org/officeDocument/2006/relationships/hyperlink" Target="http://en.wikipedia.org/wiki/Bilabial_nasal" TargetMode="External"/><Relationship Id="rId53" Type="http://schemas.openxmlformats.org/officeDocument/2006/relationships/hyperlink" Target="http://en.wikipedia.org/wiki/Palatal_approximant" TargetMode="External"/><Relationship Id="rId5" Type="http://schemas.openxmlformats.org/officeDocument/2006/relationships/hyperlink" Target="http://en.wikipedia.org/wiki/Voiced_bilabial_stop" TargetMode="External"/><Relationship Id="rId10" Type="http://schemas.openxmlformats.org/officeDocument/2006/relationships/hyperlink" Target="http://en.wikipedia.org/wiki/%D8%AB" TargetMode="External"/><Relationship Id="rId19" Type="http://schemas.openxmlformats.org/officeDocument/2006/relationships/hyperlink" Target="http://en.wikipedia.org/wiki/%D8%B0" TargetMode="External"/><Relationship Id="rId31" Type="http://schemas.openxmlformats.org/officeDocument/2006/relationships/hyperlink" Target="http://en.wikipedia.org/wiki/%D8%B6" TargetMode="External"/><Relationship Id="rId44" Type="http://schemas.openxmlformats.org/officeDocument/2006/relationships/hyperlink" Target="http://en.wikipedia.org/wiki/%D9%84" TargetMode="External"/><Relationship Id="rId52" Type="http://schemas.openxmlformats.org/officeDocument/2006/relationships/hyperlink" Target="http://en.wikipedia.org/wiki/%D9%88" TargetMode="External"/><Relationship Id="rId4" Type="http://schemas.openxmlformats.org/officeDocument/2006/relationships/hyperlink" Target="http://en.wikipedia.org/wiki/%D8%A7" TargetMode="External"/><Relationship Id="rId9" Type="http://schemas.openxmlformats.org/officeDocument/2006/relationships/hyperlink" Target="http://en.wikipedia.org/wiki/Voiceless_dental_non-sibilant_fricative" TargetMode="External"/><Relationship Id="rId14" Type="http://schemas.openxmlformats.org/officeDocument/2006/relationships/hyperlink" Target="http://en.wikipedia.org/wiki/Voiceless_velar_fricative" TargetMode="External"/><Relationship Id="rId22" Type="http://schemas.openxmlformats.org/officeDocument/2006/relationships/hyperlink" Target="http://en.wikipedia.org/wiki/Voiced_alveolar_sibilant" TargetMode="External"/><Relationship Id="rId27" Type="http://schemas.openxmlformats.org/officeDocument/2006/relationships/hyperlink" Target="http://en.wikipedia.org/wiki/%D8%B4" TargetMode="External"/><Relationship Id="rId30" Type="http://schemas.openxmlformats.org/officeDocument/2006/relationships/hyperlink" Target="http://en.wikipedia.org/wiki/Pharyngealization" TargetMode="External"/><Relationship Id="rId35" Type="http://schemas.openxmlformats.org/officeDocument/2006/relationships/hyperlink" Target="http://en.wikipedia.org/wiki/Voiced_pharyngeal_fricative" TargetMode="External"/><Relationship Id="rId43" Type="http://schemas.openxmlformats.org/officeDocument/2006/relationships/hyperlink" Target="http://en.wikipedia.org/wiki/Alveolar_lateral_approximant" TargetMode="External"/><Relationship Id="rId48" Type="http://schemas.openxmlformats.org/officeDocument/2006/relationships/hyperlink" Target="http://en.wikipedia.org/wiki/%D9%86" TargetMode="External"/><Relationship Id="rId8" Type="http://schemas.openxmlformats.org/officeDocument/2006/relationships/hyperlink" Target="http://en.wikipedia.org/wiki/%D8%AA" TargetMode="External"/><Relationship Id="rId51" Type="http://schemas.openxmlformats.org/officeDocument/2006/relationships/hyperlink" Target="http://en.wikipedia.org/wiki/Labio-velar_approximant" TargetMode="External"/><Relationship Id="rId3" Type="http://schemas.openxmlformats.org/officeDocument/2006/relationships/hyperlink" Target="http://en.wikipedia.org/wiki/Arabic_alphabet" TargetMode="External"/><Relationship Id="rId12" Type="http://schemas.openxmlformats.org/officeDocument/2006/relationships/hyperlink" Target="http://en.wikipedia.org/wiki/Voiceless_pharyngeal_fricative" TargetMode="External"/><Relationship Id="rId17" Type="http://schemas.openxmlformats.org/officeDocument/2006/relationships/hyperlink" Target="http://en.wikipedia.org/wiki/%D8%AF" TargetMode="External"/><Relationship Id="rId25" Type="http://schemas.openxmlformats.org/officeDocument/2006/relationships/hyperlink" Target="http://en.wikipedia.org/wiki/%D8%B3" TargetMode="External"/><Relationship Id="rId33" Type="http://schemas.openxmlformats.org/officeDocument/2006/relationships/hyperlink" Target="http://en.wikipedia.org/wiki/%D8%B7" TargetMode="External"/><Relationship Id="rId38" Type="http://schemas.openxmlformats.org/officeDocument/2006/relationships/hyperlink" Target="http://en.wikipedia.org/wiki/%D8%BA" TargetMode="External"/><Relationship Id="rId46" Type="http://schemas.openxmlformats.org/officeDocument/2006/relationships/hyperlink" Target="http://en.wikipedia.org/wiki/%D9%85" TargetMode="External"/><Relationship Id="rId20" Type="http://schemas.openxmlformats.org/officeDocument/2006/relationships/hyperlink" Target="http://en.wikipedia.org/wiki/Alveolar_trill" TargetMode="External"/><Relationship Id="rId41" Type="http://schemas.openxmlformats.org/officeDocument/2006/relationships/hyperlink" Target="http://en.wikipedia.org/wiki/Voiceless_velar_stop" TargetMode="External"/><Relationship Id="rId1" Type="http://schemas.openxmlformats.org/officeDocument/2006/relationships/hyperlink" Target="http://en.wikipedia.org/wiki/Romanization_of_Arabic" TargetMode="External"/><Relationship Id="rId6" Type="http://schemas.openxmlformats.org/officeDocument/2006/relationships/hyperlink" Target="http://en.wikipedia.org/wiki/%D8%A8" TargetMode="External"/><Relationship Id="rId15" Type="http://schemas.openxmlformats.org/officeDocument/2006/relationships/hyperlink" Target="http://en.wikipedia.org/wiki/%D8%AE" TargetMode="External"/><Relationship Id="rId23" Type="http://schemas.openxmlformats.org/officeDocument/2006/relationships/hyperlink" Target="http://en.wikipedia.org/wiki/%D8%B2" TargetMode="External"/><Relationship Id="rId28" Type="http://schemas.openxmlformats.org/officeDocument/2006/relationships/hyperlink" Target="http://en.wikipedia.org/wiki/Pharyngealization" TargetMode="External"/><Relationship Id="rId36" Type="http://schemas.openxmlformats.org/officeDocument/2006/relationships/hyperlink" Target="http://en.wikipedia.org/wiki/%D8%B9" TargetMode="External"/><Relationship Id="rId49" Type="http://schemas.openxmlformats.org/officeDocument/2006/relationships/hyperlink" Target="http://en.wikipedia.org/wiki/Voiceless_glottal_fricative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watch?v=SGeR9HfhVRA" TargetMode="External"/><Relationship Id="rId2" Type="http://schemas.openxmlformats.org/officeDocument/2006/relationships/hyperlink" Target="https://www.youtube.com/watch?v=RmEAQDsTTaE" TargetMode="External"/><Relationship Id="rId1" Type="http://schemas.openxmlformats.org/officeDocument/2006/relationships/hyperlink" Target="https://www.youtube.com/watch?v=E-TjOWZ5YQ0" TargetMode="Externa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5"/>
  <sheetViews>
    <sheetView tabSelected="1" topLeftCell="A205" workbookViewId="0">
      <selection activeCell="D276" sqref="D276"/>
    </sheetView>
  </sheetViews>
  <sheetFormatPr defaultRowHeight="15.75" x14ac:dyDescent="0.25"/>
  <cols>
    <col min="1" max="1" width="35.42578125" customWidth="1"/>
    <col min="2" max="2" width="34.85546875" customWidth="1"/>
    <col min="3" max="3" width="33.7109375" style="11" customWidth="1"/>
  </cols>
  <sheetData>
    <row r="1" spans="1:4" x14ac:dyDescent="0.25">
      <c r="A1" t="s">
        <v>64</v>
      </c>
      <c r="B1" t="s">
        <v>737</v>
      </c>
      <c r="C1" s="11" t="s">
        <v>318</v>
      </c>
      <c r="D1" t="s">
        <v>65</v>
      </c>
    </row>
    <row r="2" spans="1:4" x14ac:dyDescent="0.25">
      <c r="A2" t="s">
        <v>0</v>
      </c>
      <c r="B2" t="s">
        <v>116</v>
      </c>
      <c r="C2" s="11" t="s">
        <v>319</v>
      </c>
      <c r="D2">
        <v>1</v>
      </c>
    </row>
    <row r="3" spans="1:4" x14ac:dyDescent="0.25">
      <c r="A3" t="s">
        <v>738</v>
      </c>
      <c r="B3" t="s">
        <v>739</v>
      </c>
      <c r="C3" s="11" t="s">
        <v>740</v>
      </c>
      <c r="D3">
        <v>35</v>
      </c>
    </row>
    <row r="4" spans="1:4" x14ac:dyDescent="0.25">
      <c r="A4" t="s">
        <v>743</v>
      </c>
      <c r="B4" t="s">
        <v>742</v>
      </c>
      <c r="C4" s="11" t="s">
        <v>741</v>
      </c>
      <c r="D4">
        <v>35</v>
      </c>
    </row>
    <row r="5" spans="1:4" x14ac:dyDescent="0.25">
      <c r="A5" t="s">
        <v>744</v>
      </c>
      <c r="B5" t="s">
        <v>745</v>
      </c>
      <c r="C5" s="11" t="s">
        <v>746</v>
      </c>
      <c r="D5">
        <v>35</v>
      </c>
    </row>
    <row r="6" spans="1:4" x14ac:dyDescent="0.25">
      <c r="A6" t="s">
        <v>747</v>
      </c>
      <c r="B6" t="s">
        <v>748</v>
      </c>
      <c r="C6" s="11" t="s">
        <v>1251</v>
      </c>
      <c r="D6">
        <v>35</v>
      </c>
    </row>
    <row r="7" spans="1:4" x14ac:dyDescent="0.25">
      <c r="A7" t="s">
        <v>749</v>
      </c>
      <c r="B7" t="s">
        <v>750</v>
      </c>
      <c r="C7" s="11" t="s">
        <v>1252</v>
      </c>
      <c r="D7">
        <v>35</v>
      </c>
    </row>
    <row r="8" spans="1:4" x14ac:dyDescent="0.25">
      <c r="A8" t="s">
        <v>751</v>
      </c>
      <c r="B8" t="s">
        <v>752</v>
      </c>
      <c r="C8" s="11" t="s">
        <v>753</v>
      </c>
      <c r="D8">
        <v>35</v>
      </c>
    </row>
    <row r="9" spans="1:4" x14ac:dyDescent="0.25">
      <c r="A9" t="s">
        <v>754</v>
      </c>
      <c r="B9" t="s">
        <v>755</v>
      </c>
      <c r="C9" s="11" t="s">
        <v>756</v>
      </c>
      <c r="D9">
        <v>35</v>
      </c>
    </row>
    <row r="10" spans="1:4" x14ac:dyDescent="0.25">
      <c r="A10" t="s">
        <v>757</v>
      </c>
      <c r="B10" t="s">
        <v>758</v>
      </c>
      <c r="C10" s="11" t="s">
        <v>759</v>
      </c>
      <c r="D10">
        <v>35</v>
      </c>
    </row>
    <row r="11" spans="1:4" x14ac:dyDescent="0.25">
      <c r="A11" t="s">
        <v>760</v>
      </c>
      <c r="B11" t="s">
        <v>761</v>
      </c>
      <c r="C11" s="11" t="s">
        <v>1253</v>
      </c>
      <c r="D11">
        <v>35</v>
      </c>
    </row>
    <row r="12" spans="1:4" x14ac:dyDescent="0.25">
      <c r="A12" t="s">
        <v>762</v>
      </c>
      <c r="B12" t="s">
        <v>763</v>
      </c>
      <c r="C12" s="11" t="s">
        <v>764</v>
      </c>
      <c r="D12">
        <v>35</v>
      </c>
    </row>
    <row r="13" spans="1:4" x14ac:dyDescent="0.25">
      <c r="A13" t="s">
        <v>765</v>
      </c>
      <c r="B13" t="s">
        <v>766</v>
      </c>
      <c r="C13" s="11" t="s">
        <v>1254</v>
      </c>
      <c r="D13">
        <v>35</v>
      </c>
    </row>
    <row r="14" spans="1:4" x14ac:dyDescent="0.25">
      <c r="A14" t="s">
        <v>767</v>
      </c>
      <c r="B14" t="s">
        <v>768</v>
      </c>
      <c r="C14" s="11" t="s">
        <v>769</v>
      </c>
      <c r="D14">
        <v>35</v>
      </c>
    </row>
    <row r="15" spans="1:4" x14ac:dyDescent="0.25">
      <c r="A15" t="s">
        <v>770</v>
      </c>
      <c r="B15" t="s">
        <v>773</v>
      </c>
      <c r="C15" s="11" t="s">
        <v>776</v>
      </c>
      <c r="D15">
        <v>35</v>
      </c>
    </row>
    <row r="16" spans="1:4" x14ac:dyDescent="0.25">
      <c r="A16" t="s">
        <v>771</v>
      </c>
      <c r="B16" t="s">
        <v>774</v>
      </c>
      <c r="C16" s="11" t="s">
        <v>777</v>
      </c>
      <c r="D16">
        <v>35</v>
      </c>
    </row>
    <row r="17" spans="1:4" x14ac:dyDescent="0.25">
      <c r="A17" t="s">
        <v>772</v>
      </c>
      <c r="B17" t="s">
        <v>775</v>
      </c>
      <c r="C17" s="11" t="s">
        <v>778</v>
      </c>
      <c r="D17">
        <v>35</v>
      </c>
    </row>
    <row r="18" spans="1:4" x14ac:dyDescent="0.25">
      <c r="A18" t="s">
        <v>779</v>
      </c>
      <c r="B18" t="s">
        <v>781</v>
      </c>
      <c r="C18" s="11" t="s">
        <v>783</v>
      </c>
      <c r="D18">
        <v>35</v>
      </c>
    </row>
    <row r="19" spans="1:4" x14ac:dyDescent="0.25">
      <c r="A19" t="s">
        <v>780</v>
      </c>
      <c r="B19" t="s">
        <v>782</v>
      </c>
      <c r="C19" s="11" t="s">
        <v>784</v>
      </c>
      <c r="D19">
        <v>35</v>
      </c>
    </row>
    <row r="20" spans="1:4" x14ac:dyDescent="0.25">
      <c r="A20" t="s">
        <v>785</v>
      </c>
      <c r="B20" t="s">
        <v>786</v>
      </c>
      <c r="C20" s="11" t="s">
        <v>789</v>
      </c>
      <c r="D20">
        <v>35</v>
      </c>
    </row>
    <row r="21" spans="1:4" x14ac:dyDescent="0.25">
      <c r="A21" t="s">
        <v>787</v>
      </c>
      <c r="B21" t="s">
        <v>788</v>
      </c>
      <c r="C21" s="11" t="s">
        <v>1255</v>
      </c>
      <c r="D21">
        <v>35</v>
      </c>
    </row>
    <row r="22" spans="1:4" x14ac:dyDescent="0.25">
      <c r="A22" t="s">
        <v>790</v>
      </c>
      <c r="B22" t="s">
        <v>792</v>
      </c>
      <c r="C22" s="11" t="s">
        <v>794</v>
      </c>
      <c r="D22">
        <v>35</v>
      </c>
    </row>
    <row r="23" spans="1:4" x14ac:dyDescent="0.25">
      <c r="A23" t="s">
        <v>791</v>
      </c>
      <c r="B23" t="s">
        <v>793</v>
      </c>
      <c r="C23" s="11" t="s">
        <v>795</v>
      </c>
      <c r="D23">
        <v>35</v>
      </c>
    </row>
    <row r="24" spans="1:4" x14ac:dyDescent="0.25">
      <c r="A24" t="s">
        <v>796</v>
      </c>
      <c r="B24" t="s">
        <v>797</v>
      </c>
      <c r="C24" s="11" t="s">
        <v>1256</v>
      </c>
      <c r="D24">
        <v>35</v>
      </c>
    </row>
    <row r="25" spans="1:4" x14ac:dyDescent="0.25">
      <c r="A25" t="s">
        <v>798</v>
      </c>
      <c r="B25" t="s">
        <v>799</v>
      </c>
      <c r="C25" s="11" t="s">
        <v>800</v>
      </c>
      <c r="D25">
        <v>35</v>
      </c>
    </row>
    <row r="26" spans="1:4" x14ac:dyDescent="0.25">
      <c r="A26" t="s">
        <v>801</v>
      </c>
      <c r="B26" t="s">
        <v>802</v>
      </c>
      <c r="C26" s="11" t="s">
        <v>803</v>
      </c>
      <c r="D26">
        <v>35</v>
      </c>
    </row>
    <row r="27" spans="1:4" x14ac:dyDescent="0.25">
      <c r="A27" t="s">
        <v>804</v>
      </c>
      <c r="B27" t="s">
        <v>805</v>
      </c>
      <c r="C27" s="11" t="s">
        <v>1257</v>
      </c>
      <c r="D27">
        <v>35</v>
      </c>
    </row>
    <row r="28" spans="1:4" x14ac:dyDescent="0.25">
      <c r="A28" t="s">
        <v>829</v>
      </c>
      <c r="B28" t="s">
        <v>806</v>
      </c>
      <c r="C28" s="11" t="s">
        <v>807</v>
      </c>
      <c r="D28">
        <v>36</v>
      </c>
    </row>
    <row r="29" spans="1:4" x14ac:dyDescent="0.25">
      <c r="A29" t="s">
        <v>830</v>
      </c>
      <c r="B29" t="s">
        <v>808</v>
      </c>
      <c r="C29" s="11" t="s">
        <v>809</v>
      </c>
      <c r="D29">
        <v>36</v>
      </c>
    </row>
    <row r="30" spans="1:4" x14ac:dyDescent="0.25">
      <c r="A30" t="s">
        <v>831</v>
      </c>
      <c r="B30" t="s">
        <v>810</v>
      </c>
      <c r="C30" s="11" t="s">
        <v>811</v>
      </c>
      <c r="D30">
        <v>36</v>
      </c>
    </row>
    <row r="31" spans="1:4" x14ac:dyDescent="0.25">
      <c r="A31" t="s">
        <v>812</v>
      </c>
      <c r="B31" t="s">
        <v>815</v>
      </c>
      <c r="C31" s="11" t="s">
        <v>816</v>
      </c>
      <c r="D31">
        <v>36</v>
      </c>
    </row>
    <row r="32" spans="1:4" x14ac:dyDescent="0.25">
      <c r="A32" t="s">
        <v>823</v>
      </c>
      <c r="B32" t="s">
        <v>817</v>
      </c>
      <c r="C32" s="11" t="s">
        <v>818</v>
      </c>
      <c r="D32">
        <v>36</v>
      </c>
    </row>
    <row r="33" spans="1:4" x14ac:dyDescent="0.25">
      <c r="A33" t="s">
        <v>813</v>
      </c>
      <c r="B33" t="s">
        <v>819</v>
      </c>
      <c r="C33" s="11" t="s">
        <v>820</v>
      </c>
      <c r="D33">
        <v>36</v>
      </c>
    </row>
    <row r="34" spans="1:4" x14ac:dyDescent="0.25">
      <c r="A34" t="s">
        <v>814</v>
      </c>
      <c r="B34" t="s">
        <v>821</v>
      </c>
      <c r="C34" s="11" t="s">
        <v>822</v>
      </c>
      <c r="D34">
        <v>36</v>
      </c>
    </row>
    <row r="35" spans="1:4" x14ac:dyDescent="0.25">
      <c r="A35" t="s">
        <v>832</v>
      </c>
      <c r="B35" t="s">
        <v>824</v>
      </c>
      <c r="C35" s="11" t="s">
        <v>825</v>
      </c>
      <c r="D35">
        <v>36</v>
      </c>
    </row>
    <row r="36" spans="1:4" x14ac:dyDescent="0.25">
      <c r="A36" t="s">
        <v>833</v>
      </c>
      <c r="B36" t="s">
        <v>826</v>
      </c>
      <c r="C36" s="11" t="s">
        <v>827</v>
      </c>
      <c r="D36">
        <v>36</v>
      </c>
    </row>
    <row r="37" spans="1:4" x14ac:dyDescent="0.25">
      <c r="A37" t="s">
        <v>838</v>
      </c>
      <c r="B37" t="s">
        <v>828</v>
      </c>
      <c r="C37" s="11" t="s">
        <v>836</v>
      </c>
      <c r="D37">
        <v>36</v>
      </c>
    </row>
    <row r="38" spans="1:4" x14ac:dyDescent="0.25">
      <c r="A38" t="s">
        <v>834</v>
      </c>
      <c r="B38" t="s">
        <v>835</v>
      </c>
      <c r="C38" s="11" t="s">
        <v>837</v>
      </c>
      <c r="D38">
        <v>36</v>
      </c>
    </row>
    <row r="39" spans="1:4" x14ac:dyDescent="0.25">
      <c r="A39" t="s">
        <v>839</v>
      </c>
      <c r="B39" t="s">
        <v>840</v>
      </c>
      <c r="C39" s="11" t="s">
        <v>841</v>
      </c>
      <c r="D39">
        <v>34</v>
      </c>
    </row>
    <row r="40" spans="1:4" x14ac:dyDescent="0.25">
      <c r="A40" t="s">
        <v>842</v>
      </c>
      <c r="B40" t="s">
        <v>843</v>
      </c>
      <c r="C40" s="11" t="s">
        <v>844</v>
      </c>
      <c r="D40">
        <v>34</v>
      </c>
    </row>
    <row r="41" spans="1:4" x14ac:dyDescent="0.25">
      <c r="A41" t="s">
        <v>845</v>
      </c>
      <c r="B41" t="s">
        <v>846</v>
      </c>
      <c r="C41" s="11" t="s">
        <v>847</v>
      </c>
      <c r="D41">
        <v>34</v>
      </c>
    </row>
    <row r="42" spans="1:4" x14ac:dyDescent="0.25">
      <c r="A42" t="s">
        <v>848</v>
      </c>
      <c r="B42" t="s">
        <v>849</v>
      </c>
      <c r="C42" s="11" t="s">
        <v>850</v>
      </c>
      <c r="D42">
        <v>34</v>
      </c>
    </row>
    <row r="43" spans="1:4" x14ac:dyDescent="0.25">
      <c r="A43" t="s">
        <v>851</v>
      </c>
      <c r="B43" t="s">
        <v>852</v>
      </c>
      <c r="C43" s="11" t="s">
        <v>853</v>
      </c>
      <c r="D43">
        <v>34</v>
      </c>
    </row>
    <row r="44" spans="1:4" x14ac:dyDescent="0.25">
      <c r="A44" t="s">
        <v>854</v>
      </c>
      <c r="B44" t="s">
        <v>855</v>
      </c>
      <c r="C44" s="11" t="s">
        <v>856</v>
      </c>
      <c r="D44">
        <v>34</v>
      </c>
    </row>
    <row r="45" spans="1:4" x14ac:dyDescent="0.25">
      <c r="A45" t="s">
        <v>857</v>
      </c>
      <c r="B45" t="s">
        <v>858</v>
      </c>
      <c r="C45" s="11" t="s">
        <v>859</v>
      </c>
      <c r="D45">
        <v>34</v>
      </c>
    </row>
    <row r="46" spans="1:4" x14ac:dyDescent="0.25">
      <c r="A46" t="s">
        <v>860</v>
      </c>
      <c r="B46" t="s">
        <v>861</v>
      </c>
      <c r="C46" s="11" t="s">
        <v>862</v>
      </c>
      <c r="D46">
        <v>34</v>
      </c>
    </row>
    <row r="47" spans="1:4" ht="15" x14ac:dyDescent="0.25">
      <c r="A47" t="s">
        <v>863</v>
      </c>
      <c r="B47" t="s">
        <v>864</v>
      </c>
      <c r="C47" t="s">
        <v>865</v>
      </c>
      <c r="D47">
        <v>34</v>
      </c>
    </row>
    <row r="48" spans="1:4" ht="15" x14ac:dyDescent="0.25">
      <c r="A48" t="s">
        <v>867</v>
      </c>
      <c r="B48" t="s">
        <v>868</v>
      </c>
      <c r="C48" t="s">
        <v>866</v>
      </c>
      <c r="D48">
        <v>34</v>
      </c>
    </row>
    <row r="49" spans="1:4" ht="15" x14ac:dyDescent="0.25">
      <c r="A49" t="s">
        <v>869</v>
      </c>
      <c r="B49" t="s">
        <v>870</v>
      </c>
      <c r="C49" t="s">
        <v>871</v>
      </c>
      <c r="D49">
        <v>34</v>
      </c>
    </row>
    <row r="50" spans="1:4" ht="15" x14ac:dyDescent="0.25">
      <c r="A50" t="s">
        <v>872</v>
      </c>
      <c r="B50" t="s">
        <v>873</v>
      </c>
      <c r="C50" t="s">
        <v>874</v>
      </c>
      <c r="D50">
        <v>34</v>
      </c>
    </row>
    <row r="51" spans="1:4" ht="15" x14ac:dyDescent="0.25">
      <c r="A51" t="s">
        <v>877</v>
      </c>
      <c r="B51" t="s">
        <v>875</v>
      </c>
      <c r="C51" t="s">
        <v>876</v>
      </c>
      <c r="D51">
        <v>34</v>
      </c>
    </row>
    <row r="52" spans="1:4" ht="15" x14ac:dyDescent="0.25">
      <c r="A52" t="s">
        <v>878</v>
      </c>
      <c r="B52" t="s">
        <v>879</v>
      </c>
      <c r="C52" t="s">
        <v>880</v>
      </c>
      <c r="D52">
        <v>34</v>
      </c>
    </row>
    <row r="53" spans="1:4" ht="15" x14ac:dyDescent="0.25">
      <c r="A53" t="s">
        <v>881</v>
      </c>
      <c r="B53" t="s">
        <v>882</v>
      </c>
      <c r="C53" t="s">
        <v>883</v>
      </c>
      <c r="D53">
        <v>34</v>
      </c>
    </row>
    <row r="54" spans="1:4" ht="15" x14ac:dyDescent="0.25">
      <c r="A54" t="s">
        <v>884</v>
      </c>
      <c r="B54" t="s">
        <v>885</v>
      </c>
      <c r="C54" t="s">
        <v>886</v>
      </c>
      <c r="D54">
        <v>34</v>
      </c>
    </row>
    <row r="55" spans="1:4" ht="15" x14ac:dyDescent="0.25">
      <c r="A55" t="s">
        <v>887</v>
      </c>
      <c r="B55" t="s">
        <v>888</v>
      </c>
      <c r="C55" t="s">
        <v>889</v>
      </c>
      <c r="D55">
        <v>34</v>
      </c>
    </row>
    <row r="56" spans="1:4" ht="15" x14ac:dyDescent="0.25">
      <c r="A56" t="s">
        <v>890</v>
      </c>
      <c r="B56" t="s">
        <v>891</v>
      </c>
      <c r="C56" t="s">
        <v>892</v>
      </c>
      <c r="D56">
        <v>34</v>
      </c>
    </row>
    <row r="57" spans="1:4" ht="15" x14ac:dyDescent="0.25">
      <c r="A57" t="s">
        <v>893</v>
      </c>
      <c r="B57" t="s">
        <v>894</v>
      </c>
      <c r="C57" t="s">
        <v>895</v>
      </c>
      <c r="D57">
        <v>34</v>
      </c>
    </row>
    <row r="58" spans="1:4" x14ac:dyDescent="0.25">
      <c r="A58" t="s">
        <v>896</v>
      </c>
      <c r="B58" t="s">
        <v>897</v>
      </c>
      <c r="C58" s="11" t="s">
        <v>898</v>
      </c>
      <c r="D58">
        <v>26</v>
      </c>
    </row>
    <row r="59" spans="1:4" ht="15" x14ac:dyDescent="0.25">
      <c r="B59" t="s">
        <v>899</v>
      </c>
      <c r="C59" t="s">
        <v>900</v>
      </c>
      <c r="D59">
        <v>26</v>
      </c>
    </row>
    <row r="60" spans="1:4" x14ac:dyDescent="0.25">
      <c r="A60" t="s">
        <v>901</v>
      </c>
      <c r="B60" t="s">
        <v>902</v>
      </c>
      <c r="C60" s="11" t="s">
        <v>903</v>
      </c>
      <c r="D60">
        <v>26</v>
      </c>
    </row>
    <row r="61" spans="1:4" x14ac:dyDescent="0.25">
      <c r="A61" t="s">
        <v>904</v>
      </c>
      <c r="B61" t="s">
        <v>905</v>
      </c>
      <c r="C61" s="11" t="s">
        <v>906</v>
      </c>
      <c r="D61">
        <v>26</v>
      </c>
    </row>
    <row r="62" spans="1:4" x14ac:dyDescent="0.25">
      <c r="A62" t="s">
        <v>907</v>
      </c>
      <c r="B62" t="s">
        <v>908</v>
      </c>
      <c r="C62" s="11" t="s">
        <v>909</v>
      </c>
      <c r="D62">
        <v>26</v>
      </c>
    </row>
    <row r="63" spans="1:4" x14ac:dyDescent="0.25">
      <c r="A63" t="s">
        <v>910</v>
      </c>
      <c r="B63" t="s">
        <v>911</v>
      </c>
      <c r="C63" s="11" t="s">
        <v>912</v>
      </c>
      <c r="D63">
        <v>26</v>
      </c>
    </row>
    <row r="64" spans="1:4" x14ac:dyDescent="0.25">
      <c r="A64" t="s">
        <v>913</v>
      </c>
      <c r="B64" t="s">
        <v>914</v>
      </c>
      <c r="C64" s="11" t="s">
        <v>915</v>
      </c>
      <c r="D64">
        <v>26</v>
      </c>
    </row>
    <row r="65" spans="1:4" x14ac:dyDescent="0.25">
      <c r="A65" t="s">
        <v>916</v>
      </c>
      <c r="B65" t="s">
        <v>917</v>
      </c>
      <c r="C65" s="11" t="s">
        <v>918</v>
      </c>
      <c r="D65">
        <v>26</v>
      </c>
    </row>
    <row r="66" spans="1:4" x14ac:dyDescent="0.25">
      <c r="A66" t="s">
        <v>919</v>
      </c>
      <c r="B66" t="s">
        <v>920</v>
      </c>
      <c r="C66" s="11" t="s">
        <v>921</v>
      </c>
      <c r="D66">
        <v>26</v>
      </c>
    </row>
    <row r="67" spans="1:4" x14ac:dyDescent="0.25">
      <c r="A67" t="s">
        <v>922</v>
      </c>
      <c r="B67" t="s">
        <v>923</v>
      </c>
      <c r="C67" s="11" t="s">
        <v>924</v>
      </c>
      <c r="D67">
        <v>26</v>
      </c>
    </row>
    <row r="68" spans="1:4" x14ac:dyDescent="0.25">
      <c r="A68" t="s">
        <v>925</v>
      </c>
      <c r="B68" t="s">
        <v>926</v>
      </c>
      <c r="C68" s="11" t="s">
        <v>927</v>
      </c>
      <c r="D68">
        <v>26</v>
      </c>
    </row>
    <row r="69" spans="1:4" x14ac:dyDescent="0.25">
      <c r="A69" t="s">
        <v>928</v>
      </c>
      <c r="B69" t="s">
        <v>929</v>
      </c>
      <c r="C69" s="11" t="s">
        <v>930</v>
      </c>
      <c r="D69">
        <v>26</v>
      </c>
    </row>
    <row r="70" spans="1:4" x14ac:dyDescent="0.25">
      <c r="B70" t="s">
        <v>931</v>
      </c>
      <c r="D70">
        <v>26</v>
      </c>
    </row>
    <row r="71" spans="1:4" x14ac:dyDescent="0.25">
      <c r="B71" t="s">
        <v>932</v>
      </c>
      <c r="D71">
        <v>26</v>
      </c>
    </row>
    <row r="72" spans="1:4" x14ac:dyDescent="0.25">
      <c r="A72" t="s">
        <v>933</v>
      </c>
      <c r="B72" t="s">
        <v>934</v>
      </c>
      <c r="C72" s="11" t="s">
        <v>935</v>
      </c>
      <c r="D72">
        <v>26</v>
      </c>
    </row>
    <row r="73" spans="1:4" x14ac:dyDescent="0.25">
      <c r="A73" t="s">
        <v>936</v>
      </c>
      <c r="B73" t="s">
        <v>937</v>
      </c>
      <c r="C73" s="11" t="s">
        <v>938</v>
      </c>
      <c r="D73">
        <v>26</v>
      </c>
    </row>
    <row r="74" spans="1:4" x14ac:dyDescent="0.25">
      <c r="A74" t="s">
        <v>939</v>
      </c>
      <c r="B74" t="s">
        <v>940</v>
      </c>
      <c r="C74" s="11" t="s">
        <v>941</v>
      </c>
      <c r="D74">
        <v>26</v>
      </c>
    </row>
    <row r="75" spans="1:4" x14ac:dyDescent="0.25">
      <c r="A75" t="s">
        <v>942</v>
      </c>
      <c r="B75" t="s">
        <v>943</v>
      </c>
      <c r="C75" s="11" t="s">
        <v>944</v>
      </c>
      <c r="D75">
        <v>26</v>
      </c>
    </row>
    <row r="76" spans="1:4" x14ac:dyDescent="0.25">
      <c r="A76" t="s">
        <v>945</v>
      </c>
      <c r="B76" t="s">
        <v>946</v>
      </c>
      <c r="C76" s="11" t="s">
        <v>947</v>
      </c>
      <c r="D76">
        <v>26</v>
      </c>
    </row>
    <row r="77" spans="1:4" x14ac:dyDescent="0.25">
      <c r="A77" t="s">
        <v>948</v>
      </c>
      <c r="B77" t="s">
        <v>949</v>
      </c>
      <c r="C77" s="11" t="s">
        <v>950</v>
      </c>
      <c r="D77">
        <v>26</v>
      </c>
    </row>
    <row r="78" spans="1:4" x14ac:dyDescent="0.25">
      <c r="A78" t="s">
        <v>951</v>
      </c>
      <c r="B78" t="s">
        <v>952</v>
      </c>
      <c r="C78" s="11" t="s">
        <v>953</v>
      </c>
      <c r="D78">
        <v>26</v>
      </c>
    </row>
    <row r="79" spans="1:4" x14ac:dyDescent="0.25">
      <c r="A79" t="s">
        <v>954</v>
      </c>
      <c r="B79" t="s">
        <v>955</v>
      </c>
      <c r="C79" s="11" t="s">
        <v>956</v>
      </c>
      <c r="D79">
        <v>26</v>
      </c>
    </row>
    <row r="80" spans="1:4" x14ac:dyDescent="0.25">
      <c r="A80" t="s">
        <v>957</v>
      </c>
      <c r="B80" t="s">
        <v>958</v>
      </c>
      <c r="C80" s="11" t="s">
        <v>959</v>
      </c>
      <c r="D80">
        <v>26</v>
      </c>
    </row>
    <row r="81" spans="1:4" x14ac:dyDescent="0.25">
      <c r="A81" t="s">
        <v>960</v>
      </c>
      <c r="B81" t="s">
        <v>961</v>
      </c>
      <c r="C81" s="11" t="s">
        <v>962</v>
      </c>
      <c r="D81">
        <v>26</v>
      </c>
    </row>
    <row r="82" spans="1:4" x14ac:dyDescent="0.25">
      <c r="A82" t="s">
        <v>963</v>
      </c>
      <c r="B82" t="s">
        <v>964</v>
      </c>
      <c r="C82" s="11" t="s">
        <v>965</v>
      </c>
      <c r="D82">
        <v>26</v>
      </c>
    </row>
    <row r="83" spans="1:4" x14ac:dyDescent="0.25">
      <c r="A83" t="s">
        <v>966</v>
      </c>
      <c r="B83" t="s">
        <v>967</v>
      </c>
      <c r="D83">
        <v>26</v>
      </c>
    </row>
    <row r="84" spans="1:4" x14ac:dyDescent="0.25">
      <c r="A84" t="s">
        <v>968</v>
      </c>
      <c r="B84" t="s">
        <v>969</v>
      </c>
      <c r="C84" s="11" t="s">
        <v>970</v>
      </c>
      <c r="D84">
        <v>26</v>
      </c>
    </row>
    <row r="85" spans="1:4" x14ac:dyDescent="0.25">
      <c r="A85" t="s">
        <v>971</v>
      </c>
      <c r="B85" t="s">
        <v>972</v>
      </c>
      <c r="C85" s="11" t="s">
        <v>973</v>
      </c>
      <c r="D85">
        <v>26</v>
      </c>
    </row>
    <row r="86" spans="1:4" x14ac:dyDescent="0.25">
      <c r="A86" t="s">
        <v>974</v>
      </c>
      <c r="B86" t="s">
        <v>975</v>
      </c>
      <c r="C86" s="11" t="s">
        <v>976</v>
      </c>
      <c r="D86">
        <v>26</v>
      </c>
    </row>
    <row r="87" spans="1:4" x14ac:dyDescent="0.25">
      <c r="A87" t="s">
        <v>977</v>
      </c>
      <c r="B87" t="s">
        <v>978</v>
      </c>
      <c r="C87" s="11" t="s">
        <v>979</v>
      </c>
      <c r="D87">
        <v>26</v>
      </c>
    </row>
    <row r="88" spans="1:4" x14ac:dyDescent="0.25">
      <c r="A88" t="s">
        <v>980</v>
      </c>
      <c r="B88" t="s">
        <v>981</v>
      </c>
      <c r="C88" s="11" t="s">
        <v>982</v>
      </c>
      <c r="D88">
        <v>26</v>
      </c>
    </row>
    <row r="89" spans="1:4" x14ac:dyDescent="0.25">
      <c r="A89" t="s">
        <v>983</v>
      </c>
      <c r="B89" t="s">
        <v>984</v>
      </c>
      <c r="C89" s="11" t="s">
        <v>985</v>
      </c>
      <c r="D89">
        <v>26</v>
      </c>
    </row>
    <row r="90" spans="1:4" x14ac:dyDescent="0.25">
      <c r="A90" t="s">
        <v>986</v>
      </c>
      <c r="B90" t="s">
        <v>987</v>
      </c>
      <c r="C90" s="11" t="s">
        <v>988</v>
      </c>
      <c r="D90">
        <v>26</v>
      </c>
    </row>
    <row r="91" spans="1:4" x14ac:dyDescent="0.25">
      <c r="A91" t="s">
        <v>989</v>
      </c>
      <c r="B91" t="s">
        <v>990</v>
      </c>
      <c r="C91" s="11" t="s">
        <v>991</v>
      </c>
      <c r="D91">
        <v>26</v>
      </c>
    </row>
    <row r="92" spans="1:4" x14ac:dyDescent="0.25">
      <c r="A92" t="s">
        <v>992</v>
      </c>
      <c r="B92" t="s">
        <v>993</v>
      </c>
      <c r="C92" s="11" t="s">
        <v>994</v>
      </c>
      <c r="D92">
        <v>26</v>
      </c>
    </row>
    <row r="93" spans="1:4" x14ac:dyDescent="0.25">
      <c r="A93" t="s">
        <v>1000</v>
      </c>
      <c r="B93" t="s">
        <v>995</v>
      </c>
      <c r="C93" s="11" t="s">
        <v>996</v>
      </c>
      <c r="D93">
        <v>26</v>
      </c>
    </row>
    <row r="94" spans="1:4" x14ac:dyDescent="0.25">
      <c r="A94" t="s">
        <v>997</v>
      </c>
      <c r="B94" t="s">
        <v>998</v>
      </c>
      <c r="C94" s="11" t="s">
        <v>999</v>
      </c>
      <c r="D94">
        <v>26</v>
      </c>
    </row>
    <row r="95" spans="1:4" x14ac:dyDescent="0.25">
      <c r="A95" t="s">
        <v>1001</v>
      </c>
      <c r="B95" t="s">
        <v>1002</v>
      </c>
      <c r="C95" s="11" t="s">
        <v>1003</v>
      </c>
      <c r="D95">
        <v>26</v>
      </c>
    </row>
    <row r="96" spans="1:4" ht="15" x14ac:dyDescent="0.25">
      <c r="A96" t="s">
        <v>1004</v>
      </c>
      <c r="B96" t="s">
        <v>1005</v>
      </c>
      <c r="C96" t="s">
        <v>1006</v>
      </c>
      <c r="D96">
        <v>26</v>
      </c>
    </row>
    <row r="97" spans="1:4" ht="15" x14ac:dyDescent="0.25">
      <c r="A97" t="s">
        <v>1007</v>
      </c>
      <c r="B97" t="s">
        <v>1008</v>
      </c>
      <c r="C97" t="s">
        <v>1009</v>
      </c>
      <c r="D97">
        <v>26</v>
      </c>
    </row>
    <row r="98" spans="1:4" ht="15" x14ac:dyDescent="0.25">
      <c r="A98" t="s">
        <v>1010</v>
      </c>
      <c r="B98" t="s">
        <v>1011</v>
      </c>
      <c r="C98" t="s">
        <v>1012</v>
      </c>
      <c r="D98">
        <v>25</v>
      </c>
    </row>
    <row r="99" spans="1:4" x14ac:dyDescent="0.25">
      <c r="A99" t="s">
        <v>1013</v>
      </c>
      <c r="B99" t="s">
        <v>1014</v>
      </c>
      <c r="C99" s="11" t="s">
        <v>1015</v>
      </c>
      <c r="D99">
        <v>25</v>
      </c>
    </row>
    <row r="100" spans="1:4" x14ac:dyDescent="0.25">
      <c r="A100" t="s">
        <v>1016</v>
      </c>
      <c r="B100" t="s">
        <v>1017</v>
      </c>
      <c r="C100" s="11" t="s">
        <v>1018</v>
      </c>
      <c r="D100">
        <v>25</v>
      </c>
    </row>
    <row r="101" spans="1:4" ht="15" x14ac:dyDescent="0.25">
      <c r="A101" t="s">
        <v>1019</v>
      </c>
      <c r="B101" t="s">
        <v>1020</v>
      </c>
      <c r="C101" t="s">
        <v>1021</v>
      </c>
      <c r="D101">
        <v>25</v>
      </c>
    </row>
    <row r="102" spans="1:4" x14ac:dyDescent="0.25">
      <c r="B102" t="s">
        <v>1022</v>
      </c>
      <c r="C102" s="11" t="s">
        <v>1090</v>
      </c>
      <c r="D102">
        <v>25</v>
      </c>
    </row>
    <row r="103" spans="1:4" x14ac:dyDescent="0.25">
      <c r="B103" t="s">
        <v>1023</v>
      </c>
      <c r="C103" s="11" t="s">
        <v>1024</v>
      </c>
      <c r="D103">
        <v>25</v>
      </c>
    </row>
    <row r="104" spans="1:4" x14ac:dyDescent="0.25">
      <c r="A104" t="s">
        <v>1025</v>
      </c>
      <c r="B104" t="s">
        <v>1026</v>
      </c>
      <c r="C104" s="11" t="s">
        <v>1027</v>
      </c>
      <c r="D104">
        <v>25</v>
      </c>
    </row>
    <row r="105" spans="1:4" ht="15" x14ac:dyDescent="0.25">
      <c r="A105" t="s">
        <v>1028</v>
      </c>
      <c r="B105" t="s">
        <v>1029</v>
      </c>
      <c r="C105" t="s">
        <v>1030</v>
      </c>
      <c r="D105">
        <v>25</v>
      </c>
    </row>
    <row r="106" spans="1:4" x14ac:dyDescent="0.25">
      <c r="A106" t="s">
        <v>1031</v>
      </c>
      <c r="B106" t="s">
        <v>1032</v>
      </c>
      <c r="C106" s="11" t="s">
        <v>1033</v>
      </c>
      <c r="D106">
        <v>25</v>
      </c>
    </row>
    <row r="107" spans="1:4" x14ac:dyDescent="0.25">
      <c r="B107" t="s">
        <v>1034</v>
      </c>
      <c r="C107" s="11" t="s">
        <v>1035</v>
      </c>
      <c r="D107">
        <v>25</v>
      </c>
    </row>
    <row r="108" spans="1:4" x14ac:dyDescent="0.25">
      <c r="B108" t="s">
        <v>1036</v>
      </c>
      <c r="C108" s="11" t="s">
        <v>1037</v>
      </c>
      <c r="D108">
        <v>25</v>
      </c>
    </row>
    <row r="109" spans="1:4" x14ac:dyDescent="0.25">
      <c r="A109" t="s">
        <v>495</v>
      </c>
      <c r="B109" t="s">
        <v>1038</v>
      </c>
      <c r="C109" s="11" t="s">
        <v>1039</v>
      </c>
      <c r="D109">
        <v>25</v>
      </c>
    </row>
    <row r="110" spans="1:4" x14ac:dyDescent="0.25">
      <c r="A110" t="s">
        <v>1040</v>
      </c>
      <c r="B110" t="s">
        <v>1041</v>
      </c>
      <c r="C110" s="11" t="s">
        <v>1042</v>
      </c>
      <c r="D110">
        <v>25</v>
      </c>
    </row>
    <row r="111" spans="1:4" x14ac:dyDescent="0.25">
      <c r="A111" t="s">
        <v>1043</v>
      </c>
      <c r="B111" t="s">
        <v>1044</v>
      </c>
      <c r="C111" s="11" t="s">
        <v>1045</v>
      </c>
      <c r="D111">
        <v>25</v>
      </c>
    </row>
    <row r="112" spans="1:4" x14ac:dyDescent="0.25">
      <c r="A112" t="s">
        <v>1048</v>
      </c>
      <c r="B112" t="s">
        <v>1046</v>
      </c>
      <c r="C112" s="11" t="s">
        <v>1047</v>
      </c>
      <c r="D112">
        <v>25</v>
      </c>
    </row>
    <row r="113" spans="1:4" x14ac:dyDescent="0.25">
      <c r="A113" t="s">
        <v>1049</v>
      </c>
      <c r="B113" t="s">
        <v>1050</v>
      </c>
      <c r="C113" s="11" t="s">
        <v>1051</v>
      </c>
      <c r="D113">
        <v>25</v>
      </c>
    </row>
    <row r="114" spans="1:4" x14ac:dyDescent="0.25">
      <c r="A114" t="s">
        <v>1052</v>
      </c>
      <c r="B114" t="s">
        <v>1053</v>
      </c>
      <c r="C114" s="11" t="s">
        <v>1054</v>
      </c>
      <c r="D114">
        <v>25</v>
      </c>
    </row>
    <row r="115" spans="1:4" ht="15" x14ac:dyDescent="0.25">
      <c r="B115" t="s">
        <v>1055</v>
      </c>
      <c r="C115" t="s">
        <v>1056</v>
      </c>
      <c r="D115">
        <v>25</v>
      </c>
    </row>
    <row r="116" spans="1:4" ht="15" x14ac:dyDescent="0.25">
      <c r="B116" t="s">
        <v>1397</v>
      </c>
      <c r="C116" t="s">
        <v>1398</v>
      </c>
      <c r="D116">
        <v>25</v>
      </c>
    </row>
    <row r="117" spans="1:4" x14ac:dyDescent="0.25">
      <c r="A117" t="s">
        <v>1091</v>
      </c>
      <c r="B117" t="s">
        <v>1057</v>
      </c>
      <c r="C117" s="11" t="s">
        <v>1092</v>
      </c>
      <c r="D117">
        <v>25</v>
      </c>
    </row>
    <row r="118" spans="1:4" x14ac:dyDescent="0.25">
      <c r="B118" t="s">
        <v>1058</v>
      </c>
      <c r="C118" s="11" t="s">
        <v>1059</v>
      </c>
      <c r="D118">
        <v>25</v>
      </c>
    </row>
    <row r="119" spans="1:4" x14ac:dyDescent="0.25">
      <c r="A119" t="s">
        <v>1060</v>
      </c>
      <c r="B119" t="s">
        <v>1061</v>
      </c>
      <c r="C119" s="11" t="s">
        <v>1062</v>
      </c>
      <c r="D119">
        <v>25</v>
      </c>
    </row>
    <row r="120" spans="1:4" x14ac:dyDescent="0.25">
      <c r="A120" t="s">
        <v>1063</v>
      </c>
      <c r="B120" t="s">
        <v>1064</v>
      </c>
      <c r="C120" s="11" t="s">
        <v>1065</v>
      </c>
      <c r="D120">
        <v>25</v>
      </c>
    </row>
    <row r="121" spans="1:4" x14ac:dyDescent="0.25">
      <c r="A121" t="s">
        <v>1066</v>
      </c>
      <c r="B121" t="s">
        <v>1067</v>
      </c>
      <c r="C121" s="11" t="s">
        <v>1068</v>
      </c>
      <c r="D121">
        <v>25</v>
      </c>
    </row>
    <row r="122" spans="1:4" x14ac:dyDescent="0.25">
      <c r="A122" t="s">
        <v>1069</v>
      </c>
      <c r="B122" t="s">
        <v>1070</v>
      </c>
      <c r="C122" s="11" t="s">
        <v>1071</v>
      </c>
      <c r="D122">
        <v>25</v>
      </c>
    </row>
    <row r="123" spans="1:4" x14ac:dyDescent="0.25">
      <c r="A123" t="s">
        <v>1072</v>
      </c>
      <c r="B123" t="s">
        <v>1073</v>
      </c>
      <c r="C123" s="11" t="s">
        <v>1074</v>
      </c>
      <c r="D123">
        <v>25</v>
      </c>
    </row>
    <row r="124" spans="1:4" x14ac:dyDescent="0.25">
      <c r="A124" t="s">
        <v>1075</v>
      </c>
      <c r="B124" t="s">
        <v>1076</v>
      </c>
      <c r="C124" s="11" t="s">
        <v>1077</v>
      </c>
      <c r="D124">
        <v>25</v>
      </c>
    </row>
    <row r="125" spans="1:4" x14ac:dyDescent="0.25">
      <c r="A125" t="s">
        <v>1078</v>
      </c>
      <c r="B125" t="s">
        <v>1079</v>
      </c>
      <c r="C125" s="11" t="s">
        <v>1080</v>
      </c>
      <c r="D125">
        <v>25</v>
      </c>
    </row>
    <row r="126" spans="1:4" x14ac:dyDescent="0.25">
      <c r="A126" t="s">
        <v>1081</v>
      </c>
      <c r="B126" t="s">
        <v>1082</v>
      </c>
      <c r="C126" s="11" t="s">
        <v>1083</v>
      </c>
      <c r="D126">
        <v>25</v>
      </c>
    </row>
    <row r="127" spans="1:4" x14ac:dyDescent="0.25">
      <c r="A127" t="s">
        <v>1084</v>
      </c>
      <c r="B127" t="s">
        <v>1086</v>
      </c>
      <c r="C127" s="11" t="s">
        <v>1087</v>
      </c>
      <c r="D127">
        <v>25</v>
      </c>
    </row>
    <row r="128" spans="1:4" x14ac:dyDescent="0.25">
      <c r="A128" t="s">
        <v>1085</v>
      </c>
      <c r="B128" t="s">
        <v>1088</v>
      </c>
      <c r="C128" s="11" t="s">
        <v>1089</v>
      </c>
      <c r="D128">
        <v>25</v>
      </c>
    </row>
    <row r="129" spans="1:4" x14ac:dyDescent="0.25">
      <c r="A129" t="s">
        <v>1093</v>
      </c>
      <c r="B129" t="s">
        <v>1094</v>
      </c>
      <c r="C129" s="11" t="s">
        <v>1163</v>
      </c>
      <c r="D129">
        <v>27</v>
      </c>
    </row>
    <row r="130" spans="1:4" x14ac:dyDescent="0.25">
      <c r="A130" t="s">
        <v>1095</v>
      </c>
      <c r="B130" t="s">
        <v>1096</v>
      </c>
      <c r="C130" s="11" t="s">
        <v>1164</v>
      </c>
      <c r="D130">
        <v>27</v>
      </c>
    </row>
    <row r="131" spans="1:4" x14ac:dyDescent="0.25">
      <c r="A131" t="s">
        <v>1097</v>
      </c>
      <c r="B131" t="s">
        <v>1098</v>
      </c>
      <c r="C131" s="11" t="s">
        <v>1165</v>
      </c>
      <c r="D131">
        <v>27</v>
      </c>
    </row>
    <row r="132" spans="1:4" x14ac:dyDescent="0.25">
      <c r="A132" t="s">
        <v>1099</v>
      </c>
      <c r="B132" t="s">
        <v>1100</v>
      </c>
      <c r="C132" s="11" t="s">
        <v>1166</v>
      </c>
      <c r="D132">
        <v>27</v>
      </c>
    </row>
    <row r="133" spans="1:4" x14ac:dyDescent="0.25">
      <c r="A133" t="s">
        <v>1101</v>
      </c>
      <c r="B133" t="s">
        <v>1102</v>
      </c>
      <c r="C133" s="11" t="s">
        <v>1167</v>
      </c>
      <c r="D133">
        <v>27</v>
      </c>
    </row>
    <row r="134" spans="1:4" x14ac:dyDescent="0.25">
      <c r="A134" t="s">
        <v>1103</v>
      </c>
      <c r="B134" t="s">
        <v>1104</v>
      </c>
      <c r="C134" s="11" t="s">
        <v>1168</v>
      </c>
      <c r="D134">
        <v>27</v>
      </c>
    </row>
    <row r="135" spans="1:4" x14ac:dyDescent="0.25">
      <c r="A135" t="s">
        <v>1105</v>
      </c>
      <c r="B135" t="s">
        <v>1106</v>
      </c>
      <c r="C135" s="11" t="s">
        <v>1169</v>
      </c>
      <c r="D135">
        <v>27</v>
      </c>
    </row>
    <row r="136" spans="1:4" x14ac:dyDescent="0.25">
      <c r="A136" t="s">
        <v>1107</v>
      </c>
      <c r="B136" t="s">
        <v>1108</v>
      </c>
      <c r="C136" s="11" t="s">
        <v>1170</v>
      </c>
      <c r="D136">
        <v>27</v>
      </c>
    </row>
    <row r="137" spans="1:4" x14ac:dyDescent="0.25">
      <c r="A137" t="s">
        <v>1109</v>
      </c>
      <c r="B137" t="s">
        <v>1110</v>
      </c>
      <c r="C137" s="11" t="s">
        <v>1171</v>
      </c>
      <c r="D137">
        <v>27</v>
      </c>
    </row>
    <row r="138" spans="1:4" x14ac:dyDescent="0.25">
      <c r="A138" t="s">
        <v>1111</v>
      </c>
      <c r="B138" t="s">
        <v>1114</v>
      </c>
      <c r="C138" s="11" t="s">
        <v>1172</v>
      </c>
      <c r="D138">
        <v>27</v>
      </c>
    </row>
    <row r="139" spans="1:4" x14ac:dyDescent="0.25">
      <c r="A139" t="s">
        <v>1112</v>
      </c>
      <c r="B139" t="s">
        <v>1115</v>
      </c>
      <c r="C139" s="11" t="s">
        <v>1173</v>
      </c>
      <c r="D139">
        <v>27</v>
      </c>
    </row>
    <row r="140" spans="1:4" x14ac:dyDescent="0.25">
      <c r="A140" t="s">
        <v>1113</v>
      </c>
      <c r="B140" t="s">
        <v>1116</v>
      </c>
      <c r="C140" s="11" t="s">
        <v>1174</v>
      </c>
      <c r="D140">
        <v>27</v>
      </c>
    </row>
    <row r="141" spans="1:4" x14ac:dyDescent="0.25">
      <c r="A141" t="s">
        <v>1117</v>
      </c>
      <c r="B141" t="s">
        <v>1118</v>
      </c>
      <c r="C141" s="11" t="s">
        <v>1175</v>
      </c>
      <c r="D141">
        <v>27</v>
      </c>
    </row>
    <row r="142" spans="1:4" x14ac:dyDescent="0.25">
      <c r="A142" t="s">
        <v>1119</v>
      </c>
      <c r="B142" t="s">
        <v>1120</v>
      </c>
      <c r="C142" s="11" t="s">
        <v>1176</v>
      </c>
      <c r="D142">
        <v>27</v>
      </c>
    </row>
    <row r="143" spans="1:4" x14ac:dyDescent="0.25">
      <c r="A143" t="s">
        <v>1121</v>
      </c>
      <c r="B143" t="s">
        <v>1122</v>
      </c>
      <c r="C143" s="11" t="s">
        <v>1177</v>
      </c>
      <c r="D143">
        <v>27</v>
      </c>
    </row>
    <row r="144" spans="1:4" x14ac:dyDescent="0.25">
      <c r="A144" t="s">
        <v>1123</v>
      </c>
      <c r="B144" t="s">
        <v>1124</v>
      </c>
      <c r="C144" s="11" t="s">
        <v>1178</v>
      </c>
      <c r="D144">
        <v>27</v>
      </c>
    </row>
    <row r="145" spans="1:4" x14ac:dyDescent="0.25">
      <c r="A145" t="s">
        <v>1125</v>
      </c>
      <c r="B145" t="s">
        <v>1126</v>
      </c>
      <c r="C145" s="11" t="s">
        <v>1179</v>
      </c>
      <c r="D145">
        <v>27</v>
      </c>
    </row>
    <row r="146" spans="1:4" x14ac:dyDescent="0.25">
      <c r="A146" t="s">
        <v>1127</v>
      </c>
      <c r="B146" t="s">
        <v>1128</v>
      </c>
      <c r="C146" s="11" t="s">
        <v>1180</v>
      </c>
      <c r="D146">
        <v>27</v>
      </c>
    </row>
    <row r="147" spans="1:4" x14ac:dyDescent="0.25">
      <c r="A147" t="s">
        <v>1129</v>
      </c>
      <c r="B147" t="s">
        <v>1130</v>
      </c>
      <c r="C147" s="11" t="s">
        <v>1181</v>
      </c>
      <c r="D147">
        <v>27</v>
      </c>
    </row>
    <row r="148" spans="1:4" x14ac:dyDescent="0.25">
      <c r="A148" t="s">
        <v>1131</v>
      </c>
      <c r="B148" t="s">
        <v>1395</v>
      </c>
      <c r="C148" s="11" t="s">
        <v>1396</v>
      </c>
      <c r="D148">
        <v>27</v>
      </c>
    </row>
    <row r="149" spans="1:4" x14ac:dyDescent="0.25">
      <c r="A149" t="s">
        <v>1132</v>
      </c>
      <c r="B149" t="s">
        <v>1133</v>
      </c>
      <c r="C149" s="11" t="s">
        <v>1182</v>
      </c>
      <c r="D149">
        <v>27</v>
      </c>
    </row>
    <row r="150" spans="1:4" x14ac:dyDescent="0.25">
      <c r="A150" t="s">
        <v>1134</v>
      </c>
      <c r="B150" t="s">
        <v>1393</v>
      </c>
      <c r="C150" s="11" t="s">
        <v>1394</v>
      </c>
      <c r="D150">
        <v>27</v>
      </c>
    </row>
    <row r="151" spans="1:4" x14ac:dyDescent="0.25">
      <c r="A151" t="s">
        <v>1135</v>
      </c>
      <c r="B151" t="s">
        <v>1136</v>
      </c>
      <c r="C151" s="11" t="s">
        <v>1183</v>
      </c>
      <c r="D151">
        <v>27</v>
      </c>
    </row>
    <row r="152" spans="1:4" x14ac:dyDescent="0.25">
      <c r="A152" t="s">
        <v>1137</v>
      </c>
      <c r="B152" t="s">
        <v>1139</v>
      </c>
      <c r="C152" s="11" t="s">
        <v>1184</v>
      </c>
      <c r="D152">
        <v>27</v>
      </c>
    </row>
    <row r="153" spans="1:4" x14ac:dyDescent="0.25">
      <c r="A153" t="s">
        <v>1138</v>
      </c>
      <c r="B153" t="s">
        <v>1140</v>
      </c>
      <c r="C153" s="11" t="s">
        <v>1185</v>
      </c>
      <c r="D153">
        <v>27</v>
      </c>
    </row>
    <row r="154" spans="1:4" x14ac:dyDescent="0.25">
      <c r="A154" t="s">
        <v>1141</v>
      </c>
      <c r="B154" t="s">
        <v>1391</v>
      </c>
      <c r="C154" s="11" t="s">
        <v>1392</v>
      </c>
      <c r="D154">
        <v>27</v>
      </c>
    </row>
    <row r="155" spans="1:4" x14ac:dyDescent="0.25">
      <c r="A155" t="s">
        <v>1142</v>
      </c>
      <c r="B155" t="s">
        <v>1143</v>
      </c>
      <c r="C155" s="11" t="s">
        <v>1186</v>
      </c>
      <c r="D155">
        <v>27</v>
      </c>
    </row>
    <row r="156" spans="1:4" x14ac:dyDescent="0.25">
      <c r="A156" t="s">
        <v>1144</v>
      </c>
      <c r="B156" t="s">
        <v>1389</v>
      </c>
      <c r="C156" s="11" t="s">
        <v>1390</v>
      </c>
      <c r="D156">
        <v>27</v>
      </c>
    </row>
    <row r="157" spans="1:4" x14ac:dyDescent="0.25">
      <c r="A157" t="s">
        <v>1145</v>
      </c>
      <c r="B157" t="s">
        <v>1146</v>
      </c>
      <c r="C157" s="11" t="s">
        <v>1187</v>
      </c>
      <c r="D157">
        <v>27</v>
      </c>
    </row>
    <row r="158" spans="1:4" x14ac:dyDescent="0.25">
      <c r="A158" t="s">
        <v>1147</v>
      </c>
      <c r="B158" t="s">
        <v>1148</v>
      </c>
      <c r="C158" s="11" t="s">
        <v>1188</v>
      </c>
      <c r="D158">
        <v>27</v>
      </c>
    </row>
    <row r="159" spans="1:4" x14ac:dyDescent="0.25">
      <c r="A159" t="s">
        <v>1149</v>
      </c>
      <c r="B159" t="s">
        <v>1150</v>
      </c>
      <c r="C159" s="11" t="s">
        <v>1189</v>
      </c>
      <c r="D159">
        <v>27</v>
      </c>
    </row>
    <row r="160" spans="1:4" x14ac:dyDescent="0.25">
      <c r="A160" t="s">
        <v>1151</v>
      </c>
      <c r="B160" t="s">
        <v>1152</v>
      </c>
      <c r="C160" s="11" t="s">
        <v>1190</v>
      </c>
      <c r="D160">
        <v>27</v>
      </c>
    </row>
    <row r="161" spans="1:4" x14ac:dyDescent="0.25">
      <c r="A161" t="s">
        <v>1153</v>
      </c>
      <c r="B161" t="s">
        <v>1154</v>
      </c>
      <c r="C161" s="11" t="s">
        <v>1191</v>
      </c>
      <c r="D161">
        <v>27</v>
      </c>
    </row>
    <row r="162" spans="1:4" x14ac:dyDescent="0.25">
      <c r="A162" t="s">
        <v>1155</v>
      </c>
      <c r="B162" t="s">
        <v>1156</v>
      </c>
      <c r="C162" s="11" t="s">
        <v>1192</v>
      </c>
      <c r="D162">
        <v>27</v>
      </c>
    </row>
    <row r="163" spans="1:4" x14ac:dyDescent="0.25">
      <c r="A163" t="s">
        <v>1157</v>
      </c>
      <c r="B163" t="s">
        <v>1158</v>
      </c>
      <c r="C163" s="11" t="s">
        <v>1258</v>
      </c>
      <c r="D163">
        <v>27</v>
      </c>
    </row>
    <row r="164" spans="1:4" x14ac:dyDescent="0.25">
      <c r="A164" t="s">
        <v>1159</v>
      </c>
      <c r="B164" t="s">
        <v>1160</v>
      </c>
      <c r="C164" s="11" t="s">
        <v>1259</v>
      </c>
      <c r="D164">
        <v>27</v>
      </c>
    </row>
    <row r="165" spans="1:4" x14ac:dyDescent="0.25">
      <c r="A165" t="s">
        <v>1161</v>
      </c>
      <c r="B165" t="s">
        <v>1162</v>
      </c>
      <c r="C165" s="11" t="s">
        <v>1193</v>
      </c>
      <c r="D165">
        <v>27</v>
      </c>
    </row>
    <row r="166" spans="1:4" x14ac:dyDescent="0.25">
      <c r="A166" t="s">
        <v>1194</v>
      </c>
      <c r="B166" t="s">
        <v>1195</v>
      </c>
      <c r="C166" s="11" t="s">
        <v>1232</v>
      </c>
      <c r="D166">
        <v>28</v>
      </c>
    </row>
    <row r="167" spans="1:4" x14ac:dyDescent="0.25">
      <c r="A167" t="s">
        <v>1196</v>
      </c>
      <c r="B167" t="s">
        <v>1197</v>
      </c>
      <c r="C167" s="11" t="s">
        <v>1233</v>
      </c>
      <c r="D167">
        <v>28</v>
      </c>
    </row>
    <row r="168" spans="1:4" x14ac:dyDescent="0.25">
      <c r="A168" t="s">
        <v>1198</v>
      </c>
      <c r="B168" t="s">
        <v>1199</v>
      </c>
      <c r="C168" s="11" t="s">
        <v>1234</v>
      </c>
      <c r="D168">
        <v>28</v>
      </c>
    </row>
    <row r="169" spans="1:4" x14ac:dyDescent="0.25">
      <c r="A169" t="s">
        <v>1200</v>
      </c>
      <c r="B169" t="s">
        <v>1201</v>
      </c>
      <c r="C169" s="11" t="s">
        <v>1235</v>
      </c>
      <c r="D169">
        <v>28</v>
      </c>
    </row>
    <row r="170" spans="1:4" x14ac:dyDescent="0.25">
      <c r="A170" t="s">
        <v>1202</v>
      </c>
      <c r="B170" t="s">
        <v>1203</v>
      </c>
      <c r="C170" s="11" t="s">
        <v>1236</v>
      </c>
      <c r="D170">
        <v>28</v>
      </c>
    </row>
    <row r="171" spans="1:4" x14ac:dyDescent="0.25">
      <c r="A171" t="s">
        <v>1204</v>
      </c>
      <c r="B171" t="s">
        <v>1205</v>
      </c>
      <c r="C171" s="11" t="s">
        <v>1237</v>
      </c>
      <c r="D171">
        <v>28</v>
      </c>
    </row>
    <row r="172" spans="1:4" x14ac:dyDescent="0.25">
      <c r="A172" t="s">
        <v>1206</v>
      </c>
      <c r="B172" t="s">
        <v>1207</v>
      </c>
      <c r="C172" s="11" t="s">
        <v>1238</v>
      </c>
      <c r="D172">
        <v>28</v>
      </c>
    </row>
    <row r="173" spans="1:4" x14ac:dyDescent="0.25">
      <c r="A173" t="s">
        <v>1208</v>
      </c>
      <c r="B173" t="s">
        <v>1209</v>
      </c>
      <c r="C173" s="11" t="s">
        <v>1239</v>
      </c>
      <c r="D173">
        <v>28</v>
      </c>
    </row>
    <row r="174" spans="1:4" x14ac:dyDescent="0.25">
      <c r="A174" t="s">
        <v>1210</v>
      </c>
      <c r="B174" t="s">
        <v>1211</v>
      </c>
      <c r="C174" s="11" t="s">
        <v>1240</v>
      </c>
      <c r="D174">
        <v>28</v>
      </c>
    </row>
    <row r="175" spans="1:4" x14ac:dyDescent="0.25">
      <c r="A175" t="s">
        <v>1212</v>
      </c>
      <c r="B175" t="s">
        <v>1213</v>
      </c>
      <c r="C175" s="11" t="s">
        <v>1241</v>
      </c>
      <c r="D175">
        <v>28</v>
      </c>
    </row>
    <row r="176" spans="1:4" x14ac:dyDescent="0.25">
      <c r="A176" t="s">
        <v>1214</v>
      </c>
      <c r="B176" t="s">
        <v>1215</v>
      </c>
      <c r="C176" s="11" t="s">
        <v>1242</v>
      </c>
      <c r="D176">
        <v>28</v>
      </c>
    </row>
    <row r="177" spans="1:4" x14ac:dyDescent="0.25">
      <c r="A177" t="s">
        <v>1216</v>
      </c>
      <c r="B177" t="s">
        <v>1217</v>
      </c>
      <c r="C177" s="11" t="s">
        <v>1243</v>
      </c>
      <c r="D177">
        <v>28</v>
      </c>
    </row>
    <row r="178" spans="1:4" x14ac:dyDescent="0.25">
      <c r="A178" t="s">
        <v>1218</v>
      </c>
      <c r="B178" t="s">
        <v>1219</v>
      </c>
      <c r="C178" s="11" t="s">
        <v>1244</v>
      </c>
      <c r="D178">
        <v>28</v>
      </c>
    </row>
    <row r="179" spans="1:4" x14ac:dyDescent="0.25">
      <c r="A179" t="s">
        <v>1220</v>
      </c>
      <c r="B179" t="s">
        <v>1221</v>
      </c>
      <c r="C179" s="11" t="s">
        <v>1245</v>
      </c>
      <c r="D179">
        <v>28</v>
      </c>
    </row>
    <row r="180" spans="1:4" x14ac:dyDescent="0.25">
      <c r="A180" t="s">
        <v>1222</v>
      </c>
      <c r="B180" t="s">
        <v>1223</v>
      </c>
      <c r="C180" s="11" t="s">
        <v>1246</v>
      </c>
      <c r="D180">
        <v>28</v>
      </c>
    </row>
    <row r="181" spans="1:4" x14ac:dyDescent="0.25">
      <c r="A181" t="s">
        <v>1224</v>
      </c>
      <c r="B181" t="s">
        <v>1225</v>
      </c>
      <c r="C181" s="11" t="s">
        <v>1247</v>
      </c>
      <c r="D181">
        <v>28</v>
      </c>
    </row>
    <row r="182" spans="1:4" x14ac:dyDescent="0.25">
      <c r="A182" t="s">
        <v>1226</v>
      </c>
      <c r="B182" t="s">
        <v>1227</v>
      </c>
      <c r="C182" s="11" t="s">
        <v>1248</v>
      </c>
      <c r="D182">
        <v>28</v>
      </c>
    </row>
    <row r="183" spans="1:4" x14ac:dyDescent="0.25">
      <c r="A183" t="s">
        <v>1228</v>
      </c>
      <c r="B183" t="s">
        <v>1229</v>
      </c>
      <c r="C183" s="11" t="s">
        <v>1249</v>
      </c>
      <c r="D183">
        <v>28</v>
      </c>
    </row>
    <row r="184" spans="1:4" x14ac:dyDescent="0.25">
      <c r="A184" t="s">
        <v>1230</v>
      </c>
      <c r="B184" t="s">
        <v>1231</v>
      </c>
      <c r="C184" s="11" t="s">
        <v>1250</v>
      </c>
      <c r="D184">
        <v>28</v>
      </c>
    </row>
    <row r="185" spans="1:4" x14ac:dyDescent="0.25">
      <c r="A185" t="s">
        <v>1263</v>
      </c>
      <c r="B185" t="s">
        <v>1260</v>
      </c>
      <c r="C185" s="11" t="s">
        <v>1306</v>
      </c>
      <c r="D185">
        <v>29</v>
      </c>
    </row>
    <row r="186" spans="1:4" x14ac:dyDescent="0.25">
      <c r="A186" t="s">
        <v>1261</v>
      </c>
      <c r="B186" t="s">
        <v>1262</v>
      </c>
      <c r="C186" s="11" t="s">
        <v>1305</v>
      </c>
      <c r="D186">
        <v>29</v>
      </c>
    </row>
    <row r="187" spans="1:4" x14ac:dyDescent="0.25">
      <c r="A187" t="s">
        <v>1264</v>
      </c>
      <c r="B187" t="s">
        <v>1265</v>
      </c>
      <c r="C187" s="11" t="s">
        <v>1307</v>
      </c>
      <c r="D187">
        <v>29</v>
      </c>
    </row>
    <row r="188" spans="1:4" x14ac:dyDescent="0.25">
      <c r="A188" t="s">
        <v>1266</v>
      </c>
      <c r="B188" t="s">
        <v>1267</v>
      </c>
      <c r="C188" s="11" t="s">
        <v>1308</v>
      </c>
      <c r="D188">
        <v>29</v>
      </c>
    </row>
    <row r="189" spans="1:4" x14ac:dyDescent="0.25">
      <c r="A189" t="s">
        <v>1268</v>
      </c>
      <c r="B189" t="s">
        <v>1269</v>
      </c>
      <c r="C189" s="11" t="s">
        <v>1304</v>
      </c>
      <c r="D189">
        <v>29</v>
      </c>
    </row>
    <row r="190" spans="1:4" x14ac:dyDescent="0.25">
      <c r="A190" t="s">
        <v>1270</v>
      </c>
      <c r="B190" t="s">
        <v>1271</v>
      </c>
      <c r="C190" s="11" t="s">
        <v>1303</v>
      </c>
      <c r="D190">
        <v>29</v>
      </c>
    </row>
    <row r="191" spans="1:4" x14ac:dyDescent="0.25">
      <c r="A191" t="s">
        <v>1272</v>
      </c>
      <c r="B191" t="s">
        <v>1275</v>
      </c>
      <c r="C191" s="11" t="s">
        <v>1302</v>
      </c>
      <c r="D191">
        <v>29</v>
      </c>
    </row>
    <row r="192" spans="1:4" x14ac:dyDescent="0.25">
      <c r="A192" t="s">
        <v>1273</v>
      </c>
      <c r="B192" t="s">
        <v>1274</v>
      </c>
      <c r="C192" s="11" t="s">
        <v>1301</v>
      </c>
      <c r="D192">
        <v>29</v>
      </c>
    </row>
    <row r="193" spans="1:4" x14ac:dyDescent="0.25">
      <c r="A193" t="s">
        <v>1276</v>
      </c>
      <c r="B193" t="s">
        <v>1277</v>
      </c>
      <c r="C193" s="11" t="s">
        <v>1300</v>
      </c>
      <c r="D193">
        <v>29</v>
      </c>
    </row>
    <row r="194" spans="1:4" x14ac:dyDescent="0.25">
      <c r="A194" t="s">
        <v>1278</v>
      </c>
      <c r="B194" t="s">
        <v>1279</v>
      </c>
      <c r="C194" s="11" t="s">
        <v>1299</v>
      </c>
      <c r="D194">
        <v>29</v>
      </c>
    </row>
    <row r="195" spans="1:4" x14ac:dyDescent="0.25">
      <c r="A195" t="s">
        <v>1280</v>
      </c>
      <c r="B195" t="s">
        <v>1281</v>
      </c>
      <c r="C195" s="11" t="s">
        <v>1298</v>
      </c>
      <c r="D195">
        <v>29</v>
      </c>
    </row>
    <row r="196" spans="1:4" x14ac:dyDescent="0.25">
      <c r="A196" t="s">
        <v>1282</v>
      </c>
      <c r="B196" t="s">
        <v>1283</v>
      </c>
      <c r="C196" s="11" t="s">
        <v>1297</v>
      </c>
      <c r="D196">
        <v>29</v>
      </c>
    </row>
    <row r="197" spans="1:4" x14ac:dyDescent="0.25">
      <c r="A197" t="s">
        <v>1284</v>
      </c>
      <c r="B197" t="s">
        <v>1285</v>
      </c>
      <c r="C197" s="11" t="s">
        <v>1296</v>
      </c>
      <c r="D197">
        <v>29</v>
      </c>
    </row>
    <row r="198" spans="1:4" x14ac:dyDescent="0.25">
      <c r="A198" t="s">
        <v>1286</v>
      </c>
      <c r="B198" t="s">
        <v>1287</v>
      </c>
      <c r="C198" s="11" t="s">
        <v>1295</v>
      </c>
      <c r="D198">
        <v>29</v>
      </c>
    </row>
    <row r="199" spans="1:4" x14ac:dyDescent="0.25">
      <c r="A199" t="s">
        <v>1288</v>
      </c>
      <c r="B199" t="s">
        <v>1289</v>
      </c>
      <c r="C199" s="11" t="s">
        <v>1294</v>
      </c>
      <c r="D199">
        <v>29</v>
      </c>
    </row>
    <row r="200" spans="1:4" x14ac:dyDescent="0.25">
      <c r="A200" t="s">
        <v>1290</v>
      </c>
      <c r="B200" t="s">
        <v>1291</v>
      </c>
      <c r="C200" s="11" t="s">
        <v>1293</v>
      </c>
      <c r="D200">
        <v>29</v>
      </c>
    </row>
    <row r="201" spans="1:4" x14ac:dyDescent="0.25">
      <c r="A201" t="s">
        <v>1292</v>
      </c>
      <c r="B201" t="s">
        <v>1387</v>
      </c>
      <c r="C201" s="11" t="s">
        <v>1388</v>
      </c>
      <c r="D201">
        <v>29</v>
      </c>
    </row>
    <row r="202" spans="1:4" x14ac:dyDescent="0.25">
      <c r="A202" t="s">
        <v>1309</v>
      </c>
      <c r="B202" t="s">
        <v>1310</v>
      </c>
      <c r="C202" s="11" t="s">
        <v>1386</v>
      </c>
      <c r="D202">
        <v>30</v>
      </c>
    </row>
    <row r="203" spans="1:4" x14ac:dyDescent="0.25">
      <c r="A203" t="s">
        <v>1311</v>
      </c>
      <c r="B203" t="s">
        <v>1385</v>
      </c>
      <c r="C203" s="11" t="s">
        <v>1384</v>
      </c>
      <c r="D203">
        <v>30</v>
      </c>
    </row>
    <row r="204" spans="1:4" x14ac:dyDescent="0.25">
      <c r="A204" t="s">
        <v>1312</v>
      </c>
      <c r="B204" t="s">
        <v>1313</v>
      </c>
      <c r="C204" s="11" t="s">
        <v>1383</v>
      </c>
      <c r="D204">
        <v>30</v>
      </c>
    </row>
    <row r="205" spans="1:4" x14ac:dyDescent="0.25">
      <c r="A205" t="s">
        <v>1314</v>
      </c>
      <c r="B205" t="s">
        <v>1349</v>
      </c>
      <c r="C205" s="11" t="s">
        <v>1382</v>
      </c>
      <c r="D205">
        <v>30</v>
      </c>
    </row>
    <row r="206" spans="1:4" x14ac:dyDescent="0.25">
      <c r="A206" t="s">
        <v>1315</v>
      </c>
      <c r="B206" t="s">
        <v>1316</v>
      </c>
      <c r="C206" s="11" t="s">
        <v>1381</v>
      </c>
      <c r="D206">
        <v>30</v>
      </c>
    </row>
    <row r="207" spans="1:4" x14ac:dyDescent="0.25">
      <c r="A207" t="s">
        <v>1317</v>
      </c>
      <c r="B207" t="s">
        <v>1318</v>
      </c>
      <c r="C207" s="11" t="s">
        <v>1380</v>
      </c>
      <c r="D207">
        <v>30</v>
      </c>
    </row>
    <row r="208" spans="1:4" x14ac:dyDescent="0.25">
      <c r="A208" t="s">
        <v>1319</v>
      </c>
      <c r="B208" t="s">
        <v>1320</v>
      </c>
      <c r="C208" s="11" t="s">
        <v>1379</v>
      </c>
      <c r="D208">
        <v>30</v>
      </c>
    </row>
    <row r="209" spans="1:4" x14ac:dyDescent="0.25">
      <c r="A209" t="s">
        <v>1321</v>
      </c>
      <c r="B209" t="s">
        <v>1348</v>
      </c>
      <c r="C209" s="11" t="s">
        <v>1378</v>
      </c>
      <c r="D209">
        <v>30</v>
      </c>
    </row>
    <row r="210" spans="1:4" x14ac:dyDescent="0.25">
      <c r="A210" t="s">
        <v>1323</v>
      </c>
      <c r="B210" t="s">
        <v>1376</v>
      </c>
      <c r="C210" s="11" t="s">
        <v>1377</v>
      </c>
      <c r="D210">
        <v>30</v>
      </c>
    </row>
    <row r="211" spans="1:4" x14ac:dyDescent="0.25">
      <c r="A211" t="s">
        <v>1322</v>
      </c>
      <c r="B211" t="s">
        <v>1374</v>
      </c>
      <c r="C211" s="11" t="s">
        <v>1375</v>
      </c>
      <c r="D211">
        <v>30</v>
      </c>
    </row>
    <row r="212" spans="1:4" x14ac:dyDescent="0.25">
      <c r="A212" t="s">
        <v>1324</v>
      </c>
      <c r="B212" t="s">
        <v>1347</v>
      </c>
      <c r="C212" s="11" t="s">
        <v>1373</v>
      </c>
      <c r="D212">
        <v>30</v>
      </c>
    </row>
    <row r="213" spans="1:4" x14ac:dyDescent="0.25">
      <c r="A213" t="s">
        <v>1325</v>
      </c>
      <c r="B213" t="s">
        <v>1326</v>
      </c>
      <c r="C213" s="11" t="s">
        <v>1372</v>
      </c>
      <c r="D213">
        <v>30</v>
      </c>
    </row>
    <row r="214" spans="1:4" x14ac:dyDescent="0.25">
      <c r="A214" t="s">
        <v>1327</v>
      </c>
      <c r="B214" t="s">
        <v>1346</v>
      </c>
      <c r="C214" s="11" t="s">
        <v>1371</v>
      </c>
      <c r="D214">
        <v>30</v>
      </c>
    </row>
    <row r="215" spans="1:4" x14ac:dyDescent="0.25">
      <c r="A215" t="s">
        <v>1328</v>
      </c>
      <c r="B215" t="s">
        <v>1329</v>
      </c>
      <c r="C215" s="11" t="s">
        <v>1370</v>
      </c>
      <c r="D215">
        <v>30</v>
      </c>
    </row>
    <row r="216" spans="1:4" x14ac:dyDescent="0.25">
      <c r="A216" t="s">
        <v>1330</v>
      </c>
      <c r="B216" t="s">
        <v>1345</v>
      </c>
      <c r="C216" s="11" t="s">
        <v>1369</v>
      </c>
      <c r="D216">
        <v>30</v>
      </c>
    </row>
    <row r="217" spans="1:4" x14ac:dyDescent="0.25">
      <c r="A217" t="s">
        <v>1331</v>
      </c>
      <c r="B217" t="s">
        <v>1332</v>
      </c>
      <c r="C217" s="11" t="s">
        <v>1368</v>
      </c>
      <c r="D217">
        <v>30</v>
      </c>
    </row>
    <row r="218" spans="1:4" x14ac:dyDescent="0.25">
      <c r="A218" t="s">
        <v>1333</v>
      </c>
      <c r="B218" t="s">
        <v>1334</v>
      </c>
      <c r="C218" s="11" t="s">
        <v>1367</v>
      </c>
      <c r="D218">
        <v>30</v>
      </c>
    </row>
    <row r="219" spans="1:4" x14ac:dyDescent="0.25">
      <c r="A219" t="s">
        <v>1335</v>
      </c>
      <c r="B219" t="s">
        <v>1336</v>
      </c>
      <c r="C219" s="11" t="s">
        <v>1366</v>
      </c>
      <c r="D219">
        <v>30</v>
      </c>
    </row>
    <row r="220" spans="1:4" x14ac:dyDescent="0.25">
      <c r="A220" t="s">
        <v>1337</v>
      </c>
      <c r="B220" t="s">
        <v>1344</v>
      </c>
      <c r="C220" s="11" t="s">
        <v>1365</v>
      </c>
      <c r="D220">
        <v>30</v>
      </c>
    </row>
    <row r="221" spans="1:4" x14ac:dyDescent="0.25">
      <c r="A221" t="s">
        <v>1338</v>
      </c>
      <c r="B221" t="s">
        <v>1339</v>
      </c>
      <c r="C221" s="11" t="s">
        <v>1364</v>
      </c>
      <c r="D221">
        <v>30</v>
      </c>
    </row>
    <row r="222" spans="1:4" x14ac:dyDescent="0.25">
      <c r="A222" t="s">
        <v>1340</v>
      </c>
      <c r="B222" t="s">
        <v>1341</v>
      </c>
      <c r="C222" s="11" t="s">
        <v>1363</v>
      </c>
      <c r="D222">
        <v>30</v>
      </c>
    </row>
    <row r="223" spans="1:4" x14ac:dyDescent="0.25">
      <c r="A223" t="s">
        <v>1342</v>
      </c>
      <c r="B223" t="s">
        <v>1343</v>
      </c>
      <c r="C223" s="11" t="s">
        <v>1362</v>
      </c>
      <c r="D223">
        <v>30</v>
      </c>
    </row>
    <row r="224" spans="1:4" x14ac:dyDescent="0.25">
      <c r="A224" t="s">
        <v>1350</v>
      </c>
      <c r="B224" t="s">
        <v>1351</v>
      </c>
      <c r="C224" s="11" t="s">
        <v>1361</v>
      </c>
      <c r="D224">
        <v>30</v>
      </c>
    </row>
    <row r="225" spans="1:4" x14ac:dyDescent="0.25">
      <c r="A225" t="s">
        <v>1352</v>
      </c>
      <c r="B225" t="s">
        <v>1353</v>
      </c>
      <c r="C225" s="11" t="s">
        <v>1360</v>
      </c>
      <c r="D225">
        <v>30</v>
      </c>
    </row>
    <row r="226" spans="1:4" x14ac:dyDescent="0.25">
      <c r="A226" t="s">
        <v>1354</v>
      </c>
      <c r="B226" t="s">
        <v>1355</v>
      </c>
      <c r="C226" s="11" t="s">
        <v>1359</v>
      </c>
      <c r="D226">
        <v>30</v>
      </c>
    </row>
    <row r="227" spans="1:4" x14ac:dyDescent="0.25">
      <c r="A227" t="s">
        <v>1356</v>
      </c>
      <c r="B227" t="s">
        <v>1357</v>
      </c>
      <c r="C227" s="11" t="s">
        <v>1358</v>
      </c>
      <c r="D227">
        <v>30</v>
      </c>
    </row>
    <row r="228" spans="1:4" x14ac:dyDescent="0.25">
      <c r="A228" t="s">
        <v>1399</v>
      </c>
      <c r="B228" t="s">
        <v>1400</v>
      </c>
      <c r="C228" s="11" t="s">
        <v>1464</v>
      </c>
      <c r="D228">
        <v>31</v>
      </c>
    </row>
    <row r="229" spans="1:4" x14ac:dyDescent="0.25">
      <c r="A229" t="s">
        <v>1401</v>
      </c>
      <c r="B229" t="s">
        <v>1402</v>
      </c>
      <c r="C229" s="11" t="s">
        <v>1463</v>
      </c>
      <c r="D229">
        <v>31</v>
      </c>
    </row>
    <row r="230" spans="1:4" x14ac:dyDescent="0.25">
      <c r="A230" t="s">
        <v>1403</v>
      </c>
      <c r="B230" t="s">
        <v>1404</v>
      </c>
      <c r="C230" s="11" t="s">
        <v>1462</v>
      </c>
      <c r="D230">
        <v>31</v>
      </c>
    </row>
    <row r="231" spans="1:4" x14ac:dyDescent="0.25">
      <c r="A231" t="s">
        <v>1405</v>
      </c>
      <c r="B231" t="s">
        <v>1406</v>
      </c>
      <c r="C231" s="11" t="s">
        <v>1461</v>
      </c>
      <c r="D231">
        <v>31</v>
      </c>
    </row>
    <row r="232" spans="1:4" x14ac:dyDescent="0.25">
      <c r="A232" t="s">
        <v>1407</v>
      </c>
      <c r="B232" t="s">
        <v>1408</v>
      </c>
      <c r="C232" s="11" t="s">
        <v>1460</v>
      </c>
      <c r="D232">
        <v>31</v>
      </c>
    </row>
    <row r="233" spans="1:4" x14ac:dyDescent="0.25">
      <c r="A233" t="s">
        <v>1409</v>
      </c>
      <c r="B233" t="s">
        <v>1410</v>
      </c>
      <c r="C233" s="11" t="s">
        <v>1459</v>
      </c>
      <c r="D233">
        <v>31</v>
      </c>
    </row>
    <row r="234" spans="1:4" x14ac:dyDescent="0.25">
      <c r="A234" t="s">
        <v>1411</v>
      </c>
      <c r="B234" t="s">
        <v>1412</v>
      </c>
      <c r="C234" s="11" t="s">
        <v>1458</v>
      </c>
      <c r="D234">
        <v>31</v>
      </c>
    </row>
    <row r="235" spans="1:4" x14ac:dyDescent="0.25">
      <c r="A235" t="s">
        <v>1413</v>
      </c>
      <c r="B235" t="s">
        <v>1414</v>
      </c>
      <c r="C235" s="11" t="s">
        <v>1457</v>
      </c>
      <c r="D235">
        <v>31</v>
      </c>
    </row>
    <row r="236" spans="1:4" x14ac:dyDescent="0.25">
      <c r="A236" t="s">
        <v>1415</v>
      </c>
      <c r="B236" t="s">
        <v>1416</v>
      </c>
      <c r="C236" s="11" t="s">
        <v>1456</v>
      </c>
      <c r="D236">
        <v>31</v>
      </c>
    </row>
    <row r="237" spans="1:4" x14ac:dyDescent="0.25">
      <c r="A237" t="s">
        <v>1417</v>
      </c>
      <c r="B237" t="s">
        <v>1418</v>
      </c>
      <c r="C237" s="11" t="s">
        <v>1455</v>
      </c>
      <c r="D237">
        <v>31</v>
      </c>
    </row>
    <row r="238" spans="1:4" x14ac:dyDescent="0.25">
      <c r="A238" t="s">
        <v>1419</v>
      </c>
      <c r="B238" t="s">
        <v>1420</v>
      </c>
      <c r="C238" s="11" t="s">
        <v>1454</v>
      </c>
      <c r="D238">
        <v>31</v>
      </c>
    </row>
    <row r="239" spans="1:4" x14ac:dyDescent="0.25">
      <c r="A239" t="s">
        <v>1421</v>
      </c>
      <c r="B239" t="s">
        <v>1422</v>
      </c>
      <c r="C239" s="11" t="s">
        <v>1453</v>
      </c>
      <c r="D239">
        <v>31</v>
      </c>
    </row>
    <row r="240" spans="1:4" x14ac:dyDescent="0.25">
      <c r="A240" t="s">
        <v>1423</v>
      </c>
      <c r="B240" t="s">
        <v>1424</v>
      </c>
      <c r="C240" s="11" t="s">
        <v>1452</v>
      </c>
      <c r="D240">
        <v>31</v>
      </c>
    </row>
    <row r="241" spans="1:4" x14ac:dyDescent="0.25">
      <c r="A241" t="s">
        <v>1425</v>
      </c>
      <c r="B241" t="s">
        <v>1426</v>
      </c>
      <c r="C241" s="11" t="s">
        <v>1451</v>
      </c>
      <c r="D241">
        <v>31</v>
      </c>
    </row>
    <row r="242" spans="1:4" x14ac:dyDescent="0.25">
      <c r="A242" t="s">
        <v>1427</v>
      </c>
      <c r="B242" t="s">
        <v>1428</v>
      </c>
      <c r="C242" s="11" t="s">
        <v>1450</v>
      </c>
      <c r="D242">
        <v>31</v>
      </c>
    </row>
    <row r="243" spans="1:4" x14ac:dyDescent="0.25">
      <c r="A243" t="s">
        <v>1429</v>
      </c>
      <c r="B243" t="s">
        <v>1430</v>
      </c>
      <c r="C243" s="11" t="s">
        <v>1449</v>
      </c>
      <c r="D243">
        <v>31</v>
      </c>
    </row>
    <row r="244" spans="1:4" x14ac:dyDescent="0.25">
      <c r="A244" t="s">
        <v>1431</v>
      </c>
      <c r="B244" t="s">
        <v>1432</v>
      </c>
      <c r="C244" s="11" t="s">
        <v>1448</v>
      </c>
      <c r="D244">
        <v>31</v>
      </c>
    </row>
    <row r="245" spans="1:4" x14ac:dyDescent="0.25">
      <c r="A245" t="s">
        <v>1433</v>
      </c>
      <c r="B245" t="s">
        <v>1434</v>
      </c>
      <c r="C245" s="11" t="s">
        <v>1447</v>
      </c>
      <c r="D245">
        <v>31</v>
      </c>
    </row>
    <row r="246" spans="1:4" x14ac:dyDescent="0.25">
      <c r="A246" t="s">
        <v>1435</v>
      </c>
      <c r="B246" t="s">
        <v>1436</v>
      </c>
      <c r="C246" s="11" t="s">
        <v>1446</v>
      </c>
      <c r="D246">
        <v>31</v>
      </c>
    </row>
    <row r="247" spans="1:4" x14ac:dyDescent="0.25">
      <c r="A247" t="s">
        <v>1437</v>
      </c>
      <c r="B247" t="s">
        <v>1438</v>
      </c>
      <c r="C247" s="11" t="s">
        <v>1445</v>
      </c>
      <c r="D247">
        <v>31</v>
      </c>
    </row>
    <row r="248" spans="1:4" x14ac:dyDescent="0.25">
      <c r="A248" t="s">
        <v>1439</v>
      </c>
      <c r="B248" t="s">
        <v>1440</v>
      </c>
      <c r="C248" s="11" t="s">
        <v>1444</v>
      </c>
      <c r="D248">
        <v>31</v>
      </c>
    </row>
    <row r="249" spans="1:4" x14ac:dyDescent="0.25">
      <c r="A249" t="s">
        <v>1441</v>
      </c>
      <c r="B249" t="s">
        <v>1442</v>
      </c>
      <c r="C249" s="11" t="s">
        <v>1443</v>
      </c>
      <c r="D249">
        <v>31</v>
      </c>
    </row>
    <row r="250" spans="1:4" x14ac:dyDescent="0.25">
      <c r="A250" t="s">
        <v>1465</v>
      </c>
      <c r="B250" t="s">
        <v>1466</v>
      </c>
      <c r="C250" s="11" t="s">
        <v>1541</v>
      </c>
      <c r="D250">
        <v>32</v>
      </c>
    </row>
    <row r="251" spans="1:4" x14ac:dyDescent="0.25">
      <c r="A251" t="s">
        <v>1467</v>
      </c>
      <c r="B251" t="s">
        <v>1468</v>
      </c>
      <c r="C251" s="11" t="s">
        <v>1540</v>
      </c>
      <c r="D251">
        <v>32</v>
      </c>
    </row>
    <row r="252" spans="1:4" x14ac:dyDescent="0.25">
      <c r="A252" t="s">
        <v>1469</v>
      </c>
      <c r="B252" t="s">
        <v>1470</v>
      </c>
      <c r="C252" s="11" t="s">
        <v>1539</v>
      </c>
      <c r="D252">
        <v>32</v>
      </c>
    </row>
    <row r="253" spans="1:4" x14ac:dyDescent="0.25">
      <c r="A253" t="s">
        <v>1471</v>
      </c>
      <c r="B253" t="s">
        <v>1472</v>
      </c>
      <c r="C253" s="11" t="s">
        <v>1538</v>
      </c>
      <c r="D253">
        <v>32</v>
      </c>
    </row>
    <row r="254" spans="1:4" x14ac:dyDescent="0.25">
      <c r="A254" t="s">
        <v>1473</v>
      </c>
      <c r="B254" t="s">
        <v>1474</v>
      </c>
      <c r="C254" s="11" t="s">
        <v>1537</v>
      </c>
      <c r="D254">
        <v>32</v>
      </c>
    </row>
    <row r="255" spans="1:4" x14ac:dyDescent="0.25">
      <c r="A255" t="s">
        <v>1475</v>
      </c>
      <c r="B255" t="s">
        <v>1476</v>
      </c>
      <c r="C255" s="11" t="s">
        <v>1536</v>
      </c>
      <c r="D255">
        <v>32</v>
      </c>
    </row>
    <row r="256" spans="1:4" x14ac:dyDescent="0.25">
      <c r="A256" t="s">
        <v>1477</v>
      </c>
      <c r="B256" t="s">
        <v>1478</v>
      </c>
      <c r="C256" s="11" t="s">
        <v>1535</v>
      </c>
      <c r="D256">
        <v>32</v>
      </c>
    </row>
    <row r="257" spans="1:4" x14ac:dyDescent="0.25">
      <c r="A257" t="s">
        <v>1479</v>
      </c>
      <c r="B257" t="s">
        <v>1480</v>
      </c>
      <c r="C257" s="11" t="s">
        <v>1534</v>
      </c>
      <c r="D257">
        <v>32</v>
      </c>
    </row>
    <row r="258" spans="1:4" x14ac:dyDescent="0.25">
      <c r="A258" t="s">
        <v>13</v>
      </c>
      <c r="B258" t="s">
        <v>1481</v>
      </c>
      <c r="C258" s="11" t="s">
        <v>1533</v>
      </c>
      <c r="D258">
        <v>32</v>
      </c>
    </row>
    <row r="259" spans="1:4" x14ac:dyDescent="0.25">
      <c r="A259" t="s">
        <v>1482</v>
      </c>
      <c r="B259" t="s">
        <v>1483</v>
      </c>
      <c r="C259" s="11" t="s">
        <v>1532</v>
      </c>
      <c r="D259">
        <v>32</v>
      </c>
    </row>
    <row r="260" spans="1:4" x14ac:dyDescent="0.25">
      <c r="A260" t="s">
        <v>1484</v>
      </c>
      <c r="B260" t="s">
        <v>1485</v>
      </c>
      <c r="C260" s="11" t="s">
        <v>1531</v>
      </c>
      <c r="D260">
        <v>32</v>
      </c>
    </row>
    <row r="261" spans="1:4" x14ac:dyDescent="0.25">
      <c r="A261" t="s">
        <v>1486</v>
      </c>
      <c r="B261" t="s">
        <v>1487</v>
      </c>
      <c r="C261" s="11" t="s">
        <v>1530</v>
      </c>
      <c r="D261">
        <v>32</v>
      </c>
    </row>
    <row r="262" spans="1:4" x14ac:dyDescent="0.25">
      <c r="A262" t="s">
        <v>1488</v>
      </c>
      <c r="B262" t="s">
        <v>1489</v>
      </c>
      <c r="C262" s="11" t="s">
        <v>1529</v>
      </c>
      <c r="D262">
        <v>32</v>
      </c>
    </row>
    <row r="263" spans="1:4" x14ac:dyDescent="0.25">
      <c r="A263" t="s">
        <v>1490</v>
      </c>
      <c r="B263" t="s">
        <v>1491</v>
      </c>
      <c r="C263" s="11" t="s">
        <v>1528</v>
      </c>
      <c r="D263">
        <v>32</v>
      </c>
    </row>
    <row r="264" spans="1:4" x14ac:dyDescent="0.25">
      <c r="A264" t="s">
        <v>1492</v>
      </c>
      <c r="B264" t="s">
        <v>1493</v>
      </c>
      <c r="C264" s="11" t="s">
        <v>1527</v>
      </c>
      <c r="D264">
        <v>3</v>
      </c>
    </row>
    <row r="265" spans="1:4" x14ac:dyDescent="0.25">
      <c r="A265" t="s">
        <v>1494</v>
      </c>
      <c r="B265" t="s">
        <v>1526</v>
      </c>
      <c r="C265" s="11" t="s">
        <v>1525</v>
      </c>
      <c r="D265">
        <v>32</v>
      </c>
    </row>
    <row r="266" spans="1:4" x14ac:dyDescent="0.25">
      <c r="A266" t="s">
        <v>1495</v>
      </c>
      <c r="B266" t="s">
        <v>1496</v>
      </c>
      <c r="C266" s="11" t="s">
        <v>1524</v>
      </c>
      <c r="D266">
        <v>32</v>
      </c>
    </row>
    <row r="267" spans="1:4" x14ac:dyDescent="0.25">
      <c r="A267" t="s">
        <v>1497</v>
      </c>
      <c r="B267" t="s">
        <v>1498</v>
      </c>
      <c r="C267" s="11" t="s">
        <v>1523</v>
      </c>
      <c r="D267">
        <v>32</v>
      </c>
    </row>
    <row r="268" spans="1:4" x14ac:dyDescent="0.25">
      <c r="A268" t="s">
        <v>1499</v>
      </c>
      <c r="B268" t="s">
        <v>1500</v>
      </c>
      <c r="C268" s="11" t="s">
        <v>1522</v>
      </c>
      <c r="D268">
        <v>32</v>
      </c>
    </row>
    <row r="269" spans="1:4" x14ac:dyDescent="0.25">
      <c r="A269" t="s">
        <v>1501</v>
      </c>
      <c r="B269" t="s">
        <v>1502</v>
      </c>
      <c r="C269" s="11" t="s">
        <v>1521</v>
      </c>
      <c r="D269">
        <v>32</v>
      </c>
    </row>
    <row r="270" spans="1:4" x14ac:dyDescent="0.25">
      <c r="A270" t="s">
        <v>1503</v>
      </c>
      <c r="B270" t="s">
        <v>1504</v>
      </c>
      <c r="C270" s="11" t="s">
        <v>1519</v>
      </c>
      <c r="D270">
        <v>32</v>
      </c>
    </row>
    <row r="271" spans="1:4" x14ac:dyDescent="0.25">
      <c r="A271" t="s">
        <v>1505</v>
      </c>
      <c r="B271" t="s">
        <v>1506</v>
      </c>
      <c r="C271" s="11" t="s">
        <v>1518</v>
      </c>
      <c r="D271">
        <v>32</v>
      </c>
    </row>
    <row r="272" spans="1:4" x14ac:dyDescent="0.25">
      <c r="A272" t="s">
        <v>1507</v>
      </c>
      <c r="B272" t="s">
        <v>1508</v>
      </c>
      <c r="C272" s="11" t="s">
        <v>1520</v>
      </c>
      <c r="D272">
        <v>32</v>
      </c>
    </row>
    <row r="273" spans="1:4" x14ac:dyDescent="0.25">
      <c r="A273" t="s">
        <v>1509</v>
      </c>
      <c r="B273" t="s">
        <v>1510</v>
      </c>
      <c r="C273" s="11" t="s">
        <v>1517</v>
      </c>
      <c r="D273">
        <v>32</v>
      </c>
    </row>
    <row r="274" spans="1:4" x14ac:dyDescent="0.25">
      <c r="A274" t="s">
        <v>1511</v>
      </c>
      <c r="B274" t="s">
        <v>1512</v>
      </c>
      <c r="C274" s="11" t="s">
        <v>1516</v>
      </c>
      <c r="D274">
        <v>32</v>
      </c>
    </row>
    <row r="275" spans="1:4" x14ac:dyDescent="0.25">
      <c r="A275" t="s">
        <v>1513</v>
      </c>
      <c r="B275" t="s">
        <v>1514</v>
      </c>
      <c r="C275" s="11" t="s">
        <v>1515</v>
      </c>
      <c r="D275">
        <v>32</v>
      </c>
    </row>
  </sheetData>
  <sortState ref="A1:K354">
    <sortCondition ref="D1:D354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topLeftCell="A13" workbookViewId="0">
      <selection activeCell="A29" sqref="A29:A30"/>
    </sheetView>
  </sheetViews>
  <sheetFormatPr defaultRowHeight="15" x14ac:dyDescent="0.25"/>
  <sheetData>
    <row r="1" spans="1:7" ht="15.75" thickBot="1" x14ac:dyDescent="0.3">
      <c r="A1" s="16" t="s">
        <v>117</v>
      </c>
      <c r="B1" s="18" t="s">
        <v>118</v>
      </c>
      <c r="C1" s="18" t="s">
        <v>119</v>
      </c>
      <c r="D1" s="20" t="s">
        <v>120</v>
      </c>
      <c r="E1" s="21"/>
      <c r="F1" s="22"/>
      <c r="G1" s="16" t="s">
        <v>121</v>
      </c>
    </row>
    <row r="2" spans="1:7" ht="15.75" thickBot="1" x14ac:dyDescent="0.3">
      <c r="A2" s="17"/>
      <c r="B2" s="19"/>
      <c r="C2" s="19"/>
      <c r="D2" s="1" t="s">
        <v>122</v>
      </c>
      <c r="E2" s="1" t="s">
        <v>123</v>
      </c>
      <c r="F2" s="1" t="s">
        <v>124</v>
      </c>
      <c r="G2" s="17"/>
    </row>
    <row r="3" spans="1:7" x14ac:dyDescent="0.25">
      <c r="A3" s="25" t="s">
        <v>125</v>
      </c>
      <c r="B3" s="27" t="s">
        <v>126</v>
      </c>
      <c r="C3" s="2" t="s">
        <v>127</v>
      </c>
      <c r="D3" s="29" t="s">
        <v>129</v>
      </c>
      <c r="E3" s="29" t="s">
        <v>129</v>
      </c>
      <c r="F3" s="29" t="s">
        <v>130</v>
      </c>
      <c r="G3" s="23" t="s">
        <v>130</v>
      </c>
    </row>
    <row r="4" spans="1:7" ht="30.75" thickBot="1" x14ac:dyDescent="0.3">
      <c r="A4" s="26"/>
      <c r="B4" s="28"/>
      <c r="C4" s="3" t="s">
        <v>128</v>
      </c>
      <c r="D4" s="30"/>
      <c r="E4" s="30"/>
      <c r="F4" s="30"/>
      <c r="G4" s="24"/>
    </row>
    <row r="5" spans="1:7" x14ac:dyDescent="0.25">
      <c r="A5" s="25" t="s">
        <v>131</v>
      </c>
      <c r="B5" s="27" t="s">
        <v>132</v>
      </c>
      <c r="C5" s="4" t="s">
        <v>133</v>
      </c>
      <c r="D5" s="29" t="s">
        <v>135</v>
      </c>
      <c r="E5" s="29" t="s">
        <v>136</v>
      </c>
      <c r="F5" s="29" t="s">
        <v>137</v>
      </c>
      <c r="G5" s="23" t="s">
        <v>138</v>
      </c>
    </row>
    <row r="6" spans="1:7" ht="54" thickBot="1" x14ac:dyDescent="0.3">
      <c r="A6" s="26"/>
      <c r="B6" s="28"/>
      <c r="C6" s="5" t="s">
        <v>134</v>
      </c>
      <c r="D6" s="30"/>
      <c r="E6" s="30"/>
      <c r="F6" s="30"/>
      <c r="G6" s="24"/>
    </row>
    <row r="7" spans="1:7" ht="24" thickBot="1" x14ac:dyDescent="0.4">
      <c r="A7" s="6" t="s">
        <v>139</v>
      </c>
      <c r="B7" s="7" t="s">
        <v>140</v>
      </c>
      <c r="C7" s="8" t="s">
        <v>141</v>
      </c>
      <c r="D7" s="9" t="s">
        <v>142</v>
      </c>
      <c r="E7" s="9" t="s">
        <v>143</v>
      </c>
      <c r="F7" s="9" t="s">
        <v>144</v>
      </c>
      <c r="G7" s="8" t="s">
        <v>145</v>
      </c>
    </row>
    <row r="8" spans="1:7" ht="28.5" thickBot="1" x14ac:dyDescent="0.4">
      <c r="A8" s="6" t="s">
        <v>146</v>
      </c>
      <c r="B8" s="7" t="s">
        <v>147</v>
      </c>
      <c r="C8" s="8" t="s">
        <v>148</v>
      </c>
      <c r="D8" s="9" t="s">
        <v>149</v>
      </c>
      <c r="E8" s="9" t="s">
        <v>150</v>
      </c>
      <c r="F8" s="9" t="s">
        <v>151</v>
      </c>
      <c r="G8" s="8" t="s">
        <v>152</v>
      </c>
    </row>
    <row r="9" spans="1:7" ht="30" thickBot="1" x14ac:dyDescent="0.4">
      <c r="A9" s="6" t="s">
        <v>153</v>
      </c>
      <c r="B9" s="7" t="s">
        <v>154</v>
      </c>
      <c r="C9" s="6" t="s">
        <v>155</v>
      </c>
      <c r="D9" s="9" t="s">
        <v>156</v>
      </c>
      <c r="E9" s="9" t="s">
        <v>157</v>
      </c>
      <c r="F9" s="9" t="s">
        <v>158</v>
      </c>
      <c r="G9" s="8" t="s">
        <v>159</v>
      </c>
    </row>
    <row r="10" spans="1:7" ht="24" thickBot="1" x14ac:dyDescent="0.4">
      <c r="A10" s="6" t="s">
        <v>160</v>
      </c>
      <c r="B10" s="7" t="s">
        <v>161</v>
      </c>
      <c r="C10" s="8" t="s">
        <v>162</v>
      </c>
      <c r="D10" s="9" t="s">
        <v>163</v>
      </c>
      <c r="E10" s="9" t="s">
        <v>164</v>
      </c>
      <c r="F10" s="9" t="s">
        <v>165</v>
      </c>
      <c r="G10" s="8" t="s">
        <v>166</v>
      </c>
    </row>
    <row r="11" spans="1:7" ht="28.5" thickBot="1" x14ac:dyDescent="0.4">
      <c r="A11" s="6" t="s">
        <v>167</v>
      </c>
      <c r="B11" s="7" t="s">
        <v>168</v>
      </c>
      <c r="C11" s="8" t="s">
        <v>169</v>
      </c>
      <c r="D11" s="9" t="s">
        <v>170</v>
      </c>
      <c r="E11" s="9" t="s">
        <v>171</v>
      </c>
      <c r="F11" s="9" t="s">
        <v>172</v>
      </c>
      <c r="G11" s="8" t="s">
        <v>173</v>
      </c>
    </row>
    <row r="12" spans="1:7" ht="24" thickBot="1" x14ac:dyDescent="0.4">
      <c r="A12" s="6" t="s">
        <v>174</v>
      </c>
      <c r="B12" s="7" t="s">
        <v>175</v>
      </c>
      <c r="C12" s="8" t="s">
        <v>176</v>
      </c>
      <c r="D12" s="9" t="s">
        <v>177</v>
      </c>
      <c r="E12" s="9" t="s">
        <v>177</v>
      </c>
      <c r="F12" s="9" t="s">
        <v>178</v>
      </c>
      <c r="G12" s="8" t="s">
        <v>178</v>
      </c>
    </row>
    <row r="13" spans="1:7" ht="28.5" thickBot="1" x14ac:dyDescent="0.4">
      <c r="A13" s="6" t="s">
        <v>179</v>
      </c>
      <c r="B13" s="7" t="s">
        <v>180</v>
      </c>
      <c r="C13" s="8" t="s">
        <v>181</v>
      </c>
      <c r="D13" s="9" t="s">
        <v>182</v>
      </c>
      <c r="E13" s="9" t="s">
        <v>182</v>
      </c>
      <c r="F13" s="9" t="s">
        <v>183</v>
      </c>
      <c r="G13" s="8" t="s">
        <v>183</v>
      </c>
    </row>
    <row r="14" spans="1:7" ht="24" thickBot="1" x14ac:dyDescent="0.4">
      <c r="A14" s="6" t="s">
        <v>184</v>
      </c>
      <c r="B14" s="7" t="s">
        <v>185</v>
      </c>
      <c r="C14" s="8" t="s">
        <v>186</v>
      </c>
      <c r="D14" s="9" t="s">
        <v>187</v>
      </c>
      <c r="E14" s="9" t="s">
        <v>187</v>
      </c>
      <c r="F14" s="9" t="s">
        <v>188</v>
      </c>
      <c r="G14" s="8" t="s">
        <v>188</v>
      </c>
    </row>
    <row r="15" spans="1:7" ht="28.5" thickBot="1" x14ac:dyDescent="0.4">
      <c r="A15" s="6" t="s">
        <v>189</v>
      </c>
      <c r="B15" s="7" t="s">
        <v>190</v>
      </c>
      <c r="C15" s="8" t="s">
        <v>191</v>
      </c>
      <c r="D15" s="9" t="s">
        <v>192</v>
      </c>
      <c r="E15" s="9" t="s">
        <v>192</v>
      </c>
      <c r="F15" s="9" t="s">
        <v>193</v>
      </c>
      <c r="G15" s="8" t="s">
        <v>193</v>
      </c>
    </row>
    <row r="16" spans="1:7" ht="24" thickBot="1" x14ac:dyDescent="0.4">
      <c r="A16" s="6" t="s">
        <v>194</v>
      </c>
      <c r="B16" s="7" t="s">
        <v>195</v>
      </c>
      <c r="C16" s="8" t="s">
        <v>196</v>
      </c>
      <c r="D16" s="9" t="s">
        <v>197</v>
      </c>
      <c r="E16" s="9" t="s">
        <v>198</v>
      </c>
      <c r="F16" s="9" t="s">
        <v>199</v>
      </c>
      <c r="G16" s="8" t="s">
        <v>200</v>
      </c>
    </row>
    <row r="17" spans="1:7" ht="28.5" thickBot="1" x14ac:dyDescent="0.4">
      <c r="A17" s="6" t="s">
        <v>201</v>
      </c>
      <c r="B17" s="7" t="s">
        <v>202</v>
      </c>
      <c r="C17" s="8" t="s">
        <v>203</v>
      </c>
      <c r="D17" s="9" t="s">
        <v>204</v>
      </c>
      <c r="E17" s="9" t="s">
        <v>205</v>
      </c>
      <c r="F17" s="9" t="s">
        <v>206</v>
      </c>
      <c r="G17" s="8" t="s">
        <v>207</v>
      </c>
    </row>
    <row r="18" spans="1:7" ht="24" thickBot="1" x14ac:dyDescent="0.4">
      <c r="A18" s="6" t="s">
        <v>208</v>
      </c>
      <c r="B18" s="7" t="s">
        <v>209</v>
      </c>
      <c r="C18" s="8" t="s">
        <v>210</v>
      </c>
      <c r="D18" s="9" t="s">
        <v>211</v>
      </c>
      <c r="E18" s="9" t="s">
        <v>212</v>
      </c>
      <c r="F18" s="9" t="s">
        <v>213</v>
      </c>
      <c r="G18" s="8" t="s">
        <v>214</v>
      </c>
    </row>
    <row r="19" spans="1:7" ht="24" thickBot="1" x14ac:dyDescent="0.4">
      <c r="A19" s="6" t="s">
        <v>215</v>
      </c>
      <c r="B19" s="7" t="s">
        <v>216</v>
      </c>
      <c r="C19" s="8" t="s">
        <v>217</v>
      </c>
      <c r="D19" s="9" t="s">
        <v>218</v>
      </c>
      <c r="E19" s="9" t="s">
        <v>219</v>
      </c>
      <c r="F19" s="9" t="s">
        <v>220</v>
      </c>
      <c r="G19" s="8" t="s">
        <v>221</v>
      </c>
    </row>
    <row r="20" spans="1:7" ht="24" thickBot="1" x14ac:dyDescent="0.4">
      <c r="A20" s="6" t="s">
        <v>222</v>
      </c>
      <c r="B20" s="7" t="s">
        <v>223</v>
      </c>
      <c r="C20" s="8" t="s">
        <v>224</v>
      </c>
      <c r="D20" s="9" t="s">
        <v>225</v>
      </c>
      <c r="E20" s="9" t="s">
        <v>226</v>
      </c>
      <c r="F20" s="9" t="s">
        <v>227</v>
      </c>
      <c r="G20" s="8" t="s">
        <v>228</v>
      </c>
    </row>
    <row r="21" spans="1:7" ht="24" thickBot="1" x14ac:dyDescent="0.4">
      <c r="A21" s="6" t="s">
        <v>229</v>
      </c>
      <c r="B21" s="7" t="s">
        <v>230</v>
      </c>
      <c r="C21" s="6" t="s">
        <v>231</v>
      </c>
      <c r="D21" s="9" t="s">
        <v>232</v>
      </c>
      <c r="E21" s="9" t="s">
        <v>233</v>
      </c>
      <c r="F21" s="9" t="s">
        <v>234</v>
      </c>
      <c r="G21" s="8" t="s">
        <v>235</v>
      </c>
    </row>
    <row r="22" spans="1:7" ht="33" thickBot="1" x14ac:dyDescent="0.4">
      <c r="A22" s="6" t="s">
        <v>236</v>
      </c>
      <c r="B22" s="10" t="s">
        <v>237</v>
      </c>
      <c r="C22" s="8" t="s">
        <v>238</v>
      </c>
      <c r="D22" s="9" t="s">
        <v>239</v>
      </c>
      <c r="E22" s="9" t="s">
        <v>240</v>
      </c>
      <c r="F22" s="9" t="s">
        <v>241</v>
      </c>
      <c r="G22" s="8" t="s">
        <v>242</v>
      </c>
    </row>
    <row r="23" spans="1:7" x14ac:dyDescent="0.25">
      <c r="A23" s="25" t="s">
        <v>243</v>
      </c>
      <c r="B23" s="27" t="s">
        <v>244</v>
      </c>
      <c r="C23" s="4" t="s">
        <v>245</v>
      </c>
      <c r="D23" s="29" t="s">
        <v>247</v>
      </c>
      <c r="E23" s="29" t="s">
        <v>248</v>
      </c>
      <c r="F23" s="29" t="s">
        <v>249</v>
      </c>
      <c r="G23" s="23" t="s">
        <v>250</v>
      </c>
    </row>
    <row r="24" spans="1:7" ht="54" thickBot="1" x14ac:dyDescent="0.3">
      <c r="A24" s="26"/>
      <c r="B24" s="28"/>
      <c r="C24" s="5" t="s">
        <v>246</v>
      </c>
      <c r="D24" s="30"/>
      <c r="E24" s="30"/>
      <c r="F24" s="30"/>
      <c r="G24" s="24"/>
    </row>
    <row r="25" spans="1:7" x14ac:dyDescent="0.25">
      <c r="A25" s="25" t="s">
        <v>251</v>
      </c>
      <c r="B25" s="27" t="s">
        <v>252</v>
      </c>
      <c r="C25" s="4" t="s">
        <v>253</v>
      </c>
      <c r="D25" s="29" t="s">
        <v>255</v>
      </c>
      <c r="E25" s="29" t="s">
        <v>256</v>
      </c>
      <c r="F25" s="29" t="s">
        <v>257</v>
      </c>
      <c r="G25" s="31" t="s">
        <v>258</v>
      </c>
    </row>
    <row r="26" spans="1:7" ht="54" thickBot="1" x14ac:dyDescent="0.3">
      <c r="A26" s="26"/>
      <c r="B26" s="28"/>
      <c r="C26" s="5" t="s">
        <v>254</v>
      </c>
      <c r="D26" s="30"/>
      <c r="E26" s="30"/>
      <c r="F26" s="30"/>
      <c r="G26" s="32"/>
    </row>
    <row r="27" spans="1:7" x14ac:dyDescent="0.25">
      <c r="A27" s="25" t="s">
        <v>259</v>
      </c>
      <c r="B27" s="27" t="s">
        <v>260</v>
      </c>
      <c r="C27" s="4" t="s">
        <v>261</v>
      </c>
      <c r="D27" s="29" t="s">
        <v>262</v>
      </c>
      <c r="E27" s="29" t="s">
        <v>263</v>
      </c>
      <c r="F27" s="29" t="s">
        <v>264</v>
      </c>
      <c r="G27" s="31" t="s">
        <v>265</v>
      </c>
    </row>
    <row r="28" spans="1:7" ht="54" thickBot="1" x14ac:dyDescent="0.3">
      <c r="A28" s="26"/>
      <c r="B28" s="28"/>
      <c r="C28" s="5" t="s">
        <v>246</v>
      </c>
      <c r="D28" s="30"/>
      <c r="E28" s="30"/>
      <c r="F28" s="30"/>
      <c r="G28" s="32"/>
    </row>
    <row r="29" spans="1:7" x14ac:dyDescent="0.25">
      <c r="A29" s="25" t="s">
        <v>266</v>
      </c>
      <c r="B29" s="27" t="s">
        <v>267</v>
      </c>
      <c r="C29" s="4" t="s">
        <v>268</v>
      </c>
      <c r="D29" s="29" t="s">
        <v>269</v>
      </c>
      <c r="E29" s="29" t="s">
        <v>270</v>
      </c>
      <c r="F29" s="29" t="s">
        <v>271</v>
      </c>
      <c r="G29" s="23" t="s">
        <v>272</v>
      </c>
    </row>
    <row r="30" spans="1:7" ht="54" thickBot="1" x14ac:dyDescent="0.3">
      <c r="A30" s="26"/>
      <c r="B30" s="28"/>
      <c r="C30" s="5" t="s">
        <v>246</v>
      </c>
      <c r="D30" s="30"/>
      <c r="E30" s="30"/>
      <c r="F30" s="30"/>
      <c r="G30" s="24"/>
    </row>
    <row r="31" spans="1:7" ht="24" thickBot="1" x14ac:dyDescent="0.4">
      <c r="A31" s="6" t="s">
        <v>273</v>
      </c>
      <c r="B31" s="7" t="s">
        <v>274</v>
      </c>
      <c r="C31" s="8" t="s">
        <v>275</v>
      </c>
      <c r="D31" s="9" t="s">
        <v>276</v>
      </c>
      <c r="E31" s="9" t="s">
        <v>277</v>
      </c>
      <c r="F31" s="9" t="s">
        <v>278</v>
      </c>
      <c r="G31" s="8" t="s">
        <v>279</v>
      </c>
    </row>
    <row r="32" spans="1:7" ht="24" thickBot="1" x14ac:dyDescent="0.4">
      <c r="A32" s="6" t="s">
        <v>280</v>
      </c>
      <c r="B32" s="7" t="s">
        <v>281</v>
      </c>
      <c r="C32" s="8" t="s">
        <v>282</v>
      </c>
      <c r="D32" s="9" t="s">
        <v>283</v>
      </c>
      <c r="E32" s="9" t="s">
        <v>284</v>
      </c>
      <c r="F32" s="9" t="s">
        <v>285</v>
      </c>
      <c r="G32" s="8" t="s">
        <v>286</v>
      </c>
    </row>
    <row r="33" spans="1:7" ht="24" thickBot="1" x14ac:dyDescent="0.4">
      <c r="A33" s="6" t="s">
        <v>287</v>
      </c>
      <c r="B33" s="7" t="s">
        <v>288</v>
      </c>
      <c r="C33" s="8" t="s">
        <v>289</v>
      </c>
      <c r="D33" s="9" t="s">
        <v>290</v>
      </c>
      <c r="E33" s="9" t="s">
        <v>291</v>
      </c>
      <c r="F33" s="9" t="s">
        <v>292</v>
      </c>
      <c r="G33" s="8" t="s">
        <v>293</v>
      </c>
    </row>
    <row r="34" spans="1:7" ht="24" thickBot="1" x14ac:dyDescent="0.4">
      <c r="A34" s="6" t="s">
        <v>294</v>
      </c>
      <c r="B34" s="7" t="s">
        <v>295</v>
      </c>
      <c r="C34" s="8" t="s">
        <v>296</v>
      </c>
      <c r="D34" s="9" t="s">
        <v>297</v>
      </c>
      <c r="E34" s="9" t="s">
        <v>298</v>
      </c>
      <c r="F34" s="9" t="s">
        <v>299</v>
      </c>
      <c r="G34" s="8" t="s">
        <v>300</v>
      </c>
    </row>
    <row r="35" spans="1:7" ht="30" x14ac:dyDescent="0.25">
      <c r="A35" s="25" t="s">
        <v>301</v>
      </c>
      <c r="B35" s="27" t="s">
        <v>302</v>
      </c>
      <c r="C35" s="4" t="s">
        <v>303</v>
      </c>
      <c r="D35" s="29" t="s">
        <v>305</v>
      </c>
      <c r="E35" s="29" t="s">
        <v>305</v>
      </c>
      <c r="F35" s="29" t="s">
        <v>306</v>
      </c>
      <c r="G35" s="23" t="s">
        <v>306</v>
      </c>
    </row>
    <row r="36" spans="1:7" ht="78" thickBot="1" x14ac:dyDescent="0.3">
      <c r="A36" s="26"/>
      <c r="B36" s="28"/>
      <c r="C36" s="5" t="s">
        <v>304</v>
      </c>
      <c r="D36" s="30"/>
      <c r="E36" s="30"/>
      <c r="F36" s="30"/>
      <c r="G36" s="24"/>
    </row>
    <row r="37" spans="1:7" ht="30" x14ac:dyDescent="0.25">
      <c r="A37" s="25" t="s">
        <v>307</v>
      </c>
      <c r="B37" s="27" t="s">
        <v>308</v>
      </c>
      <c r="C37" s="4" t="s">
        <v>309</v>
      </c>
      <c r="D37" s="29" t="s">
        <v>311</v>
      </c>
      <c r="E37" s="29" t="s">
        <v>312</v>
      </c>
      <c r="F37" s="29" t="s">
        <v>313</v>
      </c>
      <c r="G37" s="31" t="s">
        <v>314</v>
      </c>
    </row>
    <row r="38" spans="1:7" ht="78" thickBot="1" x14ac:dyDescent="0.3">
      <c r="A38" s="26"/>
      <c r="B38" s="28"/>
      <c r="C38" s="5" t="s">
        <v>310</v>
      </c>
      <c r="D38" s="30"/>
      <c r="E38" s="30"/>
      <c r="F38" s="30"/>
      <c r="G38" s="32"/>
    </row>
  </sheetData>
  <mergeCells count="53">
    <mergeCell ref="G37:G38"/>
    <mergeCell ref="A35:A36"/>
    <mergeCell ref="B35:B36"/>
    <mergeCell ref="D35:D36"/>
    <mergeCell ref="E35:E36"/>
    <mergeCell ref="F35:F36"/>
    <mergeCell ref="G35:G36"/>
    <mergeCell ref="A37:A38"/>
    <mergeCell ref="B37:B38"/>
    <mergeCell ref="D37:D38"/>
    <mergeCell ref="E37:E38"/>
    <mergeCell ref="F37:F38"/>
    <mergeCell ref="G29:G30"/>
    <mergeCell ref="A27:A28"/>
    <mergeCell ref="B27:B28"/>
    <mergeCell ref="D27:D28"/>
    <mergeCell ref="E27:E28"/>
    <mergeCell ref="F27:F28"/>
    <mergeCell ref="G27:G28"/>
    <mergeCell ref="A29:A30"/>
    <mergeCell ref="B29:B30"/>
    <mergeCell ref="D29:D30"/>
    <mergeCell ref="E29:E30"/>
    <mergeCell ref="F29:F30"/>
    <mergeCell ref="G25:G26"/>
    <mergeCell ref="A23:A24"/>
    <mergeCell ref="B23:B24"/>
    <mergeCell ref="D23:D24"/>
    <mergeCell ref="E23:E24"/>
    <mergeCell ref="F23:F24"/>
    <mergeCell ref="G23:G24"/>
    <mergeCell ref="A25:A26"/>
    <mergeCell ref="B25:B26"/>
    <mergeCell ref="D25:D26"/>
    <mergeCell ref="E25:E26"/>
    <mergeCell ref="F25:F26"/>
    <mergeCell ref="G3:G4"/>
    <mergeCell ref="A5:A6"/>
    <mergeCell ref="B5:B6"/>
    <mergeCell ref="D5:D6"/>
    <mergeCell ref="E5:E6"/>
    <mergeCell ref="F5:F6"/>
    <mergeCell ref="G5:G6"/>
    <mergeCell ref="A3:A4"/>
    <mergeCell ref="B3:B4"/>
    <mergeCell ref="D3:D4"/>
    <mergeCell ref="E3:E4"/>
    <mergeCell ref="F3:F4"/>
    <mergeCell ref="A1:A2"/>
    <mergeCell ref="B1:B2"/>
    <mergeCell ref="C1:C2"/>
    <mergeCell ref="D1:F1"/>
    <mergeCell ref="G1:G2"/>
  </mergeCells>
  <hyperlinks>
    <hyperlink ref="B1" r:id="rId1" tooltip="Romanization of Arabic" display="http://en.wikipedia.org/wiki/Romanization_of_Arabic"/>
    <hyperlink ref="C1" r:id="rId2" tooltip="International Phonetic Alphabet" display="http://en.wikipedia.org/wiki/International_Phonetic_Alphabet"/>
    <hyperlink ref="C4" r:id="rId3" location="endnote_a" display="http://en.wikipedia.org/wiki/Arabic_alphabet - endnote_a"/>
    <hyperlink ref="G3" r:id="rId4" tooltip="ا" display="http://en.wikipedia.org/wiki/%D8%A7"/>
    <hyperlink ref="C5" r:id="rId5" tooltip="Voiced bilabial stop" display="http://en.wikipedia.org/wiki/Voiced_bilabial_stop"/>
    <hyperlink ref="G5" r:id="rId6" tooltip="ب" display="http://en.wikipedia.org/wiki/%D8%A8"/>
    <hyperlink ref="C7" r:id="rId7" tooltip="Voiceless alveolar stop" display="http://en.wikipedia.org/wiki/Voiceless_alveolar_stop"/>
    <hyperlink ref="G7" r:id="rId8" tooltip="ت" display="http://en.wikipedia.org/wiki/%D8%AA"/>
    <hyperlink ref="C8" r:id="rId9" tooltip="Voiceless dental non-sibilant fricative" display="http://en.wikipedia.org/wiki/Voiceless_dental_non-sibilant_fricative"/>
    <hyperlink ref="G8" r:id="rId10" tooltip="ث" display="http://en.wikipedia.org/wiki/%D8%AB"/>
    <hyperlink ref="G9" r:id="rId11" tooltip="ج" display="http://en.wikipedia.org/wiki/%D8%AC"/>
    <hyperlink ref="C10" r:id="rId12" tooltip="Voiceless pharyngeal fricative" display="http://en.wikipedia.org/wiki/Voiceless_pharyngeal_fricative"/>
    <hyperlink ref="G10" r:id="rId13" tooltip="ح" display="http://en.wikipedia.org/wiki/%D8%AD"/>
    <hyperlink ref="C11" r:id="rId14" tooltip="Voiceless velar fricative" display="http://en.wikipedia.org/wiki/Voiceless_velar_fricative"/>
    <hyperlink ref="G11" r:id="rId15" tooltip="خ" display="http://en.wikipedia.org/wiki/%D8%AE"/>
    <hyperlink ref="C12" r:id="rId16" tooltip="Voiced alveolar stop" display="http://en.wikipedia.org/wiki/Voiced_alveolar_stop"/>
    <hyperlink ref="G12" r:id="rId17" tooltip="د" display="http://en.wikipedia.org/wiki/%D8%AF"/>
    <hyperlink ref="C13" r:id="rId18" tooltip="Voiced dental fricative" display="http://en.wikipedia.org/wiki/Voiced_dental_fricative"/>
    <hyperlink ref="G13" r:id="rId19" tooltip="ذ" display="http://en.wikipedia.org/wiki/%D8%B0"/>
    <hyperlink ref="C14" r:id="rId20" tooltip="Alveolar trill" display="http://en.wikipedia.org/wiki/Alveolar_trill"/>
    <hyperlink ref="G14" r:id="rId21" tooltip="ر" display="http://en.wikipedia.org/wiki/%D8%B1"/>
    <hyperlink ref="C15" r:id="rId22" tooltip="Voiced alveolar sibilant" display="http://en.wikipedia.org/wiki/Voiced_alveolar_sibilant"/>
    <hyperlink ref="G15" r:id="rId23" tooltip="ز" display="http://en.wikipedia.org/wiki/%D8%B2"/>
    <hyperlink ref="C16" r:id="rId24" tooltip="Voiceless alveolar sibilant" display="http://en.wikipedia.org/wiki/Voiceless_alveolar_sibilant"/>
    <hyperlink ref="G16" r:id="rId25" tooltip="س" display="http://en.wikipedia.org/wiki/%D8%B3"/>
    <hyperlink ref="C17" r:id="rId26" tooltip="Voiceless palato-alveolar sibilant" display="http://en.wikipedia.org/wiki/Voiceless_palato-alveolar_sibilant"/>
    <hyperlink ref="G17" r:id="rId27" tooltip="ش" display="http://en.wikipedia.org/wiki/%D8%B4"/>
    <hyperlink ref="C18" r:id="rId28" tooltip="Pharyngealization" display="http://en.wikipedia.org/wiki/Pharyngealization"/>
    <hyperlink ref="G18" r:id="rId29" tooltip="ص" display="http://en.wikipedia.org/wiki/%D8%B5"/>
    <hyperlink ref="C19" r:id="rId30" tooltip="Pharyngealization" display="http://en.wikipedia.org/wiki/Pharyngealization"/>
    <hyperlink ref="G19" r:id="rId31" tooltip="ض" display="http://en.wikipedia.org/wiki/%D8%B6"/>
    <hyperlink ref="C20" r:id="rId32" tooltip="Pharyngealization" display="http://en.wikipedia.org/wiki/Pharyngealization"/>
    <hyperlink ref="G20" r:id="rId33" tooltip="ط" display="http://en.wikipedia.org/wiki/%D8%B7"/>
    <hyperlink ref="G21" r:id="rId34" tooltip="ظ" display="http://en.wikipedia.org/wiki/%D8%B8"/>
    <hyperlink ref="C22" r:id="rId35" tooltip="Voiced pharyngeal fricative" display="http://en.wikipedia.org/wiki/Voiced_pharyngeal_fricative"/>
    <hyperlink ref="G22" r:id="rId36" tooltip="ع" display="http://en.wikipedia.org/wiki/%D8%B9"/>
    <hyperlink ref="C23" r:id="rId37" tooltip="Voiced velar fricative" display="http://en.wikipedia.org/wiki/Voiced_velar_fricative"/>
    <hyperlink ref="G23" r:id="rId38" tooltip="غ" display="http://en.wikipedia.org/wiki/%D8%BA"/>
    <hyperlink ref="C25" r:id="rId39" tooltip="Voiceless labiodental fricative" display="http://en.wikipedia.org/wiki/Voiceless_labiodental_fricative"/>
    <hyperlink ref="C27" r:id="rId40" tooltip="Voiceless uvular stop" display="http://en.wikipedia.org/wiki/Voiceless_uvular_stop"/>
    <hyperlink ref="C29" r:id="rId41" tooltip="Voiceless velar stop" display="http://en.wikipedia.org/wiki/Voiceless_velar_stop"/>
    <hyperlink ref="G29" r:id="rId42" tooltip="ك" display="http://en.wikipedia.org/wiki/%D9%83"/>
    <hyperlink ref="C31" r:id="rId43" tooltip="Alveolar lateral approximant" display="http://en.wikipedia.org/wiki/Alveolar_lateral_approximant"/>
    <hyperlink ref="G31" r:id="rId44" tooltip="ل" display="http://en.wikipedia.org/wiki/%D9%84"/>
    <hyperlink ref="C32" r:id="rId45" tooltip="Bilabial nasal" display="http://en.wikipedia.org/wiki/Bilabial_nasal"/>
    <hyperlink ref="G32" r:id="rId46" tooltip="م" display="http://en.wikipedia.org/wiki/%D9%85"/>
    <hyperlink ref="C33" r:id="rId47" tooltip="Alveolar nasal" display="http://en.wikipedia.org/wiki/Alveolar_nasal"/>
    <hyperlink ref="G33" r:id="rId48" tooltip="ن" display="http://en.wikipedia.org/wiki/%D9%86"/>
    <hyperlink ref="C34" r:id="rId49" tooltip="Voiceless glottal fricative" display="http://en.wikipedia.org/wiki/Voiceless_glottal_fricative"/>
    <hyperlink ref="G34" r:id="rId50" tooltip="ه" display="http://en.wikipedia.org/wiki/%D9%87"/>
    <hyperlink ref="C35" r:id="rId51" tooltip="Labio-velar approximant" display="http://en.wikipedia.org/wiki/Labio-velar_approximant"/>
    <hyperlink ref="G35" r:id="rId52" tooltip="و" display="http://en.wikipedia.org/wiki/%D9%88"/>
    <hyperlink ref="C37" r:id="rId53" tooltip="Palatal approximant" display="http://en.wikipedia.org/wiki/Palatal_approximant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8"/>
  <sheetViews>
    <sheetView workbookViewId="0">
      <selection activeCell="A28" sqref="A28"/>
    </sheetView>
  </sheetViews>
  <sheetFormatPr defaultRowHeight="15" x14ac:dyDescent="0.25"/>
  <sheetData>
    <row r="1" spans="1:1" x14ac:dyDescent="0.25">
      <c r="A1" t="s">
        <v>130</v>
      </c>
    </row>
    <row r="2" spans="1:1" x14ac:dyDescent="0.25">
      <c r="A2" t="s">
        <v>138</v>
      </c>
    </row>
    <row r="3" spans="1:1" x14ac:dyDescent="0.25">
      <c r="A3" t="s">
        <v>145</v>
      </c>
    </row>
    <row r="4" spans="1:1" x14ac:dyDescent="0.25">
      <c r="A4" t="s">
        <v>152</v>
      </c>
    </row>
    <row r="5" spans="1:1" x14ac:dyDescent="0.25">
      <c r="A5" t="s">
        <v>159</v>
      </c>
    </row>
    <row r="6" spans="1:1" x14ac:dyDescent="0.25">
      <c r="A6" t="s">
        <v>166</v>
      </c>
    </row>
    <row r="7" spans="1:1" x14ac:dyDescent="0.25">
      <c r="A7" t="s">
        <v>173</v>
      </c>
    </row>
    <row r="8" spans="1:1" x14ac:dyDescent="0.25">
      <c r="A8" t="s">
        <v>178</v>
      </c>
    </row>
    <row r="9" spans="1:1" x14ac:dyDescent="0.25">
      <c r="A9" t="s">
        <v>183</v>
      </c>
    </row>
    <row r="10" spans="1:1" x14ac:dyDescent="0.25">
      <c r="A10" t="s">
        <v>188</v>
      </c>
    </row>
    <row r="11" spans="1:1" x14ac:dyDescent="0.25">
      <c r="A11" t="s">
        <v>193</v>
      </c>
    </row>
    <row r="12" spans="1:1" x14ac:dyDescent="0.25">
      <c r="A12" t="s">
        <v>200</v>
      </c>
    </row>
    <row r="13" spans="1:1" x14ac:dyDescent="0.25">
      <c r="A13" t="s">
        <v>207</v>
      </c>
    </row>
    <row r="14" spans="1:1" x14ac:dyDescent="0.25">
      <c r="A14" t="s">
        <v>214</v>
      </c>
    </row>
    <row r="15" spans="1:1" x14ac:dyDescent="0.25">
      <c r="A15" t="s">
        <v>221</v>
      </c>
    </row>
    <row r="16" spans="1:1" x14ac:dyDescent="0.25">
      <c r="A16" t="s">
        <v>228</v>
      </c>
    </row>
    <row r="17" spans="1:1" x14ac:dyDescent="0.25">
      <c r="A17" t="s">
        <v>235</v>
      </c>
    </row>
    <row r="18" spans="1:1" x14ac:dyDescent="0.25">
      <c r="A18" t="s">
        <v>242</v>
      </c>
    </row>
    <row r="19" spans="1:1" x14ac:dyDescent="0.25">
      <c r="A19" t="s">
        <v>250</v>
      </c>
    </row>
    <row r="20" spans="1:1" x14ac:dyDescent="0.25">
      <c r="A20" t="s">
        <v>315</v>
      </c>
    </row>
    <row r="21" spans="1:1" x14ac:dyDescent="0.25">
      <c r="A21" t="s">
        <v>316</v>
      </c>
    </row>
    <row r="22" spans="1:1" x14ac:dyDescent="0.25">
      <c r="A22" t="s">
        <v>272</v>
      </c>
    </row>
    <row r="23" spans="1:1" x14ac:dyDescent="0.25">
      <c r="A23" t="s">
        <v>279</v>
      </c>
    </row>
    <row r="24" spans="1:1" x14ac:dyDescent="0.25">
      <c r="A24" t="s">
        <v>286</v>
      </c>
    </row>
    <row r="25" spans="1:1" x14ac:dyDescent="0.25">
      <c r="A25" t="s">
        <v>293</v>
      </c>
    </row>
    <row r="26" spans="1:1" x14ac:dyDescent="0.25">
      <c r="A26" t="s">
        <v>300</v>
      </c>
    </row>
    <row r="27" spans="1:1" x14ac:dyDescent="0.25">
      <c r="A27" t="s">
        <v>306</v>
      </c>
    </row>
    <row r="28" spans="1:1" x14ac:dyDescent="0.25">
      <c r="A28" t="s">
        <v>317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96"/>
  <sheetViews>
    <sheetView topLeftCell="A161" workbookViewId="0">
      <selection activeCell="G699" sqref="G699"/>
    </sheetView>
  </sheetViews>
  <sheetFormatPr defaultRowHeight="15" x14ac:dyDescent="0.25"/>
  <cols>
    <col min="1" max="1" width="19.85546875" style="15" customWidth="1"/>
    <col min="6" max="6" width="35.140625" customWidth="1"/>
    <col min="7" max="7" width="31.42578125" style="12" customWidth="1"/>
    <col min="13" max="13" width="28.7109375" customWidth="1"/>
  </cols>
  <sheetData>
    <row r="1" spans="1:13" x14ac:dyDescent="0.25">
      <c r="A1" s="14" t="str">
        <f>HYPERLINK("https://www.youtube.com/watch?v=e_dFFaECK5E","Video Lesson 4")</f>
        <v>Video Lesson 4</v>
      </c>
      <c r="B1" t="s">
        <v>327</v>
      </c>
      <c r="C1" t="s">
        <v>333</v>
      </c>
      <c r="D1">
        <v>1</v>
      </c>
      <c r="E1">
        <v>1</v>
      </c>
      <c r="F1" s="13" t="str">
        <f>HYPERLINK("https://www.youtube.com/watch?v=YMwQ4agNMPI","Video Lesson '2nd Valentine'")</f>
        <v>Video Lesson '2nd Valentine'</v>
      </c>
      <c r="G1" t="s">
        <v>451</v>
      </c>
      <c r="H1" s="12" t="s">
        <v>443</v>
      </c>
      <c r="M1" t="str">
        <f>"=hyperlink"&amp;"("&amp;""""&amp;H1&amp;""""&amp;","&amp;""""&amp;G1&amp;""""&amp;")"</f>
        <v>=hyperlink("https://www.youtube.com/watch?v=YMwQ4agNMPI","Video Lesson '2nd Valentine'")</v>
      </c>
    </row>
    <row r="2" spans="1:13" x14ac:dyDescent="0.25">
      <c r="E2">
        <v>1</v>
      </c>
      <c r="F2" s="13" t="str">
        <f>HYPERLINK("https://www.youtube.com/watch?v=EWu4a7ogxVA","Video Lesson 'Improvisation'")</f>
        <v>Video Lesson 'Improvisation'</v>
      </c>
      <c r="G2" t="s">
        <v>452</v>
      </c>
      <c r="H2" s="12" t="s">
        <v>449</v>
      </c>
      <c r="M2" t="str">
        <f>"=hyperlink"&amp;"("&amp;""""&amp;H2&amp;""""&amp;","&amp;""""&amp;G2&amp;""""&amp;")"</f>
        <v>=hyperlink("https://www.youtube.com/watch?v=EWu4a7ogxVA","Video Lesson 'Improvisation'")</v>
      </c>
    </row>
    <row r="3" spans="1:13" x14ac:dyDescent="0.25">
      <c r="A3" s="14" t="str">
        <f>HYPERLINK("https://www.youtube.com/watch?v=e_dFFaECK5E","Video Lesson 4")</f>
        <v>Video Lesson 4</v>
      </c>
      <c r="B3" t="s">
        <v>327</v>
      </c>
      <c r="C3" t="s">
        <v>333</v>
      </c>
      <c r="D3">
        <v>2</v>
      </c>
      <c r="E3">
        <v>2</v>
      </c>
      <c r="F3" s="13" t="str">
        <f>HYPERLINK("https://www.youtube.com/watch?v=QAEGmTKhMo4","Video Lesson 'Valentine'")</f>
        <v>Video Lesson 'Valentine'</v>
      </c>
      <c r="G3" t="s">
        <v>453</v>
      </c>
      <c r="H3" s="12" t="s">
        <v>423</v>
      </c>
      <c r="M3" t="str">
        <f t="shared" ref="M3:M28" si="0">"=hyperlink"&amp;"("&amp;""""&amp;H3&amp;""""&amp;","&amp;""""&amp;G3&amp;""""&amp;")"</f>
        <v>=hyperlink("https://www.youtube.com/watch?v=QAEGmTKhMo4","Video Lesson 'Valentine'")</v>
      </c>
    </row>
    <row r="4" spans="1:13" x14ac:dyDescent="0.25">
      <c r="E4">
        <v>2</v>
      </c>
      <c r="F4" s="13" t="str">
        <f>HYPERLINK("https://www.youtube.com/watch?v=7iovf94e4uU","Video Lesson 1")</f>
        <v>Video Lesson 1</v>
      </c>
      <c r="G4" t="s">
        <v>412</v>
      </c>
      <c r="H4" s="12" t="s">
        <v>421</v>
      </c>
      <c r="M4" t="str">
        <f t="shared" si="0"/>
        <v>=hyperlink("https://www.youtube.com/watch?v=7iovf94e4uU","Video Lesson 1")</v>
      </c>
    </row>
    <row r="5" spans="1:13" x14ac:dyDescent="0.25">
      <c r="A5" s="14" t="str">
        <f>HYPERLINK("https://www.youtube.com/watch?v=e_dFFaECK5E","Video Lesson 4")</f>
        <v>Video Lesson 4</v>
      </c>
      <c r="B5" t="s">
        <v>327</v>
      </c>
      <c r="C5" t="s">
        <v>333</v>
      </c>
      <c r="D5">
        <v>3</v>
      </c>
      <c r="E5">
        <v>3</v>
      </c>
      <c r="F5" s="13" t="str">
        <f>HYPERLINK("https://www.youtube.com/watch?v=Ivl-D6m04C4","Video Lesson 10")</f>
        <v>Video Lesson 10</v>
      </c>
      <c r="G5" t="s">
        <v>407</v>
      </c>
      <c r="H5" s="12" t="s">
        <v>434</v>
      </c>
      <c r="M5" t="str">
        <f t="shared" si="0"/>
        <v>=hyperlink("https://www.youtube.com/watch?v=Ivl-D6m04C4","Video Lesson 10")</v>
      </c>
    </row>
    <row r="6" spans="1:13" x14ac:dyDescent="0.25">
      <c r="E6">
        <v>3</v>
      </c>
      <c r="F6" s="13" t="str">
        <f>HYPERLINK("https://www.youtube.com/watch?v=1G46tEJOrww","Video Lesson 11")</f>
        <v>Video Lesson 11</v>
      </c>
      <c r="G6" t="s">
        <v>411</v>
      </c>
      <c r="H6" s="12" t="s">
        <v>435</v>
      </c>
      <c r="M6" t="str">
        <f t="shared" si="0"/>
        <v>=hyperlink("https://www.youtube.com/watch?v=1G46tEJOrww","Video Lesson 11")</v>
      </c>
    </row>
    <row r="7" spans="1:13" x14ac:dyDescent="0.25">
      <c r="A7" s="14" t="str">
        <f>HYPERLINK("https://www.youtube.com/watch?v=e_dFFaECK5E","Video Lesson 4")</f>
        <v>Video Lesson 4</v>
      </c>
      <c r="B7" t="s">
        <v>327</v>
      </c>
      <c r="C7" t="s">
        <v>333</v>
      </c>
      <c r="D7">
        <v>4</v>
      </c>
      <c r="E7">
        <v>4</v>
      </c>
      <c r="F7" s="13" t="str">
        <f>HYPERLINK("https://www.youtube.com/watch?v=4qB8qVfkH4A","Video Lesson 12")</f>
        <v>Video Lesson 12</v>
      </c>
      <c r="G7" t="s">
        <v>416</v>
      </c>
      <c r="H7" s="12" t="s">
        <v>436</v>
      </c>
      <c r="M7" t="str">
        <f t="shared" si="0"/>
        <v>=hyperlink("https://www.youtube.com/watch?v=4qB8qVfkH4A","Video Lesson 12")</v>
      </c>
    </row>
    <row r="8" spans="1:13" x14ac:dyDescent="0.25">
      <c r="E8">
        <v>4</v>
      </c>
      <c r="F8" s="13" t="str">
        <f>HYPERLINK("https://www.youtube.com/watch?v=CuxAdMsjkyY","Video Lesson 13")</f>
        <v>Video Lesson 13</v>
      </c>
      <c r="G8" t="s">
        <v>406</v>
      </c>
      <c r="H8" s="12" t="s">
        <v>437</v>
      </c>
      <c r="M8" t="str">
        <f t="shared" si="0"/>
        <v>=hyperlink("https://www.youtube.com/watch?v=CuxAdMsjkyY","Video Lesson 13")</v>
      </c>
    </row>
    <row r="9" spans="1:13" x14ac:dyDescent="0.25">
      <c r="A9" s="14" t="str">
        <f>HYPERLINK("https://www.youtube.com/watch?v=e_dFFaECK5E","Video Lesson 4")</f>
        <v>Video Lesson 4</v>
      </c>
      <c r="B9" t="s">
        <v>327</v>
      </c>
      <c r="C9" t="s">
        <v>333</v>
      </c>
      <c r="D9">
        <v>5</v>
      </c>
      <c r="E9">
        <v>5</v>
      </c>
      <c r="F9" s="13" t="str">
        <f>HYPERLINK("https://www.youtube.com/watch?v=CIw5yuG2h7k","Video Lesson 14")</f>
        <v>Video Lesson 14</v>
      </c>
      <c r="G9" t="s">
        <v>402</v>
      </c>
      <c r="H9" s="12" t="s">
        <v>438</v>
      </c>
      <c r="M9" t="str">
        <f t="shared" si="0"/>
        <v>=hyperlink("https://www.youtube.com/watch?v=CIw5yuG2h7k","Video Lesson 14")</v>
      </c>
    </row>
    <row r="10" spans="1:13" x14ac:dyDescent="0.25">
      <c r="E10">
        <v>5</v>
      </c>
      <c r="F10" s="13" t="str">
        <f>HYPERLINK("https://www.youtube.com/watch?v=mlf3S2Z-yzM","Video Lesson 15")</f>
        <v>Video Lesson 15</v>
      </c>
      <c r="G10" t="s">
        <v>413</v>
      </c>
      <c r="H10" s="12" t="s">
        <v>439</v>
      </c>
      <c r="M10" t="str">
        <f t="shared" si="0"/>
        <v>=hyperlink("https://www.youtube.com/watch?v=mlf3S2Z-yzM","Video Lesson 15")</v>
      </c>
    </row>
    <row r="11" spans="1:13" x14ac:dyDescent="0.25">
      <c r="A11" s="14" t="str">
        <f>HYPERLINK("https://www.youtube.com/watch?v=e_dFFaECK5E","Video Lesson 4")</f>
        <v>Video Lesson 4</v>
      </c>
      <c r="B11" t="s">
        <v>327</v>
      </c>
      <c r="C11" t="s">
        <v>333</v>
      </c>
      <c r="D11">
        <v>6</v>
      </c>
      <c r="E11">
        <v>6</v>
      </c>
      <c r="F11" s="13" t="str">
        <f>HYPERLINK("https://www.youtube.com/watch?v=-9H0tokUVvc","Video Lesson 16")</f>
        <v>Video Lesson 16</v>
      </c>
      <c r="G11" t="s">
        <v>419</v>
      </c>
      <c r="H11" s="12" t="s">
        <v>440</v>
      </c>
      <c r="M11" t="str">
        <f t="shared" si="0"/>
        <v>=hyperlink("https://www.youtube.com/watch?v=-9H0tokUVvc","Video Lesson 16")</v>
      </c>
    </row>
    <row r="12" spans="1:13" x14ac:dyDescent="0.25">
      <c r="E12">
        <v>6</v>
      </c>
      <c r="F12" s="13" t="str">
        <f>HYPERLINK("https://www.youtube.com/watch?v=FpQEAG3hsdA","Video Lesson 17")</f>
        <v>Video Lesson 17</v>
      </c>
      <c r="G12" t="s">
        <v>415</v>
      </c>
      <c r="H12" s="12" t="s">
        <v>441</v>
      </c>
      <c r="M12" t="str">
        <f t="shared" si="0"/>
        <v>=hyperlink("https://www.youtube.com/watch?v=FpQEAG3hsdA","Video Lesson 17")</v>
      </c>
    </row>
    <row r="13" spans="1:13" x14ac:dyDescent="0.25">
      <c r="A13" s="14" t="str">
        <f>HYPERLINK("https://www.youtube.com/watch?v=e_dFFaECK5E","Video Lesson 4")</f>
        <v>Video Lesson 4</v>
      </c>
      <c r="B13" t="s">
        <v>327</v>
      </c>
      <c r="C13" t="s">
        <v>333</v>
      </c>
      <c r="D13">
        <v>7</v>
      </c>
      <c r="E13">
        <v>7</v>
      </c>
      <c r="F13" s="13" t="str">
        <f>HYPERLINK("https://www.youtube.com/watch?v=Y56hvBhqBaQ","Video Lesson 18")</f>
        <v>Video Lesson 18</v>
      </c>
      <c r="G13" t="s">
        <v>418</v>
      </c>
      <c r="H13" s="12" t="s">
        <v>442</v>
      </c>
      <c r="M13" t="str">
        <f t="shared" si="0"/>
        <v>=hyperlink("https://www.youtube.com/watch?v=Y56hvBhqBaQ","Video Lesson 18")</v>
      </c>
    </row>
    <row r="14" spans="1:13" x14ac:dyDescent="0.25">
      <c r="E14">
        <v>7</v>
      </c>
      <c r="F14" s="13" t="str">
        <f>HYPERLINK("https://www.youtube.com/watch?v=Xop5dt-yhOA","Video Lesson 19")</f>
        <v>Video Lesson 19</v>
      </c>
      <c r="G14" t="s">
        <v>403</v>
      </c>
      <c r="H14" t="s">
        <v>444</v>
      </c>
      <c r="M14" t="str">
        <f t="shared" si="0"/>
        <v>=hyperlink("https://www.youtube.com/watch?v=Xop5dt-yhOA","Video Lesson 19")</v>
      </c>
    </row>
    <row r="15" spans="1:13" x14ac:dyDescent="0.25">
      <c r="A15" s="14" t="str">
        <f>HYPERLINK("https://www.youtube.com/watch?v=e_dFFaECK5E","Video Lesson 4")</f>
        <v>Video Lesson 4</v>
      </c>
      <c r="B15" t="s">
        <v>327</v>
      </c>
      <c r="C15" t="s">
        <v>333</v>
      </c>
      <c r="D15">
        <v>8</v>
      </c>
      <c r="E15">
        <v>8</v>
      </c>
      <c r="F15" s="13" t="str">
        <f>HYPERLINK("https://www.youtube.com/watch?v=E-TjOWZ5YQ0","Video Lesson 2")</f>
        <v>Video Lesson 2</v>
      </c>
      <c r="G15" t="s">
        <v>408</v>
      </c>
      <c r="H15" s="13" t="s">
        <v>422</v>
      </c>
      <c r="M15" t="str">
        <f t="shared" si="0"/>
        <v>=hyperlink("https://www.youtube.com/watch?v=E-TjOWZ5YQ0","Video Lesson 2")</v>
      </c>
    </row>
    <row r="16" spans="1:13" x14ac:dyDescent="0.25">
      <c r="E16">
        <v>8</v>
      </c>
      <c r="F16" s="13" t="str">
        <f>HYPERLINK("https://www.youtube.com/watch?v=Sjl8iPAcNo0","Video Lesson 20")</f>
        <v>Video Lesson 20</v>
      </c>
      <c r="G16" t="s">
        <v>417</v>
      </c>
      <c r="H16" t="s">
        <v>445</v>
      </c>
      <c r="M16" t="str">
        <f t="shared" si="0"/>
        <v>=hyperlink("https://www.youtube.com/watch?v=Sjl8iPAcNo0","Video Lesson 20")</v>
      </c>
    </row>
    <row r="17" spans="1:13" x14ac:dyDescent="0.25">
      <c r="A17" s="14" t="str">
        <f>HYPERLINK("https://www.youtube.com/watch?v=e_dFFaECK5E","Video Lesson 4")</f>
        <v>Video Lesson 4</v>
      </c>
      <c r="B17" t="s">
        <v>327</v>
      </c>
      <c r="C17" t="s">
        <v>333</v>
      </c>
      <c r="D17">
        <v>9</v>
      </c>
      <c r="E17">
        <v>9</v>
      </c>
      <c r="F17" s="13" t="str">
        <f>HYPERLINK("https://www.youtube.com/watch?v=jVxw8JRCMDk","Video Lesson 21")</f>
        <v>Video Lesson 21</v>
      </c>
      <c r="G17" t="s">
        <v>400</v>
      </c>
      <c r="H17" t="s">
        <v>446</v>
      </c>
      <c r="M17" t="str">
        <f t="shared" si="0"/>
        <v>=hyperlink("https://www.youtube.com/watch?v=jVxw8JRCMDk","Video Lesson 21")</v>
      </c>
    </row>
    <row r="18" spans="1:13" x14ac:dyDescent="0.25">
      <c r="E18">
        <v>9</v>
      </c>
      <c r="F18" s="13" t="str">
        <f>HYPERLINK("https://www.youtube.com/watch?v=kLZmQK8CWFU","Video Lesson 22")</f>
        <v>Video Lesson 22</v>
      </c>
      <c r="G18" t="s">
        <v>405</v>
      </c>
      <c r="H18" t="s">
        <v>447</v>
      </c>
      <c r="M18" t="str">
        <f t="shared" si="0"/>
        <v>=hyperlink("https://www.youtube.com/watch?v=kLZmQK8CWFU","Video Lesson 22")</v>
      </c>
    </row>
    <row r="19" spans="1:13" x14ac:dyDescent="0.25">
      <c r="A19" s="14" t="str">
        <f>HYPERLINK("https://www.youtube.com/watch?v=e_dFFaECK5E","Video Lesson 4")</f>
        <v>Video Lesson 4</v>
      </c>
      <c r="B19" t="s">
        <v>327</v>
      </c>
      <c r="C19" t="s">
        <v>333</v>
      </c>
      <c r="D19">
        <v>10</v>
      </c>
      <c r="E19">
        <v>10</v>
      </c>
      <c r="F19" s="13" t="str">
        <f>HYPERLINK("https://www.youtube.com/watch?v=RmEAQDsTTaE","Video Lesson 23")</f>
        <v>Video Lesson 23</v>
      </c>
      <c r="G19" t="s">
        <v>404</v>
      </c>
      <c r="H19" s="13" t="s">
        <v>448</v>
      </c>
      <c r="M19" t="str">
        <f t="shared" si="0"/>
        <v>=hyperlink("https://www.youtube.com/watch?v=RmEAQDsTTaE","Video Lesson 23")</v>
      </c>
    </row>
    <row r="20" spans="1:13" x14ac:dyDescent="0.25">
      <c r="E20">
        <v>10</v>
      </c>
      <c r="F20" s="13" t="str">
        <f>HYPERLINK("https://www.youtube.com/watch?v=M-mxlyVa6iM","Video Lesson 24")</f>
        <v>Video Lesson 24</v>
      </c>
      <c r="G20" t="s">
        <v>398</v>
      </c>
      <c r="H20" t="s">
        <v>450</v>
      </c>
      <c r="M20" t="str">
        <f t="shared" si="0"/>
        <v>=hyperlink("https://www.youtube.com/watch?v=M-mxlyVa6iM","Video Lesson 24")</v>
      </c>
    </row>
    <row r="21" spans="1:13" x14ac:dyDescent="0.25">
      <c r="A21" s="14" t="str">
        <f>HYPERLINK("https://www.youtube.com/watch?v=e_dFFaECK5E","Video Lesson 4")</f>
        <v>Video Lesson 4</v>
      </c>
      <c r="B21" t="s">
        <v>327</v>
      </c>
      <c r="C21" t="s">
        <v>333</v>
      </c>
      <c r="D21">
        <v>11</v>
      </c>
      <c r="E21">
        <v>11</v>
      </c>
      <c r="F21" s="13" t="str">
        <f>HYPERLINK("https://www.youtube.com/watch?v=QXklxwQ4px8","Video Lesson 3.1")</f>
        <v>Video Lesson 3.1</v>
      </c>
      <c r="G21" t="s">
        <v>425</v>
      </c>
      <c r="H21" t="s">
        <v>426</v>
      </c>
      <c r="M21" t="str">
        <f t="shared" si="0"/>
        <v>=hyperlink("https://www.youtube.com/watch?v=QXklxwQ4px8","Video Lesson 3.1")</v>
      </c>
    </row>
    <row r="22" spans="1:13" x14ac:dyDescent="0.25">
      <c r="E22">
        <v>11</v>
      </c>
      <c r="F22" s="13" t="str">
        <f>HYPERLINK("https://www.youtube.com/watch?v=bbpaAUOv8dE","Video Lesson 3.2")</f>
        <v>Video Lesson 3.2</v>
      </c>
      <c r="G22" t="s">
        <v>424</v>
      </c>
      <c r="H22" t="s">
        <v>427</v>
      </c>
      <c r="M22" t="str">
        <f t="shared" si="0"/>
        <v>=hyperlink("https://www.youtube.com/watch?v=bbpaAUOv8dE","Video Lesson 3.2")</v>
      </c>
    </row>
    <row r="23" spans="1:13" x14ac:dyDescent="0.25">
      <c r="A23" s="14" t="str">
        <f>HYPERLINK("https://www.youtube.com/watch?v=CIw5yuG2h7k","Video Lesson 14")</f>
        <v>Video Lesson 14</v>
      </c>
      <c r="B23" t="s">
        <v>327</v>
      </c>
      <c r="C23" t="s">
        <v>334</v>
      </c>
      <c r="D23">
        <v>1</v>
      </c>
      <c r="E23">
        <v>12</v>
      </c>
      <c r="F23" s="13" t="str">
        <f>HYPERLINK("https://www.youtube.com/watch?v=e_dFFaECK5E","Video Lesson 4")</f>
        <v>Video Lesson 4</v>
      </c>
      <c r="G23" t="s">
        <v>401</v>
      </c>
      <c r="H23" t="s">
        <v>428</v>
      </c>
      <c r="M23" t="str">
        <f t="shared" si="0"/>
        <v>=hyperlink("https://www.youtube.com/watch?v=e_dFFaECK5E","Video Lesson 4")</v>
      </c>
    </row>
    <row r="24" spans="1:13" x14ac:dyDescent="0.25">
      <c r="E24">
        <v>12</v>
      </c>
      <c r="F24" s="13" t="str">
        <f>HYPERLINK("https://www.youtube.com/watch?v=HPUSR1ERIv0","Video Lesson 5")</f>
        <v>Video Lesson 5</v>
      </c>
      <c r="G24" t="s">
        <v>409</v>
      </c>
      <c r="H24" t="s">
        <v>429</v>
      </c>
      <c r="M24" t="str">
        <f t="shared" si="0"/>
        <v>=hyperlink("https://www.youtube.com/watch?v=HPUSR1ERIv0","Video Lesson 5")</v>
      </c>
    </row>
    <row r="25" spans="1:13" x14ac:dyDescent="0.25">
      <c r="A25" s="14" t="str">
        <f>HYPERLINK("https://www.youtube.com/watch?v=CIw5yuG2h7k","Video Lesson 14")</f>
        <v>Video Lesson 14</v>
      </c>
      <c r="B25" t="s">
        <v>327</v>
      </c>
      <c r="C25" t="s">
        <v>334</v>
      </c>
      <c r="D25">
        <v>2</v>
      </c>
      <c r="E25">
        <v>13</v>
      </c>
      <c r="F25" s="13" t="str">
        <f>HYPERLINK("https://www.youtube.com/watch?v=DfQwYS9JfME","Video Lesson 6")</f>
        <v>Video Lesson 6</v>
      </c>
      <c r="G25" t="s">
        <v>420</v>
      </c>
      <c r="H25" t="s">
        <v>430</v>
      </c>
      <c r="M25" t="str">
        <f t="shared" si="0"/>
        <v>=hyperlink("https://www.youtube.com/watch?v=DfQwYS9JfME","Video Lesson 6")</v>
      </c>
    </row>
    <row r="26" spans="1:13" x14ac:dyDescent="0.25">
      <c r="E26">
        <v>13</v>
      </c>
      <c r="F26" s="13" t="str">
        <f>HYPERLINK("https://www.youtube.com/watch?v=kN_Mk1vvvzI","Video Lesson 7")</f>
        <v>Video Lesson 7</v>
      </c>
      <c r="G26" t="s">
        <v>414</v>
      </c>
      <c r="H26" t="s">
        <v>431</v>
      </c>
      <c r="M26" t="str">
        <f t="shared" si="0"/>
        <v>=hyperlink("https://www.youtube.com/watch?v=kN_Mk1vvvzI","Video Lesson 7")</v>
      </c>
    </row>
    <row r="27" spans="1:13" x14ac:dyDescent="0.25">
      <c r="A27" s="14" t="str">
        <f>HYPERLINK("https://www.youtube.com/watch?v=CIw5yuG2h7k","Video Lesson 14")</f>
        <v>Video Lesson 14</v>
      </c>
      <c r="B27" t="s">
        <v>327</v>
      </c>
      <c r="C27" t="s">
        <v>334</v>
      </c>
      <c r="D27">
        <v>3</v>
      </c>
      <c r="E27">
        <v>14</v>
      </c>
      <c r="F27" s="13" t="str">
        <f>HYPERLINK("https://www.youtube.com/watch?v=SGeR9HfhVRA","Video Lesson 8")</f>
        <v>Video Lesson 8</v>
      </c>
      <c r="G27" t="s">
        <v>399</v>
      </c>
      <c r="H27" s="13" t="s">
        <v>432</v>
      </c>
      <c r="M27" t="str">
        <f t="shared" si="0"/>
        <v>=hyperlink("https://www.youtube.com/watch?v=SGeR9HfhVRA","Video Lesson 8")</v>
      </c>
    </row>
    <row r="28" spans="1:13" x14ac:dyDescent="0.25">
      <c r="E28">
        <v>14</v>
      </c>
      <c r="F28" s="13" t="str">
        <f>HYPERLINK("https://www.youtube.com/watch?v=KUWhrhaqHsg","Video Lesson 9")</f>
        <v>Video Lesson 9</v>
      </c>
      <c r="G28" t="s">
        <v>410</v>
      </c>
      <c r="H28" t="s">
        <v>433</v>
      </c>
      <c r="M28" t="str">
        <f t="shared" si="0"/>
        <v>=hyperlink("https://www.youtube.com/watch?v=KUWhrhaqHsg","Video Lesson 9")</v>
      </c>
    </row>
    <row r="29" spans="1:13" x14ac:dyDescent="0.25">
      <c r="A29" s="14" t="str">
        <f>HYPERLINK("https://www.youtube.com/watch?v=CIw5yuG2h7k","Video Lesson 14")</f>
        <v>Video Lesson 14</v>
      </c>
      <c r="B29" t="s">
        <v>327</v>
      </c>
      <c r="C29" t="s">
        <v>334</v>
      </c>
      <c r="D29">
        <v>4</v>
      </c>
      <c r="E29">
        <v>15</v>
      </c>
    </row>
    <row r="30" spans="1:13" x14ac:dyDescent="0.25">
      <c r="E30">
        <v>15</v>
      </c>
      <c r="G30"/>
    </row>
    <row r="31" spans="1:13" x14ac:dyDescent="0.25">
      <c r="A31" s="14" t="str">
        <f>HYPERLINK("https://www.youtube.com/watch?v=CIw5yuG2h7k","Video Lesson 14")</f>
        <v>Video Lesson 14</v>
      </c>
      <c r="B31" t="s">
        <v>327</v>
      </c>
      <c r="C31" t="s">
        <v>334</v>
      </c>
      <c r="D31">
        <v>5</v>
      </c>
      <c r="E31">
        <v>16</v>
      </c>
      <c r="G31"/>
    </row>
    <row r="32" spans="1:13" x14ac:dyDescent="0.25">
      <c r="E32">
        <v>16</v>
      </c>
      <c r="G32"/>
    </row>
    <row r="33" spans="1:7" x14ac:dyDescent="0.25">
      <c r="A33" s="14" t="str">
        <f>HYPERLINK("https://www.youtube.com/watch?v=CIw5yuG2h7k","Video Lesson 14")</f>
        <v>Video Lesson 14</v>
      </c>
      <c r="B33" t="s">
        <v>327</v>
      </c>
      <c r="C33" t="s">
        <v>334</v>
      </c>
      <c r="D33">
        <v>6</v>
      </c>
      <c r="E33">
        <v>17</v>
      </c>
      <c r="G33"/>
    </row>
    <row r="34" spans="1:7" x14ac:dyDescent="0.25">
      <c r="E34">
        <v>17</v>
      </c>
      <c r="G34"/>
    </row>
    <row r="35" spans="1:7" x14ac:dyDescent="0.25">
      <c r="A35" s="14" t="str">
        <f>HYPERLINK("https://www.youtube.com/watch?v=CIw5yuG2h7k","Video Lesson 14")</f>
        <v>Video Lesson 14</v>
      </c>
      <c r="B35" t="s">
        <v>327</v>
      </c>
      <c r="C35" t="s">
        <v>334</v>
      </c>
      <c r="D35">
        <v>7</v>
      </c>
      <c r="E35">
        <v>18</v>
      </c>
      <c r="G35"/>
    </row>
    <row r="36" spans="1:7" x14ac:dyDescent="0.25">
      <c r="E36">
        <v>18</v>
      </c>
      <c r="G36"/>
    </row>
    <row r="37" spans="1:7" x14ac:dyDescent="0.25">
      <c r="A37" s="14" t="str">
        <f>HYPERLINK("https://www.youtube.com/watch?v=kN_Mk1vvvzI","Video Lesson 7")</f>
        <v>Video Lesson 7</v>
      </c>
      <c r="B37" t="s">
        <v>327</v>
      </c>
      <c r="C37" t="s">
        <v>334</v>
      </c>
      <c r="D37">
        <v>8</v>
      </c>
      <c r="E37">
        <v>19</v>
      </c>
      <c r="G37"/>
    </row>
    <row r="38" spans="1:7" x14ac:dyDescent="0.25">
      <c r="E38">
        <v>19</v>
      </c>
      <c r="G38"/>
    </row>
    <row r="39" spans="1:7" x14ac:dyDescent="0.25">
      <c r="A39" s="14" t="str">
        <f>HYPERLINK("https://www.youtube.com/watch?v=kN_Mk1vvvzI","Video Lesson 7")</f>
        <v>Video Lesson 7</v>
      </c>
      <c r="B39" t="s">
        <v>327</v>
      </c>
      <c r="C39" t="s">
        <v>334</v>
      </c>
      <c r="D39">
        <v>9</v>
      </c>
      <c r="E39">
        <v>20</v>
      </c>
      <c r="G39"/>
    </row>
    <row r="40" spans="1:7" x14ac:dyDescent="0.25">
      <c r="E40">
        <v>20</v>
      </c>
      <c r="G40"/>
    </row>
    <row r="41" spans="1:7" x14ac:dyDescent="0.25">
      <c r="A41" s="14" t="str">
        <f>HYPERLINK("https://www.youtube.com/watch?v=kN_Mk1vvvzI","Video Lesson 7")</f>
        <v>Video Lesson 7</v>
      </c>
      <c r="B41" t="s">
        <v>327</v>
      </c>
      <c r="C41" t="s">
        <v>334</v>
      </c>
      <c r="D41">
        <v>10</v>
      </c>
      <c r="E41">
        <v>21</v>
      </c>
      <c r="G41"/>
    </row>
    <row r="42" spans="1:7" x14ac:dyDescent="0.25">
      <c r="E42">
        <v>21</v>
      </c>
      <c r="G42"/>
    </row>
    <row r="43" spans="1:7" x14ac:dyDescent="0.25">
      <c r="A43" s="14" t="str">
        <f>HYPERLINK("https://www.youtube.com/watch?v=kN_Mk1vvvzI","Video Lesson 7")</f>
        <v>Video Lesson 7</v>
      </c>
      <c r="B43" t="s">
        <v>327</v>
      </c>
      <c r="C43" t="s">
        <v>334</v>
      </c>
      <c r="D43">
        <v>11</v>
      </c>
      <c r="E43">
        <v>22</v>
      </c>
      <c r="G43"/>
    </row>
    <row r="44" spans="1:7" x14ac:dyDescent="0.25">
      <c r="E44">
        <v>22</v>
      </c>
      <c r="G44"/>
    </row>
    <row r="45" spans="1:7" x14ac:dyDescent="0.25">
      <c r="A45" s="14" t="str">
        <f>HYPERLINK("https://www.youtube.com/watch?v=kN_Mk1vvvzI","Video Lesson 7")</f>
        <v>Video Lesson 7</v>
      </c>
      <c r="B45" t="s">
        <v>327</v>
      </c>
      <c r="C45" t="s">
        <v>334</v>
      </c>
      <c r="D45">
        <v>12</v>
      </c>
      <c r="E45">
        <v>23</v>
      </c>
      <c r="G45"/>
    </row>
    <row r="46" spans="1:7" x14ac:dyDescent="0.25">
      <c r="E46">
        <v>23</v>
      </c>
      <c r="G46"/>
    </row>
    <row r="47" spans="1:7" x14ac:dyDescent="0.25">
      <c r="A47" s="14" t="str">
        <f>HYPERLINK("https://www.youtube.com/watch?v=Xop5dt-yhOA","Video Lesson 19")</f>
        <v>Video Lesson 19</v>
      </c>
      <c r="B47" t="s">
        <v>327</v>
      </c>
      <c r="C47" t="s">
        <v>334</v>
      </c>
      <c r="D47">
        <v>13</v>
      </c>
      <c r="E47">
        <v>24</v>
      </c>
      <c r="G47"/>
    </row>
    <row r="48" spans="1:7" x14ac:dyDescent="0.25">
      <c r="E48">
        <v>24</v>
      </c>
      <c r="G48"/>
    </row>
    <row r="49" spans="1:7" x14ac:dyDescent="0.25">
      <c r="A49" s="14" t="str">
        <f>HYPERLINK("https://www.youtube.com/watch?v=jVxw8JRCMDk","Video Lesson 21")</f>
        <v>Video Lesson 21</v>
      </c>
      <c r="B49" t="s">
        <v>327</v>
      </c>
      <c r="C49" t="s">
        <v>334</v>
      </c>
      <c r="D49">
        <v>14</v>
      </c>
      <c r="E49">
        <v>25</v>
      </c>
      <c r="G49"/>
    </row>
    <row r="50" spans="1:7" x14ac:dyDescent="0.25">
      <c r="E50">
        <v>25</v>
      </c>
      <c r="G50"/>
    </row>
    <row r="51" spans="1:7" x14ac:dyDescent="0.25">
      <c r="A51" s="14" t="str">
        <f>HYPERLINK("https://www.youtube.com/watch?v=kN_Mk1vvvzI","Video Lesson 7")</f>
        <v>Video Lesson 7</v>
      </c>
      <c r="B51" t="s">
        <v>327</v>
      </c>
      <c r="C51" t="s">
        <v>334</v>
      </c>
      <c r="D51">
        <v>15</v>
      </c>
      <c r="E51">
        <v>26</v>
      </c>
      <c r="G51"/>
    </row>
    <row r="52" spans="1:7" x14ac:dyDescent="0.25">
      <c r="E52">
        <v>26</v>
      </c>
      <c r="G52"/>
    </row>
    <row r="53" spans="1:7" x14ac:dyDescent="0.25">
      <c r="A53" s="14" t="str">
        <f>HYPERLINK("https://www.youtube.com/watch?v=kN_Mk1vvvzI","Video Lesson 7")</f>
        <v>Video Lesson 7</v>
      </c>
      <c r="B53" t="s">
        <v>327</v>
      </c>
      <c r="C53" t="s">
        <v>334</v>
      </c>
      <c r="D53">
        <v>16</v>
      </c>
      <c r="E53">
        <v>27</v>
      </c>
      <c r="G53"/>
    </row>
    <row r="54" spans="1:7" x14ac:dyDescent="0.25">
      <c r="E54">
        <v>27</v>
      </c>
      <c r="G54"/>
    </row>
    <row r="55" spans="1:7" x14ac:dyDescent="0.25">
      <c r="A55" s="14" t="str">
        <f>HYPERLINK("https://www.youtube.com/watch?v=kN_Mk1vvvzI","Video Lesson 7")</f>
        <v>Video Lesson 7</v>
      </c>
      <c r="B55" t="s">
        <v>327</v>
      </c>
      <c r="C55" t="s">
        <v>334</v>
      </c>
      <c r="D55">
        <v>17</v>
      </c>
      <c r="E55">
        <v>28</v>
      </c>
      <c r="G55"/>
    </row>
    <row r="56" spans="1:7" x14ac:dyDescent="0.25">
      <c r="E56">
        <v>28</v>
      </c>
      <c r="G56"/>
    </row>
    <row r="57" spans="1:7" x14ac:dyDescent="0.25">
      <c r="A57" s="14" t="str">
        <f>HYPERLINK("https://www.youtube.com/watch?v=RmEAQDsTTaE","Video Lesson 23")</f>
        <v>Video Lesson 23</v>
      </c>
      <c r="B57" t="s">
        <v>327</v>
      </c>
      <c r="C57" t="s">
        <v>334</v>
      </c>
      <c r="D57">
        <v>18</v>
      </c>
      <c r="E57">
        <v>29</v>
      </c>
      <c r="G57"/>
    </row>
    <row r="58" spans="1:7" x14ac:dyDescent="0.25">
      <c r="E58">
        <v>29</v>
      </c>
      <c r="G58"/>
    </row>
    <row r="59" spans="1:7" x14ac:dyDescent="0.25">
      <c r="A59" s="14" t="str">
        <f>HYPERLINK("https://www.youtube.com/watch?v=kN_Mk1vvvzI","Video Lesson 7")</f>
        <v>Video Lesson 7</v>
      </c>
      <c r="B59" t="s">
        <v>327</v>
      </c>
      <c r="C59" t="s">
        <v>334</v>
      </c>
      <c r="D59">
        <v>19</v>
      </c>
      <c r="E59">
        <v>30</v>
      </c>
      <c r="G59"/>
    </row>
    <row r="60" spans="1:7" x14ac:dyDescent="0.25">
      <c r="E60">
        <v>30</v>
      </c>
      <c r="G60"/>
    </row>
    <row r="61" spans="1:7" x14ac:dyDescent="0.25">
      <c r="A61" s="14" t="str">
        <f>HYPERLINK("https://www.youtube.com/watch?v=kN_Mk1vvvzI","Video Lesson 7")</f>
        <v>Video Lesson 7</v>
      </c>
      <c r="B61" t="s">
        <v>327</v>
      </c>
      <c r="C61" t="s">
        <v>334</v>
      </c>
      <c r="D61">
        <v>20</v>
      </c>
      <c r="E61">
        <v>31</v>
      </c>
      <c r="G61"/>
    </row>
    <row r="62" spans="1:7" x14ac:dyDescent="0.25">
      <c r="E62">
        <v>31</v>
      </c>
      <c r="G62"/>
    </row>
    <row r="63" spans="1:7" x14ac:dyDescent="0.25">
      <c r="A63" s="14" t="str">
        <f>HYPERLINK("https://www.youtube.com/watch?v=kN_Mk1vvvzI","Video Lesson 7")</f>
        <v>Video Lesson 7</v>
      </c>
      <c r="B63" t="s">
        <v>327</v>
      </c>
      <c r="C63" t="s">
        <v>334</v>
      </c>
      <c r="D63">
        <v>21</v>
      </c>
      <c r="E63">
        <v>32</v>
      </c>
      <c r="G63"/>
    </row>
    <row r="64" spans="1:7" x14ac:dyDescent="0.25">
      <c r="E64">
        <v>32</v>
      </c>
      <c r="G64"/>
    </row>
    <row r="65" spans="1:7" x14ac:dyDescent="0.25">
      <c r="A65" s="14" t="str">
        <f>HYPERLINK("https://www.youtube.com/watch?v=kN_Mk1vvvzI","Video Lesson 7")</f>
        <v>Video Lesson 7</v>
      </c>
      <c r="B65" t="s">
        <v>327</v>
      </c>
      <c r="C65" t="s">
        <v>334</v>
      </c>
      <c r="D65">
        <v>22</v>
      </c>
      <c r="E65">
        <v>33</v>
      </c>
      <c r="G65"/>
    </row>
    <row r="66" spans="1:7" x14ac:dyDescent="0.25">
      <c r="E66">
        <v>33</v>
      </c>
      <c r="G66"/>
    </row>
    <row r="67" spans="1:7" x14ac:dyDescent="0.25">
      <c r="A67" s="14" t="str">
        <f>HYPERLINK("https://www.youtube.com/watch?v=kLZmQK8CWFU","Video Lesson 22")</f>
        <v>Video Lesson 22</v>
      </c>
      <c r="B67" t="s">
        <v>327</v>
      </c>
      <c r="C67" t="s">
        <v>335</v>
      </c>
      <c r="D67">
        <v>1</v>
      </c>
      <c r="E67">
        <v>34</v>
      </c>
      <c r="G67"/>
    </row>
    <row r="68" spans="1:7" x14ac:dyDescent="0.25">
      <c r="E68">
        <v>34</v>
      </c>
      <c r="G68"/>
    </row>
    <row r="69" spans="1:7" x14ac:dyDescent="0.25">
      <c r="A69" s="14" t="str">
        <f>HYPERLINK("https://www.youtube.com/watch?v=kLZmQK8CWFU","Video Lesson 22")</f>
        <v>Video Lesson 22</v>
      </c>
      <c r="B69" t="s">
        <v>327</v>
      </c>
      <c r="C69" t="s">
        <v>335</v>
      </c>
      <c r="D69">
        <v>2</v>
      </c>
      <c r="E69">
        <v>35</v>
      </c>
      <c r="G69"/>
    </row>
    <row r="70" spans="1:7" x14ac:dyDescent="0.25">
      <c r="E70">
        <v>35</v>
      </c>
      <c r="G70"/>
    </row>
    <row r="71" spans="1:7" x14ac:dyDescent="0.25">
      <c r="A71" s="14" t="str">
        <f>HYPERLINK("https://www.youtube.com/watch?v=kLZmQK8CWFU","Video Lesson 22")</f>
        <v>Video Lesson 22</v>
      </c>
      <c r="B71" t="s">
        <v>327</v>
      </c>
      <c r="C71" t="s">
        <v>335</v>
      </c>
      <c r="D71">
        <v>3</v>
      </c>
      <c r="E71">
        <v>36</v>
      </c>
      <c r="G71"/>
    </row>
    <row r="72" spans="1:7" x14ac:dyDescent="0.25">
      <c r="E72">
        <v>36</v>
      </c>
      <c r="G72"/>
    </row>
    <row r="73" spans="1:7" x14ac:dyDescent="0.25">
      <c r="A73" s="14" t="str">
        <f>HYPERLINK("https://www.youtube.com/watch?v=kLZmQK8CWFU","Video Lesson 22")</f>
        <v>Video Lesson 22</v>
      </c>
      <c r="B73" t="s">
        <v>327</v>
      </c>
      <c r="C73" t="s">
        <v>335</v>
      </c>
      <c r="D73">
        <v>4</v>
      </c>
      <c r="E73">
        <v>37</v>
      </c>
      <c r="G73"/>
    </row>
    <row r="74" spans="1:7" x14ac:dyDescent="0.25">
      <c r="E74">
        <v>37</v>
      </c>
      <c r="G74"/>
    </row>
    <row r="75" spans="1:7" x14ac:dyDescent="0.25">
      <c r="A75" s="14" t="str">
        <f>HYPERLINK("https://www.youtube.com/watch?v=kLZmQK8CWFU","Video Lesson 22")</f>
        <v>Video Lesson 22</v>
      </c>
      <c r="B75" t="s">
        <v>327</v>
      </c>
      <c r="C75" t="s">
        <v>335</v>
      </c>
      <c r="D75">
        <v>5</v>
      </c>
      <c r="E75">
        <v>38</v>
      </c>
      <c r="G75"/>
    </row>
    <row r="76" spans="1:7" x14ac:dyDescent="0.25">
      <c r="E76">
        <v>38</v>
      </c>
      <c r="G76"/>
    </row>
    <row r="77" spans="1:7" x14ac:dyDescent="0.25">
      <c r="A77" s="14" t="str">
        <f>HYPERLINK("https://www.youtube.com/watch?v=kLZmQK8CWFU","Video Lesson 22")</f>
        <v>Video Lesson 22</v>
      </c>
      <c r="B77" t="s">
        <v>327</v>
      </c>
      <c r="C77" t="s">
        <v>335</v>
      </c>
      <c r="D77">
        <v>6</v>
      </c>
      <c r="E77">
        <v>39</v>
      </c>
      <c r="G77"/>
    </row>
    <row r="78" spans="1:7" x14ac:dyDescent="0.25">
      <c r="E78">
        <v>39</v>
      </c>
      <c r="G78"/>
    </row>
    <row r="79" spans="1:7" x14ac:dyDescent="0.25">
      <c r="A79" s="14" t="str">
        <f>HYPERLINK("https://www.youtube.com/watch?v=kLZmQK8CWFU","Video Lesson 22")</f>
        <v>Video Lesson 22</v>
      </c>
      <c r="B79" t="s">
        <v>327</v>
      </c>
      <c r="C79" t="s">
        <v>335</v>
      </c>
      <c r="D79">
        <v>7</v>
      </c>
      <c r="E79">
        <v>40</v>
      </c>
      <c r="G79"/>
    </row>
    <row r="80" spans="1:7" x14ac:dyDescent="0.25">
      <c r="E80">
        <v>40</v>
      </c>
      <c r="G80"/>
    </row>
    <row r="81" spans="1:7" x14ac:dyDescent="0.25">
      <c r="A81" s="14" t="str">
        <f>HYPERLINK("https://www.youtube.com/watch?v=kLZmQK8CWFU","Video Lesson 22")</f>
        <v>Video Lesson 22</v>
      </c>
      <c r="B81" t="s">
        <v>327</v>
      </c>
      <c r="C81" t="s">
        <v>335</v>
      </c>
      <c r="D81">
        <v>8</v>
      </c>
      <c r="E81">
        <v>41</v>
      </c>
      <c r="G81"/>
    </row>
    <row r="82" spans="1:7" x14ac:dyDescent="0.25">
      <c r="E82">
        <v>41</v>
      </c>
      <c r="G82"/>
    </row>
    <row r="83" spans="1:7" x14ac:dyDescent="0.25">
      <c r="A83" s="14" t="str">
        <f>HYPERLINK("https://www.youtube.com/watch?v=kLZmQK8CWFU","Video Lesson 22")</f>
        <v>Video Lesson 22</v>
      </c>
      <c r="B83" t="s">
        <v>327</v>
      </c>
      <c r="C83" t="s">
        <v>335</v>
      </c>
      <c r="D83">
        <v>9</v>
      </c>
      <c r="E83">
        <v>42</v>
      </c>
      <c r="G83"/>
    </row>
    <row r="84" spans="1:7" x14ac:dyDescent="0.25">
      <c r="E84">
        <v>42</v>
      </c>
      <c r="G84"/>
    </row>
    <row r="85" spans="1:7" x14ac:dyDescent="0.25">
      <c r="A85" s="14" t="str">
        <f>HYPERLINK("https://www.youtube.com/watch?v=kLZmQK8CWFU","Video Lesson 22")</f>
        <v>Video Lesson 22</v>
      </c>
      <c r="B85" t="s">
        <v>327</v>
      </c>
      <c r="C85" t="s">
        <v>335</v>
      </c>
      <c r="D85">
        <v>10</v>
      </c>
      <c r="E85">
        <v>43</v>
      </c>
      <c r="G85"/>
    </row>
    <row r="86" spans="1:7" x14ac:dyDescent="0.25">
      <c r="E86">
        <v>43</v>
      </c>
      <c r="G86"/>
    </row>
    <row r="87" spans="1:7" x14ac:dyDescent="0.25">
      <c r="A87" s="14" t="str">
        <f>HYPERLINK("https://www.youtube.com/watch?v=QAEGmTKhMo4","Video Lesson 'Valentine'")</f>
        <v>Video Lesson 'Valentine'</v>
      </c>
      <c r="B87" t="s">
        <v>327</v>
      </c>
      <c r="C87" t="s">
        <v>335</v>
      </c>
      <c r="D87">
        <v>11</v>
      </c>
      <c r="E87">
        <v>44</v>
      </c>
      <c r="G87"/>
    </row>
    <row r="88" spans="1:7" x14ac:dyDescent="0.25">
      <c r="E88">
        <v>44</v>
      </c>
      <c r="G88"/>
    </row>
    <row r="89" spans="1:7" x14ac:dyDescent="0.25">
      <c r="A89" s="14" t="str">
        <f>HYPERLINK("https://www.youtube.com/watch?v=QAEGmTKhMo4","Video Lesson 'Valentine'")</f>
        <v>Video Lesson 'Valentine'</v>
      </c>
      <c r="B89" t="s">
        <v>327</v>
      </c>
      <c r="C89" t="s">
        <v>335</v>
      </c>
      <c r="D89">
        <v>12</v>
      </c>
      <c r="E89">
        <v>45</v>
      </c>
      <c r="G89"/>
    </row>
    <row r="90" spans="1:7" x14ac:dyDescent="0.25">
      <c r="E90">
        <v>45</v>
      </c>
      <c r="G90"/>
    </row>
    <row r="91" spans="1:7" x14ac:dyDescent="0.25">
      <c r="A91" s="14" t="str">
        <f>HYPERLINK("https://www.youtube.com/watch?v=CuxAdMsjkyY","Video Lesson 13")</f>
        <v>Video Lesson 13</v>
      </c>
      <c r="B91" t="s">
        <v>327</v>
      </c>
      <c r="C91" t="s">
        <v>336</v>
      </c>
      <c r="D91">
        <v>1</v>
      </c>
      <c r="E91">
        <v>46</v>
      </c>
      <c r="G91"/>
    </row>
    <row r="92" spans="1:7" x14ac:dyDescent="0.25">
      <c r="E92">
        <v>46</v>
      </c>
      <c r="G92"/>
    </row>
    <row r="93" spans="1:7" x14ac:dyDescent="0.25">
      <c r="A93" s="14" t="str">
        <f>HYPERLINK("https://www.youtube.com/watch?v=CuxAdMsjkyY","Video Lesson 13")</f>
        <v>Video Lesson 13</v>
      </c>
      <c r="B93" t="s">
        <v>327</v>
      </c>
      <c r="C93" t="s">
        <v>336</v>
      </c>
      <c r="D93">
        <v>2</v>
      </c>
      <c r="E93">
        <v>47</v>
      </c>
      <c r="G93"/>
    </row>
    <row r="94" spans="1:7" x14ac:dyDescent="0.25">
      <c r="E94">
        <v>47</v>
      </c>
      <c r="G94"/>
    </row>
    <row r="95" spans="1:7" x14ac:dyDescent="0.25">
      <c r="A95" s="14" t="str">
        <f>HYPERLINK("https://www.youtube.com/watch?v=CuxAdMsjkyY","Video Lesson 13")</f>
        <v>Video Lesson 13</v>
      </c>
      <c r="B95" t="s">
        <v>327</v>
      </c>
      <c r="C95" t="s">
        <v>336</v>
      </c>
      <c r="D95">
        <v>3</v>
      </c>
      <c r="E95">
        <v>48</v>
      </c>
      <c r="G95"/>
    </row>
    <row r="96" spans="1:7" x14ac:dyDescent="0.25">
      <c r="E96">
        <v>48</v>
      </c>
      <c r="G96"/>
    </row>
    <row r="97" spans="1:7" x14ac:dyDescent="0.25">
      <c r="A97" s="14" t="str">
        <f>HYPERLINK("https://www.youtube.com/watch?v=CuxAdMsjkyY","Video Lesson 13")</f>
        <v>Video Lesson 13</v>
      </c>
      <c r="B97" t="s">
        <v>327</v>
      </c>
      <c r="C97" t="s">
        <v>336</v>
      </c>
      <c r="D97">
        <v>4</v>
      </c>
      <c r="E97">
        <v>49</v>
      </c>
      <c r="G97"/>
    </row>
    <row r="98" spans="1:7" x14ac:dyDescent="0.25">
      <c r="E98">
        <v>49</v>
      </c>
      <c r="G98"/>
    </row>
    <row r="99" spans="1:7" x14ac:dyDescent="0.25">
      <c r="A99" s="14" t="str">
        <f>HYPERLINK("https://www.youtube.com/watch?v=CuxAdMsjkyY","Video Lesson 13")</f>
        <v>Video Lesson 13</v>
      </c>
      <c r="B99" t="s">
        <v>327</v>
      </c>
      <c r="C99" t="s">
        <v>336</v>
      </c>
      <c r="D99">
        <v>5</v>
      </c>
      <c r="E99">
        <v>50</v>
      </c>
      <c r="G99"/>
    </row>
    <row r="100" spans="1:7" x14ac:dyDescent="0.25">
      <c r="E100">
        <v>50</v>
      </c>
      <c r="G100"/>
    </row>
    <row r="101" spans="1:7" x14ac:dyDescent="0.25">
      <c r="A101" s="14" t="str">
        <f>HYPERLINK("https://www.youtube.com/watch?v=CuxAdMsjkyY","Video Lesson 13")</f>
        <v>Video Lesson 13</v>
      </c>
      <c r="B101" t="s">
        <v>327</v>
      </c>
      <c r="C101" t="s">
        <v>336</v>
      </c>
      <c r="D101">
        <v>6</v>
      </c>
      <c r="E101">
        <v>51</v>
      </c>
      <c r="G101"/>
    </row>
    <row r="102" spans="1:7" x14ac:dyDescent="0.25">
      <c r="E102">
        <v>51</v>
      </c>
      <c r="G102"/>
    </row>
    <row r="103" spans="1:7" x14ac:dyDescent="0.25">
      <c r="A103" s="14" t="str">
        <f>HYPERLINK("https://www.youtube.com/watch?v=CuxAdMsjkyY","Video Lesson 13")</f>
        <v>Video Lesson 13</v>
      </c>
      <c r="B103" t="s">
        <v>327</v>
      </c>
      <c r="C103" t="s">
        <v>336</v>
      </c>
      <c r="D103">
        <v>7</v>
      </c>
      <c r="E103">
        <v>52</v>
      </c>
      <c r="G103"/>
    </row>
    <row r="104" spans="1:7" x14ac:dyDescent="0.25">
      <c r="E104">
        <v>52</v>
      </c>
      <c r="G104"/>
    </row>
    <row r="105" spans="1:7" x14ac:dyDescent="0.25">
      <c r="A105" s="14" t="str">
        <f>HYPERLINK("https://www.youtube.com/watch?v=Ivl-D6m04C4","Video Lesson 10")</f>
        <v>Video Lesson 10</v>
      </c>
      <c r="B105" t="s">
        <v>327</v>
      </c>
      <c r="C105" t="s">
        <v>337</v>
      </c>
      <c r="D105">
        <v>1</v>
      </c>
      <c r="E105">
        <v>53</v>
      </c>
      <c r="G105"/>
    </row>
    <row r="106" spans="1:7" x14ac:dyDescent="0.25">
      <c r="E106">
        <v>53</v>
      </c>
      <c r="G106"/>
    </row>
    <row r="107" spans="1:7" x14ac:dyDescent="0.25">
      <c r="A107" s="14" t="str">
        <f>HYPERLINK("https://www.youtube.com/watch?v=Ivl-D6m04C4","Video Lesson 10")</f>
        <v>Video Lesson 10</v>
      </c>
      <c r="B107" t="s">
        <v>327</v>
      </c>
      <c r="C107" t="s">
        <v>337</v>
      </c>
      <c r="D107">
        <v>2</v>
      </c>
      <c r="E107">
        <v>54</v>
      </c>
      <c r="G107"/>
    </row>
    <row r="108" spans="1:7" x14ac:dyDescent="0.25">
      <c r="E108">
        <v>54</v>
      </c>
      <c r="G108"/>
    </row>
    <row r="109" spans="1:7" x14ac:dyDescent="0.25">
      <c r="A109" s="14" t="str">
        <f>HYPERLINK("https://www.youtube.com/watch?v=Ivl-D6m04C4","Video Lesson 10")</f>
        <v>Video Lesson 10</v>
      </c>
      <c r="B109" t="s">
        <v>327</v>
      </c>
      <c r="C109" t="s">
        <v>337</v>
      </c>
      <c r="D109">
        <v>3</v>
      </c>
      <c r="E109">
        <v>55</v>
      </c>
      <c r="G109"/>
    </row>
    <row r="110" spans="1:7" x14ac:dyDescent="0.25">
      <c r="E110">
        <v>55</v>
      </c>
      <c r="G110"/>
    </row>
    <row r="111" spans="1:7" x14ac:dyDescent="0.25">
      <c r="A111" s="14" t="str">
        <f>HYPERLINK("https://www.youtube.com/watch?v=Ivl-D6m04C4","Video Lesson 10")</f>
        <v>Video Lesson 10</v>
      </c>
      <c r="B111" t="s">
        <v>327</v>
      </c>
      <c r="C111" t="s">
        <v>337</v>
      </c>
      <c r="D111">
        <v>4</v>
      </c>
      <c r="E111">
        <v>56</v>
      </c>
      <c r="G111"/>
    </row>
    <row r="112" spans="1:7" x14ac:dyDescent="0.25">
      <c r="E112">
        <v>56</v>
      </c>
      <c r="G112"/>
    </row>
    <row r="113" spans="1:7" x14ac:dyDescent="0.25">
      <c r="A113" s="14" t="str">
        <f>HYPERLINK("https://www.youtube.com/watch?v=Ivl-D6m04C4","Video Lesson 10")</f>
        <v>Video Lesson 10</v>
      </c>
      <c r="B113" t="s">
        <v>327</v>
      </c>
      <c r="C113" t="s">
        <v>337</v>
      </c>
      <c r="D113">
        <v>5</v>
      </c>
      <c r="E113">
        <v>57</v>
      </c>
      <c r="G113"/>
    </row>
    <row r="114" spans="1:7" x14ac:dyDescent="0.25">
      <c r="E114">
        <v>57</v>
      </c>
      <c r="G114"/>
    </row>
    <row r="115" spans="1:7" x14ac:dyDescent="0.25">
      <c r="A115" s="14" t="str">
        <f>HYPERLINK("https://www.youtube.com/watch?v=Ivl-D6m04C4","Video Lesson 10")</f>
        <v>Video Lesson 10</v>
      </c>
      <c r="B115" t="s">
        <v>327</v>
      </c>
      <c r="C115" t="s">
        <v>337</v>
      </c>
      <c r="D115">
        <v>6</v>
      </c>
      <c r="E115">
        <v>58</v>
      </c>
      <c r="G115"/>
    </row>
    <row r="116" spans="1:7" x14ac:dyDescent="0.25">
      <c r="E116">
        <v>58</v>
      </c>
      <c r="G116"/>
    </row>
    <row r="117" spans="1:7" x14ac:dyDescent="0.25">
      <c r="A117" s="14" t="str">
        <f>HYPERLINK("https://www.youtube.com/watch?v=Ivl-D6m04C4","Video Lesson 10")</f>
        <v>Video Lesson 10</v>
      </c>
      <c r="B117" t="s">
        <v>327</v>
      </c>
      <c r="C117" t="s">
        <v>337</v>
      </c>
      <c r="D117">
        <v>7</v>
      </c>
      <c r="E117">
        <v>59</v>
      </c>
      <c r="G117"/>
    </row>
    <row r="118" spans="1:7" x14ac:dyDescent="0.25">
      <c r="E118">
        <v>59</v>
      </c>
      <c r="G118"/>
    </row>
    <row r="119" spans="1:7" x14ac:dyDescent="0.25">
      <c r="A119" s="14" t="str">
        <f>HYPERLINK("https://www.youtube.com/watch?v=Ivl-D6m04C4","Video Lesson 10")</f>
        <v>Video Lesson 10</v>
      </c>
      <c r="B119" t="s">
        <v>327</v>
      </c>
      <c r="C119" t="s">
        <v>337</v>
      </c>
      <c r="D119">
        <v>8</v>
      </c>
      <c r="E119">
        <v>60</v>
      </c>
      <c r="G119"/>
    </row>
    <row r="120" spans="1:7" x14ac:dyDescent="0.25">
      <c r="E120">
        <v>60</v>
      </c>
      <c r="G120"/>
    </row>
    <row r="121" spans="1:7" x14ac:dyDescent="0.25">
      <c r="A121" s="14" t="str">
        <f>HYPERLINK("https://www.youtube.com/watch?v=Ivl-D6m04C4","Video Lesson 10")</f>
        <v>Video Lesson 10</v>
      </c>
      <c r="B121" t="s">
        <v>327</v>
      </c>
      <c r="C121" t="s">
        <v>337</v>
      </c>
      <c r="D121">
        <v>9</v>
      </c>
      <c r="E121">
        <v>61</v>
      </c>
      <c r="G121"/>
    </row>
    <row r="122" spans="1:7" x14ac:dyDescent="0.25">
      <c r="E122">
        <v>61</v>
      </c>
      <c r="G122"/>
    </row>
    <row r="123" spans="1:7" x14ac:dyDescent="0.25">
      <c r="A123" s="14" t="str">
        <f>HYPERLINK("https://www.youtube.com/watch?v=Ivl-D6m04C4","Video Lesson 10")</f>
        <v>Video Lesson 10</v>
      </c>
      <c r="B123" t="s">
        <v>327</v>
      </c>
      <c r="C123" t="s">
        <v>337</v>
      </c>
      <c r="D123">
        <v>10</v>
      </c>
      <c r="E123">
        <v>62</v>
      </c>
      <c r="G123"/>
    </row>
    <row r="124" spans="1:7" x14ac:dyDescent="0.25">
      <c r="E124">
        <v>62</v>
      </c>
      <c r="G124"/>
    </row>
    <row r="125" spans="1:7" x14ac:dyDescent="0.25">
      <c r="A125" s="14" t="str">
        <f>HYPERLINK("https://www.youtube.com/watch?v=Ivl-D6m04C4","Video Lesson 10")</f>
        <v>Video Lesson 10</v>
      </c>
      <c r="B125" t="s">
        <v>327</v>
      </c>
      <c r="C125" t="s">
        <v>337</v>
      </c>
      <c r="D125">
        <v>11</v>
      </c>
      <c r="E125">
        <v>63</v>
      </c>
      <c r="G125"/>
    </row>
    <row r="126" spans="1:7" x14ac:dyDescent="0.25">
      <c r="E126">
        <v>63</v>
      </c>
      <c r="G126"/>
    </row>
    <row r="127" spans="1:7" x14ac:dyDescent="0.25">
      <c r="A127" s="14" t="str">
        <f>HYPERLINK("https://www.youtube.com/watch?v=Ivl-D6m04C4","Video Lesson 10")</f>
        <v>Video Lesson 10</v>
      </c>
      <c r="B127" t="s">
        <v>327</v>
      </c>
      <c r="C127" t="s">
        <v>337</v>
      </c>
      <c r="D127">
        <v>12</v>
      </c>
      <c r="E127">
        <v>64</v>
      </c>
      <c r="G127"/>
    </row>
    <row r="128" spans="1:7" x14ac:dyDescent="0.25">
      <c r="E128">
        <v>64</v>
      </c>
      <c r="G128"/>
    </row>
    <row r="129" spans="1:7" x14ac:dyDescent="0.25">
      <c r="A129" s="14" t="str">
        <f>HYPERLINK("https://www.youtube.com/watch?v=Ivl-D6m04C4","Video Lesson 10")</f>
        <v>Video Lesson 10</v>
      </c>
      <c r="B129" t="s">
        <v>327</v>
      </c>
      <c r="C129" t="s">
        <v>337</v>
      </c>
      <c r="D129">
        <v>13</v>
      </c>
      <c r="E129">
        <v>65</v>
      </c>
      <c r="G129"/>
    </row>
    <row r="130" spans="1:7" x14ac:dyDescent="0.25">
      <c r="E130">
        <v>65</v>
      </c>
      <c r="G130"/>
    </row>
    <row r="131" spans="1:7" x14ac:dyDescent="0.25">
      <c r="A131" s="14" t="str">
        <f>HYPERLINK("https://www.youtube.com/watch?v=Ivl-D6m04C4","Video Lesson 10")</f>
        <v>Video Lesson 10</v>
      </c>
      <c r="B131" t="s">
        <v>327</v>
      </c>
      <c r="C131" t="s">
        <v>337</v>
      </c>
      <c r="D131">
        <v>14</v>
      </c>
      <c r="E131">
        <v>66</v>
      </c>
      <c r="G131"/>
    </row>
    <row r="132" spans="1:7" x14ac:dyDescent="0.25">
      <c r="E132">
        <v>66</v>
      </c>
      <c r="G132"/>
    </row>
    <row r="133" spans="1:7" x14ac:dyDescent="0.25">
      <c r="A133" s="14" t="str">
        <f>HYPERLINK("https://www.youtube.com/watch?v=Ivl-D6m04C4","Video Lesson 10")</f>
        <v>Video Lesson 10</v>
      </c>
      <c r="B133" t="s">
        <v>327</v>
      </c>
      <c r="C133" t="s">
        <v>337</v>
      </c>
      <c r="D133">
        <v>15</v>
      </c>
      <c r="E133">
        <v>67</v>
      </c>
      <c r="G133"/>
    </row>
    <row r="134" spans="1:7" x14ac:dyDescent="0.25">
      <c r="E134">
        <v>67</v>
      </c>
      <c r="G134"/>
    </row>
    <row r="135" spans="1:7" x14ac:dyDescent="0.25">
      <c r="A135" s="14" t="str">
        <f>HYPERLINK("https://www.youtube.com/watch?v=Ivl-D6m04C4","Video Lesson 10")</f>
        <v>Video Lesson 10</v>
      </c>
      <c r="B135" t="s">
        <v>327</v>
      </c>
      <c r="C135" t="s">
        <v>337</v>
      </c>
      <c r="D135">
        <v>16</v>
      </c>
      <c r="E135">
        <v>68</v>
      </c>
      <c r="G135"/>
    </row>
    <row r="136" spans="1:7" x14ac:dyDescent="0.25">
      <c r="E136">
        <v>68</v>
      </c>
      <c r="G136"/>
    </row>
    <row r="137" spans="1:7" x14ac:dyDescent="0.25">
      <c r="A137" s="14" t="str">
        <f>HYPERLINK("https://www.youtube.com/watch?v=Ivl-D6m04C4","Video Lesson 10")</f>
        <v>Video Lesson 10</v>
      </c>
      <c r="B137" t="s">
        <v>327</v>
      </c>
      <c r="C137" t="s">
        <v>337</v>
      </c>
      <c r="D137">
        <v>17</v>
      </c>
      <c r="E137">
        <v>69</v>
      </c>
      <c r="G137"/>
    </row>
    <row r="138" spans="1:7" x14ac:dyDescent="0.25">
      <c r="E138">
        <v>69</v>
      </c>
      <c r="G138"/>
    </row>
    <row r="139" spans="1:7" x14ac:dyDescent="0.25">
      <c r="A139" s="14" t="str">
        <f>HYPERLINK("https://www.youtube.com/watch?v=Ivl-D6m04C4","Video Lesson 10")</f>
        <v>Video Lesson 10</v>
      </c>
      <c r="B139" t="s">
        <v>327</v>
      </c>
      <c r="C139" t="s">
        <v>337</v>
      </c>
      <c r="D139">
        <v>18</v>
      </c>
      <c r="E139">
        <v>70</v>
      </c>
      <c r="G139"/>
    </row>
    <row r="140" spans="1:7" x14ac:dyDescent="0.25">
      <c r="E140">
        <v>70</v>
      </c>
      <c r="G140"/>
    </row>
    <row r="141" spans="1:7" x14ac:dyDescent="0.25">
      <c r="A141" s="14" t="str">
        <f>HYPERLINK("https://www.youtube.com/watch?v=Ivl-D6m04C4","Video Lesson 10")</f>
        <v>Video Lesson 10</v>
      </c>
      <c r="B141" t="s">
        <v>327</v>
      </c>
      <c r="C141" t="s">
        <v>337</v>
      </c>
      <c r="D141">
        <v>19</v>
      </c>
      <c r="E141">
        <v>71</v>
      </c>
      <c r="G141"/>
    </row>
    <row r="142" spans="1:7" x14ac:dyDescent="0.25">
      <c r="E142">
        <v>71</v>
      </c>
      <c r="G142"/>
    </row>
    <row r="143" spans="1:7" x14ac:dyDescent="0.25">
      <c r="A143" s="14" t="str">
        <f>HYPERLINK("https://www.youtube.com/watch?v=Ivl-D6m04C4","Video Lesson 10")</f>
        <v>Video Lesson 10</v>
      </c>
      <c r="B143" t="s">
        <v>327</v>
      </c>
      <c r="C143" t="s">
        <v>337</v>
      </c>
      <c r="D143">
        <v>20</v>
      </c>
      <c r="E143">
        <v>72</v>
      </c>
      <c r="G143"/>
    </row>
    <row r="144" spans="1:7" x14ac:dyDescent="0.25">
      <c r="E144">
        <v>72</v>
      </c>
      <c r="G144"/>
    </row>
    <row r="145" spans="1:7" x14ac:dyDescent="0.25">
      <c r="A145" s="14" t="str">
        <f>HYPERLINK("https://www.youtube.com/watch?v=Ivl-D6m04C4","Video Lesson 10")</f>
        <v>Video Lesson 10</v>
      </c>
      <c r="B145" t="s">
        <v>327</v>
      </c>
      <c r="C145" t="s">
        <v>337</v>
      </c>
      <c r="D145">
        <v>21</v>
      </c>
      <c r="E145">
        <v>73</v>
      </c>
      <c r="G145"/>
    </row>
    <row r="146" spans="1:7" x14ac:dyDescent="0.25">
      <c r="E146">
        <v>73</v>
      </c>
      <c r="G146"/>
    </row>
    <row r="147" spans="1:7" x14ac:dyDescent="0.25">
      <c r="A147" s="14" t="str">
        <f>HYPERLINK("https://www.youtube.com/watch?v=Ivl-D6m04C4","Video Lesson 10")</f>
        <v>Video Lesson 10</v>
      </c>
      <c r="B147" t="s">
        <v>327</v>
      </c>
      <c r="C147" t="s">
        <v>337</v>
      </c>
      <c r="D147">
        <v>22</v>
      </c>
      <c r="E147">
        <v>74</v>
      </c>
      <c r="G147"/>
    </row>
    <row r="148" spans="1:7" x14ac:dyDescent="0.25">
      <c r="E148">
        <v>74</v>
      </c>
      <c r="G148"/>
    </row>
    <row r="149" spans="1:7" x14ac:dyDescent="0.25">
      <c r="A149" s="14" t="str">
        <f>HYPERLINK("https://www.youtube.com/watch?v=Ivl-D6m04C4","Video Lesson 10")</f>
        <v>Video Lesson 10</v>
      </c>
      <c r="B149" t="s">
        <v>327</v>
      </c>
      <c r="C149" t="s">
        <v>337</v>
      </c>
      <c r="D149">
        <v>23</v>
      </c>
      <c r="E149">
        <v>75</v>
      </c>
      <c r="G149"/>
    </row>
    <row r="150" spans="1:7" x14ac:dyDescent="0.25">
      <c r="E150">
        <v>75</v>
      </c>
      <c r="G150"/>
    </row>
    <row r="151" spans="1:7" x14ac:dyDescent="0.25">
      <c r="A151" s="14" t="str">
        <f>HYPERLINK("https://www.youtube.com/watch?v=E-TjOWZ5YQ0","Video Lesson 2")</f>
        <v>Video Lesson 2</v>
      </c>
      <c r="B151" t="s">
        <v>328</v>
      </c>
      <c r="C151" t="s">
        <v>338</v>
      </c>
      <c r="D151">
        <v>1</v>
      </c>
      <c r="E151">
        <v>76</v>
      </c>
      <c r="G151"/>
    </row>
    <row r="152" spans="1:7" x14ac:dyDescent="0.25">
      <c r="E152">
        <v>76</v>
      </c>
      <c r="G152"/>
    </row>
    <row r="153" spans="1:7" x14ac:dyDescent="0.25">
      <c r="A153" s="14" t="str">
        <f>HYPERLINK("https://www.youtube.com/watch?v=E-TjOWZ5YQ0","Video Lesson 2")</f>
        <v>Video Lesson 2</v>
      </c>
      <c r="B153" t="s">
        <v>328</v>
      </c>
      <c r="C153" t="s">
        <v>338</v>
      </c>
      <c r="D153">
        <v>2</v>
      </c>
      <c r="E153">
        <v>77</v>
      </c>
      <c r="G153"/>
    </row>
    <row r="154" spans="1:7" x14ac:dyDescent="0.25">
      <c r="E154">
        <v>77</v>
      </c>
      <c r="G154"/>
    </row>
    <row r="155" spans="1:7" x14ac:dyDescent="0.25">
      <c r="A155" s="14" t="str">
        <f>HYPERLINK("https://www.youtube.com/watch?v=E-TjOWZ5YQ0","Video Lesson 2")</f>
        <v>Video Lesson 2</v>
      </c>
      <c r="B155" t="s">
        <v>328</v>
      </c>
      <c r="C155" t="s">
        <v>338</v>
      </c>
      <c r="D155">
        <v>3</v>
      </c>
      <c r="E155">
        <v>78</v>
      </c>
      <c r="G155"/>
    </row>
    <row r="156" spans="1:7" x14ac:dyDescent="0.25">
      <c r="E156">
        <v>78</v>
      </c>
      <c r="G156"/>
    </row>
    <row r="157" spans="1:7" x14ac:dyDescent="0.25">
      <c r="A157" s="14" t="str">
        <f>HYPERLINK("https://www.youtube.com/watch?v=E-TjOWZ5YQ0","Video Lesson 2")</f>
        <v>Video Lesson 2</v>
      </c>
      <c r="B157" t="s">
        <v>328</v>
      </c>
      <c r="C157" t="s">
        <v>338</v>
      </c>
      <c r="D157">
        <v>4</v>
      </c>
      <c r="E157">
        <v>79</v>
      </c>
      <c r="G157"/>
    </row>
    <row r="158" spans="1:7" x14ac:dyDescent="0.25">
      <c r="E158">
        <v>79</v>
      </c>
      <c r="G158"/>
    </row>
    <row r="159" spans="1:7" x14ac:dyDescent="0.25">
      <c r="A159" s="14" t="str">
        <f>HYPERLINK("https://www.youtube.com/watch?v=E-TjOWZ5YQ0","Video Lesson 2")</f>
        <v>Video Lesson 2</v>
      </c>
      <c r="B159" t="s">
        <v>328</v>
      </c>
      <c r="C159" t="s">
        <v>338</v>
      </c>
      <c r="D159">
        <v>5</v>
      </c>
      <c r="E159">
        <v>80</v>
      </c>
      <c r="G159"/>
    </row>
    <row r="160" spans="1:7" x14ac:dyDescent="0.25">
      <c r="E160">
        <v>80</v>
      </c>
      <c r="G160"/>
    </row>
    <row r="161" spans="1:7" x14ac:dyDescent="0.25">
      <c r="A161" s="14" t="str">
        <f>HYPERLINK("https://www.youtube.com/watch?v=HPUSR1ERIv0","Video Lesson 5")</f>
        <v>Video Lesson 5</v>
      </c>
      <c r="B161" t="s">
        <v>328</v>
      </c>
      <c r="C161" t="s">
        <v>339</v>
      </c>
      <c r="D161">
        <v>1</v>
      </c>
      <c r="E161">
        <v>81</v>
      </c>
      <c r="G161"/>
    </row>
    <row r="162" spans="1:7" x14ac:dyDescent="0.25">
      <c r="E162">
        <v>81</v>
      </c>
      <c r="G162"/>
    </row>
    <row r="163" spans="1:7" x14ac:dyDescent="0.25">
      <c r="A163" s="14" t="str">
        <f>HYPERLINK("https://www.youtube.com/watch?v=HPUSR1ERIv0","Video Lesson 5")</f>
        <v>Video Lesson 5</v>
      </c>
      <c r="B163" t="s">
        <v>328</v>
      </c>
      <c r="C163" t="s">
        <v>339</v>
      </c>
      <c r="D163">
        <v>2</v>
      </c>
      <c r="E163">
        <v>82</v>
      </c>
      <c r="G163"/>
    </row>
    <row r="164" spans="1:7" x14ac:dyDescent="0.25">
      <c r="E164">
        <v>82</v>
      </c>
      <c r="G164"/>
    </row>
    <row r="165" spans="1:7" x14ac:dyDescent="0.25">
      <c r="A165" s="14" t="str">
        <f>HYPERLINK("https://www.youtube.com/watch?v=HPUSR1ERIv0","Video Lesson 5")</f>
        <v>Video Lesson 5</v>
      </c>
      <c r="B165" t="s">
        <v>328</v>
      </c>
      <c r="C165" t="s">
        <v>339</v>
      </c>
      <c r="D165">
        <v>3</v>
      </c>
      <c r="E165">
        <v>83</v>
      </c>
      <c r="G165"/>
    </row>
    <row r="166" spans="1:7" x14ac:dyDescent="0.25">
      <c r="E166">
        <v>83</v>
      </c>
      <c r="G166"/>
    </row>
    <row r="167" spans="1:7" x14ac:dyDescent="0.25">
      <c r="A167" s="14" t="str">
        <f>HYPERLINK("https://www.youtube.com/watch?v=HPUSR1ERIv0","Video Lesson 5")</f>
        <v>Video Lesson 5</v>
      </c>
      <c r="B167" t="s">
        <v>328</v>
      </c>
      <c r="C167" t="s">
        <v>339</v>
      </c>
      <c r="D167">
        <v>4</v>
      </c>
      <c r="E167">
        <v>84</v>
      </c>
      <c r="G167"/>
    </row>
    <row r="168" spans="1:7" x14ac:dyDescent="0.25">
      <c r="E168">
        <v>84</v>
      </c>
      <c r="G168"/>
    </row>
    <row r="169" spans="1:7" x14ac:dyDescent="0.25">
      <c r="A169" s="14" t="str">
        <f>HYPERLINK("https://www.youtube.com/watch?v=HPUSR1ERIv0","Video Lesson 5")</f>
        <v>Video Lesson 5</v>
      </c>
      <c r="B169" t="s">
        <v>328</v>
      </c>
      <c r="C169" t="s">
        <v>339</v>
      </c>
      <c r="D169">
        <v>5</v>
      </c>
      <c r="E169">
        <v>85</v>
      </c>
      <c r="G169"/>
    </row>
    <row r="170" spans="1:7" x14ac:dyDescent="0.25">
      <c r="E170">
        <v>85</v>
      </c>
      <c r="G170"/>
    </row>
    <row r="171" spans="1:7" x14ac:dyDescent="0.25">
      <c r="A171" s="14" t="str">
        <f>HYPERLINK("https://www.youtube.com/watch?v=HPUSR1ERIv0","Video Lesson 5")</f>
        <v>Video Lesson 5</v>
      </c>
      <c r="B171" t="s">
        <v>328</v>
      </c>
      <c r="C171" t="s">
        <v>339</v>
      </c>
      <c r="D171">
        <v>6</v>
      </c>
      <c r="E171">
        <v>86</v>
      </c>
      <c r="G171"/>
    </row>
    <row r="172" spans="1:7" x14ac:dyDescent="0.25">
      <c r="E172">
        <v>86</v>
      </c>
      <c r="G172"/>
    </row>
    <row r="173" spans="1:7" x14ac:dyDescent="0.25">
      <c r="A173" s="14" t="str">
        <f>HYPERLINK("https://www.youtube.com/watch?v=HPUSR1ERIv0","Video Lesson 5")</f>
        <v>Video Lesson 5</v>
      </c>
      <c r="B173" t="s">
        <v>328</v>
      </c>
      <c r="C173" t="s">
        <v>339</v>
      </c>
      <c r="D173">
        <v>7</v>
      </c>
      <c r="E173">
        <v>87</v>
      </c>
      <c r="G173"/>
    </row>
    <row r="174" spans="1:7" x14ac:dyDescent="0.25">
      <c r="E174">
        <v>87</v>
      </c>
      <c r="G174"/>
    </row>
    <row r="175" spans="1:7" x14ac:dyDescent="0.25">
      <c r="A175" s="14" t="str">
        <f>HYPERLINK("https://www.youtube.com/watch?v=HPUSR1ERIv0","Video Lesson 5")</f>
        <v>Video Lesson 5</v>
      </c>
      <c r="B175" t="s">
        <v>328</v>
      </c>
      <c r="C175" t="s">
        <v>339</v>
      </c>
      <c r="D175">
        <v>8</v>
      </c>
      <c r="E175">
        <v>88</v>
      </c>
      <c r="G175"/>
    </row>
    <row r="176" spans="1:7" x14ac:dyDescent="0.25">
      <c r="E176">
        <v>88</v>
      </c>
      <c r="G176"/>
    </row>
    <row r="177" spans="1:7" x14ac:dyDescent="0.25">
      <c r="A177" s="14" t="str">
        <f>HYPERLINK("https://www.youtube.com/watch?v=HPUSR1ERIv0","Video Lesson 5")</f>
        <v>Video Lesson 5</v>
      </c>
      <c r="B177" t="s">
        <v>328</v>
      </c>
      <c r="C177" t="s">
        <v>339</v>
      </c>
      <c r="D177">
        <v>9</v>
      </c>
      <c r="E177">
        <v>89</v>
      </c>
      <c r="G177"/>
    </row>
    <row r="178" spans="1:7" x14ac:dyDescent="0.25">
      <c r="E178">
        <v>89</v>
      </c>
      <c r="G178"/>
    </row>
    <row r="179" spans="1:7" x14ac:dyDescent="0.25">
      <c r="A179" s="14" t="str">
        <f>HYPERLINK("https://www.youtube.com/watch?v=bbpaAUOv8dE","Video Lesson 3.2")</f>
        <v>Video Lesson 3.2</v>
      </c>
      <c r="B179" t="s">
        <v>328</v>
      </c>
      <c r="C179" t="s">
        <v>339</v>
      </c>
      <c r="D179">
        <v>10</v>
      </c>
      <c r="E179">
        <v>90</v>
      </c>
      <c r="G179"/>
    </row>
    <row r="180" spans="1:7" x14ac:dyDescent="0.25">
      <c r="E180">
        <v>90</v>
      </c>
      <c r="G180"/>
    </row>
    <row r="181" spans="1:7" x14ac:dyDescent="0.25">
      <c r="A181" s="14" t="str">
        <f>HYPERLINK("https://www.youtube.com/watch?v=HPUSR1ERIv0","Video Lesson 5")</f>
        <v>Video Lesson 5</v>
      </c>
      <c r="B181" t="s">
        <v>328</v>
      </c>
      <c r="C181" t="s">
        <v>339</v>
      </c>
      <c r="D181">
        <v>11</v>
      </c>
      <c r="E181">
        <v>91</v>
      </c>
      <c r="G181"/>
    </row>
    <row r="182" spans="1:7" x14ac:dyDescent="0.25">
      <c r="E182">
        <v>91</v>
      </c>
      <c r="G182"/>
    </row>
    <row r="183" spans="1:7" x14ac:dyDescent="0.25">
      <c r="A183" s="14" t="str">
        <f>HYPERLINK("https://www.youtube.com/watch?v=bbpaAUOv8dE","Video Lesson 3.2")</f>
        <v>Video Lesson 3.2</v>
      </c>
      <c r="B183" t="s">
        <v>328</v>
      </c>
      <c r="C183" t="s">
        <v>339</v>
      </c>
      <c r="D183">
        <v>12</v>
      </c>
      <c r="E183">
        <v>92</v>
      </c>
      <c r="G183"/>
    </row>
    <row r="184" spans="1:7" x14ac:dyDescent="0.25">
      <c r="E184">
        <v>92</v>
      </c>
      <c r="G184"/>
    </row>
    <row r="185" spans="1:7" x14ac:dyDescent="0.25">
      <c r="A185" s="14" t="str">
        <f>HYPERLINK("https://www.youtube.com/watch?v=e_dFFaECK5E","Video Lesson 4")</f>
        <v>Video Lesson 4</v>
      </c>
      <c r="B185" t="s">
        <v>328</v>
      </c>
      <c r="C185" t="s">
        <v>340</v>
      </c>
      <c r="D185">
        <v>1</v>
      </c>
      <c r="E185">
        <v>93</v>
      </c>
      <c r="G185"/>
    </row>
    <row r="186" spans="1:7" x14ac:dyDescent="0.25">
      <c r="E186">
        <v>93</v>
      </c>
      <c r="G186"/>
    </row>
    <row r="187" spans="1:7" x14ac:dyDescent="0.25">
      <c r="A187" s="14" t="str">
        <f>HYPERLINK("https://www.youtube.com/watch?v=e_dFFaECK5E","Video Lesson 4")</f>
        <v>Video Lesson 4</v>
      </c>
      <c r="B187" t="s">
        <v>328</v>
      </c>
      <c r="C187" t="s">
        <v>340</v>
      </c>
      <c r="D187">
        <v>2</v>
      </c>
      <c r="E187">
        <v>94</v>
      </c>
      <c r="G187"/>
    </row>
    <row r="188" spans="1:7" x14ac:dyDescent="0.25">
      <c r="E188">
        <v>94</v>
      </c>
      <c r="G188"/>
    </row>
    <row r="189" spans="1:7" x14ac:dyDescent="0.25">
      <c r="A189" s="14" t="str">
        <f>HYPERLINK("https://www.youtube.com/watch?v=e_dFFaECK5E","Video Lesson 4")</f>
        <v>Video Lesson 4</v>
      </c>
      <c r="B189" t="s">
        <v>328</v>
      </c>
      <c r="C189" t="s">
        <v>340</v>
      </c>
      <c r="D189">
        <v>3</v>
      </c>
      <c r="E189">
        <v>95</v>
      </c>
      <c r="G189"/>
    </row>
    <row r="190" spans="1:7" x14ac:dyDescent="0.25">
      <c r="E190">
        <v>95</v>
      </c>
      <c r="G190"/>
    </row>
    <row r="191" spans="1:7" x14ac:dyDescent="0.25">
      <c r="A191" s="14" t="str">
        <f>HYPERLINK("https://www.youtube.com/watch?v=e_dFFaECK5E","Video Lesson 4")</f>
        <v>Video Lesson 4</v>
      </c>
      <c r="B191" t="s">
        <v>328</v>
      </c>
      <c r="C191" t="s">
        <v>340</v>
      </c>
      <c r="D191">
        <v>4</v>
      </c>
      <c r="E191">
        <v>96</v>
      </c>
      <c r="G191"/>
    </row>
    <row r="192" spans="1:7" x14ac:dyDescent="0.25">
      <c r="E192">
        <v>96</v>
      </c>
      <c r="G192"/>
    </row>
    <row r="193" spans="1:7" x14ac:dyDescent="0.25">
      <c r="A193" s="14" t="str">
        <f>HYPERLINK("https://www.youtube.com/watch?v=e_dFFaECK5E","Video Lesson 4")</f>
        <v>Video Lesson 4</v>
      </c>
      <c r="B193" t="s">
        <v>328</v>
      </c>
      <c r="C193" t="s">
        <v>340</v>
      </c>
      <c r="D193">
        <v>5</v>
      </c>
      <c r="E193">
        <v>97</v>
      </c>
      <c r="G193"/>
    </row>
    <row r="194" spans="1:7" x14ac:dyDescent="0.25">
      <c r="E194">
        <v>97</v>
      </c>
      <c r="G194"/>
    </row>
    <row r="195" spans="1:7" x14ac:dyDescent="0.25">
      <c r="A195" s="14" t="str">
        <f>HYPERLINK("https://www.youtube.com/watch?v=e_dFFaECK5E","Video Lesson 4")</f>
        <v>Video Lesson 4</v>
      </c>
      <c r="B195" t="s">
        <v>328</v>
      </c>
      <c r="C195" t="s">
        <v>340</v>
      </c>
      <c r="D195">
        <v>6</v>
      </c>
      <c r="E195">
        <v>98</v>
      </c>
      <c r="G195"/>
    </row>
    <row r="196" spans="1:7" x14ac:dyDescent="0.25">
      <c r="E196">
        <v>98</v>
      </c>
      <c r="G196"/>
    </row>
    <row r="197" spans="1:7" x14ac:dyDescent="0.25">
      <c r="A197" s="14" t="str">
        <f>HYPERLINK("https://www.youtube.com/watch?v=e_dFFaECK5E","Video Lesson 4")</f>
        <v>Video Lesson 4</v>
      </c>
      <c r="B197" t="s">
        <v>328</v>
      </c>
      <c r="C197" t="s">
        <v>340</v>
      </c>
      <c r="D197">
        <v>7</v>
      </c>
      <c r="E197">
        <v>99</v>
      </c>
      <c r="G197"/>
    </row>
    <row r="198" spans="1:7" x14ac:dyDescent="0.25">
      <c r="E198">
        <v>99</v>
      </c>
      <c r="G198"/>
    </row>
    <row r="199" spans="1:7" x14ac:dyDescent="0.25">
      <c r="A199" s="14" t="str">
        <f>HYPERLINK("https://www.youtube.com/watch?v=e_dFFaECK5E","Video Lesson 4")</f>
        <v>Video Lesson 4</v>
      </c>
      <c r="B199" t="s">
        <v>328</v>
      </c>
      <c r="C199" t="s">
        <v>340</v>
      </c>
      <c r="D199">
        <v>8</v>
      </c>
      <c r="E199">
        <v>100</v>
      </c>
      <c r="G199"/>
    </row>
    <row r="200" spans="1:7" x14ac:dyDescent="0.25">
      <c r="E200">
        <v>100</v>
      </c>
      <c r="G200"/>
    </row>
    <row r="201" spans="1:7" x14ac:dyDescent="0.25">
      <c r="A201" s="14" t="str">
        <f>HYPERLINK("https://www.youtube.com/watch?v=QXklxwQ4px8","Video Lesson 3.1")</f>
        <v>Video Lesson 3.1</v>
      </c>
      <c r="B201" t="s">
        <v>328</v>
      </c>
      <c r="C201" t="s">
        <v>341</v>
      </c>
      <c r="D201">
        <v>1</v>
      </c>
      <c r="E201">
        <v>101</v>
      </c>
      <c r="G201"/>
    </row>
    <row r="202" spans="1:7" x14ac:dyDescent="0.25">
      <c r="E202">
        <v>101</v>
      </c>
      <c r="G202"/>
    </row>
    <row r="203" spans="1:7" x14ac:dyDescent="0.25">
      <c r="A203" s="14" t="str">
        <f>HYPERLINK("https://www.youtube.com/watch?v=SGeR9HfhVRA","Video Lesson 8")</f>
        <v>Video Lesson 8</v>
      </c>
      <c r="B203" t="s">
        <v>328</v>
      </c>
      <c r="C203" t="s">
        <v>341</v>
      </c>
      <c r="D203">
        <v>2</v>
      </c>
      <c r="E203">
        <v>102</v>
      </c>
      <c r="G203"/>
    </row>
    <row r="204" spans="1:7" x14ac:dyDescent="0.25">
      <c r="E204">
        <v>102</v>
      </c>
      <c r="G204"/>
    </row>
    <row r="205" spans="1:7" x14ac:dyDescent="0.25">
      <c r="A205" s="14" t="str">
        <f>HYPERLINK("https://www.youtube.com/watch?v=QXklxwQ4px8","Video Lesson 3.1")</f>
        <v>Video Lesson 3.1</v>
      </c>
      <c r="B205" t="s">
        <v>328</v>
      </c>
      <c r="C205" t="s">
        <v>341</v>
      </c>
      <c r="D205">
        <v>3</v>
      </c>
      <c r="E205">
        <v>103</v>
      </c>
      <c r="G205"/>
    </row>
    <row r="206" spans="1:7" x14ac:dyDescent="0.25">
      <c r="E206">
        <v>103</v>
      </c>
      <c r="G206"/>
    </row>
    <row r="207" spans="1:7" x14ac:dyDescent="0.25">
      <c r="A207" s="14" t="str">
        <f>HYPERLINK("https://www.youtube.com/watch?v=QXklxwQ4px8","Video Lesson 3.1")</f>
        <v>Video Lesson 3.1</v>
      </c>
      <c r="B207" t="s">
        <v>328</v>
      </c>
      <c r="C207" t="s">
        <v>341</v>
      </c>
      <c r="D207">
        <v>4</v>
      </c>
      <c r="E207">
        <v>104</v>
      </c>
      <c r="G207"/>
    </row>
    <row r="208" spans="1:7" x14ac:dyDescent="0.25">
      <c r="E208">
        <v>104</v>
      </c>
      <c r="G208"/>
    </row>
    <row r="209" spans="1:7" x14ac:dyDescent="0.25">
      <c r="A209" s="14" t="str">
        <f>HYPERLINK("https://www.youtube.com/watch?v=QXklxwQ4px8","Video Lesson 3.1")</f>
        <v>Video Lesson 3.1</v>
      </c>
      <c r="B209" t="s">
        <v>328</v>
      </c>
      <c r="C209" t="s">
        <v>341</v>
      </c>
      <c r="D209">
        <v>5</v>
      </c>
      <c r="E209">
        <v>105</v>
      </c>
      <c r="G209"/>
    </row>
    <row r="210" spans="1:7" x14ac:dyDescent="0.25">
      <c r="E210">
        <v>105</v>
      </c>
      <c r="G210"/>
    </row>
    <row r="211" spans="1:7" x14ac:dyDescent="0.25">
      <c r="A211" s="14" t="str">
        <f>HYPERLINK("https://www.youtube.com/watch?v=QXklxwQ4px8","Video Lesson 3.1")</f>
        <v>Video Lesson 3.1</v>
      </c>
      <c r="B211" t="s">
        <v>328</v>
      </c>
      <c r="C211" t="s">
        <v>341</v>
      </c>
      <c r="D211">
        <v>6</v>
      </c>
      <c r="E211">
        <v>106</v>
      </c>
      <c r="G211"/>
    </row>
    <row r="212" spans="1:7" x14ac:dyDescent="0.25">
      <c r="E212">
        <v>106</v>
      </c>
      <c r="G212"/>
    </row>
    <row r="213" spans="1:7" x14ac:dyDescent="0.25">
      <c r="A213" s="14" t="str">
        <f>HYPERLINK("https://www.youtube.com/watch?v=SGeR9HfhVRA","Video Lesson 8")</f>
        <v>Video Lesson 8</v>
      </c>
      <c r="B213" t="s">
        <v>328</v>
      </c>
      <c r="C213" t="s">
        <v>341</v>
      </c>
      <c r="D213">
        <v>7</v>
      </c>
      <c r="E213">
        <v>107</v>
      </c>
      <c r="G213"/>
    </row>
    <row r="214" spans="1:7" x14ac:dyDescent="0.25">
      <c r="E214">
        <v>107</v>
      </c>
      <c r="G214"/>
    </row>
    <row r="215" spans="1:7" x14ac:dyDescent="0.25">
      <c r="A215" s="14" t="str">
        <f>HYPERLINK("https://www.youtube.com/watch?v=SGeR9HfhVRA","Video Lesson 8")</f>
        <v>Video Lesson 8</v>
      </c>
      <c r="B215" t="s">
        <v>328</v>
      </c>
      <c r="C215" t="s">
        <v>341</v>
      </c>
      <c r="D215">
        <v>8</v>
      </c>
      <c r="E215">
        <v>108</v>
      </c>
      <c r="G215"/>
    </row>
    <row r="216" spans="1:7" x14ac:dyDescent="0.25">
      <c r="E216">
        <v>108</v>
      </c>
      <c r="G216"/>
    </row>
    <row r="217" spans="1:7" x14ac:dyDescent="0.25">
      <c r="A217" s="14" t="str">
        <f>HYPERLINK("https://www.youtube.com/watch?v=SGeR9HfhVRA","Video Lesson 8")</f>
        <v>Video Lesson 8</v>
      </c>
      <c r="B217" t="s">
        <v>328</v>
      </c>
      <c r="C217" t="s">
        <v>341</v>
      </c>
      <c r="D217">
        <v>9</v>
      </c>
      <c r="E217">
        <v>109</v>
      </c>
      <c r="G217"/>
    </row>
    <row r="218" spans="1:7" x14ac:dyDescent="0.25">
      <c r="E218">
        <v>109</v>
      </c>
      <c r="G218"/>
    </row>
    <row r="219" spans="1:7" x14ac:dyDescent="0.25">
      <c r="A219" s="14" t="str">
        <f>HYPERLINK("https://www.youtube.com/watch?v=SGeR9HfhVRA","Video Lesson 8")</f>
        <v>Video Lesson 8</v>
      </c>
      <c r="B219" t="s">
        <v>328</v>
      </c>
      <c r="C219" t="s">
        <v>341</v>
      </c>
      <c r="D219">
        <v>10</v>
      </c>
      <c r="E219">
        <v>110</v>
      </c>
      <c r="G219"/>
    </row>
    <row r="220" spans="1:7" x14ac:dyDescent="0.25">
      <c r="E220">
        <v>110</v>
      </c>
      <c r="G220"/>
    </row>
    <row r="221" spans="1:7" x14ac:dyDescent="0.25">
      <c r="A221" s="14" t="str">
        <f>HYPERLINK("https://www.youtube.com/watch?v=SGeR9HfhVRA","Video Lesson 8")</f>
        <v>Video Lesson 8</v>
      </c>
      <c r="B221" t="s">
        <v>328</v>
      </c>
      <c r="C221" t="s">
        <v>341</v>
      </c>
      <c r="D221">
        <v>11</v>
      </c>
      <c r="E221">
        <v>111</v>
      </c>
      <c r="G221"/>
    </row>
    <row r="222" spans="1:7" x14ac:dyDescent="0.25">
      <c r="E222">
        <v>111</v>
      </c>
      <c r="G222"/>
    </row>
    <row r="223" spans="1:7" x14ac:dyDescent="0.25">
      <c r="A223" s="14" t="str">
        <f>HYPERLINK("https://www.youtube.com/watch?v=SGeR9HfhVRA","Video Lesson 8")</f>
        <v>Video Lesson 8</v>
      </c>
      <c r="B223" t="s">
        <v>328</v>
      </c>
      <c r="C223" t="s">
        <v>341</v>
      </c>
      <c r="D223">
        <v>12</v>
      </c>
      <c r="E223">
        <v>112</v>
      </c>
      <c r="G223"/>
    </row>
    <row r="224" spans="1:7" x14ac:dyDescent="0.25">
      <c r="E224">
        <v>112</v>
      </c>
      <c r="G224"/>
    </row>
    <row r="225" spans="1:7" x14ac:dyDescent="0.25">
      <c r="A225" s="14" t="str">
        <f>HYPERLINK("https://www.youtube.com/watch?v=SGeR9HfhVRA","Video Lesson 8")</f>
        <v>Video Lesson 8</v>
      </c>
      <c r="B225" t="s">
        <v>328</v>
      </c>
      <c r="C225" t="s">
        <v>341</v>
      </c>
      <c r="D225">
        <v>13</v>
      </c>
      <c r="E225">
        <v>113</v>
      </c>
      <c r="G225"/>
    </row>
    <row r="226" spans="1:7" x14ac:dyDescent="0.25">
      <c r="E226">
        <v>113</v>
      </c>
      <c r="G226"/>
    </row>
    <row r="227" spans="1:7" x14ac:dyDescent="0.25">
      <c r="A227" s="14" t="str">
        <f>HYPERLINK("https://www.youtube.com/watch?v=SGeR9HfhVRA","Video Lesson 8")</f>
        <v>Video Lesson 8</v>
      </c>
      <c r="B227" t="s">
        <v>328</v>
      </c>
      <c r="C227" t="s">
        <v>341</v>
      </c>
      <c r="D227">
        <v>14</v>
      </c>
      <c r="E227">
        <v>114</v>
      </c>
      <c r="G227"/>
    </row>
    <row r="228" spans="1:7" x14ac:dyDescent="0.25">
      <c r="E228">
        <v>114</v>
      </c>
      <c r="G228"/>
    </row>
    <row r="229" spans="1:7" x14ac:dyDescent="0.25">
      <c r="A229" s="14" t="str">
        <f>HYPERLINK("https://www.youtube.com/watch?v=1G46tEJOrww","Video Lesson 11")</f>
        <v>Video Lesson 11</v>
      </c>
      <c r="B229" t="s">
        <v>328</v>
      </c>
      <c r="C229" t="s">
        <v>342</v>
      </c>
      <c r="D229">
        <v>1</v>
      </c>
      <c r="E229">
        <v>115</v>
      </c>
      <c r="G229"/>
    </row>
    <row r="230" spans="1:7" x14ac:dyDescent="0.25">
      <c r="E230">
        <v>115</v>
      </c>
      <c r="G230"/>
    </row>
    <row r="231" spans="1:7" x14ac:dyDescent="0.25">
      <c r="A231" s="14" t="str">
        <f>HYPERLINK("https://www.youtube.com/watch?v=1G46tEJOrww","Video Lesson 11")</f>
        <v>Video Lesson 11</v>
      </c>
      <c r="B231" t="s">
        <v>328</v>
      </c>
      <c r="C231" t="s">
        <v>342</v>
      </c>
      <c r="D231">
        <v>2</v>
      </c>
      <c r="E231">
        <v>116</v>
      </c>
      <c r="G231"/>
    </row>
    <row r="232" spans="1:7" x14ac:dyDescent="0.25">
      <c r="E232">
        <v>116</v>
      </c>
      <c r="G232"/>
    </row>
    <row r="233" spans="1:7" x14ac:dyDescent="0.25">
      <c r="A233" s="14" t="str">
        <f>HYPERLINK("https://www.youtube.com/watch?v=1G46tEJOrww","Video Lesson 11")</f>
        <v>Video Lesson 11</v>
      </c>
      <c r="B233" t="s">
        <v>328</v>
      </c>
      <c r="C233" t="s">
        <v>342</v>
      </c>
      <c r="D233">
        <v>3</v>
      </c>
      <c r="E233">
        <v>117</v>
      </c>
      <c r="G233"/>
    </row>
    <row r="234" spans="1:7" x14ac:dyDescent="0.25">
      <c r="E234">
        <v>117</v>
      </c>
      <c r="G234"/>
    </row>
    <row r="235" spans="1:7" x14ac:dyDescent="0.25">
      <c r="A235" s="14" t="str">
        <f>HYPERLINK("https://www.youtube.com/watch?v=1G46tEJOrww","Video Lesson 11")</f>
        <v>Video Lesson 11</v>
      </c>
      <c r="B235" t="s">
        <v>328</v>
      </c>
      <c r="C235" t="s">
        <v>342</v>
      </c>
      <c r="D235">
        <v>4</v>
      </c>
      <c r="E235">
        <v>118</v>
      </c>
      <c r="G235"/>
    </row>
    <row r="236" spans="1:7" x14ac:dyDescent="0.25">
      <c r="E236">
        <v>118</v>
      </c>
      <c r="G236"/>
    </row>
    <row r="237" spans="1:7" x14ac:dyDescent="0.25">
      <c r="A237" s="14" t="str">
        <f>HYPERLINK("https://www.youtube.com/watch?v=1G46tEJOrww","Video Lesson 11")</f>
        <v>Video Lesson 11</v>
      </c>
      <c r="B237" t="s">
        <v>328</v>
      </c>
      <c r="C237" t="s">
        <v>342</v>
      </c>
      <c r="D237">
        <v>5</v>
      </c>
      <c r="E237">
        <v>119</v>
      </c>
      <c r="G237"/>
    </row>
    <row r="238" spans="1:7" x14ac:dyDescent="0.25">
      <c r="E238">
        <v>119</v>
      </c>
      <c r="G238"/>
    </row>
    <row r="239" spans="1:7" x14ac:dyDescent="0.25">
      <c r="A239" s="14" t="str">
        <f>HYPERLINK("https://www.youtube.com/watch?v=1G46tEJOrww","Video Lesson 11")</f>
        <v>Video Lesson 11</v>
      </c>
      <c r="B239" t="s">
        <v>328</v>
      </c>
      <c r="C239" t="s">
        <v>342</v>
      </c>
      <c r="D239">
        <v>6</v>
      </c>
      <c r="E239">
        <v>120</v>
      </c>
      <c r="G239"/>
    </row>
    <row r="240" spans="1:7" x14ac:dyDescent="0.25">
      <c r="E240">
        <v>120</v>
      </c>
      <c r="G240"/>
    </row>
    <row r="241" spans="1:7" x14ac:dyDescent="0.25">
      <c r="A241" s="14" t="str">
        <f>HYPERLINK("https://www.youtube.com/watch?v=E-TjOWZ5YQ0","Video Lesson 2")</f>
        <v>Video Lesson 2</v>
      </c>
      <c r="B241" t="s">
        <v>328</v>
      </c>
      <c r="C241" t="s">
        <v>342</v>
      </c>
      <c r="D241">
        <v>7</v>
      </c>
      <c r="E241">
        <v>121</v>
      </c>
      <c r="G241"/>
    </row>
    <row r="242" spans="1:7" x14ac:dyDescent="0.25">
      <c r="E242">
        <v>121</v>
      </c>
      <c r="G242"/>
    </row>
    <row r="243" spans="1:7" x14ac:dyDescent="0.25">
      <c r="A243" s="14" t="str">
        <f>HYPERLINK("https://www.youtube.com/watch?v=1G46tEJOrww","Video Lesson 11")</f>
        <v>Video Lesson 11</v>
      </c>
      <c r="B243" t="s">
        <v>328</v>
      </c>
      <c r="C243" t="s">
        <v>342</v>
      </c>
      <c r="D243">
        <v>8</v>
      </c>
      <c r="E243">
        <v>122</v>
      </c>
      <c r="G243"/>
    </row>
    <row r="244" spans="1:7" x14ac:dyDescent="0.25">
      <c r="E244">
        <v>122</v>
      </c>
      <c r="G244"/>
    </row>
    <row r="245" spans="1:7" x14ac:dyDescent="0.25">
      <c r="A245" s="14" t="str">
        <f>HYPERLINK("https://www.youtube.com/watch?v=1G46tEJOrww","Video Lesson 11")</f>
        <v>Video Lesson 11</v>
      </c>
      <c r="B245" t="s">
        <v>328</v>
      </c>
      <c r="C245" t="s">
        <v>342</v>
      </c>
      <c r="D245">
        <v>9</v>
      </c>
      <c r="E245">
        <v>123</v>
      </c>
      <c r="G245"/>
    </row>
    <row r="246" spans="1:7" x14ac:dyDescent="0.25">
      <c r="E246">
        <v>123</v>
      </c>
      <c r="G246"/>
    </row>
    <row r="247" spans="1:7" x14ac:dyDescent="0.25">
      <c r="A247" s="14" t="str">
        <f>HYPERLINK("https://www.youtube.com/watch?v=1G46tEJOrww","Video Lesson 11")</f>
        <v>Video Lesson 11</v>
      </c>
      <c r="B247" t="s">
        <v>328</v>
      </c>
      <c r="C247" t="s">
        <v>342</v>
      </c>
      <c r="D247">
        <v>10</v>
      </c>
      <c r="E247">
        <v>124</v>
      </c>
      <c r="G247"/>
    </row>
    <row r="248" spans="1:7" x14ac:dyDescent="0.25">
      <c r="E248">
        <v>124</v>
      </c>
      <c r="G248"/>
    </row>
    <row r="249" spans="1:7" x14ac:dyDescent="0.25">
      <c r="A249" s="14" t="str">
        <f>HYPERLINK("https://www.youtube.com/watch?v=1G46tEJOrww","Video Lesson 11")</f>
        <v>Video Lesson 11</v>
      </c>
      <c r="B249" t="s">
        <v>328</v>
      </c>
      <c r="C249" t="s">
        <v>342</v>
      </c>
      <c r="D249">
        <v>11</v>
      </c>
      <c r="E249">
        <v>125</v>
      </c>
      <c r="G249"/>
    </row>
    <row r="250" spans="1:7" x14ac:dyDescent="0.25">
      <c r="E250">
        <v>125</v>
      </c>
      <c r="G250"/>
    </row>
    <row r="251" spans="1:7" x14ac:dyDescent="0.25">
      <c r="A251" s="14" t="str">
        <f>HYPERLINK("https://www.youtube.com/watch?v=1G46tEJOrww","Video Lesson 11")</f>
        <v>Video Lesson 11</v>
      </c>
      <c r="B251" t="s">
        <v>328</v>
      </c>
      <c r="C251" t="s">
        <v>342</v>
      </c>
      <c r="D251">
        <v>12</v>
      </c>
      <c r="E251">
        <v>126</v>
      </c>
      <c r="G251"/>
    </row>
    <row r="252" spans="1:7" x14ac:dyDescent="0.25">
      <c r="E252">
        <v>126</v>
      </c>
      <c r="G252"/>
    </row>
    <row r="253" spans="1:7" x14ac:dyDescent="0.25">
      <c r="A253" s="14" t="str">
        <f>HYPERLINK("https://www.youtube.com/watch?v=1G46tEJOrww","Video Lesson 11")</f>
        <v>Video Lesson 11</v>
      </c>
      <c r="B253" t="s">
        <v>328</v>
      </c>
      <c r="C253" t="s">
        <v>342</v>
      </c>
      <c r="D253">
        <v>13</v>
      </c>
      <c r="E253">
        <v>127</v>
      </c>
      <c r="G253"/>
    </row>
    <row r="254" spans="1:7" x14ac:dyDescent="0.25">
      <c r="E254">
        <v>127</v>
      </c>
      <c r="G254"/>
    </row>
    <row r="255" spans="1:7" x14ac:dyDescent="0.25">
      <c r="A255" s="14" t="str">
        <f>HYPERLINK("https://www.youtube.com/watch?v=1G46tEJOrww","Video Lesson 11")</f>
        <v>Video Lesson 11</v>
      </c>
      <c r="B255" t="s">
        <v>328</v>
      </c>
      <c r="C255" t="s">
        <v>342</v>
      </c>
      <c r="D255">
        <v>14</v>
      </c>
      <c r="E255">
        <v>128</v>
      </c>
      <c r="G255"/>
    </row>
    <row r="256" spans="1:7" x14ac:dyDescent="0.25">
      <c r="E256">
        <v>128</v>
      </c>
      <c r="G256"/>
    </row>
    <row r="257" spans="1:7" x14ac:dyDescent="0.25">
      <c r="A257" s="14" t="str">
        <f>HYPERLINK("https://www.youtube.com/watch?v=7iovf94e4uU","Video Lesson 1")</f>
        <v>Video Lesson 1</v>
      </c>
      <c r="B257" t="s">
        <v>329</v>
      </c>
      <c r="C257" t="s">
        <v>343</v>
      </c>
      <c r="D257">
        <v>1</v>
      </c>
      <c r="E257">
        <v>129</v>
      </c>
      <c r="G257"/>
    </row>
    <row r="258" spans="1:7" x14ac:dyDescent="0.25">
      <c r="E258">
        <v>129</v>
      </c>
      <c r="G258"/>
    </row>
    <row r="259" spans="1:7" x14ac:dyDescent="0.25">
      <c r="A259" s="14" t="str">
        <f>HYPERLINK("https://www.youtube.com/watch?v=KUWhrhaqHsg","Video Lesson 9")</f>
        <v>Video Lesson 9</v>
      </c>
      <c r="B259" t="s">
        <v>329</v>
      </c>
      <c r="C259" t="s">
        <v>343</v>
      </c>
      <c r="D259">
        <v>2</v>
      </c>
      <c r="E259">
        <v>130</v>
      </c>
      <c r="G259"/>
    </row>
    <row r="260" spans="1:7" x14ac:dyDescent="0.25">
      <c r="E260">
        <v>130</v>
      </c>
      <c r="G260"/>
    </row>
    <row r="261" spans="1:7" x14ac:dyDescent="0.25">
      <c r="A261" s="14" t="str">
        <f>HYPERLINK("https://www.youtube.com/watch?v=KUWhrhaqHsg","Video Lesson 9")</f>
        <v>Video Lesson 9</v>
      </c>
      <c r="B261" t="s">
        <v>329</v>
      </c>
      <c r="C261" t="s">
        <v>343</v>
      </c>
      <c r="D261">
        <v>3</v>
      </c>
      <c r="E261">
        <v>131</v>
      </c>
      <c r="G261"/>
    </row>
    <row r="262" spans="1:7" x14ac:dyDescent="0.25">
      <c r="E262">
        <v>131</v>
      </c>
      <c r="G262"/>
    </row>
    <row r="263" spans="1:7" x14ac:dyDescent="0.25">
      <c r="A263" s="14" t="str">
        <f>HYPERLINK("https://www.youtube.com/watch?v=KUWhrhaqHsg","Video Lesson 9")</f>
        <v>Video Lesson 9</v>
      </c>
      <c r="B263" t="s">
        <v>329</v>
      </c>
      <c r="C263" t="s">
        <v>343</v>
      </c>
      <c r="D263">
        <v>4</v>
      </c>
      <c r="E263">
        <v>132</v>
      </c>
      <c r="G263"/>
    </row>
    <row r="264" spans="1:7" x14ac:dyDescent="0.25">
      <c r="E264">
        <v>132</v>
      </c>
      <c r="G264"/>
    </row>
    <row r="265" spans="1:7" x14ac:dyDescent="0.25">
      <c r="A265" s="14" t="str">
        <f>HYPERLINK("https://www.youtube.com/watch?v=mlf3S2Z-yzM","Video Lesson 15")</f>
        <v>Video Lesson 15</v>
      </c>
      <c r="B265" t="s">
        <v>329</v>
      </c>
      <c r="C265" t="s">
        <v>343</v>
      </c>
      <c r="D265">
        <v>5</v>
      </c>
      <c r="E265">
        <v>133</v>
      </c>
      <c r="G265"/>
    </row>
    <row r="266" spans="1:7" x14ac:dyDescent="0.25">
      <c r="E266">
        <v>133</v>
      </c>
      <c r="G266"/>
    </row>
    <row r="267" spans="1:7" x14ac:dyDescent="0.25">
      <c r="A267" s="14" t="str">
        <f>HYPERLINK("https://www.youtube.com/watch?v=mlf3S2Z-yzM","Video Lesson 15")</f>
        <v>Video Lesson 15</v>
      </c>
      <c r="B267" t="s">
        <v>329</v>
      </c>
      <c r="C267" t="s">
        <v>343</v>
      </c>
      <c r="D267">
        <v>6</v>
      </c>
      <c r="E267">
        <v>134</v>
      </c>
      <c r="G267"/>
    </row>
    <row r="268" spans="1:7" x14ac:dyDescent="0.25">
      <c r="E268">
        <v>134</v>
      </c>
      <c r="G268"/>
    </row>
    <row r="269" spans="1:7" x14ac:dyDescent="0.25">
      <c r="A269" s="14" t="str">
        <f>HYPERLINK("https://www.youtube.com/watch?v=7iovf94e4uU","Video Lesson 1")</f>
        <v>Video Lesson 1</v>
      </c>
      <c r="B269" t="s">
        <v>329</v>
      </c>
      <c r="C269" t="s">
        <v>343</v>
      </c>
      <c r="D269">
        <v>7</v>
      </c>
      <c r="E269">
        <v>135</v>
      </c>
      <c r="G269"/>
    </row>
    <row r="270" spans="1:7" x14ac:dyDescent="0.25">
      <c r="E270">
        <v>135</v>
      </c>
      <c r="G270"/>
    </row>
    <row r="271" spans="1:7" x14ac:dyDescent="0.25">
      <c r="A271" s="14" t="str">
        <f>HYPERLINK("https://www.youtube.com/watch?v=7iovf94e4uU","Video Lesson 1")</f>
        <v>Video Lesson 1</v>
      </c>
      <c r="B271" t="s">
        <v>329</v>
      </c>
      <c r="C271" t="s">
        <v>343</v>
      </c>
      <c r="D271">
        <v>8</v>
      </c>
      <c r="E271">
        <v>136</v>
      </c>
      <c r="G271"/>
    </row>
    <row r="272" spans="1:7" x14ac:dyDescent="0.25">
      <c r="E272">
        <v>136</v>
      </c>
      <c r="G272"/>
    </row>
    <row r="273" spans="1:7" x14ac:dyDescent="0.25">
      <c r="A273" s="14" t="str">
        <f>HYPERLINK("https://www.youtube.com/watch?v=mlf3S2Z-yzM","Video Lesson 15")</f>
        <v>Video Lesson 15</v>
      </c>
      <c r="B273" t="s">
        <v>329</v>
      </c>
      <c r="C273" t="s">
        <v>343</v>
      </c>
      <c r="D273">
        <v>9</v>
      </c>
      <c r="E273">
        <v>137</v>
      </c>
      <c r="G273"/>
    </row>
    <row r="274" spans="1:7" x14ac:dyDescent="0.25">
      <c r="E274">
        <v>137</v>
      </c>
      <c r="G274"/>
    </row>
    <row r="275" spans="1:7" x14ac:dyDescent="0.25">
      <c r="A275" s="14" t="str">
        <f>HYPERLINK("https://www.youtube.com/watch?v=mlf3S2Z-yzM","Video Lesson 15")</f>
        <v>Video Lesson 15</v>
      </c>
      <c r="B275" t="s">
        <v>329</v>
      </c>
      <c r="C275" t="s">
        <v>343</v>
      </c>
      <c r="D275">
        <v>10</v>
      </c>
      <c r="E275">
        <v>138</v>
      </c>
      <c r="G275"/>
    </row>
    <row r="276" spans="1:7" x14ac:dyDescent="0.25">
      <c r="E276">
        <v>138</v>
      </c>
      <c r="G276"/>
    </row>
    <row r="277" spans="1:7" x14ac:dyDescent="0.25">
      <c r="A277" s="14" t="str">
        <f>HYPERLINK("https://www.youtube.com/watch?v=mlf3S2Z-yzM","Video Lesson 15")</f>
        <v>Video Lesson 15</v>
      </c>
      <c r="B277" t="s">
        <v>329</v>
      </c>
      <c r="C277" t="s">
        <v>343</v>
      </c>
      <c r="D277">
        <v>11</v>
      </c>
      <c r="E277">
        <v>139</v>
      </c>
      <c r="G277"/>
    </row>
    <row r="278" spans="1:7" x14ac:dyDescent="0.25">
      <c r="E278">
        <v>139</v>
      </c>
      <c r="G278"/>
    </row>
    <row r="279" spans="1:7" x14ac:dyDescent="0.25">
      <c r="A279" s="14" t="str">
        <f>HYPERLINK("https://www.youtube.com/watch?v=mlf3S2Z-yzM","Video Lesson 15")</f>
        <v>Video Lesson 15</v>
      </c>
      <c r="B279" t="s">
        <v>329</v>
      </c>
      <c r="C279" t="s">
        <v>343</v>
      </c>
      <c r="D279">
        <v>12</v>
      </c>
      <c r="E279">
        <v>140</v>
      </c>
      <c r="G279"/>
    </row>
    <row r="280" spans="1:7" x14ac:dyDescent="0.25">
      <c r="E280">
        <v>140</v>
      </c>
      <c r="G280"/>
    </row>
    <row r="281" spans="1:7" x14ac:dyDescent="0.25">
      <c r="A281" s="14" t="str">
        <f>HYPERLINK("https://www.youtube.com/watch?v=mlf3S2Z-yzM","Video Lesson 15")</f>
        <v>Video Lesson 15</v>
      </c>
      <c r="B281" t="s">
        <v>329</v>
      </c>
      <c r="C281" t="s">
        <v>343</v>
      </c>
      <c r="D281">
        <v>13</v>
      </c>
      <c r="E281">
        <v>141</v>
      </c>
      <c r="G281"/>
    </row>
    <row r="282" spans="1:7" x14ac:dyDescent="0.25">
      <c r="E282">
        <v>141</v>
      </c>
      <c r="G282"/>
    </row>
    <row r="283" spans="1:7" x14ac:dyDescent="0.25">
      <c r="A283" s="14" t="str">
        <f>HYPERLINK("https://www.youtube.com/watch?v=mlf3S2Z-yzM","Video Lesson 15")</f>
        <v>Video Lesson 15</v>
      </c>
      <c r="B283" t="s">
        <v>329</v>
      </c>
      <c r="C283" t="s">
        <v>343</v>
      </c>
      <c r="D283">
        <v>14</v>
      </c>
      <c r="E283">
        <v>142</v>
      </c>
      <c r="G283"/>
    </row>
    <row r="284" spans="1:7" x14ac:dyDescent="0.25">
      <c r="E284">
        <v>142</v>
      </c>
      <c r="G284"/>
    </row>
    <row r="285" spans="1:7" x14ac:dyDescent="0.25">
      <c r="A285" s="14" t="str">
        <f>HYPERLINK("https://www.youtube.com/watch?v=mlf3S2Z-yzM","Video Lesson 15")</f>
        <v>Video Lesson 15</v>
      </c>
      <c r="B285" t="s">
        <v>329</v>
      </c>
      <c r="C285" t="s">
        <v>343</v>
      </c>
      <c r="D285">
        <v>15</v>
      </c>
      <c r="E285">
        <v>143</v>
      </c>
      <c r="G285"/>
    </row>
    <row r="286" spans="1:7" x14ac:dyDescent="0.25">
      <c r="E286">
        <v>143</v>
      </c>
      <c r="G286"/>
    </row>
    <row r="287" spans="1:7" x14ac:dyDescent="0.25">
      <c r="A287" s="14" t="str">
        <f>HYPERLINK("https://www.youtube.com/watch?v=mlf3S2Z-yzM","Video Lesson 15")</f>
        <v>Video Lesson 15</v>
      </c>
      <c r="B287" t="s">
        <v>329</v>
      </c>
      <c r="C287" t="s">
        <v>343</v>
      </c>
      <c r="D287">
        <v>16</v>
      </c>
      <c r="E287">
        <v>144</v>
      </c>
      <c r="G287"/>
    </row>
    <row r="288" spans="1:7" x14ac:dyDescent="0.25">
      <c r="E288">
        <v>144</v>
      </c>
      <c r="G288"/>
    </row>
    <row r="289" spans="1:7" x14ac:dyDescent="0.25">
      <c r="A289" s="14" t="str">
        <f>HYPERLINK("https://www.youtube.com/watch?v=KUWhrhaqHsg","Video Lesson 9")</f>
        <v>Video Lesson 9</v>
      </c>
      <c r="B289" t="s">
        <v>329</v>
      </c>
      <c r="C289" t="s">
        <v>343</v>
      </c>
      <c r="D289">
        <v>17</v>
      </c>
      <c r="E289">
        <v>145</v>
      </c>
      <c r="G289"/>
    </row>
    <row r="290" spans="1:7" x14ac:dyDescent="0.25">
      <c r="E290">
        <v>145</v>
      </c>
      <c r="G290"/>
    </row>
    <row r="291" spans="1:7" x14ac:dyDescent="0.25">
      <c r="A291" s="14" t="str">
        <f>HYPERLINK("https://www.youtube.com/watch?v=KUWhrhaqHsg","Video Lesson 9")</f>
        <v>Video Lesson 9</v>
      </c>
      <c r="B291" t="s">
        <v>329</v>
      </c>
      <c r="C291" t="s">
        <v>343</v>
      </c>
      <c r="D291">
        <v>18</v>
      </c>
      <c r="E291">
        <v>146</v>
      </c>
      <c r="G291"/>
    </row>
    <row r="292" spans="1:7" x14ac:dyDescent="0.25">
      <c r="E292">
        <v>146</v>
      </c>
      <c r="G292"/>
    </row>
    <row r="293" spans="1:7" x14ac:dyDescent="0.25">
      <c r="A293" s="14" t="str">
        <f>HYPERLINK("https://www.youtube.com/watch?v=DfQwYS9JfME","Video Lesson 6")</f>
        <v>Video Lesson 6</v>
      </c>
      <c r="B293" t="s">
        <v>329</v>
      </c>
      <c r="C293" t="s">
        <v>344</v>
      </c>
      <c r="D293">
        <v>1</v>
      </c>
      <c r="E293">
        <v>147</v>
      </c>
      <c r="G293"/>
    </row>
    <row r="294" spans="1:7" x14ac:dyDescent="0.25">
      <c r="E294">
        <v>147</v>
      </c>
      <c r="G294"/>
    </row>
    <row r="295" spans="1:7" x14ac:dyDescent="0.25">
      <c r="A295" s="14" t="str">
        <f>HYPERLINK("https://www.youtube.com/watch?v=DfQwYS9JfME","Video Lesson 6")</f>
        <v>Video Lesson 6</v>
      </c>
      <c r="B295" t="s">
        <v>329</v>
      </c>
      <c r="C295" t="s">
        <v>344</v>
      </c>
      <c r="D295">
        <v>2</v>
      </c>
      <c r="E295">
        <v>148</v>
      </c>
      <c r="G295"/>
    </row>
    <row r="296" spans="1:7" x14ac:dyDescent="0.25">
      <c r="E296">
        <v>148</v>
      </c>
      <c r="G296"/>
    </row>
    <row r="297" spans="1:7" x14ac:dyDescent="0.25">
      <c r="A297" s="14" t="str">
        <f>HYPERLINK("https://www.youtube.com/watch?v=1G46tEJOrww","Video Lesson 11")</f>
        <v>Video Lesson 11</v>
      </c>
      <c r="B297" t="s">
        <v>329</v>
      </c>
      <c r="C297" t="s">
        <v>344</v>
      </c>
      <c r="D297">
        <v>3</v>
      </c>
      <c r="E297">
        <v>149</v>
      </c>
      <c r="G297"/>
    </row>
    <row r="298" spans="1:7" x14ac:dyDescent="0.25">
      <c r="E298">
        <v>149</v>
      </c>
      <c r="G298"/>
    </row>
    <row r="299" spans="1:7" x14ac:dyDescent="0.25">
      <c r="A299" s="14" t="str">
        <f>HYPERLINK("https://www.youtube.com/watch?v=KUWhrhaqHsg","Video Lesson 9")</f>
        <v>Video Lesson 9</v>
      </c>
      <c r="B299" t="s">
        <v>329</v>
      </c>
      <c r="C299" t="s">
        <v>344</v>
      </c>
      <c r="D299">
        <v>4</v>
      </c>
      <c r="E299">
        <v>150</v>
      </c>
      <c r="G299"/>
    </row>
    <row r="300" spans="1:7" x14ac:dyDescent="0.25">
      <c r="E300">
        <v>150</v>
      </c>
      <c r="G300"/>
    </row>
    <row r="301" spans="1:7" x14ac:dyDescent="0.25">
      <c r="A301" s="14" t="str">
        <f>HYPERLINK("https://www.youtube.com/watch?v=KUWhrhaqHsg","Video Lesson 9")</f>
        <v>Video Lesson 9</v>
      </c>
      <c r="B301" t="s">
        <v>329</v>
      </c>
      <c r="C301" t="s">
        <v>344</v>
      </c>
      <c r="D301">
        <v>5</v>
      </c>
      <c r="E301">
        <v>151</v>
      </c>
      <c r="G301"/>
    </row>
    <row r="302" spans="1:7" x14ac:dyDescent="0.25">
      <c r="E302">
        <v>151</v>
      </c>
      <c r="G302"/>
    </row>
    <row r="303" spans="1:7" x14ac:dyDescent="0.25">
      <c r="A303" s="14" t="str">
        <f>HYPERLINK("https://www.youtube.com/watch?v=KUWhrhaqHsg","Video Lesson 9")</f>
        <v>Video Lesson 9</v>
      </c>
      <c r="B303" t="s">
        <v>329</v>
      </c>
      <c r="C303" t="s">
        <v>344</v>
      </c>
      <c r="D303">
        <v>6</v>
      </c>
      <c r="E303">
        <v>152</v>
      </c>
      <c r="G303"/>
    </row>
    <row r="304" spans="1:7" x14ac:dyDescent="0.25">
      <c r="E304">
        <v>152</v>
      </c>
      <c r="G304"/>
    </row>
    <row r="305" spans="1:7" x14ac:dyDescent="0.25">
      <c r="A305" s="14" t="str">
        <f>HYPERLINK("https://www.youtube.com/watch?v=KUWhrhaqHsg","Video Lesson 9")</f>
        <v>Video Lesson 9</v>
      </c>
      <c r="B305" t="s">
        <v>329</v>
      </c>
      <c r="C305" t="s">
        <v>344</v>
      </c>
      <c r="D305">
        <v>7</v>
      </c>
      <c r="E305">
        <v>153</v>
      </c>
      <c r="G305"/>
    </row>
    <row r="306" spans="1:7" x14ac:dyDescent="0.25">
      <c r="E306">
        <v>153</v>
      </c>
      <c r="G306"/>
    </row>
    <row r="307" spans="1:7" x14ac:dyDescent="0.25">
      <c r="A307" s="14" t="str">
        <f>HYPERLINK("https://www.youtube.com/watch?v=KUWhrhaqHsg","Video Lesson 9")</f>
        <v>Video Lesson 9</v>
      </c>
      <c r="B307" t="s">
        <v>329</v>
      </c>
      <c r="C307" t="s">
        <v>344</v>
      </c>
      <c r="D307">
        <v>8</v>
      </c>
      <c r="E307">
        <v>154</v>
      </c>
      <c r="G307"/>
    </row>
    <row r="308" spans="1:7" x14ac:dyDescent="0.25">
      <c r="E308">
        <v>154</v>
      </c>
      <c r="G308"/>
    </row>
    <row r="309" spans="1:7" x14ac:dyDescent="0.25">
      <c r="A309" s="14" t="str">
        <f>HYPERLINK("https://www.youtube.com/watch?v=KUWhrhaqHsg","Video Lesson 9")</f>
        <v>Video Lesson 9</v>
      </c>
      <c r="B309" t="s">
        <v>329</v>
      </c>
      <c r="C309" t="s">
        <v>344</v>
      </c>
      <c r="D309">
        <v>9</v>
      </c>
      <c r="E309">
        <v>155</v>
      </c>
      <c r="G309"/>
    </row>
    <row r="310" spans="1:7" x14ac:dyDescent="0.25">
      <c r="E310">
        <v>155</v>
      </c>
      <c r="G310"/>
    </row>
    <row r="311" spans="1:7" x14ac:dyDescent="0.25">
      <c r="A311" s="14" t="str">
        <f>HYPERLINK("https://www.youtube.com/watch?v=Ivl-D6m04C4","Video Lesson 10")</f>
        <v>Video Lesson 10</v>
      </c>
      <c r="B311" t="s">
        <v>329</v>
      </c>
      <c r="C311" t="s">
        <v>344</v>
      </c>
      <c r="D311">
        <v>10</v>
      </c>
      <c r="E311">
        <v>156</v>
      </c>
      <c r="G311"/>
    </row>
    <row r="312" spans="1:7" x14ac:dyDescent="0.25">
      <c r="E312">
        <v>156</v>
      </c>
      <c r="G312"/>
    </row>
    <row r="313" spans="1:7" x14ac:dyDescent="0.25">
      <c r="A313" s="14" t="str">
        <f>HYPERLINK("https://www.youtube.com/watch?v=FpQEAG3hsdA","Video Lesson 17")</f>
        <v>Video Lesson 17</v>
      </c>
      <c r="B313" t="s">
        <v>329</v>
      </c>
      <c r="C313" t="s">
        <v>345</v>
      </c>
      <c r="D313">
        <v>11</v>
      </c>
      <c r="E313">
        <v>157</v>
      </c>
      <c r="G313"/>
    </row>
    <row r="314" spans="1:7" x14ac:dyDescent="0.25">
      <c r="E314">
        <v>157</v>
      </c>
      <c r="G314"/>
    </row>
    <row r="315" spans="1:7" x14ac:dyDescent="0.25">
      <c r="A315" s="14" t="str">
        <f>HYPERLINK("https://www.youtube.com/watch?v=FpQEAG3hsdA","Video Lesson 17")</f>
        <v>Video Lesson 17</v>
      </c>
      <c r="B315" t="s">
        <v>329</v>
      </c>
      <c r="C315" t="s">
        <v>345</v>
      </c>
      <c r="D315">
        <v>12</v>
      </c>
      <c r="E315">
        <v>158</v>
      </c>
      <c r="G315"/>
    </row>
    <row r="316" spans="1:7" x14ac:dyDescent="0.25">
      <c r="E316">
        <v>158</v>
      </c>
      <c r="G316"/>
    </row>
    <row r="317" spans="1:7" x14ac:dyDescent="0.25">
      <c r="A317" s="14" t="str">
        <f>HYPERLINK("https://www.youtube.com/watch?v=4qB8qVfkH4A","Video Lesson 12")</f>
        <v>Video Lesson 12</v>
      </c>
      <c r="B317" t="s">
        <v>330</v>
      </c>
      <c r="C317" t="s">
        <v>346</v>
      </c>
      <c r="D317">
        <v>1</v>
      </c>
      <c r="E317">
        <v>159</v>
      </c>
      <c r="G317"/>
    </row>
    <row r="318" spans="1:7" x14ac:dyDescent="0.25">
      <c r="E318">
        <v>159</v>
      </c>
      <c r="G318"/>
    </row>
    <row r="319" spans="1:7" x14ac:dyDescent="0.25">
      <c r="A319" s="14" t="str">
        <f>HYPERLINK("https://www.youtube.com/watch?v=4qB8qVfkH4A","Video Lesson 12")</f>
        <v>Video Lesson 12</v>
      </c>
      <c r="B319" t="s">
        <v>330</v>
      </c>
      <c r="C319" t="s">
        <v>346</v>
      </c>
      <c r="D319">
        <v>2</v>
      </c>
      <c r="E319">
        <v>160</v>
      </c>
      <c r="G319"/>
    </row>
    <row r="320" spans="1:7" x14ac:dyDescent="0.25">
      <c r="E320">
        <v>160</v>
      </c>
      <c r="G320"/>
    </row>
    <row r="321" spans="1:7" x14ac:dyDescent="0.25">
      <c r="A321" s="14" t="str">
        <f>HYPERLINK("https://www.youtube.com/watch?v=4qB8qVfkH4A","Video Lesson 12")</f>
        <v>Video Lesson 12</v>
      </c>
      <c r="B321" t="s">
        <v>330</v>
      </c>
      <c r="C321" t="s">
        <v>346</v>
      </c>
      <c r="D321">
        <v>3</v>
      </c>
      <c r="E321">
        <v>161</v>
      </c>
      <c r="G321"/>
    </row>
    <row r="322" spans="1:7" x14ac:dyDescent="0.25">
      <c r="E322">
        <v>161</v>
      </c>
      <c r="G322"/>
    </row>
    <row r="323" spans="1:7" x14ac:dyDescent="0.25">
      <c r="A323" s="14" t="str">
        <f>HYPERLINK("https://www.youtube.com/watch?v=4qB8qVfkH4A","Video Lesson 12")</f>
        <v>Video Lesson 12</v>
      </c>
      <c r="B323" t="s">
        <v>330</v>
      </c>
      <c r="C323" t="s">
        <v>346</v>
      </c>
      <c r="D323">
        <v>4</v>
      </c>
      <c r="E323">
        <v>162</v>
      </c>
      <c r="G323"/>
    </row>
    <row r="324" spans="1:7" x14ac:dyDescent="0.25">
      <c r="E324">
        <v>162</v>
      </c>
      <c r="G324"/>
    </row>
    <row r="325" spans="1:7" x14ac:dyDescent="0.25">
      <c r="A325" s="14" t="str">
        <f>HYPERLINK("https://www.youtube.com/watch?v=4qB8qVfkH4A","Video Lesson 12")</f>
        <v>Video Lesson 12</v>
      </c>
      <c r="B325" t="s">
        <v>330</v>
      </c>
      <c r="C325" t="s">
        <v>346</v>
      </c>
      <c r="D325">
        <v>5</v>
      </c>
      <c r="E325">
        <v>163</v>
      </c>
      <c r="G325"/>
    </row>
    <row r="326" spans="1:7" x14ac:dyDescent="0.25">
      <c r="E326">
        <v>163</v>
      </c>
      <c r="G326"/>
    </row>
    <row r="327" spans="1:7" x14ac:dyDescent="0.25">
      <c r="A327" s="14" t="str">
        <f>HYPERLINK("https://www.youtube.com/watch?v=4qB8qVfkH4A","Video Lesson 12")</f>
        <v>Video Lesson 12</v>
      </c>
      <c r="B327" t="s">
        <v>330</v>
      </c>
      <c r="C327" t="s">
        <v>346</v>
      </c>
      <c r="D327">
        <v>6</v>
      </c>
      <c r="E327">
        <v>164</v>
      </c>
      <c r="G327"/>
    </row>
    <row r="328" spans="1:7" x14ac:dyDescent="0.25">
      <c r="E328">
        <v>164</v>
      </c>
      <c r="G328"/>
    </row>
    <row r="329" spans="1:7" x14ac:dyDescent="0.25">
      <c r="A329" s="14" t="str">
        <f>HYPERLINK("https://www.youtube.com/watch?v=4qB8qVfkH4A","Video Lesson 12")</f>
        <v>Video Lesson 12</v>
      </c>
      <c r="B329" t="s">
        <v>330</v>
      </c>
      <c r="C329" t="s">
        <v>346</v>
      </c>
      <c r="D329">
        <v>7</v>
      </c>
      <c r="E329">
        <v>165</v>
      </c>
      <c r="G329"/>
    </row>
    <row r="330" spans="1:7" x14ac:dyDescent="0.25">
      <c r="E330">
        <v>165</v>
      </c>
      <c r="G330"/>
    </row>
    <row r="331" spans="1:7" x14ac:dyDescent="0.25">
      <c r="A331" s="14" t="str">
        <f>HYPERLINK("https://www.youtube.com/watch?v=4qB8qVfkH4A","Video Lesson 12")</f>
        <v>Video Lesson 12</v>
      </c>
      <c r="B331" t="s">
        <v>330</v>
      </c>
      <c r="C331" t="s">
        <v>346</v>
      </c>
      <c r="D331">
        <v>8</v>
      </c>
      <c r="E331">
        <v>166</v>
      </c>
      <c r="G331"/>
    </row>
    <row r="332" spans="1:7" x14ac:dyDescent="0.25">
      <c r="E332">
        <v>166</v>
      </c>
      <c r="G332"/>
    </row>
    <row r="333" spans="1:7" x14ac:dyDescent="0.25">
      <c r="A333" s="14" t="str">
        <f>HYPERLINK("https://www.youtube.com/watch?v=4qB8qVfkH4A","Video Lesson 12")</f>
        <v>Video Lesson 12</v>
      </c>
      <c r="B333" t="s">
        <v>330</v>
      </c>
      <c r="C333" t="s">
        <v>346</v>
      </c>
      <c r="D333">
        <v>9</v>
      </c>
      <c r="E333">
        <v>167</v>
      </c>
      <c r="G333"/>
    </row>
    <row r="334" spans="1:7" x14ac:dyDescent="0.25">
      <c r="E334">
        <v>167</v>
      </c>
      <c r="G334"/>
    </row>
    <row r="335" spans="1:7" x14ac:dyDescent="0.25">
      <c r="A335" s="14" t="str">
        <f>HYPERLINK("https://www.youtube.com/watch?v=4qB8qVfkH4A","Video Lesson 12")</f>
        <v>Video Lesson 12</v>
      </c>
      <c r="B335" t="s">
        <v>330</v>
      </c>
      <c r="C335" t="s">
        <v>346</v>
      </c>
      <c r="D335">
        <v>10</v>
      </c>
      <c r="E335">
        <v>168</v>
      </c>
      <c r="G335"/>
    </row>
    <row r="336" spans="1:7" x14ac:dyDescent="0.25">
      <c r="E336">
        <v>168</v>
      </c>
      <c r="G336"/>
    </row>
    <row r="337" spans="1:8" x14ac:dyDescent="0.25">
      <c r="A337" s="14" t="str">
        <f>HYPERLINK("https://www.youtube.com/watch?v=4qB8qVfkH4A","Video Lesson 12")</f>
        <v>Video Lesson 12</v>
      </c>
      <c r="B337" t="s">
        <v>330</v>
      </c>
      <c r="C337" t="s">
        <v>346</v>
      </c>
      <c r="D337">
        <v>11</v>
      </c>
      <c r="E337">
        <v>169</v>
      </c>
      <c r="G337"/>
    </row>
    <row r="338" spans="1:8" x14ac:dyDescent="0.25">
      <c r="E338">
        <v>169</v>
      </c>
      <c r="G338"/>
    </row>
    <row r="339" spans="1:8" x14ac:dyDescent="0.25">
      <c r="A339" s="14" t="str">
        <f>HYPERLINK("https://www.youtube.com/watch?v=4qB8qVfkH4A","Video Lesson 12")</f>
        <v>Video Lesson 12</v>
      </c>
      <c r="B339" t="s">
        <v>330</v>
      </c>
      <c r="C339" t="s">
        <v>346</v>
      </c>
      <c r="D339">
        <v>12</v>
      </c>
      <c r="E339">
        <v>170</v>
      </c>
      <c r="G339"/>
    </row>
    <row r="340" spans="1:8" x14ac:dyDescent="0.25">
      <c r="E340">
        <v>170</v>
      </c>
      <c r="G340"/>
    </row>
    <row r="341" spans="1:8" x14ac:dyDescent="0.25">
      <c r="A341" s="14" t="str">
        <f>HYPERLINK("https://www.youtube.com/watch?v=4qB8qVfkH4A","Video Lesson 12")</f>
        <v>Video Lesson 12</v>
      </c>
      <c r="B341" t="s">
        <v>330</v>
      </c>
      <c r="C341" t="s">
        <v>346</v>
      </c>
      <c r="D341">
        <v>13</v>
      </c>
      <c r="E341">
        <v>171</v>
      </c>
      <c r="G341"/>
    </row>
    <row r="342" spans="1:8" x14ac:dyDescent="0.25">
      <c r="E342">
        <v>171</v>
      </c>
      <c r="G342"/>
    </row>
    <row r="343" spans="1:8" x14ac:dyDescent="0.25">
      <c r="A343" s="14" t="str">
        <f>HYPERLINK("https://www.youtube.com/watch?v=4qB8qVfkH4A","Video Lesson 12")</f>
        <v>Video Lesson 12</v>
      </c>
      <c r="B343" t="s">
        <v>330</v>
      </c>
      <c r="C343" t="s">
        <v>346</v>
      </c>
      <c r="D343">
        <v>14</v>
      </c>
      <c r="E343">
        <v>172</v>
      </c>
      <c r="G343"/>
    </row>
    <row r="344" spans="1:8" x14ac:dyDescent="0.25">
      <c r="E344">
        <v>172</v>
      </c>
      <c r="G344"/>
    </row>
    <row r="345" spans="1:8" x14ac:dyDescent="0.25">
      <c r="A345" s="14" t="str">
        <f>HYPERLINK("https://www.youtube.com/watch?v=4qB8qVfkH4A","Video Lesson 12")</f>
        <v>Video Lesson 12</v>
      </c>
      <c r="B345" t="s">
        <v>330</v>
      </c>
      <c r="C345" t="s">
        <v>346</v>
      </c>
      <c r="D345">
        <v>15</v>
      </c>
      <c r="E345">
        <v>173</v>
      </c>
      <c r="G345"/>
    </row>
    <row r="346" spans="1:8" x14ac:dyDescent="0.25">
      <c r="E346">
        <v>173</v>
      </c>
      <c r="G346"/>
    </row>
    <row r="347" spans="1:8" x14ac:dyDescent="0.25">
      <c r="A347" s="14" t="str">
        <f>HYPERLINK("https://www.youtube.com/watch?v=4qB8qVfkH4A","Video Lesson 12")</f>
        <v>Video Lesson 12</v>
      </c>
      <c r="B347" t="s">
        <v>330</v>
      </c>
      <c r="C347" t="s">
        <v>346</v>
      </c>
      <c r="D347">
        <v>16</v>
      </c>
      <c r="E347">
        <v>174</v>
      </c>
      <c r="G347"/>
    </row>
    <row r="348" spans="1:8" x14ac:dyDescent="0.25">
      <c r="E348">
        <v>174</v>
      </c>
      <c r="G348"/>
    </row>
    <row r="349" spans="1:8" x14ac:dyDescent="0.25">
      <c r="A349" s="14" t="str">
        <f>HYPERLINK("https://www.youtube.com/watch?v=4qB8qVfkH4A","Video Lesson 12")</f>
        <v>Video Lesson 12</v>
      </c>
      <c r="B349" t="s">
        <v>330</v>
      </c>
      <c r="C349" t="s">
        <v>346</v>
      </c>
      <c r="D349">
        <v>17</v>
      </c>
      <c r="E349">
        <v>175</v>
      </c>
      <c r="G349"/>
      <c r="H349" s="12"/>
    </row>
    <row r="350" spans="1:8" x14ac:dyDescent="0.25">
      <c r="E350">
        <v>175</v>
      </c>
      <c r="G350"/>
      <c r="H350" s="12"/>
    </row>
    <row r="351" spans="1:8" x14ac:dyDescent="0.25">
      <c r="A351" s="14" t="str">
        <f>HYPERLINK("https://www.youtube.com/watch?v=4qB8qVfkH4A","Video Lesson 12")</f>
        <v>Video Lesson 12</v>
      </c>
      <c r="B351" t="s">
        <v>330</v>
      </c>
      <c r="C351" t="s">
        <v>346</v>
      </c>
      <c r="D351">
        <v>18</v>
      </c>
      <c r="E351">
        <v>176</v>
      </c>
      <c r="G351"/>
      <c r="H351" s="12"/>
    </row>
    <row r="352" spans="1:8" x14ac:dyDescent="0.25">
      <c r="E352">
        <v>176</v>
      </c>
      <c r="G352"/>
      <c r="H352" s="12"/>
    </row>
    <row r="353" spans="1:8" x14ac:dyDescent="0.25">
      <c r="A353" s="14" t="str">
        <f>HYPERLINK("https://www.youtube.com/watch?v=4qB8qVfkH4A","Video Lesson 12")</f>
        <v>Video Lesson 12</v>
      </c>
      <c r="B353" t="s">
        <v>330</v>
      </c>
      <c r="C353" t="s">
        <v>346</v>
      </c>
      <c r="D353">
        <v>19</v>
      </c>
      <c r="E353">
        <v>177</v>
      </c>
      <c r="G353"/>
      <c r="H353" s="12"/>
    </row>
    <row r="354" spans="1:8" x14ac:dyDescent="0.25">
      <c r="E354">
        <v>177</v>
      </c>
      <c r="G354"/>
      <c r="H354" s="12"/>
    </row>
    <row r="355" spans="1:8" x14ac:dyDescent="0.25">
      <c r="A355" s="14" t="str">
        <f>HYPERLINK("https://www.youtube.com/watch?v=M-mxlyVa6iM","Video Lesson 24")</f>
        <v>Video Lesson 24</v>
      </c>
      <c r="B355" t="s">
        <v>330</v>
      </c>
      <c r="C355" t="s">
        <v>347</v>
      </c>
      <c r="D355">
        <v>1</v>
      </c>
      <c r="E355">
        <v>178</v>
      </c>
      <c r="G355"/>
      <c r="H355" s="12"/>
    </row>
    <row r="356" spans="1:8" x14ac:dyDescent="0.25">
      <c r="E356">
        <v>178</v>
      </c>
      <c r="G356"/>
      <c r="H356" s="12"/>
    </row>
    <row r="357" spans="1:8" x14ac:dyDescent="0.25">
      <c r="A357" s="14" t="str">
        <f>HYPERLINK("https://www.youtube.com/watch?v=M-mxlyVa6iM","Video Lesson 24")</f>
        <v>Video Lesson 24</v>
      </c>
      <c r="B357" t="s">
        <v>330</v>
      </c>
      <c r="C357" t="s">
        <v>347</v>
      </c>
      <c r="D357">
        <v>2</v>
      </c>
      <c r="E357">
        <v>179</v>
      </c>
      <c r="G357"/>
      <c r="H357" s="12"/>
    </row>
    <row r="358" spans="1:8" x14ac:dyDescent="0.25">
      <c r="E358">
        <v>179</v>
      </c>
      <c r="G358"/>
      <c r="H358" s="12"/>
    </row>
    <row r="359" spans="1:8" x14ac:dyDescent="0.25">
      <c r="A359" s="14" t="str">
        <f>HYPERLINK("https://www.youtube.com/watch?v=M-mxlyVa6iM","Video Lesson 24")</f>
        <v>Video Lesson 24</v>
      </c>
      <c r="B359" t="s">
        <v>330</v>
      </c>
      <c r="C359" t="s">
        <v>347</v>
      </c>
      <c r="D359">
        <v>3</v>
      </c>
      <c r="E359">
        <v>180</v>
      </c>
      <c r="G359"/>
      <c r="H359" s="12"/>
    </row>
    <row r="360" spans="1:8" x14ac:dyDescent="0.25">
      <c r="E360">
        <v>180</v>
      </c>
      <c r="G360"/>
      <c r="H360" s="12"/>
    </row>
    <row r="361" spans="1:8" x14ac:dyDescent="0.25">
      <c r="A361" s="14" t="str">
        <f>HYPERLINK("https://www.youtube.com/watch?v=M-mxlyVa6iM","Video Lesson 24")</f>
        <v>Video Lesson 24</v>
      </c>
      <c r="B361" t="s">
        <v>330</v>
      </c>
      <c r="C361" t="s">
        <v>347</v>
      </c>
      <c r="D361">
        <v>4</v>
      </c>
      <c r="E361">
        <v>181</v>
      </c>
      <c r="G361"/>
      <c r="H361" s="12"/>
    </row>
    <row r="362" spans="1:8" x14ac:dyDescent="0.25">
      <c r="E362">
        <v>181</v>
      </c>
      <c r="G362"/>
    </row>
    <row r="363" spans="1:8" x14ac:dyDescent="0.25">
      <c r="A363" s="14" t="str">
        <f>HYPERLINK("https://www.youtube.com/watch?v=M-mxlyVa6iM","Video Lesson 24")</f>
        <v>Video Lesson 24</v>
      </c>
      <c r="B363" t="s">
        <v>330</v>
      </c>
      <c r="C363" t="s">
        <v>347</v>
      </c>
      <c r="D363">
        <v>5</v>
      </c>
      <c r="E363">
        <v>182</v>
      </c>
      <c r="G363"/>
    </row>
    <row r="364" spans="1:8" x14ac:dyDescent="0.25">
      <c r="E364">
        <v>182</v>
      </c>
      <c r="G364"/>
    </row>
    <row r="365" spans="1:8" x14ac:dyDescent="0.25">
      <c r="A365" s="14" t="str">
        <f>HYPERLINK("https://www.youtube.com/watch?v=M-mxlyVa6iM","Video Lesson 24")</f>
        <v>Video Lesson 24</v>
      </c>
      <c r="B365" t="s">
        <v>330</v>
      </c>
      <c r="C365" t="s">
        <v>347</v>
      </c>
      <c r="D365">
        <v>6</v>
      </c>
      <c r="E365">
        <v>183</v>
      </c>
      <c r="G365"/>
    </row>
    <row r="366" spans="1:8" x14ac:dyDescent="0.25">
      <c r="E366">
        <v>183</v>
      </c>
      <c r="G366"/>
    </row>
    <row r="367" spans="1:8" x14ac:dyDescent="0.25">
      <c r="A367" s="14" t="str">
        <f>HYPERLINK("https://www.youtube.com/watch?v=M-mxlyVa6iM","Video Lesson 24")</f>
        <v>Video Lesson 24</v>
      </c>
      <c r="B367" t="s">
        <v>330</v>
      </c>
      <c r="C367" t="s">
        <v>347</v>
      </c>
      <c r="D367">
        <v>7</v>
      </c>
      <c r="E367">
        <v>184</v>
      </c>
      <c r="G367"/>
    </row>
    <row r="368" spans="1:8" x14ac:dyDescent="0.25">
      <c r="E368">
        <v>184</v>
      </c>
      <c r="G368"/>
    </row>
    <row r="369" spans="1:7" x14ac:dyDescent="0.25">
      <c r="A369" s="14" t="str">
        <f>HYPERLINK("https://www.youtube.com/watch?v=M-mxlyVa6iM","Video Lesson 24")</f>
        <v>Video Lesson 24</v>
      </c>
      <c r="B369" t="s">
        <v>330</v>
      </c>
      <c r="C369" t="s">
        <v>347</v>
      </c>
      <c r="D369">
        <v>8</v>
      </c>
      <c r="E369">
        <v>185</v>
      </c>
      <c r="G369"/>
    </row>
    <row r="370" spans="1:7" x14ac:dyDescent="0.25">
      <c r="E370">
        <v>185</v>
      </c>
      <c r="G370"/>
    </row>
    <row r="371" spans="1:7" x14ac:dyDescent="0.25">
      <c r="A371" s="14" t="str">
        <f>HYPERLINK("https://www.youtube.com/watch?v=M-mxlyVa6iM","Video Lesson 24")</f>
        <v>Video Lesson 24</v>
      </c>
      <c r="B371" t="s">
        <v>330</v>
      </c>
      <c r="C371" t="s">
        <v>347</v>
      </c>
      <c r="D371">
        <v>9</v>
      </c>
      <c r="E371">
        <v>186</v>
      </c>
      <c r="G371"/>
    </row>
    <row r="372" spans="1:7" x14ac:dyDescent="0.25">
      <c r="E372">
        <v>186</v>
      </c>
      <c r="G372"/>
    </row>
    <row r="373" spans="1:7" x14ac:dyDescent="0.25">
      <c r="A373" s="14" t="str">
        <f>HYPERLINK("https://www.youtube.com/watch?v=M-mxlyVa6iM","Video Lesson 24")</f>
        <v>Video Lesson 24</v>
      </c>
      <c r="B373" t="s">
        <v>330</v>
      </c>
      <c r="C373" t="s">
        <v>347</v>
      </c>
      <c r="D373">
        <v>10</v>
      </c>
      <c r="E373">
        <v>187</v>
      </c>
      <c r="G373"/>
    </row>
    <row r="374" spans="1:7" x14ac:dyDescent="0.25">
      <c r="E374">
        <v>187</v>
      </c>
      <c r="G374"/>
    </row>
    <row r="375" spans="1:7" x14ac:dyDescent="0.25">
      <c r="A375" s="14" t="str">
        <f>HYPERLINK("https://www.youtube.com/watch?v=M-mxlyVa6iM","Video Lesson 24")</f>
        <v>Video Lesson 24</v>
      </c>
      <c r="B375" t="s">
        <v>330</v>
      </c>
      <c r="C375" t="s">
        <v>347</v>
      </c>
      <c r="D375">
        <v>11</v>
      </c>
      <c r="E375">
        <v>188</v>
      </c>
      <c r="G375"/>
    </row>
    <row r="376" spans="1:7" x14ac:dyDescent="0.25">
      <c r="E376">
        <v>188</v>
      </c>
      <c r="G376"/>
    </row>
    <row r="377" spans="1:7" x14ac:dyDescent="0.25">
      <c r="A377" s="14" t="str">
        <f>HYPERLINK("https://www.youtube.com/watch?v=M-mxlyVa6iM","Video Lesson 24")</f>
        <v>Video Lesson 24</v>
      </c>
      <c r="B377" t="s">
        <v>330</v>
      </c>
      <c r="C377" t="s">
        <v>347</v>
      </c>
      <c r="D377">
        <v>12</v>
      </c>
      <c r="E377">
        <v>189</v>
      </c>
      <c r="G377"/>
    </row>
    <row r="378" spans="1:7" x14ac:dyDescent="0.25">
      <c r="E378">
        <v>189</v>
      </c>
      <c r="G378"/>
    </row>
    <row r="379" spans="1:7" x14ac:dyDescent="0.25">
      <c r="A379" s="14" t="str">
        <f>HYPERLINK("https://www.youtube.com/watch?v=M-mxlyVa6iM","Video Lesson 24")</f>
        <v>Video Lesson 24</v>
      </c>
      <c r="B379" t="s">
        <v>330</v>
      </c>
      <c r="C379" t="s">
        <v>347</v>
      </c>
      <c r="D379">
        <v>13</v>
      </c>
      <c r="E379">
        <v>190</v>
      </c>
      <c r="G379"/>
    </row>
    <row r="380" spans="1:7" x14ac:dyDescent="0.25">
      <c r="E380">
        <v>190</v>
      </c>
      <c r="G380"/>
    </row>
    <row r="381" spans="1:7" x14ac:dyDescent="0.25">
      <c r="A381" s="14" t="str">
        <f>HYPERLINK("https://www.youtube.com/watch?v=M-mxlyVa6iM","Video Lesson 24")</f>
        <v>Video Lesson 24</v>
      </c>
      <c r="B381" t="s">
        <v>330</v>
      </c>
      <c r="C381" t="s">
        <v>347</v>
      </c>
      <c r="D381">
        <v>14</v>
      </c>
      <c r="E381">
        <v>191</v>
      </c>
      <c r="G381"/>
    </row>
    <row r="382" spans="1:7" x14ac:dyDescent="0.25">
      <c r="E382">
        <v>191</v>
      </c>
      <c r="G382"/>
    </row>
    <row r="383" spans="1:7" x14ac:dyDescent="0.25">
      <c r="A383" s="14" t="str">
        <f>HYPERLINK("https://www.youtube.com/watch?v=QAEGmTKhMo4","Video Lesson 'Valentine'")</f>
        <v>Video Lesson 'Valentine'</v>
      </c>
      <c r="B383" t="s">
        <v>330</v>
      </c>
      <c r="C383" t="s">
        <v>348</v>
      </c>
      <c r="D383">
        <v>1</v>
      </c>
      <c r="E383">
        <v>192</v>
      </c>
      <c r="G383"/>
    </row>
    <row r="384" spans="1:7" x14ac:dyDescent="0.25">
      <c r="E384">
        <v>192</v>
      </c>
      <c r="G384"/>
    </row>
    <row r="385" spans="1:7" x14ac:dyDescent="0.25">
      <c r="A385" s="14" t="str">
        <f>HYPERLINK("https://www.youtube.com/watch?v=QAEGmTKhMo4","Video Lesson 'Valentine'")</f>
        <v>Video Lesson 'Valentine'</v>
      </c>
      <c r="B385" t="s">
        <v>330</v>
      </c>
      <c r="C385" t="s">
        <v>348</v>
      </c>
      <c r="D385">
        <v>2</v>
      </c>
      <c r="E385">
        <v>193</v>
      </c>
      <c r="G385"/>
    </row>
    <row r="386" spans="1:7" x14ac:dyDescent="0.25">
      <c r="E386">
        <v>193</v>
      </c>
      <c r="G386"/>
    </row>
    <row r="387" spans="1:7" x14ac:dyDescent="0.25">
      <c r="A387" s="14" t="str">
        <f>HYPERLINK("https://www.youtube.com/watch?v=QAEGmTKhMo4","Video Lesson 'Valentine'")</f>
        <v>Video Lesson 'Valentine'</v>
      </c>
      <c r="B387" t="s">
        <v>330</v>
      </c>
      <c r="C387" t="s">
        <v>348</v>
      </c>
      <c r="D387">
        <v>3</v>
      </c>
      <c r="E387">
        <v>194</v>
      </c>
      <c r="G387"/>
    </row>
    <row r="388" spans="1:7" x14ac:dyDescent="0.25">
      <c r="E388">
        <v>194</v>
      </c>
      <c r="G388"/>
    </row>
    <row r="389" spans="1:7" x14ac:dyDescent="0.25">
      <c r="A389" s="14" t="str">
        <f>HYPERLINK("https://www.youtube.com/watch?v=QAEGmTKhMo4","Video Lesson 'Valentine'")</f>
        <v>Video Lesson 'Valentine'</v>
      </c>
      <c r="B389" t="s">
        <v>330</v>
      </c>
      <c r="C389" t="s">
        <v>348</v>
      </c>
      <c r="D389">
        <v>4</v>
      </c>
      <c r="E389">
        <v>195</v>
      </c>
      <c r="G389"/>
    </row>
    <row r="390" spans="1:7" x14ac:dyDescent="0.25">
      <c r="E390">
        <v>195</v>
      </c>
      <c r="G390"/>
    </row>
    <row r="391" spans="1:7" x14ac:dyDescent="0.25">
      <c r="A391" s="14" t="str">
        <f>HYPERLINK("https://www.youtube.com/watch?v=QAEGmTKhMo4","Video Lesson 'Valentine'")</f>
        <v>Video Lesson 'Valentine'</v>
      </c>
      <c r="B391" t="s">
        <v>330</v>
      </c>
      <c r="C391" t="s">
        <v>348</v>
      </c>
      <c r="D391">
        <v>5</v>
      </c>
      <c r="E391">
        <v>196</v>
      </c>
      <c r="G391"/>
    </row>
    <row r="392" spans="1:7" x14ac:dyDescent="0.25">
      <c r="E392">
        <v>196</v>
      </c>
      <c r="G392"/>
    </row>
    <row r="393" spans="1:7" x14ac:dyDescent="0.25">
      <c r="A393" s="14" t="str">
        <f>HYPERLINK("https://www.youtube.com/watch?v=Sjl8iPAcNo0","Video Lesson 20")</f>
        <v>Video Lesson 20</v>
      </c>
      <c r="B393" t="s">
        <v>330</v>
      </c>
      <c r="C393" t="s">
        <v>349</v>
      </c>
      <c r="D393">
        <v>1</v>
      </c>
      <c r="E393">
        <v>197</v>
      </c>
      <c r="G393"/>
    </row>
    <row r="394" spans="1:7" x14ac:dyDescent="0.25">
      <c r="E394">
        <v>197</v>
      </c>
      <c r="G394"/>
    </row>
    <row r="395" spans="1:7" x14ac:dyDescent="0.25">
      <c r="A395" s="14" t="str">
        <f>HYPERLINK("https://www.youtube.com/watch?v=Sjl8iPAcNo0","Video Lesson 20")</f>
        <v>Video Lesson 20</v>
      </c>
      <c r="B395" t="s">
        <v>330</v>
      </c>
      <c r="C395" t="s">
        <v>349</v>
      </c>
      <c r="D395">
        <v>2</v>
      </c>
      <c r="E395">
        <v>198</v>
      </c>
      <c r="G395"/>
    </row>
    <row r="396" spans="1:7" x14ac:dyDescent="0.25">
      <c r="E396">
        <v>198</v>
      </c>
      <c r="G396"/>
    </row>
    <row r="397" spans="1:7" x14ac:dyDescent="0.25">
      <c r="A397" s="14" t="str">
        <f>HYPERLINK("https://www.youtube.com/watch?v=Sjl8iPAcNo0","Video Lesson 20")</f>
        <v>Video Lesson 20</v>
      </c>
      <c r="B397" t="s">
        <v>330</v>
      </c>
      <c r="C397" t="s">
        <v>349</v>
      </c>
      <c r="D397">
        <v>3</v>
      </c>
      <c r="E397">
        <v>199</v>
      </c>
      <c r="G397"/>
    </row>
    <row r="398" spans="1:7" x14ac:dyDescent="0.25">
      <c r="E398">
        <v>199</v>
      </c>
      <c r="G398"/>
    </row>
    <row r="399" spans="1:7" x14ac:dyDescent="0.25">
      <c r="A399" s="14" t="str">
        <f>HYPERLINK("https://www.youtube.com/watch?v=Sjl8iPAcNo0","Video Lesson 20")</f>
        <v>Video Lesson 20</v>
      </c>
      <c r="B399" t="s">
        <v>330</v>
      </c>
      <c r="C399" t="s">
        <v>349</v>
      </c>
      <c r="D399">
        <v>4</v>
      </c>
      <c r="E399">
        <v>200</v>
      </c>
      <c r="G399"/>
    </row>
    <row r="400" spans="1:7" x14ac:dyDescent="0.25">
      <c r="E400">
        <v>200</v>
      </c>
      <c r="G400"/>
    </row>
    <row r="401" spans="1:7" x14ac:dyDescent="0.25">
      <c r="A401" s="14" t="str">
        <f>HYPERLINK("https://www.youtube.com/watch?v=Sjl8iPAcNo0","Video Lesson 20")</f>
        <v>Video Lesson 20</v>
      </c>
      <c r="B401" t="s">
        <v>330</v>
      </c>
      <c r="C401" t="s">
        <v>349</v>
      </c>
      <c r="D401">
        <v>5</v>
      </c>
      <c r="E401">
        <v>201</v>
      </c>
      <c r="G401"/>
    </row>
    <row r="402" spans="1:7" x14ac:dyDescent="0.25">
      <c r="E402">
        <v>201</v>
      </c>
      <c r="G402"/>
    </row>
    <row r="403" spans="1:7" x14ac:dyDescent="0.25">
      <c r="A403" s="14" t="str">
        <f>HYPERLINK("https://www.youtube.com/watch?v=Sjl8iPAcNo0","Video Lesson 20")</f>
        <v>Video Lesson 20</v>
      </c>
      <c r="B403" t="s">
        <v>330</v>
      </c>
      <c r="C403" t="s">
        <v>349</v>
      </c>
      <c r="D403">
        <v>6</v>
      </c>
      <c r="E403">
        <v>202</v>
      </c>
      <c r="G403"/>
    </row>
    <row r="404" spans="1:7" x14ac:dyDescent="0.25">
      <c r="E404">
        <v>202</v>
      </c>
      <c r="G404"/>
    </row>
    <row r="405" spans="1:7" x14ac:dyDescent="0.25">
      <c r="A405" s="14" t="str">
        <f>HYPERLINK("https://www.youtube.com/watch?v=Sjl8iPAcNo0","Video Lesson 20")</f>
        <v>Video Lesson 20</v>
      </c>
      <c r="B405" t="s">
        <v>330</v>
      </c>
      <c r="C405" t="s">
        <v>349</v>
      </c>
      <c r="D405">
        <v>7</v>
      </c>
      <c r="E405">
        <v>203</v>
      </c>
      <c r="G405"/>
    </row>
    <row r="406" spans="1:7" x14ac:dyDescent="0.25">
      <c r="E406">
        <v>203</v>
      </c>
      <c r="G406"/>
    </row>
    <row r="407" spans="1:7" x14ac:dyDescent="0.25">
      <c r="A407" s="14" t="str">
        <f>HYPERLINK("https://www.youtube.com/watch?v=Sjl8iPAcNo0","Video Lesson 20")</f>
        <v>Video Lesson 20</v>
      </c>
      <c r="B407" t="s">
        <v>330</v>
      </c>
      <c r="C407" t="s">
        <v>349</v>
      </c>
      <c r="D407">
        <v>8</v>
      </c>
      <c r="E407">
        <v>204</v>
      </c>
      <c r="G407"/>
    </row>
    <row r="408" spans="1:7" x14ac:dyDescent="0.25">
      <c r="E408">
        <v>204</v>
      </c>
      <c r="G408"/>
    </row>
    <row r="409" spans="1:7" x14ac:dyDescent="0.25">
      <c r="A409" s="14" t="str">
        <f>HYPERLINK("https://www.youtube.com/watch?v=Sjl8iPAcNo0","Video Lesson 20")</f>
        <v>Video Lesson 20</v>
      </c>
      <c r="B409" t="s">
        <v>330</v>
      </c>
      <c r="C409" t="s">
        <v>349</v>
      </c>
      <c r="D409">
        <v>9</v>
      </c>
      <c r="E409">
        <v>205</v>
      </c>
      <c r="G409"/>
    </row>
    <row r="410" spans="1:7" x14ac:dyDescent="0.25">
      <c r="E410">
        <v>205</v>
      </c>
      <c r="G410"/>
    </row>
    <row r="411" spans="1:7" x14ac:dyDescent="0.25">
      <c r="A411" s="14" t="str">
        <f>HYPERLINK("https://www.youtube.com/watch?v=Sjl8iPAcNo0","Video Lesson 20")</f>
        <v>Video Lesson 20</v>
      </c>
      <c r="B411" t="s">
        <v>330</v>
      </c>
      <c r="C411" t="s">
        <v>349</v>
      </c>
      <c r="D411">
        <v>10</v>
      </c>
      <c r="E411">
        <v>206</v>
      </c>
      <c r="G411"/>
    </row>
    <row r="412" spans="1:7" x14ac:dyDescent="0.25">
      <c r="E412">
        <v>206</v>
      </c>
      <c r="G412"/>
    </row>
    <row r="413" spans="1:7" x14ac:dyDescent="0.25">
      <c r="A413" s="14" t="str">
        <f>HYPERLINK("https://www.youtube.com/watch?v=Sjl8iPAcNo0","Video Lesson 20")</f>
        <v>Video Lesson 20</v>
      </c>
      <c r="B413" t="s">
        <v>330</v>
      </c>
      <c r="C413" t="s">
        <v>349</v>
      </c>
      <c r="D413">
        <v>11</v>
      </c>
      <c r="E413">
        <v>207</v>
      </c>
      <c r="G413"/>
    </row>
    <row r="414" spans="1:7" x14ac:dyDescent="0.25">
      <c r="E414">
        <v>207</v>
      </c>
      <c r="G414"/>
    </row>
    <row r="415" spans="1:7" x14ac:dyDescent="0.25">
      <c r="A415" s="14" t="str">
        <f>HYPERLINK("https://www.youtube.com/watch?v=Sjl8iPAcNo0","Video Lesson 20")</f>
        <v>Video Lesson 20</v>
      </c>
      <c r="B415" t="s">
        <v>330</v>
      </c>
      <c r="C415" t="s">
        <v>349</v>
      </c>
      <c r="D415">
        <v>12</v>
      </c>
      <c r="E415">
        <v>208</v>
      </c>
      <c r="G415"/>
    </row>
    <row r="416" spans="1:7" x14ac:dyDescent="0.25">
      <c r="E416">
        <v>208</v>
      </c>
      <c r="G416"/>
    </row>
    <row r="417" spans="1:7" x14ac:dyDescent="0.25">
      <c r="A417" s="14" t="str">
        <f>HYPERLINK("https://www.youtube.com/watch?v=Sjl8iPAcNo0","Video Lesson 20")</f>
        <v>Video Lesson 20</v>
      </c>
      <c r="B417" t="s">
        <v>330</v>
      </c>
      <c r="C417" t="s">
        <v>349</v>
      </c>
      <c r="D417">
        <v>13</v>
      </c>
      <c r="E417">
        <v>209</v>
      </c>
      <c r="G417"/>
    </row>
    <row r="418" spans="1:7" x14ac:dyDescent="0.25">
      <c r="E418">
        <v>209</v>
      </c>
      <c r="G418"/>
    </row>
    <row r="419" spans="1:7" x14ac:dyDescent="0.25">
      <c r="A419" s="14" t="str">
        <f>HYPERLINK("https://www.youtube.com/watch?v=Sjl8iPAcNo0","Video Lesson 20")</f>
        <v>Video Lesson 20</v>
      </c>
      <c r="B419" t="s">
        <v>330</v>
      </c>
      <c r="C419" t="s">
        <v>349</v>
      </c>
      <c r="D419">
        <v>14</v>
      </c>
      <c r="E419">
        <v>210</v>
      </c>
      <c r="G419"/>
    </row>
    <row r="420" spans="1:7" x14ac:dyDescent="0.25">
      <c r="E420">
        <v>210</v>
      </c>
      <c r="G420"/>
    </row>
    <row r="421" spans="1:7" x14ac:dyDescent="0.25">
      <c r="A421" s="14" t="str">
        <f>HYPERLINK("https://www.youtube.com/watch?v=Sjl8iPAcNo0","Video Lesson 20")</f>
        <v>Video Lesson 20</v>
      </c>
      <c r="B421" t="s">
        <v>330</v>
      </c>
      <c r="C421" t="s">
        <v>349</v>
      </c>
      <c r="D421">
        <v>15</v>
      </c>
      <c r="E421">
        <v>211</v>
      </c>
      <c r="G421"/>
    </row>
    <row r="422" spans="1:7" x14ac:dyDescent="0.25">
      <c r="E422">
        <v>211</v>
      </c>
      <c r="G422"/>
    </row>
    <row r="423" spans="1:7" x14ac:dyDescent="0.25">
      <c r="A423" s="14" t="str">
        <f>HYPERLINK("https://www.youtube.com/watch?v=Sjl8iPAcNo0","Video Lesson 20")</f>
        <v>Video Lesson 20</v>
      </c>
      <c r="B423" t="s">
        <v>330</v>
      </c>
      <c r="C423" t="s">
        <v>349</v>
      </c>
      <c r="D423">
        <v>16</v>
      </c>
      <c r="E423">
        <v>212</v>
      </c>
      <c r="G423"/>
    </row>
    <row r="424" spans="1:7" x14ac:dyDescent="0.25">
      <c r="E424">
        <v>212</v>
      </c>
      <c r="G424"/>
    </row>
    <row r="425" spans="1:7" x14ac:dyDescent="0.25">
      <c r="A425" s="14" t="str">
        <f>HYPERLINK("https://www.youtube.com/watch?v=Sjl8iPAcNo0","Video Lesson 20")</f>
        <v>Video Lesson 20</v>
      </c>
      <c r="B425" t="s">
        <v>330</v>
      </c>
      <c r="C425" t="s">
        <v>349</v>
      </c>
      <c r="D425">
        <v>17</v>
      </c>
      <c r="E425">
        <v>213</v>
      </c>
      <c r="G425"/>
    </row>
    <row r="426" spans="1:7" x14ac:dyDescent="0.25">
      <c r="E426">
        <v>213</v>
      </c>
      <c r="G426"/>
    </row>
    <row r="427" spans="1:7" x14ac:dyDescent="0.25">
      <c r="A427" s="14" t="str">
        <f>HYPERLINK("https://www.youtube.com/watch?v=Sjl8iPAcNo0","Video Lesson 20")</f>
        <v>Video Lesson 20</v>
      </c>
      <c r="B427" t="s">
        <v>330</v>
      </c>
      <c r="C427" t="s">
        <v>349</v>
      </c>
      <c r="D427">
        <v>18</v>
      </c>
      <c r="E427">
        <v>214</v>
      </c>
      <c r="G427"/>
    </row>
    <row r="428" spans="1:7" x14ac:dyDescent="0.25">
      <c r="E428">
        <v>214</v>
      </c>
      <c r="G428"/>
    </row>
    <row r="429" spans="1:7" x14ac:dyDescent="0.25">
      <c r="A429" s="14" t="str">
        <f>HYPERLINK("https://www.youtube.com/watch?v=Sjl8iPAcNo0","Video Lesson 20")</f>
        <v>Video Lesson 20</v>
      </c>
      <c r="B429" t="s">
        <v>330</v>
      </c>
      <c r="C429" t="s">
        <v>349</v>
      </c>
      <c r="D429">
        <v>19</v>
      </c>
      <c r="E429">
        <v>215</v>
      </c>
      <c r="G429"/>
    </row>
    <row r="430" spans="1:7" x14ac:dyDescent="0.25">
      <c r="E430">
        <v>215</v>
      </c>
      <c r="G430"/>
    </row>
    <row r="431" spans="1:7" x14ac:dyDescent="0.25">
      <c r="A431" s="14" t="str">
        <f>HYPERLINK("https://www.youtube.com/watch?v=Sjl8iPAcNo0","Video Lesson 20")</f>
        <v>Video Lesson 20</v>
      </c>
      <c r="B431" t="s">
        <v>330</v>
      </c>
      <c r="C431" t="s">
        <v>349</v>
      </c>
      <c r="D431">
        <v>20</v>
      </c>
      <c r="E431">
        <v>216</v>
      </c>
      <c r="G431"/>
    </row>
    <row r="432" spans="1:7" x14ac:dyDescent="0.25">
      <c r="E432">
        <v>216</v>
      </c>
      <c r="G432"/>
    </row>
    <row r="433" spans="1:7" x14ac:dyDescent="0.25">
      <c r="A433" s="14" t="str">
        <f>HYPERLINK("https://www.youtube.com/watch?v=Sjl8iPAcNo0","Video Lesson 20")</f>
        <v>Video Lesson 20</v>
      </c>
      <c r="B433" t="s">
        <v>330</v>
      </c>
      <c r="C433" t="s">
        <v>349</v>
      </c>
      <c r="D433">
        <v>21</v>
      </c>
      <c r="E433">
        <v>217</v>
      </c>
      <c r="G433"/>
    </row>
    <row r="434" spans="1:7" x14ac:dyDescent="0.25">
      <c r="E434">
        <v>217</v>
      </c>
      <c r="G434"/>
    </row>
    <row r="435" spans="1:7" x14ac:dyDescent="0.25">
      <c r="A435" s="14" t="str">
        <f>HYPERLINK("https://www.youtube.com/watch?v=Y56hvBhqBaQ","Video Lesson 18")</f>
        <v>Video Lesson 18</v>
      </c>
      <c r="B435" t="s">
        <v>331</v>
      </c>
      <c r="C435" t="s">
        <v>350</v>
      </c>
      <c r="D435">
        <v>1</v>
      </c>
      <c r="E435">
        <v>218</v>
      </c>
      <c r="G435"/>
    </row>
    <row r="436" spans="1:7" x14ac:dyDescent="0.25">
      <c r="E436">
        <v>218</v>
      </c>
      <c r="G436"/>
    </row>
    <row r="437" spans="1:7" x14ac:dyDescent="0.25">
      <c r="A437" s="14" t="str">
        <f>HYPERLINK("https://www.youtube.com/watch?v=Y56hvBhqBaQ","Video Lesson 18")</f>
        <v>Video Lesson 18</v>
      </c>
      <c r="B437" t="s">
        <v>331</v>
      </c>
      <c r="C437" t="s">
        <v>350</v>
      </c>
      <c r="D437">
        <v>2</v>
      </c>
      <c r="E437">
        <v>219</v>
      </c>
      <c r="G437"/>
    </row>
    <row r="438" spans="1:7" x14ac:dyDescent="0.25">
      <c r="E438">
        <v>219</v>
      </c>
      <c r="G438"/>
    </row>
    <row r="439" spans="1:7" x14ac:dyDescent="0.25">
      <c r="A439" s="14" t="str">
        <f>HYPERLINK("https://www.youtube.com/watch?v=Y56hvBhqBaQ","Video Lesson 18")</f>
        <v>Video Lesson 18</v>
      </c>
      <c r="B439" t="s">
        <v>331</v>
      </c>
      <c r="C439" t="s">
        <v>350</v>
      </c>
      <c r="D439">
        <v>3</v>
      </c>
      <c r="E439">
        <v>220</v>
      </c>
      <c r="G439"/>
    </row>
    <row r="440" spans="1:7" x14ac:dyDescent="0.25">
      <c r="E440">
        <v>220</v>
      </c>
      <c r="G440"/>
    </row>
    <row r="441" spans="1:7" x14ac:dyDescent="0.25">
      <c r="A441" s="14" t="str">
        <f>HYPERLINK("https://www.youtube.com/watch?v=Y56hvBhqBaQ","Video Lesson 18")</f>
        <v>Video Lesson 18</v>
      </c>
      <c r="B441" t="s">
        <v>331</v>
      </c>
      <c r="C441" t="s">
        <v>350</v>
      </c>
      <c r="D441">
        <v>4</v>
      </c>
      <c r="E441">
        <v>221</v>
      </c>
      <c r="G441"/>
    </row>
    <row r="442" spans="1:7" x14ac:dyDescent="0.25">
      <c r="E442">
        <v>221</v>
      </c>
      <c r="G442"/>
    </row>
    <row r="443" spans="1:7" x14ac:dyDescent="0.25">
      <c r="A443" s="14" t="str">
        <f>HYPERLINK("https://www.youtube.com/watch?v=Y56hvBhqBaQ","Video Lesson 18")</f>
        <v>Video Lesson 18</v>
      </c>
      <c r="B443" t="s">
        <v>331</v>
      </c>
      <c r="C443" t="s">
        <v>350</v>
      </c>
      <c r="D443">
        <v>5</v>
      </c>
      <c r="E443">
        <v>222</v>
      </c>
      <c r="G443"/>
    </row>
    <row r="444" spans="1:7" x14ac:dyDescent="0.25">
      <c r="E444">
        <v>222</v>
      </c>
      <c r="G444"/>
    </row>
    <row r="445" spans="1:7" x14ac:dyDescent="0.25">
      <c r="A445" s="14" t="str">
        <f>HYPERLINK("https://www.youtube.com/watch?v=Y56hvBhqBaQ","Video Lesson 18")</f>
        <v>Video Lesson 18</v>
      </c>
      <c r="B445" t="s">
        <v>331</v>
      </c>
      <c r="C445" t="s">
        <v>350</v>
      </c>
      <c r="D445">
        <v>6</v>
      </c>
      <c r="E445">
        <v>223</v>
      </c>
      <c r="G445"/>
    </row>
    <row r="446" spans="1:7" x14ac:dyDescent="0.25">
      <c r="E446">
        <v>223</v>
      </c>
      <c r="G446"/>
    </row>
    <row r="447" spans="1:7" x14ac:dyDescent="0.25">
      <c r="A447" s="14" t="str">
        <f>HYPERLINK("https://www.youtube.com/watch?v=Y56hvBhqBaQ","Video Lesson 18")</f>
        <v>Video Lesson 18</v>
      </c>
      <c r="B447" t="s">
        <v>331</v>
      </c>
      <c r="C447" t="s">
        <v>350</v>
      </c>
      <c r="D447">
        <v>7</v>
      </c>
      <c r="E447">
        <v>224</v>
      </c>
      <c r="G447"/>
    </row>
    <row r="448" spans="1:7" x14ac:dyDescent="0.25">
      <c r="E448">
        <v>224</v>
      </c>
      <c r="G448"/>
    </row>
    <row r="449" spans="1:7" x14ac:dyDescent="0.25">
      <c r="A449" s="14" t="str">
        <f>HYPERLINK("https://www.youtube.com/watch?v=Y56hvBhqBaQ","Video Lesson 18")</f>
        <v>Video Lesson 18</v>
      </c>
      <c r="B449" t="s">
        <v>331</v>
      </c>
      <c r="C449" t="s">
        <v>350</v>
      </c>
      <c r="D449">
        <v>8</v>
      </c>
      <c r="E449">
        <v>225</v>
      </c>
      <c r="G449"/>
    </row>
    <row r="450" spans="1:7" x14ac:dyDescent="0.25">
      <c r="E450">
        <v>225</v>
      </c>
      <c r="G450"/>
    </row>
    <row r="451" spans="1:7" x14ac:dyDescent="0.25">
      <c r="A451" s="14" t="str">
        <f>HYPERLINK("https://www.youtube.com/watch?v=Y56hvBhqBaQ","Video Lesson 18")</f>
        <v>Video Lesson 18</v>
      </c>
      <c r="B451" t="s">
        <v>331</v>
      </c>
      <c r="C451" t="s">
        <v>350</v>
      </c>
      <c r="D451">
        <v>9</v>
      </c>
      <c r="E451">
        <v>226</v>
      </c>
      <c r="G451"/>
    </row>
    <row r="452" spans="1:7" x14ac:dyDescent="0.25">
      <c r="E452">
        <v>226</v>
      </c>
      <c r="G452"/>
    </row>
    <row r="453" spans="1:7" x14ac:dyDescent="0.25">
      <c r="A453" s="14" t="str">
        <f>HYPERLINK("https://www.youtube.com/watch?v=Y56hvBhqBaQ","Video Lesson 18")</f>
        <v>Video Lesson 18</v>
      </c>
      <c r="B453" t="s">
        <v>331</v>
      </c>
      <c r="C453" t="s">
        <v>350</v>
      </c>
      <c r="D453">
        <v>10</v>
      </c>
      <c r="E453">
        <v>227</v>
      </c>
      <c r="G453"/>
    </row>
    <row r="454" spans="1:7" x14ac:dyDescent="0.25">
      <c r="E454">
        <v>227</v>
      </c>
      <c r="G454"/>
    </row>
    <row r="455" spans="1:7" x14ac:dyDescent="0.25">
      <c r="A455" s="14" t="str">
        <f>HYPERLINK("https://www.youtube.com/watch?v=Y56hvBhqBaQ","Video Lesson 18")</f>
        <v>Video Lesson 18</v>
      </c>
      <c r="B455" t="s">
        <v>331</v>
      </c>
      <c r="C455" t="s">
        <v>350</v>
      </c>
      <c r="D455">
        <v>11</v>
      </c>
      <c r="E455">
        <v>228</v>
      </c>
      <c r="G455"/>
    </row>
    <row r="456" spans="1:7" x14ac:dyDescent="0.25">
      <c r="E456">
        <v>228</v>
      </c>
      <c r="G456"/>
    </row>
    <row r="457" spans="1:7" x14ac:dyDescent="0.25">
      <c r="A457" s="14" t="str">
        <f>HYPERLINK("https://www.youtube.com/watch?v=Y56hvBhqBaQ","Video Lesson 18")</f>
        <v>Video Lesson 18</v>
      </c>
      <c r="B457" t="s">
        <v>331</v>
      </c>
      <c r="C457" t="s">
        <v>350</v>
      </c>
      <c r="D457">
        <v>12</v>
      </c>
      <c r="E457">
        <v>229</v>
      </c>
      <c r="G457"/>
    </row>
    <row r="458" spans="1:7" x14ac:dyDescent="0.25">
      <c r="E458">
        <v>229</v>
      </c>
      <c r="G458"/>
    </row>
    <row r="459" spans="1:7" x14ac:dyDescent="0.25">
      <c r="A459" s="14" t="str">
        <f>HYPERLINK("https://www.youtube.com/watch?v=Y56hvBhqBaQ","Video Lesson 18")</f>
        <v>Video Lesson 18</v>
      </c>
      <c r="B459" t="s">
        <v>331</v>
      </c>
      <c r="C459" t="s">
        <v>350</v>
      </c>
      <c r="D459">
        <v>13</v>
      </c>
      <c r="E459">
        <v>230</v>
      </c>
      <c r="G459"/>
    </row>
    <row r="460" spans="1:7" x14ac:dyDescent="0.25">
      <c r="E460">
        <v>230</v>
      </c>
      <c r="G460"/>
    </row>
    <row r="461" spans="1:7" x14ac:dyDescent="0.25">
      <c r="A461" s="14" t="str">
        <f>HYPERLINK("https://www.youtube.com/watch?v=Y56hvBhqBaQ","Video Lesson 18")</f>
        <v>Video Lesson 18</v>
      </c>
      <c r="B461" t="s">
        <v>331</v>
      </c>
      <c r="C461" t="s">
        <v>350</v>
      </c>
      <c r="D461">
        <v>14</v>
      </c>
      <c r="E461">
        <v>231</v>
      </c>
      <c r="G461"/>
    </row>
    <row r="462" spans="1:7" x14ac:dyDescent="0.25">
      <c r="E462">
        <v>231</v>
      </c>
      <c r="G462"/>
    </row>
    <row r="463" spans="1:7" x14ac:dyDescent="0.25">
      <c r="A463" s="14" t="str">
        <f>HYPERLINK("https://www.youtube.com/watch?v=Y56hvBhqBaQ","Video Lesson 18")</f>
        <v>Video Lesson 18</v>
      </c>
      <c r="B463" t="s">
        <v>331</v>
      </c>
      <c r="C463" t="s">
        <v>350</v>
      </c>
      <c r="D463">
        <v>15</v>
      </c>
      <c r="E463">
        <v>232</v>
      </c>
      <c r="G463"/>
    </row>
    <row r="464" spans="1:7" x14ac:dyDescent="0.25">
      <c r="E464">
        <v>232</v>
      </c>
      <c r="G464"/>
    </row>
    <row r="465" spans="1:7" x14ac:dyDescent="0.25">
      <c r="A465" s="14" t="str">
        <f>HYPERLINK("https://www.youtube.com/watch?v=Y56hvBhqBaQ","Video Lesson 18")</f>
        <v>Video Lesson 18</v>
      </c>
      <c r="B465" t="s">
        <v>331</v>
      </c>
      <c r="C465" t="s">
        <v>350</v>
      </c>
      <c r="D465">
        <v>16</v>
      </c>
      <c r="E465">
        <v>233</v>
      </c>
      <c r="G465"/>
    </row>
    <row r="466" spans="1:7" x14ac:dyDescent="0.25">
      <c r="E466">
        <v>233</v>
      </c>
      <c r="G466"/>
    </row>
    <row r="467" spans="1:7" x14ac:dyDescent="0.25">
      <c r="A467" s="14" t="str">
        <f>HYPERLINK("https://www.youtube.com/watch?v=Y56hvBhqBaQ","Video Lesson 18")</f>
        <v>Video Lesson 18</v>
      </c>
      <c r="B467" t="s">
        <v>331</v>
      </c>
      <c r="C467" t="s">
        <v>350</v>
      </c>
      <c r="D467">
        <v>17</v>
      </c>
      <c r="E467">
        <v>234</v>
      </c>
      <c r="G467"/>
    </row>
    <row r="468" spans="1:7" x14ac:dyDescent="0.25">
      <c r="E468">
        <v>234</v>
      </c>
      <c r="G468"/>
    </row>
    <row r="469" spans="1:7" x14ac:dyDescent="0.25">
      <c r="A469" s="14" t="str">
        <f>HYPERLINK("https://www.youtube.com/watch?v=Y56hvBhqBaQ","Video Lesson 18")</f>
        <v>Video Lesson 18</v>
      </c>
      <c r="B469" t="s">
        <v>331</v>
      </c>
      <c r="C469" t="s">
        <v>350</v>
      </c>
      <c r="D469">
        <v>18</v>
      </c>
      <c r="E469">
        <v>235</v>
      </c>
      <c r="G469"/>
    </row>
    <row r="470" spans="1:7" x14ac:dyDescent="0.25">
      <c r="E470">
        <v>235</v>
      </c>
      <c r="G470"/>
    </row>
    <row r="471" spans="1:7" x14ac:dyDescent="0.25">
      <c r="A471" s="14" t="str">
        <f>HYPERLINK("https://www.youtube.com/watch?v=Y56hvBhqBaQ","Video Lesson 18")</f>
        <v>Video Lesson 18</v>
      </c>
      <c r="B471" t="s">
        <v>331</v>
      </c>
      <c r="C471" t="s">
        <v>350</v>
      </c>
      <c r="D471">
        <v>19</v>
      </c>
      <c r="E471">
        <v>236</v>
      </c>
      <c r="G471"/>
    </row>
    <row r="472" spans="1:7" x14ac:dyDescent="0.25">
      <c r="E472">
        <v>236</v>
      </c>
      <c r="G472"/>
    </row>
    <row r="473" spans="1:7" x14ac:dyDescent="0.25">
      <c r="A473" s="14" t="str">
        <f>HYPERLINK("https://www.youtube.com/watch?v=Y56hvBhqBaQ","Video Lesson 18")</f>
        <v>Video Lesson 18</v>
      </c>
      <c r="B473" t="s">
        <v>331</v>
      </c>
      <c r="C473" t="s">
        <v>350</v>
      </c>
      <c r="D473">
        <v>20</v>
      </c>
      <c r="E473">
        <v>237</v>
      </c>
      <c r="G473"/>
    </row>
    <row r="474" spans="1:7" x14ac:dyDescent="0.25">
      <c r="E474">
        <v>237</v>
      </c>
      <c r="G474"/>
    </row>
    <row r="475" spans="1:7" x14ac:dyDescent="0.25">
      <c r="A475" s="14" t="str">
        <f>HYPERLINK("https://www.youtube.com/watch?v=Y56hvBhqBaQ","Video Lesson 18")</f>
        <v>Video Lesson 18</v>
      </c>
      <c r="B475" t="s">
        <v>331</v>
      </c>
      <c r="C475" t="s">
        <v>350</v>
      </c>
      <c r="D475">
        <v>21</v>
      </c>
      <c r="E475">
        <v>238</v>
      </c>
      <c r="G475"/>
    </row>
    <row r="476" spans="1:7" x14ac:dyDescent="0.25">
      <c r="E476">
        <v>238</v>
      </c>
      <c r="G476"/>
    </row>
    <row r="477" spans="1:7" x14ac:dyDescent="0.25">
      <c r="A477" s="14" t="str">
        <f>HYPERLINK("https://www.youtube.com/watch?v=CuxAdMsjkyY","Video Lesson 13")</f>
        <v>Video Lesson 13</v>
      </c>
      <c r="B477" t="s">
        <v>331</v>
      </c>
      <c r="C477" t="s">
        <v>351</v>
      </c>
      <c r="D477">
        <v>1</v>
      </c>
      <c r="E477">
        <v>239</v>
      </c>
      <c r="G477"/>
    </row>
    <row r="478" spans="1:7" x14ac:dyDescent="0.25">
      <c r="E478">
        <v>239</v>
      </c>
      <c r="G478"/>
    </row>
    <row r="479" spans="1:7" x14ac:dyDescent="0.25">
      <c r="A479" s="14" t="str">
        <f>HYPERLINK("https://www.youtube.com/watch?v=CuxAdMsjkyY","Video Lesson 13")</f>
        <v>Video Lesson 13</v>
      </c>
      <c r="B479" t="s">
        <v>331</v>
      </c>
      <c r="C479" t="s">
        <v>351</v>
      </c>
      <c r="D479">
        <v>2</v>
      </c>
      <c r="E479">
        <v>240</v>
      </c>
      <c r="G479"/>
    </row>
    <row r="480" spans="1:7" x14ac:dyDescent="0.25">
      <c r="E480">
        <v>240</v>
      </c>
      <c r="G480"/>
    </row>
    <row r="481" spans="1:7" x14ac:dyDescent="0.25">
      <c r="A481" s="14" t="str">
        <f>HYPERLINK("https://www.youtube.com/watch?v=CuxAdMsjkyY","Video Lesson 13")</f>
        <v>Video Lesson 13</v>
      </c>
      <c r="B481" t="s">
        <v>331</v>
      </c>
      <c r="C481" t="s">
        <v>351</v>
      </c>
      <c r="D481">
        <v>3</v>
      </c>
      <c r="E481">
        <v>241</v>
      </c>
      <c r="G481"/>
    </row>
    <row r="482" spans="1:7" x14ac:dyDescent="0.25">
      <c r="E482">
        <v>241</v>
      </c>
      <c r="G482"/>
    </row>
    <row r="483" spans="1:7" x14ac:dyDescent="0.25">
      <c r="A483" s="14" t="str">
        <f>HYPERLINK("https://www.youtube.com/watch?v=CuxAdMsjkyY","Video Lesson 13")</f>
        <v>Video Lesson 13</v>
      </c>
      <c r="B483" t="s">
        <v>331</v>
      </c>
      <c r="C483" t="s">
        <v>351</v>
      </c>
      <c r="D483">
        <v>4</v>
      </c>
      <c r="E483">
        <v>242</v>
      </c>
      <c r="G483"/>
    </row>
    <row r="484" spans="1:7" x14ac:dyDescent="0.25">
      <c r="E484">
        <v>242</v>
      </c>
      <c r="G484"/>
    </row>
    <row r="485" spans="1:7" x14ac:dyDescent="0.25">
      <c r="A485" s="14" t="str">
        <f>HYPERLINK("https://www.youtube.com/watch?v=CuxAdMsjkyY","Video Lesson 13")</f>
        <v>Video Lesson 13</v>
      </c>
      <c r="B485" t="s">
        <v>331</v>
      </c>
      <c r="C485" t="s">
        <v>351</v>
      </c>
      <c r="D485">
        <v>5</v>
      </c>
      <c r="E485">
        <v>243</v>
      </c>
      <c r="G485"/>
    </row>
    <row r="486" spans="1:7" x14ac:dyDescent="0.25">
      <c r="E486">
        <v>243</v>
      </c>
      <c r="G486"/>
    </row>
    <row r="487" spans="1:7" x14ac:dyDescent="0.25">
      <c r="A487" s="14" t="str">
        <f>HYPERLINK("https://www.youtube.com/watch?v=CuxAdMsjkyY","Video Lesson 13")</f>
        <v>Video Lesson 13</v>
      </c>
      <c r="B487" t="s">
        <v>331</v>
      </c>
      <c r="C487" t="s">
        <v>351</v>
      </c>
      <c r="D487">
        <v>6</v>
      </c>
      <c r="E487">
        <v>244</v>
      </c>
      <c r="G487"/>
    </row>
    <row r="488" spans="1:7" x14ac:dyDescent="0.25">
      <c r="E488">
        <v>244</v>
      </c>
      <c r="G488"/>
    </row>
    <row r="489" spans="1:7" x14ac:dyDescent="0.25">
      <c r="A489" s="14" t="str">
        <f>HYPERLINK("https://www.youtube.com/watch?v=CuxAdMsjkyY","Video Lesson 13")</f>
        <v>Video Lesson 13</v>
      </c>
      <c r="B489" t="s">
        <v>331</v>
      </c>
      <c r="C489" t="s">
        <v>351</v>
      </c>
      <c r="D489">
        <v>7</v>
      </c>
      <c r="E489">
        <v>245</v>
      </c>
      <c r="G489"/>
    </row>
    <row r="490" spans="1:7" x14ac:dyDescent="0.25">
      <c r="E490">
        <v>245</v>
      </c>
      <c r="G490"/>
    </row>
    <row r="491" spans="1:7" x14ac:dyDescent="0.25">
      <c r="A491" s="14" t="str">
        <f>HYPERLINK("https://www.youtube.com/watch?v=CuxAdMsjkyY","Video Lesson 13")</f>
        <v>Video Lesson 13</v>
      </c>
      <c r="B491" t="s">
        <v>331</v>
      </c>
      <c r="C491" t="s">
        <v>351</v>
      </c>
      <c r="D491">
        <v>8</v>
      </c>
      <c r="E491">
        <v>246</v>
      </c>
      <c r="G491"/>
    </row>
    <row r="492" spans="1:7" x14ac:dyDescent="0.25">
      <c r="E492">
        <v>246</v>
      </c>
      <c r="G492"/>
    </row>
    <row r="493" spans="1:7" x14ac:dyDescent="0.25">
      <c r="A493" s="14" t="str">
        <f>HYPERLINK("https://www.youtube.com/watch?v=CuxAdMsjkyY","Video Lesson 13")</f>
        <v>Video Lesson 13</v>
      </c>
      <c r="B493" t="s">
        <v>331</v>
      </c>
      <c r="C493" t="s">
        <v>351</v>
      </c>
      <c r="D493">
        <v>9</v>
      </c>
      <c r="E493">
        <v>247</v>
      </c>
      <c r="G493"/>
    </row>
    <row r="494" spans="1:7" x14ac:dyDescent="0.25">
      <c r="E494">
        <v>247</v>
      </c>
      <c r="G494"/>
    </row>
    <row r="495" spans="1:7" x14ac:dyDescent="0.25">
      <c r="A495" s="14" t="str">
        <f>HYPERLINK("https://www.youtube.com/watch?v=CuxAdMsjkyY","Video Lesson 13")</f>
        <v>Video Lesson 13</v>
      </c>
      <c r="B495" t="s">
        <v>331</v>
      </c>
      <c r="C495" t="s">
        <v>351</v>
      </c>
      <c r="D495">
        <v>10</v>
      </c>
      <c r="E495">
        <v>248</v>
      </c>
      <c r="G495"/>
    </row>
    <row r="496" spans="1:7" x14ac:dyDescent="0.25">
      <c r="E496">
        <v>248</v>
      </c>
      <c r="G496"/>
    </row>
    <row r="497" spans="1:7" x14ac:dyDescent="0.25">
      <c r="A497" s="14" t="str">
        <f>HYPERLINK("https://www.youtube.com/watch?v=CuxAdMsjkyY","Video Lesson 13")</f>
        <v>Video Lesson 13</v>
      </c>
      <c r="B497" t="s">
        <v>331</v>
      </c>
      <c r="C497" t="s">
        <v>351</v>
      </c>
      <c r="D497">
        <v>11</v>
      </c>
      <c r="E497">
        <v>249</v>
      </c>
      <c r="G497"/>
    </row>
    <row r="498" spans="1:7" x14ac:dyDescent="0.25">
      <c r="E498">
        <v>249</v>
      </c>
      <c r="G498"/>
    </row>
    <row r="499" spans="1:7" x14ac:dyDescent="0.25">
      <c r="A499" s="14" t="str">
        <f>HYPERLINK("https://www.youtube.com/watch?v=CuxAdMsjkyY","Video Lesson 13")</f>
        <v>Video Lesson 13</v>
      </c>
      <c r="B499" t="s">
        <v>331</v>
      </c>
      <c r="C499" t="s">
        <v>351</v>
      </c>
      <c r="D499">
        <v>12</v>
      </c>
      <c r="E499">
        <v>250</v>
      </c>
      <c r="G499"/>
    </row>
    <row r="500" spans="1:7" x14ac:dyDescent="0.25">
      <c r="E500">
        <v>250</v>
      </c>
      <c r="G500"/>
    </row>
    <row r="501" spans="1:7" x14ac:dyDescent="0.25">
      <c r="A501" s="14" t="str">
        <f>HYPERLINK("https://www.youtube.com/watch?v=CuxAdMsjkyY","Video Lesson 13")</f>
        <v>Video Lesson 13</v>
      </c>
      <c r="B501" t="s">
        <v>331</v>
      </c>
      <c r="C501" t="s">
        <v>351</v>
      </c>
      <c r="D501">
        <v>13</v>
      </c>
      <c r="E501">
        <v>251</v>
      </c>
      <c r="G501"/>
    </row>
    <row r="502" spans="1:7" x14ac:dyDescent="0.25">
      <c r="E502">
        <v>251</v>
      </c>
      <c r="G502"/>
    </row>
    <row r="503" spans="1:7" x14ac:dyDescent="0.25">
      <c r="A503" s="14" t="str">
        <f>HYPERLINK("https://www.youtube.com/watch?v=CuxAdMsjkyY","Video Lesson 13")</f>
        <v>Video Lesson 13</v>
      </c>
      <c r="B503" t="s">
        <v>331</v>
      </c>
      <c r="C503" t="s">
        <v>351</v>
      </c>
      <c r="D503">
        <v>14</v>
      </c>
      <c r="E503">
        <v>252</v>
      </c>
      <c r="G503"/>
    </row>
    <row r="504" spans="1:7" x14ac:dyDescent="0.25">
      <c r="E504">
        <v>252</v>
      </c>
      <c r="G504"/>
    </row>
    <row r="505" spans="1:7" x14ac:dyDescent="0.25">
      <c r="A505" s="14" t="str">
        <f>HYPERLINK("https://www.youtube.com/watch?v=CuxAdMsjkyY","Video Lesson 13")</f>
        <v>Video Lesson 13</v>
      </c>
      <c r="B505" t="s">
        <v>331</v>
      </c>
      <c r="C505" t="s">
        <v>351</v>
      </c>
      <c r="D505">
        <v>15</v>
      </c>
      <c r="E505">
        <v>253</v>
      </c>
      <c r="G505"/>
    </row>
    <row r="506" spans="1:7" x14ac:dyDescent="0.25">
      <c r="E506">
        <v>253</v>
      </c>
      <c r="G506"/>
    </row>
    <row r="507" spans="1:7" x14ac:dyDescent="0.25">
      <c r="A507" s="14" t="str">
        <f>HYPERLINK("https://www.youtube.com/watch?v=CuxAdMsjkyY","Video Lesson 13")</f>
        <v>Video Lesson 13</v>
      </c>
      <c r="B507" t="s">
        <v>331</v>
      </c>
      <c r="C507" t="s">
        <v>351</v>
      </c>
      <c r="D507">
        <v>16</v>
      </c>
      <c r="E507">
        <v>254</v>
      </c>
      <c r="G507"/>
    </row>
    <row r="508" spans="1:7" x14ac:dyDescent="0.25">
      <c r="E508">
        <v>254</v>
      </c>
      <c r="G508"/>
    </row>
    <row r="509" spans="1:7" x14ac:dyDescent="0.25">
      <c r="A509" s="14" t="str">
        <f>HYPERLINK("https://www.youtube.com/watch?v=CuxAdMsjkyY","Video Lesson 13")</f>
        <v>Video Lesson 13</v>
      </c>
      <c r="B509" t="s">
        <v>331</v>
      </c>
      <c r="C509" t="s">
        <v>351</v>
      </c>
      <c r="D509">
        <v>17</v>
      </c>
      <c r="E509">
        <v>255</v>
      </c>
      <c r="G509"/>
    </row>
    <row r="510" spans="1:7" x14ac:dyDescent="0.25">
      <c r="E510">
        <v>255</v>
      </c>
      <c r="G510"/>
    </row>
    <row r="511" spans="1:7" x14ac:dyDescent="0.25">
      <c r="A511" s="14" t="str">
        <f>HYPERLINK("https://www.youtube.com/watch?v=CuxAdMsjkyY","Video Lesson 13")</f>
        <v>Video Lesson 13</v>
      </c>
      <c r="B511" t="s">
        <v>331</v>
      </c>
      <c r="C511" t="s">
        <v>351</v>
      </c>
      <c r="D511">
        <v>18</v>
      </c>
      <c r="E511">
        <v>256</v>
      </c>
      <c r="G511"/>
    </row>
    <row r="512" spans="1:7" x14ac:dyDescent="0.25">
      <c r="E512">
        <v>256</v>
      </c>
      <c r="G512"/>
    </row>
    <row r="513" spans="1:7" x14ac:dyDescent="0.25">
      <c r="A513" s="14" t="str">
        <f>HYPERLINK("https://www.youtube.com/watch?v=CuxAdMsjkyY","Video Lesson 13")</f>
        <v>Video Lesson 13</v>
      </c>
      <c r="B513" t="s">
        <v>331</v>
      </c>
      <c r="C513" t="s">
        <v>351</v>
      </c>
      <c r="D513">
        <v>19</v>
      </c>
      <c r="E513">
        <v>257</v>
      </c>
      <c r="G513"/>
    </row>
    <row r="514" spans="1:7" x14ac:dyDescent="0.25">
      <c r="E514">
        <v>257</v>
      </c>
      <c r="G514"/>
    </row>
    <row r="515" spans="1:7" x14ac:dyDescent="0.25">
      <c r="A515" s="14" t="str">
        <f>HYPERLINK("https://www.youtube.com/watch?v=CuxAdMsjkyY","Video Lesson 13")</f>
        <v>Video Lesson 13</v>
      </c>
      <c r="B515" t="s">
        <v>331</v>
      </c>
      <c r="C515" t="s">
        <v>351</v>
      </c>
      <c r="D515">
        <v>20</v>
      </c>
      <c r="E515">
        <v>258</v>
      </c>
      <c r="G515"/>
    </row>
    <row r="516" spans="1:7" x14ac:dyDescent="0.25">
      <c r="E516">
        <v>258</v>
      </c>
      <c r="G516"/>
    </row>
    <row r="517" spans="1:7" x14ac:dyDescent="0.25">
      <c r="A517" s="14" t="str">
        <f>HYPERLINK("https://www.youtube.com/watch?v=CuxAdMsjkyY","Video Lesson 13")</f>
        <v>Video Lesson 13</v>
      </c>
      <c r="B517" t="s">
        <v>331</v>
      </c>
      <c r="C517" t="s">
        <v>351</v>
      </c>
      <c r="D517">
        <v>21</v>
      </c>
      <c r="E517">
        <v>259</v>
      </c>
      <c r="G517"/>
    </row>
    <row r="518" spans="1:7" x14ac:dyDescent="0.25">
      <c r="E518">
        <v>259</v>
      </c>
      <c r="G518"/>
    </row>
    <row r="519" spans="1:7" x14ac:dyDescent="0.25">
      <c r="A519" s="14" t="str">
        <f>HYPERLINK("https://www.youtube.com/watch?v=-9H0tokUVvc","Video Lesson 16")</f>
        <v>Video Lesson 16</v>
      </c>
      <c r="B519" t="s">
        <v>331</v>
      </c>
      <c r="C519" t="s">
        <v>352</v>
      </c>
      <c r="D519">
        <v>1</v>
      </c>
      <c r="E519">
        <v>260</v>
      </c>
      <c r="G519"/>
    </row>
    <row r="520" spans="1:7" x14ac:dyDescent="0.25">
      <c r="E520">
        <v>260</v>
      </c>
      <c r="G520"/>
    </row>
    <row r="521" spans="1:7" x14ac:dyDescent="0.25">
      <c r="A521" s="14" t="str">
        <f>HYPERLINK("https://www.youtube.com/watch?v=-9H0tokUVvc","Video Lesson 16")</f>
        <v>Video Lesson 16</v>
      </c>
      <c r="B521" t="s">
        <v>331</v>
      </c>
      <c r="C521" t="s">
        <v>352</v>
      </c>
      <c r="D521">
        <v>2</v>
      </c>
      <c r="E521">
        <v>261</v>
      </c>
      <c r="G521"/>
    </row>
    <row r="522" spans="1:7" x14ac:dyDescent="0.25">
      <c r="E522">
        <v>261</v>
      </c>
      <c r="G522"/>
    </row>
    <row r="523" spans="1:7" x14ac:dyDescent="0.25">
      <c r="A523" s="14" t="str">
        <f>HYPERLINK("https://www.youtube.com/watch?v=-9H0tokUVvc","Video Lesson 16")</f>
        <v>Video Lesson 16</v>
      </c>
      <c r="B523" t="s">
        <v>331</v>
      </c>
      <c r="C523" t="s">
        <v>352</v>
      </c>
      <c r="D523">
        <v>3</v>
      </c>
      <c r="E523">
        <v>262</v>
      </c>
      <c r="G523"/>
    </row>
    <row r="524" spans="1:7" x14ac:dyDescent="0.25">
      <c r="E524">
        <v>262</v>
      </c>
      <c r="G524"/>
    </row>
    <row r="525" spans="1:7" x14ac:dyDescent="0.25">
      <c r="A525" s="14" t="str">
        <f>HYPERLINK("https://www.youtube.com/watch?v=-9H0tokUVvc","Video Lesson 16")</f>
        <v>Video Lesson 16</v>
      </c>
      <c r="B525" t="s">
        <v>331</v>
      </c>
      <c r="C525" t="s">
        <v>352</v>
      </c>
      <c r="D525">
        <v>4</v>
      </c>
      <c r="E525">
        <v>263</v>
      </c>
      <c r="G525"/>
    </row>
    <row r="526" spans="1:7" x14ac:dyDescent="0.25">
      <c r="E526">
        <v>263</v>
      </c>
      <c r="G526"/>
    </row>
    <row r="527" spans="1:7" x14ac:dyDescent="0.25">
      <c r="A527" s="14" t="str">
        <f>HYPERLINK("https://www.youtube.com/watch?v=-9H0tokUVvc","Video Lesson 16")</f>
        <v>Video Lesson 16</v>
      </c>
      <c r="B527" t="s">
        <v>331</v>
      </c>
      <c r="C527" t="s">
        <v>352</v>
      </c>
      <c r="D527">
        <v>5</v>
      </c>
      <c r="E527">
        <v>264</v>
      </c>
      <c r="G527"/>
    </row>
    <row r="528" spans="1:7" x14ac:dyDescent="0.25">
      <c r="E528">
        <v>264</v>
      </c>
      <c r="G528"/>
    </row>
    <row r="529" spans="1:7" x14ac:dyDescent="0.25">
      <c r="A529" s="14" t="str">
        <f>HYPERLINK("https://www.youtube.com/watch?v=-9H0tokUVvc","Video Lesson 16")</f>
        <v>Video Lesson 16</v>
      </c>
      <c r="B529" t="s">
        <v>331</v>
      </c>
      <c r="C529" t="s">
        <v>352</v>
      </c>
      <c r="D529">
        <v>6</v>
      </c>
      <c r="E529">
        <v>265</v>
      </c>
      <c r="G529"/>
    </row>
    <row r="530" spans="1:7" x14ac:dyDescent="0.25">
      <c r="E530">
        <v>265</v>
      </c>
      <c r="G530"/>
    </row>
    <row r="531" spans="1:7" x14ac:dyDescent="0.25">
      <c r="A531" s="14" t="str">
        <f>HYPERLINK("https://www.youtube.com/watch?v=-9H0tokUVvc","Video Lesson 16")</f>
        <v>Video Lesson 16</v>
      </c>
      <c r="B531" t="s">
        <v>331</v>
      </c>
      <c r="C531" t="s">
        <v>352</v>
      </c>
      <c r="D531">
        <v>7</v>
      </c>
      <c r="E531">
        <v>266</v>
      </c>
      <c r="G531"/>
    </row>
    <row r="532" spans="1:7" x14ac:dyDescent="0.25">
      <c r="E532">
        <v>266</v>
      </c>
      <c r="G532"/>
    </row>
    <row r="533" spans="1:7" x14ac:dyDescent="0.25">
      <c r="A533" s="14" t="str">
        <f>HYPERLINK("https://www.youtube.com/watch?v=-9H0tokUVvc","Video Lesson 16")</f>
        <v>Video Lesson 16</v>
      </c>
      <c r="B533" t="s">
        <v>331</v>
      </c>
      <c r="C533" t="s">
        <v>352</v>
      </c>
      <c r="D533">
        <v>8</v>
      </c>
      <c r="E533">
        <v>267</v>
      </c>
      <c r="G533"/>
    </row>
    <row r="534" spans="1:7" x14ac:dyDescent="0.25">
      <c r="E534">
        <v>267</v>
      </c>
      <c r="G534"/>
    </row>
    <row r="535" spans="1:7" x14ac:dyDescent="0.25">
      <c r="A535" s="14" t="str">
        <f>HYPERLINK("https://www.youtube.com/watch?v=-9H0tokUVvc","Video Lesson 16")</f>
        <v>Video Lesson 16</v>
      </c>
      <c r="B535" t="s">
        <v>331</v>
      </c>
      <c r="C535" t="s">
        <v>352</v>
      </c>
      <c r="D535">
        <v>9</v>
      </c>
      <c r="E535">
        <v>268</v>
      </c>
      <c r="G535"/>
    </row>
    <row r="536" spans="1:7" x14ac:dyDescent="0.25">
      <c r="E536">
        <v>268</v>
      </c>
      <c r="G536"/>
    </row>
    <row r="537" spans="1:7" x14ac:dyDescent="0.25">
      <c r="A537" s="14" t="str">
        <f>HYPERLINK("https://www.youtube.com/watch?v=-9H0tokUVvc","Video Lesson 16")</f>
        <v>Video Lesson 16</v>
      </c>
      <c r="B537" t="s">
        <v>331</v>
      </c>
      <c r="C537" t="s">
        <v>352</v>
      </c>
      <c r="D537">
        <v>10</v>
      </c>
      <c r="E537">
        <v>269</v>
      </c>
      <c r="G537"/>
    </row>
    <row r="538" spans="1:7" x14ac:dyDescent="0.25">
      <c r="E538">
        <v>269</v>
      </c>
      <c r="G538"/>
    </row>
    <row r="539" spans="1:7" x14ac:dyDescent="0.25">
      <c r="A539" s="14" t="str">
        <f>HYPERLINK("https://www.youtube.com/watch?v=-9H0tokUVvc","Video Lesson 16")</f>
        <v>Video Lesson 16</v>
      </c>
      <c r="B539" t="s">
        <v>331</v>
      </c>
      <c r="C539" t="s">
        <v>352</v>
      </c>
      <c r="D539">
        <v>11</v>
      </c>
      <c r="E539">
        <v>270</v>
      </c>
      <c r="G539"/>
    </row>
    <row r="540" spans="1:7" x14ac:dyDescent="0.25">
      <c r="E540">
        <v>270</v>
      </c>
      <c r="G540"/>
    </row>
    <row r="541" spans="1:7" x14ac:dyDescent="0.25">
      <c r="A541" s="14" t="str">
        <f>HYPERLINK("https://www.youtube.com/watch?v=-9H0tokUVvc","Video Lesson 16")</f>
        <v>Video Lesson 16</v>
      </c>
      <c r="B541" t="s">
        <v>331</v>
      </c>
      <c r="C541" t="s">
        <v>352</v>
      </c>
      <c r="D541">
        <v>12</v>
      </c>
      <c r="E541">
        <v>271</v>
      </c>
      <c r="G541"/>
    </row>
    <row r="542" spans="1:7" x14ac:dyDescent="0.25">
      <c r="E542">
        <v>271</v>
      </c>
      <c r="G542"/>
    </row>
    <row r="543" spans="1:7" x14ac:dyDescent="0.25">
      <c r="A543" s="14" t="str">
        <f>HYPERLINK("https://www.youtube.com/watch?v=-9H0tokUVvc","Video Lesson 16")</f>
        <v>Video Lesson 16</v>
      </c>
      <c r="B543" t="s">
        <v>331</v>
      </c>
      <c r="C543" t="s">
        <v>352</v>
      </c>
      <c r="D543">
        <v>13</v>
      </c>
      <c r="E543">
        <v>272</v>
      </c>
      <c r="G543"/>
    </row>
    <row r="544" spans="1:7" x14ac:dyDescent="0.25">
      <c r="E544">
        <v>272</v>
      </c>
      <c r="G544"/>
    </row>
    <row r="545" spans="1:7" x14ac:dyDescent="0.25">
      <c r="A545" s="14" t="str">
        <f>HYPERLINK("https://www.youtube.com/watch?v=-9H0tokUVvc","Video Lesson 16")</f>
        <v>Video Lesson 16</v>
      </c>
      <c r="B545" t="s">
        <v>331</v>
      </c>
      <c r="C545" t="s">
        <v>352</v>
      </c>
      <c r="D545">
        <v>14</v>
      </c>
      <c r="E545">
        <v>273</v>
      </c>
      <c r="G545"/>
    </row>
    <row r="546" spans="1:7" x14ac:dyDescent="0.25">
      <c r="E546">
        <v>273</v>
      </c>
      <c r="G546"/>
    </row>
    <row r="547" spans="1:7" x14ac:dyDescent="0.25">
      <c r="A547" s="14" t="str">
        <f>HYPERLINK("https://www.youtube.com/watch?v=-9H0tokUVvc","Video Lesson 16")</f>
        <v>Video Lesson 16</v>
      </c>
      <c r="B547" t="s">
        <v>331</v>
      </c>
      <c r="C547" t="s">
        <v>352</v>
      </c>
      <c r="D547">
        <v>15</v>
      </c>
      <c r="E547">
        <v>274</v>
      </c>
      <c r="G547"/>
    </row>
    <row r="548" spans="1:7" x14ac:dyDescent="0.25">
      <c r="E548">
        <v>274</v>
      </c>
      <c r="G548"/>
    </row>
    <row r="549" spans="1:7" x14ac:dyDescent="0.25">
      <c r="A549" s="14" t="str">
        <f>HYPERLINK("https://www.youtube.com/watch?v=-9H0tokUVvc","Video Lesson 16")</f>
        <v>Video Lesson 16</v>
      </c>
      <c r="B549" t="s">
        <v>331</v>
      </c>
      <c r="C549" t="s">
        <v>352</v>
      </c>
      <c r="D549">
        <v>16</v>
      </c>
      <c r="E549">
        <v>275</v>
      </c>
      <c r="G549"/>
    </row>
    <row r="550" spans="1:7" x14ac:dyDescent="0.25">
      <c r="E550">
        <v>275</v>
      </c>
      <c r="G550"/>
    </row>
    <row r="551" spans="1:7" x14ac:dyDescent="0.25">
      <c r="A551" s="14" t="str">
        <f>HYPERLINK("https://www.youtube.com/watch?v=-9H0tokUVvc","Video Lesson 16")</f>
        <v>Video Lesson 16</v>
      </c>
      <c r="B551" t="s">
        <v>331</v>
      </c>
      <c r="C551" t="s">
        <v>352</v>
      </c>
      <c r="D551">
        <v>17</v>
      </c>
      <c r="E551">
        <v>276</v>
      </c>
      <c r="G551"/>
    </row>
    <row r="552" spans="1:7" x14ac:dyDescent="0.25">
      <c r="E552">
        <v>276</v>
      </c>
      <c r="G552"/>
    </row>
    <row r="553" spans="1:7" x14ac:dyDescent="0.25">
      <c r="A553" s="14" t="str">
        <f>HYPERLINK("https://www.youtube.com/watch?v=-9H0tokUVvc","Video Lesson 16")</f>
        <v>Video Lesson 16</v>
      </c>
      <c r="B553" t="s">
        <v>331</v>
      </c>
      <c r="C553" t="s">
        <v>352</v>
      </c>
      <c r="D553">
        <v>18</v>
      </c>
      <c r="E553">
        <v>277</v>
      </c>
      <c r="G553"/>
    </row>
    <row r="554" spans="1:7" x14ac:dyDescent="0.25">
      <c r="E554">
        <v>277</v>
      </c>
      <c r="G554"/>
    </row>
    <row r="555" spans="1:7" x14ac:dyDescent="0.25">
      <c r="A555" s="14" t="str">
        <f>HYPERLINK("https://www.youtube.com/watch?v=-9H0tokUVvc","Video Lesson 16")</f>
        <v>Video Lesson 16</v>
      </c>
      <c r="B555" t="s">
        <v>331</v>
      </c>
      <c r="C555" t="s">
        <v>352</v>
      </c>
      <c r="D555">
        <v>19</v>
      </c>
      <c r="E555">
        <v>278</v>
      </c>
      <c r="G555"/>
    </row>
    <row r="556" spans="1:7" x14ac:dyDescent="0.25">
      <c r="E556">
        <v>278</v>
      </c>
      <c r="G556"/>
    </row>
    <row r="557" spans="1:7" x14ac:dyDescent="0.25">
      <c r="A557" s="14" t="str">
        <f>HYPERLINK("https://www.youtube.com/watch?v=-9H0tokUVvc","Video Lesson 16")</f>
        <v>Video Lesson 16</v>
      </c>
      <c r="B557" t="s">
        <v>331</v>
      </c>
      <c r="C557" t="s">
        <v>352</v>
      </c>
      <c r="D557">
        <v>20</v>
      </c>
      <c r="E557">
        <v>279</v>
      </c>
      <c r="G557"/>
    </row>
    <row r="558" spans="1:7" x14ac:dyDescent="0.25">
      <c r="E558">
        <v>279</v>
      </c>
      <c r="G558"/>
    </row>
    <row r="559" spans="1:7" x14ac:dyDescent="0.25">
      <c r="A559" s="14" t="str">
        <f>HYPERLINK("https://www.youtube.com/watch?v=-9H0tokUVvc","Video Lesson 16")</f>
        <v>Video Lesson 16</v>
      </c>
      <c r="B559" t="s">
        <v>331</v>
      </c>
      <c r="C559" t="s">
        <v>352</v>
      </c>
      <c r="D559">
        <v>21</v>
      </c>
      <c r="E559">
        <v>280</v>
      </c>
      <c r="G559"/>
    </row>
    <row r="560" spans="1:7" x14ac:dyDescent="0.25">
      <c r="E560">
        <v>280</v>
      </c>
      <c r="G560"/>
    </row>
    <row r="561" spans="1:7" x14ac:dyDescent="0.25">
      <c r="A561" s="14" t="str">
        <f>HYPERLINK("https://www.youtube.com/watch?v=-9H0tokUVvc","Video Lesson 16")</f>
        <v>Video Lesson 16</v>
      </c>
      <c r="B561" t="s">
        <v>331</v>
      </c>
      <c r="C561" t="s">
        <v>352</v>
      </c>
      <c r="D561">
        <v>22</v>
      </c>
      <c r="E561">
        <v>281</v>
      </c>
      <c r="G561"/>
    </row>
    <row r="562" spans="1:7" x14ac:dyDescent="0.25">
      <c r="E562">
        <v>281</v>
      </c>
      <c r="G562"/>
    </row>
    <row r="563" spans="1:7" x14ac:dyDescent="0.25">
      <c r="A563" s="14" t="str">
        <f>HYPERLINK("https://www.youtube.com/watch?v=-9H0tokUVvc","Video Lesson 16")</f>
        <v>Video Lesson 16</v>
      </c>
      <c r="B563" t="s">
        <v>331</v>
      </c>
      <c r="C563" t="s">
        <v>352</v>
      </c>
      <c r="D563">
        <v>23</v>
      </c>
      <c r="E563">
        <v>282</v>
      </c>
      <c r="G563"/>
    </row>
    <row r="564" spans="1:7" x14ac:dyDescent="0.25">
      <c r="E564">
        <v>282</v>
      </c>
      <c r="G564"/>
    </row>
    <row r="565" spans="1:7" x14ac:dyDescent="0.25">
      <c r="A565" s="14" t="str">
        <f>HYPERLINK("https://www.youtube.com/watch?v=-9H0tokUVvc","Video Lesson 16")</f>
        <v>Video Lesson 16</v>
      </c>
      <c r="B565" t="s">
        <v>331</v>
      </c>
      <c r="C565" t="s">
        <v>352</v>
      </c>
      <c r="D565">
        <v>24</v>
      </c>
      <c r="E565">
        <v>283</v>
      </c>
      <c r="G565"/>
    </row>
    <row r="566" spans="1:7" x14ac:dyDescent="0.25">
      <c r="E566">
        <v>283</v>
      </c>
      <c r="G566"/>
    </row>
    <row r="567" spans="1:7" x14ac:dyDescent="0.25">
      <c r="A567" s="14" t="str">
        <f>HYPERLINK("https://www.youtube.com/watch?v=-9H0tokUVvc","Video Lesson 16")</f>
        <v>Video Lesson 16</v>
      </c>
      <c r="B567" t="s">
        <v>331</v>
      </c>
      <c r="C567" t="s">
        <v>352</v>
      </c>
      <c r="D567">
        <v>25</v>
      </c>
      <c r="E567">
        <v>284</v>
      </c>
      <c r="G567"/>
    </row>
    <row r="568" spans="1:7" x14ac:dyDescent="0.25">
      <c r="E568">
        <v>284</v>
      </c>
      <c r="G568"/>
    </row>
    <row r="569" spans="1:7" x14ac:dyDescent="0.25">
      <c r="A569" s="14" t="str">
        <f>HYPERLINK("https://www.youtube.com/watch?v=-9H0tokUVvc","Video Lesson 16")</f>
        <v>Video Lesson 16</v>
      </c>
      <c r="B569" t="s">
        <v>331</v>
      </c>
      <c r="C569" t="s">
        <v>352</v>
      </c>
      <c r="D569">
        <v>26</v>
      </c>
      <c r="E569">
        <v>285</v>
      </c>
      <c r="G569"/>
    </row>
    <row r="570" spans="1:7" x14ac:dyDescent="0.25">
      <c r="E570">
        <v>285</v>
      </c>
      <c r="G570"/>
    </row>
    <row r="571" spans="1:7" x14ac:dyDescent="0.25">
      <c r="A571" s="14" t="str">
        <f>HYPERLINK("https://www.youtube.com/watch?v=-9H0tokUVvc","Video Lesson 16")</f>
        <v>Video Lesson 16</v>
      </c>
      <c r="B571" t="s">
        <v>331</v>
      </c>
      <c r="C571" t="s">
        <v>352</v>
      </c>
      <c r="D571">
        <v>27</v>
      </c>
      <c r="E571">
        <v>286</v>
      </c>
      <c r="G571"/>
    </row>
    <row r="572" spans="1:7" x14ac:dyDescent="0.25">
      <c r="E572">
        <v>286</v>
      </c>
      <c r="G572"/>
    </row>
    <row r="573" spans="1:7" x14ac:dyDescent="0.25">
      <c r="A573" s="14" t="str">
        <f>HYPERLINK("https://www.youtube.com/watch?v=-9H0tokUVvc","Video Lesson 16")</f>
        <v>Video Lesson 16</v>
      </c>
      <c r="B573" t="s">
        <v>331</v>
      </c>
      <c r="C573" t="s">
        <v>352</v>
      </c>
      <c r="D573">
        <v>28</v>
      </c>
      <c r="E573">
        <v>287</v>
      </c>
      <c r="G573"/>
    </row>
    <row r="574" spans="1:7" x14ac:dyDescent="0.25">
      <c r="E574">
        <v>287</v>
      </c>
      <c r="G574"/>
    </row>
    <row r="575" spans="1:7" x14ac:dyDescent="0.25">
      <c r="A575" s="14" t="str">
        <f>HYPERLINK("https://www.youtube.com/watch?v=Xop5dt-yhOA","Video Lesson 19")</f>
        <v>Video Lesson 19</v>
      </c>
      <c r="B575" t="s">
        <v>331</v>
      </c>
      <c r="C575" t="s">
        <v>353</v>
      </c>
      <c r="D575">
        <v>1</v>
      </c>
      <c r="E575">
        <v>288</v>
      </c>
      <c r="G575"/>
    </row>
    <row r="576" spans="1:7" x14ac:dyDescent="0.25">
      <c r="E576">
        <v>288</v>
      </c>
      <c r="G576"/>
    </row>
    <row r="577" spans="1:7" x14ac:dyDescent="0.25">
      <c r="A577" s="14" t="str">
        <f>HYPERLINK("https://www.youtube.com/watch?v=Xop5dt-yhOA","Video Lesson 19")</f>
        <v>Video Lesson 19</v>
      </c>
      <c r="B577" t="s">
        <v>331</v>
      </c>
      <c r="C577" t="s">
        <v>353</v>
      </c>
      <c r="D577">
        <v>2</v>
      </c>
      <c r="E577">
        <v>289</v>
      </c>
      <c r="G577"/>
    </row>
    <row r="578" spans="1:7" x14ac:dyDescent="0.25">
      <c r="E578">
        <v>289</v>
      </c>
      <c r="G578"/>
    </row>
    <row r="579" spans="1:7" x14ac:dyDescent="0.25">
      <c r="A579" s="14" t="str">
        <f>HYPERLINK("https://www.youtube.com/watch?v=Xop5dt-yhOA","Video Lesson 19")</f>
        <v>Video Lesson 19</v>
      </c>
      <c r="B579" t="s">
        <v>331</v>
      </c>
      <c r="C579" t="s">
        <v>353</v>
      </c>
      <c r="D579">
        <v>3</v>
      </c>
      <c r="E579">
        <v>290</v>
      </c>
      <c r="G579"/>
    </row>
    <row r="580" spans="1:7" x14ac:dyDescent="0.25">
      <c r="E580">
        <v>290</v>
      </c>
      <c r="G580"/>
    </row>
    <row r="581" spans="1:7" x14ac:dyDescent="0.25">
      <c r="A581" s="14" t="str">
        <f>HYPERLINK("https://www.youtube.com/watch?v=Xop5dt-yhOA","Video Lesson 19")</f>
        <v>Video Lesson 19</v>
      </c>
      <c r="B581" t="s">
        <v>331</v>
      </c>
      <c r="C581" t="s">
        <v>353</v>
      </c>
      <c r="D581">
        <v>4</v>
      </c>
      <c r="E581">
        <v>291</v>
      </c>
      <c r="G581"/>
    </row>
    <row r="582" spans="1:7" x14ac:dyDescent="0.25">
      <c r="E582">
        <v>291</v>
      </c>
      <c r="G582"/>
    </row>
    <row r="583" spans="1:7" x14ac:dyDescent="0.25">
      <c r="A583" s="14" t="str">
        <f>HYPERLINK("https://www.youtube.com/watch?v=Xop5dt-yhOA","Video Lesson 19")</f>
        <v>Video Lesson 19</v>
      </c>
      <c r="B583" t="s">
        <v>331</v>
      </c>
      <c r="C583" t="s">
        <v>353</v>
      </c>
      <c r="D583">
        <v>5</v>
      </c>
      <c r="E583">
        <v>292</v>
      </c>
      <c r="G583"/>
    </row>
    <row r="584" spans="1:7" x14ac:dyDescent="0.25">
      <c r="E584">
        <v>292</v>
      </c>
      <c r="G584"/>
    </row>
    <row r="585" spans="1:7" x14ac:dyDescent="0.25">
      <c r="A585" s="14" t="str">
        <f>HYPERLINK("https://www.youtube.com/watch?v=Xop5dt-yhOA","Video Lesson 19")</f>
        <v>Video Lesson 19</v>
      </c>
      <c r="B585" t="s">
        <v>331</v>
      </c>
      <c r="C585" t="s">
        <v>353</v>
      </c>
      <c r="D585">
        <v>6</v>
      </c>
      <c r="E585">
        <v>293</v>
      </c>
      <c r="G585"/>
    </row>
    <row r="586" spans="1:7" x14ac:dyDescent="0.25">
      <c r="E586">
        <v>293</v>
      </c>
      <c r="G586"/>
    </row>
    <row r="587" spans="1:7" x14ac:dyDescent="0.25">
      <c r="A587" s="14" t="str">
        <f>HYPERLINK("https://www.youtube.com/watch?v=Xop5dt-yhOA","Video Lesson 19")</f>
        <v>Video Lesson 19</v>
      </c>
      <c r="B587" t="s">
        <v>331</v>
      </c>
      <c r="C587" t="s">
        <v>353</v>
      </c>
      <c r="D587">
        <v>7</v>
      </c>
      <c r="E587">
        <v>294</v>
      </c>
      <c r="G587"/>
    </row>
    <row r="588" spans="1:7" x14ac:dyDescent="0.25">
      <c r="E588">
        <v>294</v>
      </c>
      <c r="G588"/>
    </row>
    <row r="589" spans="1:7" x14ac:dyDescent="0.25">
      <c r="A589" s="14" t="str">
        <f>HYPERLINK("https://www.youtube.com/watch?v=Xop5dt-yhOA","Video Lesson 19")</f>
        <v>Video Lesson 19</v>
      </c>
      <c r="B589" t="s">
        <v>331</v>
      </c>
      <c r="C589" t="s">
        <v>353</v>
      </c>
      <c r="D589">
        <v>8</v>
      </c>
      <c r="E589">
        <v>295</v>
      </c>
      <c r="G589"/>
    </row>
    <row r="590" spans="1:7" x14ac:dyDescent="0.25">
      <c r="E590">
        <v>295</v>
      </c>
      <c r="G590"/>
    </row>
    <row r="591" spans="1:7" x14ac:dyDescent="0.25">
      <c r="A591" s="14" t="str">
        <f>HYPERLINK("https://www.youtube.com/watch?v=Xop5dt-yhOA","Video Lesson 19")</f>
        <v>Video Lesson 19</v>
      </c>
      <c r="B591" t="s">
        <v>331</v>
      </c>
      <c r="C591" t="s">
        <v>353</v>
      </c>
      <c r="D591">
        <v>9</v>
      </c>
      <c r="E591">
        <v>296</v>
      </c>
      <c r="G591"/>
    </row>
    <row r="592" spans="1:7" x14ac:dyDescent="0.25">
      <c r="E592">
        <v>296</v>
      </c>
      <c r="G592"/>
    </row>
    <row r="593" spans="1:7" x14ac:dyDescent="0.25">
      <c r="A593" s="14" t="str">
        <f>HYPERLINK("https://www.youtube.com/watch?v=Xop5dt-yhOA","Video Lesson 19")</f>
        <v>Video Lesson 19</v>
      </c>
      <c r="B593" t="s">
        <v>331</v>
      </c>
      <c r="C593" t="s">
        <v>353</v>
      </c>
      <c r="D593">
        <v>10</v>
      </c>
      <c r="E593">
        <v>297</v>
      </c>
      <c r="G593"/>
    </row>
    <row r="594" spans="1:7" x14ac:dyDescent="0.25">
      <c r="E594">
        <v>297</v>
      </c>
      <c r="G594"/>
    </row>
    <row r="595" spans="1:7" x14ac:dyDescent="0.25">
      <c r="A595" s="14" t="str">
        <f>HYPERLINK("https://www.youtube.com/watch?v=Xop5dt-yhOA","Video Lesson 19")</f>
        <v>Video Lesson 19</v>
      </c>
      <c r="B595" t="s">
        <v>331</v>
      </c>
      <c r="C595" t="s">
        <v>353</v>
      </c>
      <c r="D595">
        <v>11</v>
      </c>
      <c r="E595">
        <v>298</v>
      </c>
      <c r="G595"/>
    </row>
    <row r="596" spans="1:7" x14ac:dyDescent="0.25">
      <c r="E596">
        <v>298</v>
      </c>
      <c r="G596"/>
    </row>
    <row r="597" spans="1:7" x14ac:dyDescent="0.25">
      <c r="A597" s="14" t="str">
        <f>HYPERLINK("https://www.youtube.com/watch?v=Xop5dt-yhOA","Video Lesson 19")</f>
        <v>Video Lesson 19</v>
      </c>
      <c r="B597" t="s">
        <v>331</v>
      </c>
      <c r="C597" t="s">
        <v>353</v>
      </c>
      <c r="D597">
        <v>12</v>
      </c>
      <c r="E597">
        <v>299</v>
      </c>
      <c r="G597"/>
    </row>
    <row r="598" spans="1:7" x14ac:dyDescent="0.25">
      <c r="E598">
        <v>299</v>
      </c>
      <c r="G598"/>
    </row>
    <row r="599" spans="1:7" x14ac:dyDescent="0.25">
      <c r="A599" s="14" t="str">
        <f>HYPERLINK("https://www.youtube.com/watch?v=Xop5dt-yhOA","Video Lesson 19")</f>
        <v>Video Lesson 19</v>
      </c>
      <c r="B599" t="s">
        <v>331</v>
      </c>
      <c r="C599" t="s">
        <v>353</v>
      </c>
      <c r="D599">
        <v>13</v>
      </c>
      <c r="E599">
        <v>300</v>
      </c>
      <c r="G599"/>
    </row>
    <row r="600" spans="1:7" x14ac:dyDescent="0.25">
      <c r="E600">
        <v>300</v>
      </c>
      <c r="G600"/>
    </row>
    <row r="601" spans="1:7" x14ac:dyDescent="0.25">
      <c r="A601" s="14" t="str">
        <f>HYPERLINK("https://www.youtube.com/watch?v=Xop5dt-yhOA","Video Lesson 19")</f>
        <v>Video Lesson 19</v>
      </c>
      <c r="B601" t="s">
        <v>331</v>
      </c>
      <c r="C601" t="s">
        <v>353</v>
      </c>
      <c r="D601">
        <v>14</v>
      </c>
      <c r="E601">
        <v>301</v>
      </c>
      <c r="G601"/>
    </row>
    <row r="602" spans="1:7" x14ac:dyDescent="0.25">
      <c r="E602">
        <v>301</v>
      </c>
      <c r="G602"/>
    </row>
    <row r="603" spans="1:7" x14ac:dyDescent="0.25">
      <c r="A603" s="14" t="str">
        <f>HYPERLINK("https://www.youtube.com/watch?v=Xop5dt-yhOA","Video Lesson 19")</f>
        <v>Video Lesson 19</v>
      </c>
      <c r="B603" t="s">
        <v>331</v>
      </c>
      <c r="C603" t="s">
        <v>353</v>
      </c>
      <c r="D603">
        <v>15</v>
      </c>
      <c r="E603">
        <v>302</v>
      </c>
      <c r="G603"/>
    </row>
    <row r="604" spans="1:7" x14ac:dyDescent="0.25">
      <c r="E604">
        <v>302</v>
      </c>
      <c r="G604"/>
    </row>
    <row r="605" spans="1:7" x14ac:dyDescent="0.25">
      <c r="A605" s="14" t="str">
        <f>HYPERLINK("https://www.youtube.com/watch?v=Xop5dt-yhOA","Video Lesson 19")</f>
        <v>Video Lesson 19</v>
      </c>
      <c r="B605" t="s">
        <v>331</v>
      </c>
      <c r="C605" t="s">
        <v>353</v>
      </c>
      <c r="D605">
        <v>16</v>
      </c>
      <c r="E605">
        <v>303</v>
      </c>
      <c r="G605"/>
    </row>
    <row r="606" spans="1:7" x14ac:dyDescent="0.25">
      <c r="E606">
        <v>303</v>
      </c>
      <c r="G606"/>
    </row>
    <row r="607" spans="1:7" x14ac:dyDescent="0.25">
      <c r="A607" s="14" t="str">
        <f>HYPERLINK("https://www.youtube.com/watch?v=Xop5dt-yhOA","Video Lesson 19")</f>
        <v>Video Lesson 19</v>
      </c>
      <c r="B607" t="s">
        <v>331</v>
      </c>
      <c r="C607" t="s">
        <v>353</v>
      </c>
      <c r="D607">
        <v>17</v>
      </c>
      <c r="E607">
        <v>304</v>
      </c>
      <c r="G607"/>
    </row>
    <row r="608" spans="1:7" x14ac:dyDescent="0.25">
      <c r="E608">
        <v>304</v>
      </c>
      <c r="G608"/>
    </row>
    <row r="609" spans="1:7" x14ac:dyDescent="0.25">
      <c r="A609" s="14" t="str">
        <f>HYPERLINK("https://www.youtube.com/watch?v=Xop5dt-yhOA","Video Lesson 19")</f>
        <v>Video Lesson 19</v>
      </c>
      <c r="B609" t="s">
        <v>331</v>
      </c>
      <c r="C609" t="s">
        <v>353</v>
      </c>
      <c r="D609">
        <v>18</v>
      </c>
      <c r="E609">
        <v>305</v>
      </c>
      <c r="G609"/>
    </row>
    <row r="610" spans="1:7" x14ac:dyDescent="0.25">
      <c r="E610">
        <v>305</v>
      </c>
      <c r="G610"/>
    </row>
    <row r="611" spans="1:7" x14ac:dyDescent="0.25">
      <c r="A611" s="14" t="str">
        <f>HYPERLINK("https://www.youtube.com/watch?v=Xop5dt-yhOA","Video Lesson 19")</f>
        <v>Video Lesson 19</v>
      </c>
      <c r="B611" t="s">
        <v>331</v>
      </c>
      <c r="C611" t="s">
        <v>353</v>
      </c>
      <c r="D611">
        <v>19</v>
      </c>
      <c r="E611">
        <v>306</v>
      </c>
      <c r="G611"/>
    </row>
    <row r="612" spans="1:7" x14ac:dyDescent="0.25">
      <c r="E612">
        <v>306</v>
      </c>
      <c r="G612"/>
    </row>
    <row r="613" spans="1:7" x14ac:dyDescent="0.25">
      <c r="A613" s="14" t="str">
        <f>HYPERLINK("https://www.youtube.com/watch?v=Xop5dt-yhOA","Video Lesson 19")</f>
        <v>Video Lesson 19</v>
      </c>
      <c r="B613" t="s">
        <v>331</v>
      </c>
      <c r="C613" t="s">
        <v>353</v>
      </c>
      <c r="D613">
        <v>20</v>
      </c>
      <c r="E613">
        <v>307</v>
      </c>
      <c r="G613"/>
    </row>
    <row r="614" spans="1:7" x14ac:dyDescent="0.25">
      <c r="E614">
        <v>307</v>
      </c>
      <c r="G614"/>
    </row>
    <row r="615" spans="1:7" x14ac:dyDescent="0.25">
      <c r="A615" s="14" t="str">
        <f>HYPERLINK("https://www.youtube.com/watch?v=Xop5dt-yhOA","Video Lesson 19")</f>
        <v>Video Lesson 19</v>
      </c>
      <c r="B615" t="s">
        <v>331</v>
      </c>
      <c r="C615" t="s">
        <v>353</v>
      </c>
      <c r="D615">
        <v>21</v>
      </c>
      <c r="E615">
        <v>308</v>
      </c>
      <c r="G615"/>
    </row>
    <row r="616" spans="1:7" x14ac:dyDescent="0.25">
      <c r="E616">
        <v>308</v>
      </c>
      <c r="G616"/>
    </row>
    <row r="617" spans="1:7" x14ac:dyDescent="0.25">
      <c r="A617" s="14" t="str">
        <f>HYPERLINK("https://www.youtube.com/watch?v=Xop5dt-yhOA","Video Lesson 19")</f>
        <v>Video Lesson 19</v>
      </c>
      <c r="B617" t="s">
        <v>331</v>
      </c>
      <c r="C617" t="s">
        <v>353</v>
      </c>
      <c r="D617">
        <v>22</v>
      </c>
      <c r="E617">
        <v>309</v>
      </c>
      <c r="G617"/>
    </row>
    <row r="618" spans="1:7" x14ac:dyDescent="0.25">
      <c r="E618">
        <v>309</v>
      </c>
      <c r="G618"/>
    </row>
    <row r="619" spans="1:7" x14ac:dyDescent="0.25">
      <c r="A619" s="14" t="str">
        <f>HYPERLINK("https://www.youtube.com/watch?v=Xop5dt-yhOA","Video Lesson 19")</f>
        <v>Video Lesson 19</v>
      </c>
      <c r="B619" t="s">
        <v>331</v>
      </c>
      <c r="C619" t="s">
        <v>353</v>
      </c>
      <c r="D619">
        <v>23</v>
      </c>
      <c r="E619">
        <v>310</v>
      </c>
      <c r="G619"/>
    </row>
    <row r="620" spans="1:7" x14ac:dyDescent="0.25">
      <c r="E620">
        <v>310</v>
      </c>
      <c r="G620"/>
    </row>
    <row r="621" spans="1:7" x14ac:dyDescent="0.25">
      <c r="A621" s="14" t="str">
        <f>HYPERLINK("https://www.youtube.com/watch?v=Xop5dt-yhOA","Video Lesson 19")</f>
        <v>Video Lesson 19</v>
      </c>
      <c r="B621" t="s">
        <v>331</v>
      </c>
      <c r="C621" t="s">
        <v>353</v>
      </c>
      <c r="D621">
        <v>24</v>
      </c>
      <c r="E621">
        <v>311</v>
      </c>
      <c r="G621"/>
    </row>
    <row r="622" spans="1:7" x14ac:dyDescent="0.25">
      <c r="E622">
        <v>311</v>
      </c>
      <c r="G622"/>
    </row>
    <row r="623" spans="1:7" x14ac:dyDescent="0.25">
      <c r="A623" s="14" t="str">
        <f>HYPERLINK("https://www.youtube.com/watch?v=Xop5dt-yhOA","Video Lesson 19")</f>
        <v>Video Lesson 19</v>
      </c>
      <c r="B623" t="s">
        <v>331</v>
      </c>
      <c r="C623" t="s">
        <v>353</v>
      </c>
      <c r="D623">
        <v>25</v>
      </c>
      <c r="E623">
        <v>312</v>
      </c>
      <c r="G623"/>
    </row>
    <row r="624" spans="1:7" x14ac:dyDescent="0.25">
      <c r="E624">
        <v>312</v>
      </c>
      <c r="G624"/>
    </row>
    <row r="625" spans="1:7" x14ac:dyDescent="0.25">
      <c r="A625" s="14" t="str">
        <f>HYPERLINK("https://www.youtube.com/watch?v=Xop5dt-yhOA","Video Lesson 19")</f>
        <v>Video Lesson 19</v>
      </c>
      <c r="B625" t="s">
        <v>331</v>
      </c>
      <c r="C625" t="s">
        <v>353</v>
      </c>
      <c r="D625">
        <v>26</v>
      </c>
      <c r="E625">
        <v>313</v>
      </c>
      <c r="G625"/>
    </row>
    <row r="626" spans="1:7" x14ac:dyDescent="0.25">
      <c r="E626">
        <v>313</v>
      </c>
      <c r="G626"/>
    </row>
    <row r="627" spans="1:7" x14ac:dyDescent="0.25">
      <c r="A627" s="14" t="str">
        <f>HYPERLINK("https://www.youtube.com/watch?v=Xop5dt-yhOA","Video Lesson 19")</f>
        <v>Video Lesson 19</v>
      </c>
      <c r="B627" t="s">
        <v>331</v>
      </c>
      <c r="C627" t="s">
        <v>353</v>
      </c>
      <c r="D627">
        <v>27</v>
      </c>
      <c r="E627">
        <v>314</v>
      </c>
      <c r="G627"/>
    </row>
    <row r="628" spans="1:7" x14ac:dyDescent="0.25">
      <c r="E628">
        <v>314</v>
      </c>
      <c r="G628"/>
    </row>
    <row r="629" spans="1:7" x14ac:dyDescent="0.25">
      <c r="A629" s="14" t="str">
        <f>HYPERLINK("https://www.youtube.com/watch?v=Xop5dt-yhOA","Video Lesson 19")</f>
        <v>Video Lesson 19</v>
      </c>
      <c r="B629" t="s">
        <v>331</v>
      </c>
      <c r="C629" t="s">
        <v>353</v>
      </c>
      <c r="D629">
        <v>28</v>
      </c>
      <c r="E629">
        <v>315</v>
      </c>
      <c r="G629"/>
    </row>
    <row r="630" spans="1:7" x14ac:dyDescent="0.25">
      <c r="E630">
        <v>315</v>
      </c>
      <c r="G630"/>
    </row>
    <row r="631" spans="1:7" x14ac:dyDescent="0.25">
      <c r="A631" s="14" t="str">
        <f>HYPERLINK("https://www.youtube.com/watch?v=DfQwYS9JfME","Video Lesson 6")</f>
        <v>Video Lesson 6</v>
      </c>
      <c r="B631" t="s">
        <v>331</v>
      </c>
      <c r="C631" t="s">
        <v>354</v>
      </c>
      <c r="D631">
        <v>1</v>
      </c>
      <c r="E631">
        <v>316</v>
      </c>
      <c r="G631"/>
    </row>
    <row r="632" spans="1:7" x14ac:dyDescent="0.25">
      <c r="E632">
        <v>316</v>
      </c>
      <c r="G632"/>
    </row>
    <row r="633" spans="1:7" x14ac:dyDescent="0.25">
      <c r="A633" s="14" t="str">
        <f>HYPERLINK("https://www.youtube.com/watch?v=DfQwYS9JfME","Video Lesson 6")</f>
        <v>Video Lesson 6</v>
      </c>
      <c r="B633" t="s">
        <v>331</v>
      </c>
      <c r="C633" t="s">
        <v>354</v>
      </c>
      <c r="D633">
        <v>2</v>
      </c>
      <c r="E633">
        <v>317</v>
      </c>
      <c r="G633"/>
    </row>
    <row r="634" spans="1:7" x14ac:dyDescent="0.25">
      <c r="E634">
        <v>317</v>
      </c>
      <c r="G634"/>
    </row>
    <row r="635" spans="1:7" x14ac:dyDescent="0.25">
      <c r="A635" s="14" t="str">
        <f>HYPERLINK("https://www.youtube.com/watch?v=DfQwYS9JfME","Video Lesson 6")</f>
        <v>Video Lesson 6</v>
      </c>
      <c r="B635" t="s">
        <v>331</v>
      </c>
      <c r="C635" t="s">
        <v>354</v>
      </c>
      <c r="D635">
        <v>3</v>
      </c>
      <c r="E635">
        <v>318</v>
      </c>
      <c r="G635"/>
    </row>
    <row r="636" spans="1:7" x14ac:dyDescent="0.25">
      <c r="E636">
        <v>318</v>
      </c>
      <c r="G636"/>
    </row>
    <row r="637" spans="1:7" x14ac:dyDescent="0.25">
      <c r="A637" s="14" t="str">
        <f>HYPERLINK("https://www.youtube.com/watch?v=DfQwYS9JfME","Video Lesson 6")</f>
        <v>Video Lesson 6</v>
      </c>
      <c r="B637" t="s">
        <v>331</v>
      </c>
      <c r="C637" t="s">
        <v>354</v>
      </c>
      <c r="D637">
        <v>4</v>
      </c>
      <c r="E637">
        <v>319</v>
      </c>
      <c r="G637"/>
    </row>
    <row r="638" spans="1:7" x14ac:dyDescent="0.25">
      <c r="E638">
        <v>319</v>
      </c>
      <c r="G638"/>
    </row>
    <row r="639" spans="1:7" x14ac:dyDescent="0.25">
      <c r="A639" s="14" t="str">
        <f>HYPERLINK("https://www.youtube.com/watch?v=DfQwYS9JfME","Video Lesson 6")</f>
        <v>Video Lesson 6</v>
      </c>
      <c r="B639" t="s">
        <v>331</v>
      </c>
      <c r="C639" t="s">
        <v>354</v>
      </c>
      <c r="D639">
        <v>5</v>
      </c>
      <c r="E639">
        <v>320</v>
      </c>
      <c r="G639"/>
    </row>
    <row r="640" spans="1:7" x14ac:dyDescent="0.25">
      <c r="E640">
        <v>320</v>
      </c>
      <c r="G640"/>
    </row>
    <row r="641" spans="1:7" x14ac:dyDescent="0.25">
      <c r="A641" s="14" t="str">
        <f>HYPERLINK("https://www.youtube.com/watch?v=DfQwYS9JfME","Video Lesson 6")</f>
        <v>Video Lesson 6</v>
      </c>
      <c r="B641" t="s">
        <v>331</v>
      </c>
      <c r="C641" t="s">
        <v>354</v>
      </c>
      <c r="D641">
        <v>6</v>
      </c>
      <c r="E641">
        <v>321</v>
      </c>
      <c r="G641"/>
    </row>
    <row r="642" spans="1:7" x14ac:dyDescent="0.25">
      <c r="E642">
        <v>321</v>
      </c>
      <c r="G642"/>
    </row>
    <row r="643" spans="1:7" x14ac:dyDescent="0.25">
      <c r="A643" s="14" t="str">
        <f>HYPERLINK("https://www.youtube.com/watch?v=DfQwYS9JfME","Video Lesson 6")</f>
        <v>Video Lesson 6</v>
      </c>
      <c r="B643" t="s">
        <v>331</v>
      </c>
      <c r="C643" t="s">
        <v>354</v>
      </c>
      <c r="D643">
        <v>7</v>
      </c>
      <c r="E643">
        <v>322</v>
      </c>
      <c r="G643"/>
    </row>
    <row r="644" spans="1:7" x14ac:dyDescent="0.25">
      <c r="E644">
        <v>322</v>
      </c>
      <c r="G644"/>
    </row>
    <row r="645" spans="1:7" x14ac:dyDescent="0.25">
      <c r="A645" s="14" t="str">
        <f>HYPERLINK("https://www.youtube.com/watch?v=DfQwYS9JfME","Video Lesson 6")</f>
        <v>Video Lesson 6</v>
      </c>
      <c r="B645" t="s">
        <v>331</v>
      </c>
      <c r="C645" t="s">
        <v>354</v>
      </c>
      <c r="D645">
        <v>8</v>
      </c>
      <c r="E645">
        <v>323</v>
      </c>
      <c r="G645"/>
    </row>
    <row r="646" spans="1:7" x14ac:dyDescent="0.25">
      <c r="E646">
        <v>323</v>
      </c>
      <c r="G646"/>
    </row>
    <row r="647" spans="1:7" x14ac:dyDescent="0.25">
      <c r="A647" s="14" t="str">
        <f>HYPERLINK("https://www.youtube.com/watch?v=Xop5dt-yhOA","Video Lesson 19")</f>
        <v>Video Lesson 19</v>
      </c>
      <c r="B647" t="s">
        <v>332</v>
      </c>
      <c r="C647" t="s">
        <v>355</v>
      </c>
      <c r="D647">
        <v>1</v>
      </c>
      <c r="E647">
        <v>324</v>
      </c>
      <c r="G647"/>
    </row>
    <row r="648" spans="1:7" x14ac:dyDescent="0.25">
      <c r="E648">
        <v>324</v>
      </c>
      <c r="G648"/>
    </row>
    <row r="649" spans="1:7" x14ac:dyDescent="0.25">
      <c r="A649" s="14" t="str">
        <f>HYPERLINK("https://www.youtube.com/watch?v=Xop5dt-yhOA","Video Lesson 19")</f>
        <v>Video Lesson 19</v>
      </c>
      <c r="B649" t="s">
        <v>332</v>
      </c>
      <c r="C649" t="s">
        <v>355</v>
      </c>
      <c r="D649">
        <v>2</v>
      </c>
      <c r="E649">
        <v>325</v>
      </c>
      <c r="G649"/>
    </row>
    <row r="650" spans="1:7" x14ac:dyDescent="0.25">
      <c r="E650">
        <v>325</v>
      </c>
      <c r="G650"/>
    </row>
    <row r="651" spans="1:7" x14ac:dyDescent="0.25">
      <c r="A651" s="14" t="str">
        <f>HYPERLINK("https://www.youtube.com/watch?v=Xop5dt-yhOA","Video Lesson 19")</f>
        <v>Video Lesson 19</v>
      </c>
      <c r="B651" t="s">
        <v>332</v>
      </c>
      <c r="C651" t="s">
        <v>355</v>
      </c>
      <c r="D651">
        <v>3</v>
      </c>
      <c r="E651">
        <v>326</v>
      </c>
      <c r="G651"/>
    </row>
    <row r="652" spans="1:7" x14ac:dyDescent="0.25">
      <c r="E652">
        <v>326</v>
      </c>
      <c r="G652"/>
    </row>
    <row r="653" spans="1:7" x14ac:dyDescent="0.25">
      <c r="A653" s="14" t="str">
        <f>HYPERLINK("https://www.youtube.com/watch?v=Xop5dt-yhOA","Video Lesson 19")</f>
        <v>Video Lesson 19</v>
      </c>
      <c r="B653" t="s">
        <v>332</v>
      </c>
      <c r="C653" t="s">
        <v>355</v>
      </c>
      <c r="D653">
        <v>4</v>
      </c>
      <c r="E653">
        <v>327</v>
      </c>
      <c r="G653"/>
    </row>
    <row r="654" spans="1:7" x14ac:dyDescent="0.25">
      <c r="E654">
        <v>327</v>
      </c>
      <c r="G654"/>
    </row>
    <row r="655" spans="1:7" x14ac:dyDescent="0.25">
      <c r="A655" s="14" t="str">
        <f>HYPERLINK("https://www.youtube.com/watch?v=jVxw8JRCMDk","Video Lesson 21")</f>
        <v>Video Lesson 21</v>
      </c>
      <c r="B655" t="s">
        <v>332</v>
      </c>
      <c r="C655" t="s">
        <v>355</v>
      </c>
      <c r="D655">
        <v>5</v>
      </c>
      <c r="E655">
        <v>328</v>
      </c>
      <c r="G655"/>
    </row>
    <row r="656" spans="1:7" x14ac:dyDescent="0.25">
      <c r="E656">
        <v>328</v>
      </c>
      <c r="G656"/>
    </row>
    <row r="657" spans="1:7" x14ac:dyDescent="0.25">
      <c r="A657" s="14" t="str">
        <f>HYPERLINK("https://www.youtube.com/watch?v=jVxw8JRCMDk","Video Lesson 21")</f>
        <v>Video Lesson 21</v>
      </c>
      <c r="B657" t="s">
        <v>332</v>
      </c>
      <c r="C657" t="s">
        <v>355</v>
      </c>
      <c r="D657">
        <v>6</v>
      </c>
      <c r="E657">
        <v>329</v>
      </c>
      <c r="G657"/>
    </row>
    <row r="658" spans="1:7" x14ac:dyDescent="0.25">
      <c r="E658">
        <v>329</v>
      </c>
      <c r="G658"/>
    </row>
    <row r="659" spans="1:7" x14ac:dyDescent="0.25">
      <c r="A659" s="14" t="str">
        <f>HYPERLINK("https://www.youtube.com/watch?v=jVxw8JRCMDk","Video Lesson 21")</f>
        <v>Video Lesson 21</v>
      </c>
      <c r="B659" t="s">
        <v>332</v>
      </c>
      <c r="C659" t="s">
        <v>355</v>
      </c>
      <c r="D659">
        <v>7</v>
      </c>
      <c r="E659">
        <v>330</v>
      </c>
      <c r="G659"/>
    </row>
    <row r="660" spans="1:7" x14ac:dyDescent="0.25">
      <c r="E660">
        <v>330</v>
      </c>
      <c r="G660"/>
    </row>
    <row r="661" spans="1:7" x14ac:dyDescent="0.25">
      <c r="A661" s="14" t="str">
        <f>HYPERLINK("https://www.youtube.com/watch?v=EWu4a7ogxVA","Video Lesson 'Improvisation'")</f>
        <v>Video Lesson 'Improvisation'</v>
      </c>
      <c r="B661" t="s">
        <v>332</v>
      </c>
      <c r="C661" t="s">
        <v>355</v>
      </c>
      <c r="D661">
        <v>8</v>
      </c>
      <c r="E661">
        <v>331</v>
      </c>
      <c r="G661"/>
    </row>
    <row r="662" spans="1:7" x14ac:dyDescent="0.25">
      <c r="E662">
        <v>331</v>
      </c>
      <c r="G662"/>
    </row>
    <row r="663" spans="1:7" x14ac:dyDescent="0.25">
      <c r="A663" s="14" t="str">
        <f>HYPERLINK("https://www.youtube.com/watch?v=M-mxlyVa6iM","Video Lesson 24")</f>
        <v>Video Lesson 24</v>
      </c>
      <c r="B663" t="s">
        <v>332</v>
      </c>
      <c r="C663" t="s">
        <v>355</v>
      </c>
      <c r="D663">
        <v>9</v>
      </c>
      <c r="E663">
        <v>332</v>
      </c>
      <c r="G663"/>
    </row>
    <row r="664" spans="1:7" x14ac:dyDescent="0.25">
      <c r="E664">
        <v>332</v>
      </c>
      <c r="G664"/>
    </row>
    <row r="665" spans="1:7" x14ac:dyDescent="0.25">
      <c r="A665" s="14" t="str">
        <f>HYPERLINK("https://www.youtube.com/watch?v=YMwQ4agNMPI","Video Lesson '2nd Valentine'")</f>
        <v>Video Lesson '2nd Valentine'</v>
      </c>
      <c r="B665" t="s">
        <v>332</v>
      </c>
      <c r="C665" t="s">
        <v>355</v>
      </c>
      <c r="D665">
        <v>10</v>
      </c>
      <c r="E665">
        <v>333</v>
      </c>
      <c r="G665"/>
    </row>
    <row r="666" spans="1:7" x14ac:dyDescent="0.25">
      <c r="E666">
        <v>333</v>
      </c>
      <c r="G666"/>
    </row>
    <row r="667" spans="1:7" x14ac:dyDescent="0.25">
      <c r="A667" s="14" t="str">
        <f>HYPERLINK("https://www.youtube.com/watch?v=EWu4a7ogxVA","Video Lesson 'Improvisation'")</f>
        <v>Video Lesson 'Improvisation'</v>
      </c>
      <c r="B667" t="s">
        <v>332</v>
      </c>
      <c r="C667" t="s">
        <v>355</v>
      </c>
      <c r="D667">
        <v>11</v>
      </c>
      <c r="E667">
        <v>334</v>
      </c>
      <c r="G667"/>
    </row>
    <row r="668" spans="1:7" x14ac:dyDescent="0.25">
      <c r="E668">
        <v>334</v>
      </c>
      <c r="G668"/>
    </row>
    <row r="669" spans="1:7" x14ac:dyDescent="0.25">
      <c r="A669" s="14" t="str">
        <f>HYPERLINK("https://www.youtube.com/watch?v=EWu4a7ogxVA","Video Lesson 'Improvisation'")</f>
        <v>Video Lesson 'Improvisation'</v>
      </c>
      <c r="B669" t="s">
        <v>332</v>
      </c>
      <c r="C669" t="s">
        <v>355</v>
      </c>
      <c r="D669">
        <v>12</v>
      </c>
      <c r="E669">
        <v>335</v>
      </c>
      <c r="G669"/>
    </row>
    <row r="670" spans="1:7" x14ac:dyDescent="0.25">
      <c r="E670">
        <v>335</v>
      </c>
      <c r="G670"/>
    </row>
    <row r="671" spans="1:7" x14ac:dyDescent="0.25">
      <c r="A671" s="14" t="str">
        <f>HYPERLINK("https://www.youtube.com/watch?v=EWu4a7ogxVA","Video Lesson 'Improvisation'")</f>
        <v>Video Lesson 'Improvisation'</v>
      </c>
      <c r="B671" t="s">
        <v>332</v>
      </c>
      <c r="C671" t="s">
        <v>355</v>
      </c>
      <c r="D671">
        <v>13</v>
      </c>
      <c r="E671">
        <v>336</v>
      </c>
      <c r="G671"/>
    </row>
    <row r="672" spans="1:7" x14ac:dyDescent="0.25">
      <c r="E672">
        <v>336</v>
      </c>
      <c r="G672"/>
    </row>
    <row r="673" spans="1:7" x14ac:dyDescent="0.25">
      <c r="A673" s="14" t="str">
        <f>HYPERLINK("https://www.youtube.com/watch?v=EWu4a7ogxVA","Video Lesson 'Improvisation'")</f>
        <v>Video Lesson 'Improvisation'</v>
      </c>
      <c r="B673" t="s">
        <v>332</v>
      </c>
      <c r="C673" t="s">
        <v>355</v>
      </c>
      <c r="D673">
        <v>14</v>
      </c>
      <c r="E673">
        <v>337</v>
      </c>
      <c r="G673"/>
    </row>
    <row r="674" spans="1:7" x14ac:dyDescent="0.25">
      <c r="E674">
        <v>337</v>
      </c>
      <c r="G674"/>
    </row>
    <row r="675" spans="1:7" x14ac:dyDescent="0.25">
      <c r="A675" s="14" t="str">
        <f>HYPERLINK("https://www.youtube.com/watch?v=EWu4a7ogxVA","Video Lesson 'Improvisation'")</f>
        <v>Video Lesson 'Improvisation'</v>
      </c>
      <c r="B675" t="s">
        <v>332</v>
      </c>
      <c r="C675" t="s">
        <v>355</v>
      </c>
      <c r="D675">
        <v>15</v>
      </c>
      <c r="E675">
        <v>338</v>
      </c>
      <c r="G675"/>
    </row>
    <row r="676" spans="1:7" x14ac:dyDescent="0.25">
      <c r="E676">
        <v>338</v>
      </c>
      <c r="G676"/>
    </row>
    <row r="677" spans="1:7" x14ac:dyDescent="0.25">
      <c r="A677" s="14" t="str">
        <f>HYPERLINK("https://www.youtube.com/watch?v=EWu4a7ogxVA","Video Lesson 'Improvisation'")</f>
        <v>Video Lesson 'Improvisation'</v>
      </c>
      <c r="B677" t="s">
        <v>332</v>
      </c>
      <c r="C677" t="s">
        <v>355</v>
      </c>
      <c r="D677">
        <v>16</v>
      </c>
      <c r="E677">
        <v>339</v>
      </c>
      <c r="G677"/>
    </row>
    <row r="678" spans="1:7" x14ac:dyDescent="0.25">
      <c r="E678">
        <v>339</v>
      </c>
      <c r="G678"/>
    </row>
    <row r="679" spans="1:7" x14ac:dyDescent="0.25">
      <c r="A679" s="14" t="str">
        <f>HYPERLINK("https://www.youtube.com/watch?v=EWu4a7ogxVA","Video Lesson 'Improvisation'")</f>
        <v>Video Lesson 'Improvisation'</v>
      </c>
      <c r="B679" t="s">
        <v>332</v>
      </c>
      <c r="C679" t="s">
        <v>355</v>
      </c>
      <c r="D679">
        <v>17</v>
      </c>
      <c r="E679">
        <v>340</v>
      </c>
      <c r="G679"/>
    </row>
    <row r="680" spans="1:7" x14ac:dyDescent="0.25">
      <c r="E680">
        <v>340</v>
      </c>
      <c r="G680"/>
    </row>
    <row r="681" spans="1:7" x14ac:dyDescent="0.25">
      <c r="A681" s="14" t="str">
        <f>HYPERLINK("https://www.youtube.com/watch?v=EWu4a7ogxVA","Video Lesson 'Improvisation'")</f>
        <v>Video Lesson 'Improvisation'</v>
      </c>
      <c r="B681" t="s">
        <v>332</v>
      </c>
      <c r="C681" t="s">
        <v>355</v>
      </c>
      <c r="D681">
        <v>18</v>
      </c>
      <c r="E681">
        <v>341</v>
      </c>
      <c r="G681"/>
    </row>
    <row r="682" spans="1:7" x14ac:dyDescent="0.25">
      <c r="E682">
        <v>341</v>
      </c>
      <c r="G682"/>
    </row>
    <row r="683" spans="1:7" x14ac:dyDescent="0.25">
      <c r="A683" s="14" t="str">
        <f>HYPERLINK("https://www.youtube.com/watch?v=EWu4a7ogxVA","Video Lesson 'Improvisation'")</f>
        <v>Video Lesson 'Improvisation'</v>
      </c>
      <c r="B683" t="s">
        <v>332</v>
      </c>
      <c r="C683" t="s">
        <v>355</v>
      </c>
      <c r="D683">
        <v>19</v>
      </c>
      <c r="E683">
        <v>342</v>
      </c>
      <c r="G683"/>
    </row>
    <row r="684" spans="1:7" x14ac:dyDescent="0.25">
      <c r="E684">
        <v>342</v>
      </c>
      <c r="G684"/>
    </row>
    <row r="685" spans="1:7" x14ac:dyDescent="0.25">
      <c r="A685" s="14" t="str">
        <f>HYPERLINK("https://www.youtube.com/watch?v=RmEAQDsTTaE","Video Lesson 23")</f>
        <v>Video Lesson 23</v>
      </c>
      <c r="B685" t="s">
        <v>332</v>
      </c>
      <c r="C685" t="s">
        <v>355</v>
      </c>
      <c r="D685">
        <v>20</v>
      </c>
      <c r="E685">
        <v>343</v>
      </c>
      <c r="G685"/>
    </row>
    <row r="686" spans="1:7" x14ac:dyDescent="0.25">
      <c r="E686">
        <v>343</v>
      </c>
      <c r="G686"/>
    </row>
    <row r="687" spans="1:7" x14ac:dyDescent="0.25">
      <c r="A687" s="14" t="str">
        <f>HYPERLINK("https://www.youtube.com/watch?v=RmEAQDsTTaE","Video Lesson 23")</f>
        <v>Video Lesson 23</v>
      </c>
      <c r="B687" t="s">
        <v>332</v>
      </c>
      <c r="C687" t="s">
        <v>355</v>
      </c>
      <c r="D687">
        <v>21</v>
      </c>
      <c r="E687">
        <v>344</v>
      </c>
      <c r="G687"/>
    </row>
    <row r="688" spans="1:7" x14ac:dyDescent="0.25">
      <c r="E688">
        <v>344</v>
      </c>
      <c r="G688"/>
    </row>
    <row r="689" spans="1:7" x14ac:dyDescent="0.25">
      <c r="A689" s="14" t="str">
        <f>HYPERLINK("https://www.youtube.com/watch?v=RmEAQDsTTaE","Video Lesson 23")</f>
        <v>Video Lesson 23</v>
      </c>
      <c r="B689" t="s">
        <v>332</v>
      </c>
      <c r="C689" t="s">
        <v>355</v>
      </c>
      <c r="D689">
        <v>22</v>
      </c>
      <c r="E689">
        <v>345</v>
      </c>
      <c r="G689"/>
    </row>
    <row r="690" spans="1:7" x14ac:dyDescent="0.25">
      <c r="E690">
        <v>345</v>
      </c>
      <c r="G690"/>
    </row>
    <row r="691" spans="1:7" x14ac:dyDescent="0.25">
      <c r="A691" s="14" t="str">
        <f>HYPERLINK("https://www.youtube.com/watch?v=RmEAQDsTTaE","Video Lesson 23")</f>
        <v>Video Lesson 23</v>
      </c>
      <c r="B691" t="s">
        <v>332</v>
      </c>
      <c r="C691" t="s">
        <v>355</v>
      </c>
      <c r="D691">
        <v>23</v>
      </c>
      <c r="E691">
        <v>346</v>
      </c>
      <c r="G691"/>
    </row>
    <row r="692" spans="1:7" x14ac:dyDescent="0.25">
      <c r="E692">
        <v>346</v>
      </c>
      <c r="G692"/>
    </row>
    <row r="693" spans="1:7" x14ac:dyDescent="0.25">
      <c r="A693" s="14" t="str">
        <f>HYPERLINK("https://www.youtube.com/watch?v=RmEAQDsTTaE","Video Lesson 23")</f>
        <v>Video Lesson 23</v>
      </c>
      <c r="B693" t="s">
        <v>332</v>
      </c>
      <c r="C693" t="s">
        <v>355</v>
      </c>
      <c r="D693">
        <v>24</v>
      </c>
      <c r="E693">
        <v>347</v>
      </c>
      <c r="G693"/>
    </row>
    <row r="694" spans="1:7" x14ac:dyDescent="0.25">
      <c r="E694">
        <v>347</v>
      </c>
      <c r="G694"/>
    </row>
    <row r="695" spans="1:7" x14ac:dyDescent="0.25">
      <c r="A695" s="14" t="str">
        <f>HYPERLINK("https://www.youtube.com/watch?v=EWu4a7ogxVA","Video Lesson 'Improvisation'")</f>
        <v>Video Lesson 'Improvisation'</v>
      </c>
      <c r="B695" t="s">
        <v>332</v>
      </c>
      <c r="C695" t="s">
        <v>355</v>
      </c>
      <c r="D695">
        <v>25</v>
      </c>
      <c r="E695">
        <v>348</v>
      </c>
      <c r="G695"/>
    </row>
    <row r="696" spans="1:7" x14ac:dyDescent="0.25">
      <c r="E696">
        <v>348</v>
      </c>
      <c r="G696"/>
    </row>
  </sheetData>
  <sortState ref="A1:E696">
    <sortCondition ref="E1:E696"/>
  </sortState>
  <hyperlinks>
    <hyperlink ref="H15" r:id="rId1"/>
    <hyperlink ref="H19" r:id="rId2"/>
    <hyperlink ref="H27" r:id="rId3"/>
  </hyperlinks>
  <pageMargins left="0.7" right="0.7" top="0.75" bottom="0.75" header="0.3" footer="0.3"/>
  <pageSetup orientation="portrait"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6"/>
  <sheetViews>
    <sheetView workbookViewId="0">
      <selection activeCell="M91" sqref="M91:M104"/>
    </sheetView>
  </sheetViews>
  <sheetFormatPr defaultRowHeight="15" x14ac:dyDescent="0.25"/>
  <cols>
    <col min="1" max="1" width="49.28515625" bestFit="1" customWidth="1"/>
    <col min="2" max="2" width="28.28515625" customWidth="1"/>
  </cols>
  <sheetData>
    <row r="1" spans="1:16" x14ac:dyDescent="0.25">
      <c r="A1" t="s">
        <v>454</v>
      </c>
      <c r="B1" t="s">
        <v>455</v>
      </c>
      <c r="C1" t="str">
        <f>A1&amp;" / "&amp;B1</f>
        <v>Hello / marHaba</v>
      </c>
      <c r="E1" t="str">
        <f>A1&amp;" "&amp;B1</f>
        <v>Hello marHaba</v>
      </c>
      <c r="G1" t="str">
        <f t="shared" ref="G1:G32" si="0">A1&amp;":"&amp;B1</f>
        <v>Hello:marHaba</v>
      </c>
      <c r="J1" t="s">
        <v>563</v>
      </c>
      <c r="L1">
        <v>1</v>
      </c>
      <c r="M1" t="s">
        <v>717</v>
      </c>
      <c r="O1" t="s">
        <v>1</v>
      </c>
      <c r="P1" t="s">
        <v>66</v>
      </c>
    </row>
    <row r="2" spans="1:16" x14ac:dyDescent="0.25">
      <c r="A2" t="s">
        <v>457</v>
      </c>
      <c r="B2" t="s">
        <v>456</v>
      </c>
      <c r="C2" t="str">
        <f t="shared" ref="C2:C38" si="1">A2&amp;" / "&amp;B2</f>
        <v>I work / beshteghil</v>
      </c>
      <c r="E2" t="str">
        <f t="shared" ref="E2:E38" si="2">A2&amp;" "&amp;B2</f>
        <v>I work beshteghil</v>
      </c>
      <c r="G2" t="str">
        <f t="shared" si="0"/>
        <v>I work:beshteghil</v>
      </c>
      <c r="J2" t="s">
        <v>588</v>
      </c>
      <c r="L2">
        <v>1</v>
      </c>
      <c r="M2" t="s">
        <v>614</v>
      </c>
      <c r="O2" t="s">
        <v>457</v>
      </c>
      <c r="P2" t="s">
        <v>456</v>
      </c>
    </row>
    <row r="3" spans="1:16" x14ac:dyDescent="0.25">
      <c r="A3" t="s">
        <v>458</v>
      </c>
      <c r="B3" t="s">
        <v>459</v>
      </c>
      <c r="C3" t="str">
        <f t="shared" si="1"/>
        <v>My name is / esmeh</v>
      </c>
      <c r="E3" t="str">
        <f t="shared" si="2"/>
        <v>My name is esmeh</v>
      </c>
      <c r="G3" t="str">
        <f t="shared" si="0"/>
        <v>My name is:esmeh</v>
      </c>
      <c r="J3" t="s">
        <v>602</v>
      </c>
      <c r="L3">
        <v>1</v>
      </c>
      <c r="M3" t="s">
        <v>615</v>
      </c>
      <c r="O3" t="s">
        <v>501</v>
      </c>
      <c r="P3" t="s">
        <v>502</v>
      </c>
    </row>
    <row r="4" spans="1:16" x14ac:dyDescent="0.25">
      <c r="A4" t="s">
        <v>460</v>
      </c>
      <c r="B4" t="s">
        <v>461</v>
      </c>
      <c r="C4" t="str">
        <f t="shared" si="1"/>
        <v>Welcome / ahla w sahla</v>
      </c>
      <c r="E4" t="str">
        <f t="shared" si="2"/>
        <v>Welcome ahla w sahla</v>
      </c>
      <c r="G4" t="str">
        <f t="shared" si="0"/>
        <v>Welcome:ahla w sahla</v>
      </c>
      <c r="J4" t="s">
        <v>569</v>
      </c>
      <c r="L4">
        <v>1</v>
      </c>
      <c r="M4" t="s">
        <v>616</v>
      </c>
      <c r="O4" t="s">
        <v>388</v>
      </c>
      <c r="P4" t="s">
        <v>50</v>
      </c>
    </row>
    <row r="5" spans="1:16" x14ac:dyDescent="0.25">
      <c r="A5" t="s">
        <v>462</v>
      </c>
      <c r="B5" t="s">
        <v>463</v>
      </c>
      <c r="C5" t="str">
        <f t="shared" si="1"/>
        <v>Excuse me / 3afwan</v>
      </c>
      <c r="E5" t="str">
        <f t="shared" si="2"/>
        <v>Excuse me 3afwan</v>
      </c>
      <c r="G5" t="str">
        <f t="shared" si="0"/>
        <v>Excuse me:3afwan</v>
      </c>
      <c r="J5" t="s">
        <v>570</v>
      </c>
      <c r="L5">
        <v>1</v>
      </c>
      <c r="M5" t="s">
        <v>617</v>
      </c>
      <c r="O5" t="s">
        <v>483</v>
      </c>
      <c r="P5" t="s">
        <v>484</v>
      </c>
    </row>
    <row r="6" spans="1:16" x14ac:dyDescent="0.25">
      <c r="A6" t="s">
        <v>464</v>
      </c>
      <c r="B6" t="s">
        <v>465</v>
      </c>
      <c r="C6" t="str">
        <f t="shared" si="1"/>
        <v>money  / masareh</v>
      </c>
      <c r="E6" t="str">
        <f t="shared" si="2"/>
        <v>money  masareh</v>
      </c>
      <c r="G6" t="str">
        <f t="shared" si="0"/>
        <v>money :masareh</v>
      </c>
      <c r="J6" t="s">
        <v>567</v>
      </c>
      <c r="L6">
        <v>1</v>
      </c>
      <c r="M6" t="s">
        <v>618</v>
      </c>
      <c r="O6" t="s">
        <v>17</v>
      </c>
      <c r="P6" t="s">
        <v>82</v>
      </c>
    </row>
    <row r="7" spans="1:16" x14ac:dyDescent="0.25">
      <c r="A7" t="s">
        <v>466</v>
      </c>
      <c r="B7" t="s">
        <v>467</v>
      </c>
      <c r="C7" t="str">
        <f t="shared" si="1"/>
        <v>How much / addeh</v>
      </c>
      <c r="E7" t="str">
        <f t="shared" si="2"/>
        <v>How much addeh</v>
      </c>
      <c r="G7" t="str">
        <f t="shared" si="0"/>
        <v>How much:addeh</v>
      </c>
      <c r="J7" t="s">
        <v>611</v>
      </c>
      <c r="L7">
        <v>1</v>
      </c>
      <c r="M7" t="s">
        <v>619</v>
      </c>
      <c r="O7" t="s">
        <v>366</v>
      </c>
      <c r="P7" t="s">
        <v>27</v>
      </c>
    </row>
    <row r="8" spans="1:16" x14ac:dyDescent="0.25">
      <c r="A8" t="s">
        <v>470</v>
      </c>
      <c r="B8" t="s">
        <v>471</v>
      </c>
      <c r="C8" t="str">
        <f t="shared" si="1"/>
        <v>map  / khareeta</v>
      </c>
      <c r="E8" t="str">
        <f t="shared" si="2"/>
        <v>map  khareeta</v>
      </c>
      <c r="G8" t="str">
        <f t="shared" si="0"/>
        <v>map :khareeta</v>
      </c>
      <c r="J8" t="s">
        <v>533</v>
      </c>
      <c r="L8">
        <v>1</v>
      </c>
      <c r="M8" t="s">
        <v>620</v>
      </c>
      <c r="O8" t="s">
        <v>6</v>
      </c>
      <c r="P8" t="s">
        <v>72</v>
      </c>
    </row>
    <row r="9" spans="1:16" x14ac:dyDescent="0.25">
      <c r="A9" t="s">
        <v>468</v>
      </c>
      <c r="B9" t="s">
        <v>469</v>
      </c>
      <c r="C9" t="str">
        <f t="shared" si="1"/>
        <v>question / sou'aal</v>
      </c>
      <c r="E9" t="str">
        <f t="shared" si="2"/>
        <v>question sou'aal</v>
      </c>
      <c r="G9" t="str">
        <f t="shared" si="0"/>
        <v>question:sou'aal</v>
      </c>
      <c r="J9" t="s">
        <v>583</v>
      </c>
      <c r="L9">
        <v>1</v>
      </c>
      <c r="M9" t="s">
        <v>621</v>
      </c>
      <c r="O9" t="s">
        <v>454</v>
      </c>
      <c r="P9" t="s">
        <v>455</v>
      </c>
    </row>
    <row r="10" spans="1:16" x14ac:dyDescent="0.25">
      <c r="A10" t="s">
        <v>472</v>
      </c>
      <c r="B10" t="s">
        <v>473</v>
      </c>
      <c r="C10" t="str">
        <f t="shared" si="1"/>
        <v>room  / ouda</v>
      </c>
      <c r="E10" t="str">
        <f t="shared" si="2"/>
        <v>room  ouda</v>
      </c>
      <c r="G10" t="str">
        <f t="shared" si="0"/>
        <v>room :ouda</v>
      </c>
      <c r="J10" t="s">
        <v>594</v>
      </c>
      <c r="L10">
        <v>2</v>
      </c>
      <c r="M10" t="s">
        <v>622</v>
      </c>
      <c r="O10" t="s">
        <v>37</v>
      </c>
      <c r="P10" t="s">
        <v>38</v>
      </c>
    </row>
    <row r="11" spans="1:16" x14ac:dyDescent="0.25">
      <c r="A11" t="s">
        <v>474</v>
      </c>
      <c r="B11" t="s">
        <v>101</v>
      </c>
      <c r="C11" t="str">
        <f t="shared" si="1"/>
        <v>week  / jem3a</v>
      </c>
      <c r="E11" t="str">
        <f t="shared" si="2"/>
        <v>week  jem3a</v>
      </c>
      <c r="G11" t="str">
        <f t="shared" si="0"/>
        <v>week :jem3a</v>
      </c>
      <c r="J11" t="s">
        <v>529</v>
      </c>
      <c r="L11">
        <v>2</v>
      </c>
      <c r="M11" t="s">
        <v>623</v>
      </c>
      <c r="O11" t="s">
        <v>24</v>
      </c>
      <c r="P11" t="s">
        <v>88</v>
      </c>
    </row>
    <row r="12" spans="1:16" x14ac:dyDescent="0.25">
      <c r="A12" t="s">
        <v>475</v>
      </c>
      <c r="B12" t="s">
        <v>476</v>
      </c>
      <c r="C12" t="str">
        <f t="shared" si="1"/>
        <v>cheaper / arkhas</v>
      </c>
      <c r="E12" t="str">
        <f t="shared" si="2"/>
        <v>cheaper arkhas</v>
      </c>
      <c r="G12" t="str">
        <f t="shared" si="0"/>
        <v>cheaper:arkhas</v>
      </c>
      <c r="J12" t="s">
        <v>598</v>
      </c>
      <c r="L12">
        <v>2</v>
      </c>
      <c r="M12" t="s">
        <v>624</v>
      </c>
      <c r="O12" t="s">
        <v>11</v>
      </c>
      <c r="P12" t="s">
        <v>76</v>
      </c>
    </row>
    <row r="13" spans="1:16" x14ac:dyDescent="0.25">
      <c r="A13" t="s">
        <v>477</v>
      </c>
      <c r="B13" t="s">
        <v>478</v>
      </c>
      <c r="C13" t="str">
        <f t="shared" si="1"/>
        <v>breakfast  / terwee'a</v>
      </c>
      <c r="E13" t="str">
        <f t="shared" si="2"/>
        <v>breakfast  terwee'a</v>
      </c>
      <c r="G13" t="str">
        <f t="shared" si="0"/>
        <v>breakfast :terwee'a</v>
      </c>
      <c r="J13" t="s">
        <v>551</v>
      </c>
      <c r="L13">
        <v>2</v>
      </c>
      <c r="M13" t="s">
        <v>625</v>
      </c>
      <c r="O13" t="s">
        <v>15</v>
      </c>
      <c r="P13" t="s">
        <v>80</v>
      </c>
    </row>
    <row r="14" spans="1:16" x14ac:dyDescent="0.25">
      <c r="A14" t="s">
        <v>2</v>
      </c>
      <c r="B14" t="s">
        <v>68</v>
      </c>
      <c r="C14" t="str">
        <f t="shared" si="1"/>
        <v>Zero  / sefer</v>
      </c>
      <c r="E14" t="str">
        <f t="shared" si="2"/>
        <v>Zero  sefer</v>
      </c>
      <c r="G14" t="str">
        <f t="shared" si="0"/>
        <v>Zero :sefer</v>
      </c>
      <c r="J14" t="s">
        <v>612</v>
      </c>
      <c r="L14">
        <v>2</v>
      </c>
      <c r="M14" t="s">
        <v>626</v>
      </c>
      <c r="O14" t="s">
        <v>21</v>
      </c>
      <c r="P14" t="s">
        <v>85</v>
      </c>
    </row>
    <row r="15" spans="1:16" x14ac:dyDescent="0.25">
      <c r="A15" t="s">
        <v>3</v>
      </c>
      <c r="B15" t="s">
        <v>69</v>
      </c>
      <c r="C15" t="str">
        <f t="shared" si="1"/>
        <v>One  / waHad</v>
      </c>
      <c r="E15" t="str">
        <f t="shared" si="2"/>
        <v>One  waHad</v>
      </c>
      <c r="G15" t="str">
        <f t="shared" si="0"/>
        <v>One :waHad</v>
      </c>
      <c r="J15" t="s">
        <v>515</v>
      </c>
      <c r="L15">
        <v>2</v>
      </c>
      <c r="M15" t="s">
        <v>627</v>
      </c>
      <c r="O15" t="s">
        <v>497</v>
      </c>
      <c r="P15" t="s">
        <v>498</v>
      </c>
    </row>
    <row r="16" spans="1:16" x14ac:dyDescent="0.25">
      <c r="A16" t="s">
        <v>4</v>
      </c>
      <c r="B16" t="s">
        <v>70</v>
      </c>
      <c r="C16" t="str">
        <f t="shared" si="1"/>
        <v>Two  / tnein</v>
      </c>
      <c r="E16" t="str">
        <f t="shared" si="2"/>
        <v>Two  tnein</v>
      </c>
      <c r="G16" t="str">
        <f t="shared" si="0"/>
        <v>Two :tnein</v>
      </c>
      <c r="J16" t="s">
        <v>539</v>
      </c>
      <c r="L16">
        <v>2</v>
      </c>
      <c r="M16" t="s">
        <v>628</v>
      </c>
      <c r="O16" t="s">
        <v>47</v>
      </c>
      <c r="P16" t="s">
        <v>101</v>
      </c>
    </row>
    <row r="17" spans="1:16" x14ac:dyDescent="0.25">
      <c r="A17" t="s">
        <v>5</v>
      </c>
      <c r="B17" t="s">
        <v>71</v>
      </c>
      <c r="C17" t="str">
        <f t="shared" si="1"/>
        <v>Three  / tleiteh</v>
      </c>
      <c r="E17" t="str">
        <f t="shared" si="2"/>
        <v>Three  tleiteh</v>
      </c>
      <c r="G17" t="str">
        <f t="shared" si="0"/>
        <v>Three :tleiteh</v>
      </c>
      <c r="J17" t="s">
        <v>566</v>
      </c>
      <c r="L17">
        <v>2</v>
      </c>
      <c r="M17" t="s">
        <v>629</v>
      </c>
      <c r="O17" t="s">
        <v>499</v>
      </c>
      <c r="P17" t="s">
        <v>500</v>
      </c>
    </row>
    <row r="18" spans="1:16" x14ac:dyDescent="0.25">
      <c r="A18" t="s">
        <v>6</v>
      </c>
      <c r="B18" t="s">
        <v>72</v>
      </c>
      <c r="C18" t="str">
        <f t="shared" si="1"/>
        <v>Four  / arb3a</v>
      </c>
      <c r="E18" t="str">
        <f t="shared" si="2"/>
        <v>Four  arb3a</v>
      </c>
      <c r="G18" t="str">
        <f t="shared" si="0"/>
        <v>Four :arb3a</v>
      </c>
      <c r="J18" t="s">
        <v>531</v>
      </c>
      <c r="L18">
        <v>2</v>
      </c>
      <c r="M18" t="s">
        <v>630</v>
      </c>
      <c r="O18" t="s">
        <v>23</v>
      </c>
      <c r="P18" t="s">
        <v>87</v>
      </c>
    </row>
    <row r="19" spans="1:16" x14ac:dyDescent="0.25">
      <c r="A19" t="s">
        <v>7</v>
      </c>
      <c r="B19" t="s">
        <v>73</v>
      </c>
      <c r="C19" t="str">
        <f t="shared" si="1"/>
        <v>Five  / khamseh</v>
      </c>
      <c r="E19" t="str">
        <f t="shared" si="2"/>
        <v>Five  khamseh</v>
      </c>
      <c r="G19" t="str">
        <f t="shared" si="0"/>
        <v>Five :khamseh</v>
      </c>
      <c r="J19" t="s">
        <v>552</v>
      </c>
      <c r="L19">
        <v>3</v>
      </c>
      <c r="M19" t="s">
        <v>631</v>
      </c>
      <c r="O19" t="s">
        <v>13</v>
      </c>
      <c r="P19" t="s">
        <v>79</v>
      </c>
    </row>
    <row r="20" spans="1:16" x14ac:dyDescent="0.25">
      <c r="A20" t="s">
        <v>8</v>
      </c>
      <c r="B20" t="s">
        <v>36</v>
      </c>
      <c r="C20" t="str">
        <f t="shared" si="1"/>
        <v>Six  / setteh</v>
      </c>
      <c r="E20" t="str">
        <f t="shared" si="2"/>
        <v>Six  setteh</v>
      </c>
      <c r="G20" t="str">
        <f t="shared" si="0"/>
        <v>Six :setteh</v>
      </c>
      <c r="J20" t="s">
        <v>558</v>
      </c>
      <c r="L20">
        <v>3</v>
      </c>
      <c r="M20" t="s">
        <v>632</v>
      </c>
      <c r="O20" t="s">
        <v>358</v>
      </c>
      <c r="P20" t="s">
        <v>60</v>
      </c>
    </row>
    <row r="21" spans="1:16" x14ac:dyDescent="0.25">
      <c r="A21" t="s">
        <v>9</v>
      </c>
      <c r="B21" t="s">
        <v>74</v>
      </c>
      <c r="C21" t="str">
        <f t="shared" si="1"/>
        <v>Seven  / sab3a</v>
      </c>
      <c r="E21" t="str">
        <f>A21&amp;" "&amp;B21</f>
        <v>Seven  sab3a</v>
      </c>
      <c r="G21" t="str">
        <f t="shared" si="0"/>
        <v>Seven :sab3a</v>
      </c>
      <c r="J21" t="s">
        <v>512</v>
      </c>
      <c r="L21">
        <v>3</v>
      </c>
      <c r="M21" t="s">
        <v>633</v>
      </c>
      <c r="O21" t="s">
        <v>45</v>
      </c>
      <c r="P21" t="s">
        <v>98</v>
      </c>
    </row>
    <row r="22" spans="1:16" x14ac:dyDescent="0.25">
      <c r="A22" t="s">
        <v>10</v>
      </c>
      <c r="B22" t="s">
        <v>75</v>
      </c>
      <c r="C22" t="str">
        <f t="shared" si="1"/>
        <v>Eight  / tmeineh</v>
      </c>
      <c r="E22" t="str">
        <f t="shared" si="2"/>
        <v>Eight  tmeineh</v>
      </c>
      <c r="G22" t="str">
        <f t="shared" si="0"/>
        <v>Eight :tmeineh</v>
      </c>
      <c r="J22" t="s">
        <v>599</v>
      </c>
      <c r="L22">
        <v>3</v>
      </c>
      <c r="M22" t="s">
        <v>634</v>
      </c>
      <c r="O22" t="s">
        <v>491</v>
      </c>
      <c r="P22" t="s">
        <v>492</v>
      </c>
    </row>
    <row r="23" spans="1:16" x14ac:dyDescent="0.25">
      <c r="A23" t="s">
        <v>11</v>
      </c>
      <c r="B23" t="s">
        <v>76</v>
      </c>
      <c r="C23" t="str">
        <f t="shared" si="1"/>
        <v>Nine  / tes3a</v>
      </c>
      <c r="E23" t="str">
        <f t="shared" si="2"/>
        <v>Nine  tes3a</v>
      </c>
      <c r="G23" t="str">
        <f t="shared" si="0"/>
        <v>Nine :tes3a</v>
      </c>
      <c r="J23" t="s">
        <v>586</v>
      </c>
      <c r="L23">
        <v>3</v>
      </c>
      <c r="M23" t="s">
        <v>635</v>
      </c>
      <c r="O23" t="s">
        <v>380</v>
      </c>
      <c r="P23" t="s">
        <v>115</v>
      </c>
    </row>
    <row r="24" spans="1:16" x14ac:dyDescent="0.25">
      <c r="A24" t="s">
        <v>12</v>
      </c>
      <c r="B24" t="s">
        <v>77</v>
      </c>
      <c r="C24" t="str">
        <f t="shared" si="1"/>
        <v>Ten  / 3ashra</v>
      </c>
      <c r="E24" t="str">
        <f t="shared" si="2"/>
        <v>Ten  3ashra</v>
      </c>
      <c r="G24" t="str">
        <f t="shared" si="0"/>
        <v>Ten :3ashra</v>
      </c>
      <c r="J24" t="s">
        <v>577</v>
      </c>
      <c r="L24">
        <v>3</v>
      </c>
      <c r="M24" t="s">
        <v>636</v>
      </c>
      <c r="O24" t="s">
        <v>372</v>
      </c>
      <c r="P24" t="s">
        <v>91</v>
      </c>
    </row>
    <row r="25" spans="1:16" x14ac:dyDescent="0.25">
      <c r="A25" t="s">
        <v>479</v>
      </c>
      <c r="B25" t="s">
        <v>480</v>
      </c>
      <c r="C25" t="str">
        <f t="shared" si="1"/>
        <v>Where / wein</v>
      </c>
      <c r="E25" t="str">
        <f t="shared" si="2"/>
        <v>Where wein</v>
      </c>
      <c r="G25" t="str">
        <f t="shared" si="0"/>
        <v>Where:wein</v>
      </c>
      <c r="J25" t="s">
        <v>568</v>
      </c>
      <c r="L25">
        <v>3</v>
      </c>
      <c r="M25" t="s">
        <v>637</v>
      </c>
      <c r="O25" t="s">
        <v>472</v>
      </c>
      <c r="P25" t="s">
        <v>473</v>
      </c>
    </row>
    <row r="26" spans="1:16" x14ac:dyDescent="0.25">
      <c r="A26" t="s">
        <v>14</v>
      </c>
      <c r="B26" t="s">
        <v>59</v>
      </c>
      <c r="C26" t="str">
        <f t="shared" si="1"/>
        <v>Left  / shmeil</v>
      </c>
      <c r="E26" t="str">
        <f t="shared" si="2"/>
        <v>Left  shmeil</v>
      </c>
      <c r="G26" t="str">
        <f t="shared" si="0"/>
        <v>Left :shmeil</v>
      </c>
      <c r="J26" t="s">
        <v>564</v>
      </c>
      <c r="L26">
        <v>3</v>
      </c>
      <c r="M26" t="s">
        <v>638</v>
      </c>
      <c r="O26" t="s">
        <v>4</v>
      </c>
      <c r="P26" t="s">
        <v>70</v>
      </c>
    </row>
    <row r="27" spans="1:16" x14ac:dyDescent="0.25">
      <c r="A27" t="s">
        <v>15</v>
      </c>
      <c r="B27" t="s">
        <v>80</v>
      </c>
      <c r="C27" t="str">
        <f t="shared" si="1"/>
        <v>Right  / yameen</v>
      </c>
      <c r="E27" t="str">
        <f t="shared" si="2"/>
        <v>Right  yameen</v>
      </c>
      <c r="G27" t="str">
        <f t="shared" si="0"/>
        <v>Right :yameen</v>
      </c>
      <c r="J27" t="s">
        <v>547</v>
      </c>
      <c r="L27">
        <v>4</v>
      </c>
      <c r="M27" t="s">
        <v>639</v>
      </c>
      <c r="O27" t="s">
        <v>371</v>
      </c>
      <c r="P27" t="s">
        <v>321</v>
      </c>
    </row>
    <row r="28" spans="1:16" x14ac:dyDescent="0.25">
      <c r="A28" t="s">
        <v>16</v>
      </c>
      <c r="B28" t="s">
        <v>81</v>
      </c>
      <c r="C28" t="str">
        <f t="shared" si="1"/>
        <v>Straight  / deghreh</v>
      </c>
      <c r="E28" t="str">
        <f t="shared" si="2"/>
        <v>Straight  deghreh</v>
      </c>
      <c r="G28" t="str">
        <f t="shared" si="0"/>
        <v>Straight :deghreh</v>
      </c>
      <c r="J28" t="s">
        <v>585</v>
      </c>
      <c r="L28">
        <v>4</v>
      </c>
      <c r="M28" t="s">
        <v>640</v>
      </c>
      <c r="O28" t="s">
        <v>395</v>
      </c>
      <c r="P28" t="s">
        <v>110</v>
      </c>
    </row>
    <row r="29" spans="1:16" x14ac:dyDescent="0.25">
      <c r="A29" t="s">
        <v>13</v>
      </c>
      <c r="B29" t="s">
        <v>79</v>
      </c>
      <c r="C29" t="str">
        <f t="shared" si="1"/>
        <v>Road  / taree'</v>
      </c>
      <c r="E29" t="str">
        <f t="shared" si="2"/>
        <v>Road  taree'</v>
      </c>
      <c r="G29" t="str">
        <f t="shared" si="0"/>
        <v>Road :taree'</v>
      </c>
      <c r="J29" t="s">
        <v>571</v>
      </c>
      <c r="L29">
        <v>4</v>
      </c>
      <c r="M29" t="s">
        <v>641</v>
      </c>
      <c r="O29" t="s">
        <v>3</v>
      </c>
      <c r="P29" t="s">
        <v>69</v>
      </c>
    </row>
    <row r="30" spans="1:16" x14ac:dyDescent="0.25">
      <c r="A30" t="s">
        <v>481</v>
      </c>
      <c r="B30" t="s">
        <v>482</v>
      </c>
      <c r="C30" t="str">
        <f t="shared" si="1"/>
        <v>How / kif</v>
      </c>
      <c r="E30" t="str">
        <f t="shared" si="2"/>
        <v>How kif</v>
      </c>
      <c r="G30" t="str">
        <f t="shared" si="0"/>
        <v>How:kif</v>
      </c>
      <c r="J30" t="s">
        <v>597</v>
      </c>
      <c r="L30">
        <v>4</v>
      </c>
      <c r="M30" t="s">
        <v>642</v>
      </c>
      <c r="O30" t="s">
        <v>357</v>
      </c>
      <c r="P30" t="s">
        <v>111</v>
      </c>
    </row>
    <row r="31" spans="1:16" x14ac:dyDescent="0.25">
      <c r="A31" t="s">
        <v>483</v>
      </c>
      <c r="B31" t="s">
        <v>484</v>
      </c>
      <c r="C31" t="str">
        <f t="shared" si="1"/>
        <v>street  / sheiri3</v>
      </c>
      <c r="E31" t="str">
        <f t="shared" si="2"/>
        <v>street  sheiri3</v>
      </c>
      <c r="G31" t="str">
        <f t="shared" si="0"/>
        <v>street :sheiri3</v>
      </c>
      <c r="J31" t="s">
        <v>514</v>
      </c>
      <c r="L31">
        <v>4</v>
      </c>
      <c r="M31" t="s">
        <v>643</v>
      </c>
      <c r="O31" t="s">
        <v>356</v>
      </c>
      <c r="P31" t="s">
        <v>96</v>
      </c>
    </row>
    <row r="32" spans="1:16" x14ac:dyDescent="0.25">
      <c r="A32" t="s">
        <v>485</v>
      </c>
      <c r="B32" t="s">
        <v>486</v>
      </c>
      <c r="C32" t="str">
        <f t="shared" si="1"/>
        <v>restaurant / mat3am</v>
      </c>
      <c r="E32" t="str">
        <f t="shared" si="2"/>
        <v>restaurant mat3am</v>
      </c>
      <c r="G32" t="str">
        <f t="shared" si="0"/>
        <v>restaurant:mat3am</v>
      </c>
      <c r="J32" t="s">
        <v>513</v>
      </c>
      <c r="L32">
        <v>4</v>
      </c>
      <c r="M32" t="s">
        <v>644</v>
      </c>
      <c r="O32" t="s">
        <v>477</v>
      </c>
      <c r="P32" t="s">
        <v>478</v>
      </c>
    </row>
    <row r="33" spans="1:16" x14ac:dyDescent="0.25">
      <c r="A33" t="s">
        <v>487</v>
      </c>
      <c r="B33" t="s">
        <v>488</v>
      </c>
      <c r="C33" t="str">
        <f t="shared" si="1"/>
        <v>What / shou</v>
      </c>
      <c r="E33" t="str">
        <f t="shared" si="2"/>
        <v>What shou</v>
      </c>
      <c r="G33" t="str">
        <f t="shared" ref="G33:G64" si="3">A33&amp;":"&amp;B33</f>
        <v>What:shou</v>
      </c>
      <c r="J33" t="s">
        <v>593</v>
      </c>
      <c r="L33">
        <v>4</v>
      </c>
      <c r="M33" t="s">
        <v>645</v>
      </c>
      <c r="O33" t="s">
        <v>382</v>
      </c>
      <c r="P33" t="s">
        <v>104</v>
      </c>
    </row>
    <row r="34" spans="1:16" x14ac:dyDescent="0.25">
      <c r="A34" t="s">
        <v>489</v>
      </c>
      <c r="B34" t="s">
        <v>490</v>
      </c>
      <c r="C34" t="str">
        <f t="shared" si="1"/>
        <v>something / shi</v>
      </c>
      <c r="E34" t="str">
        <f t="shared" si="2"/>
        <v>something shi</v>
      </c>
      <c r="G34" t="str">
        <f t="shared" si="3"/>
        <v>something:shi</v>
      </c>
      <c r="J34" t="s">
        <v>541</v>
      </c>
      <c r="L34">
        <v>4</v>
      </c>
      <c r="M34" t="s">
        <v>646</v>
      </c>
      <c r="O34" t="s">
        <v>48</v>
      </c>
      <c r="P34" t="s">
        <v>44</v>
      </c>
    </row>
    <row r="35" spans="1:16" x14ac:dyDescent="0.25">
      <c r="A35" t="s">
        <v>21</v>
      </c>
      <c r="B35" t="s">
        <v>85</v>
      </c>
      <c r="C35" t="str">
        <f t="shared" si="1"/>
        <v>Summer  / seif</v>
      </c>
      <c r="E35" t="str">
        <f t="shared" si="2"/>
        <v>Summer  seif</v>
      </c>
      <c r="G35" t="str">
        <f t="shared" si="3"/>
        <v>Summer :seif</v>
      </c>
      <c r="J35" t="s">
        <v>576</v>
      </c>
      <c r="L35">
        <v>4</v>
      </c>
      <c r="M35" t="s">
        <v>647</v>
      </c>
      <c r="O35" t="s">
        <v>397</v>
      </c>
      <c r="P35" t="s">
        <v>99</v>
      </c>
    </row>
    <row r="36" spans="1:16" x14ac:dyDescent="0.25">
      <c r="A36" t="s">
        <v>17</v>
      </c>
      <c r="B36" t="s">
        <v>82</v>
      </c>
      <c r="C36" t="str">
        <f t="shared" si="1"/>
        <v>Today  / lyom</v>
      </c>
      <c r="E36" t="str">
        <f t="shared" si="2"/>
        <v>Today  lyom</v>
      </c>
      <c r="G36" t="str">
        <f t="shared" si="3"/>
        <v>Today :lyom</v>
      </c>
      <c r="J36" t="s">
        <v>554</v>
      </c>
      <c r="L36">
        <v>5</v>
      </c>
      <c r="M36" t="s">
        <v>648</v>
      </c>
      <c r="O36" t="s">
        <v>9</v>
      </c>
      <c r="P36" t="s">
        <v>74</v>
      </c>
    </row>
    <row r="37" spans="1:16" x14ac:dyDescent="0.25">
      <c r="A37" t="s">
        <v>22</v>
      </c>
      <c r="B37" t="s">
        <v>86</v>
      </c>
      <c r="C37" t="str">
        <f t="shared" si="1"/>
        <v>Morning  / sobeH</v>
      </c>
      <c r="E37" t="str">
        <f t="shared" si="2"/>
        <v>Morning  sobeH</v>
      </c>
      <c r="G37" t="str">
        <f t="shared" si="3"/>
        <v>Morning :sobeH</v>
      </c>
      <c r="J37" t="s">
        <v>519</v>
      </c>
      <c r="L37">
        <v>5</v>
      </c>
      <c r="M37" t="s">
        <v>649</v>
      </c>
      <c r="O37" t="s">
        <v>474</v>
      </c>
      <c r="P37" t="s">
        <v>101</v>
      </c>
    </row>
    <row r="38" spans="1:16" x14ac:dyDescent="0.25">
      <c r="A38" t="s">
        <v>23</v>
      </c>
      <c r="B38" t="s">
        <v>87</v>
      </c>
      <c r="C38" t="str">
        <f t="shared" si="1"/>
        <v>Noon  / doher</v>
      </c>
      <c r="E38" t="str">
        <f t="shared" si="2"/>
        <v>Noon  doher</v>
      </c>
      <c r="G38" t="str">
        <f t="shared" si="3"/>
        <v>Noon :doher</v>
      </c>
      <c r="J38" t="s">
        <v>596</v>
      </c>
      <c r="L38">
        <v>5</v>
      </c>
      <c r="M38" t="s">
        <v>650</v>
      </c>
      <c r="O38" t="s">
        <v>364</v>
      </c>
      <c r="P38" t="s">
        <v>40</v>
      </c>
    </row>
    <row r="39" spans="1:16" x14ac:dyDescent="0.25">
      <c r="A39" t="s">
        <v>24</v>
      </c>
      <c r="B39" t="s">
        <v>88</v>
      </c>
      <c r="G39" t="str">
        <f t="shared" si="3"/>
        <v>Night :leil</v>
      </c>
      <c r="J39" t="s">
        <v>587</v>
      </c>
      <c r="L39">
        <v>5</v>
      </c>
      <c r="M39" t="s">
        <v>651</v>
      </c>
      <c r="O39" t="s">
        <v>460</v>
      </c>
      <c r="P39" t="s">
        <v>461</v>
      </c>
    </row>
    <row r="40" spans="1:16" x14ac:dyDescent="0.25">
      <c r="A40" t="s">
        <v>18</v>
      </c>
      <c r="B40" t="s">
        <v>83</v>
      </c>
      <c r="G40" t="str">
        <f t="shared" si="3"/>
        <v>Autumn :khareef</v>
      </c>
      <c r="J40" t="s">
        <v>537</v>
      </c>
      <c r="L40">
        <v>5</v>
      </c>
      <c r="M40" t="s">
        <v>652</v>
      </c>
      <c r="O40" t="s">
        <v>384</v>
      </c>
      <c r="P40" t="s">
        <v>54</v>
      </c>
    </row>
    <row r="41" spans="1:16" x14ac:dyDescent="0.25">
      <c r="A41" t="s">
        <v>19</v>
      </c>
      <c r="B41" t="s">
        <v>326</v>
      </c>
      <c r="G41" t="str">
        <f t="shared" si="3"/>
        <v>Winter :sheteh</v>
      </c>
      <c r="J41" t="s">
        <v>544</v>
      </c>
      <c r="L41">
        <v>5</v>
      </c>
      <c r="M41" t="s">
        <v>653</v>
      </c>
      <c r="O41" t="s">
        <v>487</v>
      </c>
      <c r="P41" t="s">
        <v>488</v>
      </c>
    </row>
    <row r="42" spans="1:16" x14ac:dyDescent="0.25">
      <c r="A42" t="s">
        <v>20</v>
      </c>
      <c r="B42" t="s">
        <v>84</v>
      </c>
      <c r="G42" t="str">
        <f t="shared" si="3"/>
        <v>Spring :rabee3</v>
      </c>
      <c r="J42" t="s">
        <v>549</v>
      </c>
      <c r="L42">
        <v>5</v>
      </c>
      <c r="M42" t="s">
        <v>654</v>
      </c>
      <c r="O42" t="s">
        <v>383</v>
      </c>
      <c r="P42" t="s">
        <v>105</v>
      </c>
    </row>
    <row r="43" spans="1:16" x14ac:dyDescent="0.25">
      <c r="A43" t="s">
        <v>491</v>
      </c>
      <c r="B43" t="s">
        <v>492</v>
      </c>
      <c r="G43" t="str">
        <f t="shared" si="3"/>
        <v>bed :takhet</v>
      </c>
      <c r="J43" t="s">
        <v>524</v>
      </c>
      <c r="L43">
        <v>5</v>
      </c>
      <c r="M43" t="s">
        <v>655</v>
      </c>
      <c r="O43" t="s">
        <v>370</v>
      </c>
      <c r="P43" t="s">
        <v>320</v>
      </c>
    </row>
    <row r="44" spans="1:16" x14ac:dyDescent="0.25">
      <c r="A44" t="s">
        <v>25</v>
      </c>
      <c r="B44" t="s">
        <v>89</v>
      </c>
      <c r="G44" t="str">
        <f t="shared" si="3"/>
        <v>Home :beit</v>
      </c>
      <c r="J44" t="s">
        <v>609</v>
      </c>
      <c r="L44">
        <v>6</v>
      </c>
      <c r="M44" t="s">
        <v>656</v>
      </c>
      <c r="O44" t="s">
        <v>361</v>
      </c>
      <c r="P44" t="s">
        <v>62</v>
      </c>
    </row>
    <row r="45" spans="1:16" x14ac:dyDescent="0.25">
      <c r="A45" t="s">
        <v>26</v>
      </c>
      <c r="B45" t="s">
        <v>90</v>
      </c>
      <c r="G45" t="str">
        <f t="shared" si="3"/>
        <v>Apartement :she'a</v>
      </c>
      <c r="J45" t="s">
        <v>526</v>
      </c>
      <c r="L45">
        <v>6</v>
      </c>
      <c r="M45" t="s">
        <v>657</v>
      </c>
      <c r="O45" t="s">
        <v>8</v>
      </c>
      <c r="P45" t="s">
        <v>36</v>
      </c>
    </row>
    <row r="46" spans="1:16" x14ac:dyDescent="0.25">
      <c r="A46" t="s">
        <v>493</v>
      </c>
      <c r="B46" t="s">
        <v>494</v>
      </c>
      <c r="G46" t="str">
        <f t="shared" si="3"/>
        <v>rent :ajaar</v>
      </c>
      <c r="J46" t="s">
        <v>573</v>
      </c>
      <c r="L46">
        <v>6</v>
      </c>
      <c r="M46" t="s">
        <v>658</v>
      </c>
      <c r="O46" t="s">
        <v>479</v>
      </c>
      <c r="P46" t="s">
        <v>480</v>
      </c>
    </row>
    <row r="47" spans="1:16" x14ac:dyDescent="0.25">
      <c r="A47" t="s">
        <v>495</v>
      </c>
      <c r="B47" t="s">
        <v>496</v>
      </c>
      <c r="G47" t="str">
        <f t="shared" si="3"/>
        <v>bathroom:Hemmeim</v>
      </c>
      <c r="J47" t="s">
        <v>610</v>
      </c>
      <c r="L47">
        <v>6</v>
      </c>
      <c r="M47" t="s">
        <v>659</v>
      </c>
      <c r="O47" t="s">
        <v>367</v>
      </c>
      <c r="P47" t="s">
        <v>28</v>
      </c>
    </row>
    <row r="48" spans="1:16" x14ac:dyDescent="0.25">
      <c r="A48" t="s">
        <v>497</v>
      </c>
      <c r="B48" t="s">
        <v>498</v>
      </c>
      <c r="G48" t="str">
        <f t="shared" si="3"/>
        <v>tomorrow :bukra</v>
      </c>
      <c r="J48" t="s">
        <v>510</v>
      </c>
      <c r="L48">
        <v>6</v>
      </c>
      <c r="M48" t="s">
        <v>660</v>
      </c>
      <c r="O48" t="s">
        <v>19</v>
      </c>
      <c r="P48" t="s">
        <v>326</v>
      </c>
    </row>
    <row r="49" spans="1:16" x14ac:dyDescent="0.25">
      <c r="A49" t="s">
        <v>366</v>
      </c>
      <c r="B49" t="s">
        <v>27</v>
      </c>
      <c r="G49" t="str">
        <f t="shared" si="3"/>
        <v>And:wa</v>
      </c>
      <c r="J49" t="s">
        <v>535</v>
      </c>
      <c r="L49">
        <v>6</v>
      </c>
      <c r="M49" t="s">
        <v>661</v>
      </c>
      <c r="O49" t="s">
        <v>385</v>
      </c>
      <c r="P49" t="s">
        <v>55</v>
      </c>
    </row>
    <row r="50" spans="1:16" x14ac:dyDescent="0.25">
      <c r="A50" t="s">
        <v>367</v>
      </c>
      <c r="B50" t="s">
        <v>28</v>
      </c>
      <c r="G50" t="str">
        <f t="shared" si="3"/>
        <v>So:fa</v>
      </c>
      <c r="J50" t="s">
        <v>580</v>
      </c>
      <c r="L50">
        <v>6</v>
      </c>
      <c r="M50" t="s">
        <v>662</v>
      </c>
      <c r="O50" t="s">
        <v>2</v>
      </c>
      <c r="P50" t="s">
        <v>68</v>
      </c>
    </row>
    <row r="51" spans="1:16" x14ac:dyDescent="0.25">
      <c r="A51" t="s">
        <v>368</v>
      </c>
      <c r="B51" t="s">
        <v>29</v>
      </c>
      <c r="G51" t="str">
        <f t="shared" si="3"/>
        <v>But:bas</v>
      </c>
      <c r="J51" t="s">
        <v>559</v>
      </c>
      <c r="L51">
        <v>7</v>
      </c>
      <c r="M51" t="s">
        <v>663</v>
      </c>
      <c r="O51" t="s">
        <v>360</v>
      </c>
      <c r="P51" t="s">
        <v>61</v>
      </c>
    </row>
    <row r="52" spans="1:16" x14ac:dyDescent="0.25">
      <c r="A52" t="s">
        <v>369</v>
      </c>
      <c r="B52" t="s">
        <v>325</v>
      </c>
      <c r="G52" t="str">
        <f t="shared" si="3"/>
        <v>After:ba3dein</v>
      </c>
      <c r="J52" t="s">
        <v>565</v>
      </c>
      <c r="L52">
        <v>7</v>
      </c>
      <c r="M52" t="s">
        <v>664</v>
      </c>
      <c r="O52" t="s">
        <v>468</v>
      </c>
      <c r="P52" t="s">
        <v>469</v>
      </c>
    </row>
    <row r="53" spans="1:16" x14ac:dyDescent="0.25">
      <c r="A53" t="s">
        <v>370</v>
      </c>
      <c r="B53" t="s">
        <v>320</v>
      </c>
      <c r="G53" t="str">
        <f t="shared" si="3"/>
        <v>When:lamma</v>
      </c>
      <c r="J53" t="s">
        <v>607</v>
      </c>
      <c r="L53">
        <v>7</v>
      </c>
      <c r="M53" t="s">
        <v>665</v>
      </c>
      <c r="O53" t="s">
        <v>493</v>
      </c>
      <c r="P53" t="s">
        <v>494</v>
      </c>
    </row>
    <row r="54" spans="1:16" x14ac:dyDescent="0.25">
      <c r="A54" t="s">
        <v>371</v>
      </c>
      <c r="B54" t="s">
        <v>321</v>
      </c>
      <c r="G54" t="str">
        <f t="shared" si="3"/>
        <v>From:men</v>
      </c>
      <c r="J54" t="s">
        <v>613</v>
      </c>
      <c r="L54">
        <v>7</v>
      </c>
      <c r="M54" t="s">
        <v>666</v>
      </c>
    </row>
    <row r="55" spans="1:16" x14ac:dyDescent="0.25">
      <c r="A55" t="s">
        <v>372</v>
      </c>
      <c r="B55" t="s">
        <v>91</v>
      </c>
      <c r="G55" t="str">
        <f t="shared" si="3"/>
        <v>On:3ala</v>
      </c>
      <c r="J55" t="s">
        <v>509</v>
      </c>
      <c r="L55">
        <v>7</v>
      </c>
      <c r="M55" t="s">
        <v>667</v>
      </c>
    </row>
    <row r="56" spans="1:16" x14ac:dyDescent="0.25">
      <c r="A56" t="s">
        <v>373</v>
      </c>
      <c r="B56" t="s">
        <v>322</v>
      </c>
      <c r="G56" t="str">
        <f t="shared" si="3"/>
        <v>About:3an</v>
      </c>
      <c r="J56" t="s">
        <v>604</v>
      </c>
      <c r="L56">
        <v>7</v>
      </c>
      <c r="M56" t="s">
        <v>668</v>
      </c>
    </row>
    <row r="57" spans="1:16" x14ac:dyDescent="0.25">
      <c r="A57" t="s">
        <v>374</v>
      </c>
      <c r="B57" t="s">
        <v>323</v>
      </c>
      <c r="G57" t="str">
        <f t="shared" si="3"/>
        <v>That:enno</v>
      </c>
      <c r="J57" t="s">
        <v>584</v>
      </c>
      <c r="L57">
        <v>7</v>
      </c>
      <c r="M57" t="s">
        <v>669</v>
      </c>
    </row>
    <row r="58" spans="1:16" x14ac:dyDescent="0.25">
      <c r="A58" t="s">
        <v>375</v>
      </c>
      <c r="B58" t="s">
        <v>324</v>
      </c>
      <c r="G58" t="str">
        <f t="shared" si="3"/>
        <v>Because:la'enno</v>
      </c>
      <c r="J58" t="s">
        <v>538</v>
      </c>
      <c r="L58">
        <v>7</v>
      </c>
      <c r="M58" t="s">
        <v>670</v>
      </c>
    </row>
    <row r="59" spans="1:16" x14ac:dyDescent="0.25">
      <c r="A59" t="s">
        <v>376</v>
      </c>
      <c r="B59" t="s">
        <v>92</v>
      </c>
      <c r="G59" t="str">
        <f t="shared" si="3"/>
        <v>Shirt:ameess</v>
      </c>
      <c r="J59" t="s">
        <v>543</v>
      </c>
      <c r="L59">
        <v>7</v>
      </c>
      <c r="M59" t="s">
        <v>671</v>
      </c>
    </row>
    <row r="60" spans="1:16" x14ac:dyDescent="0.25">
      <c r="A60" t="s">
        <v>377</v>
      </c>
      <c r="B60" t="s">
        <v>93</v>
      </c>
      <c r="G60" t="str">
        <f t="shared" si="3"/>
        <v>High heels:scarbeeneh</v>
      </c>
      <c r="J60" t="s">
        <v>556</v>
      </c>
      <c r="L60">
        <v>8</v>
      </c>
      <c r="M60" t="s">
        <v>672</v>
      </c>
    </row>
    <row r="61" spans="1:16" x14ac:dyDescent="0.25">
      <c r="A61" t="s">
        <v>378</v>
      </c>
      <c r="B61" t="s">
        <v>30</v>
      </c>
      <c r="G61" t="str">
        <f t="shared" si="3"/>
        <v>Shoe:sobbat</v>
      </c>
      <c r="J61" t="s">
        <v>525</v>
      </c>
      <c r="L61">
        <v>8</v>
      </c>
      <c r="M61" t="s">
        <v>673</v>
      </c>
    </row>
    <row r="62" spans="1:16" x14ac:dyDescent="0.25">
      <c r="A62" t="s">
        <v>31</v>
      </c>
      <c r="B62" t="s">
        <v>32</v>
      </c>
      <c r="G62" t="str">
        <f t="shared" si="3"/>
        <v>Dress:fostan</v>
      </c>
      <c r="J62" t="s">
        <v>508</v>
      </c>
      <c r="L62">
        <v>8</v>
      </c>
      <c r="M62" t="s">
        <v>674</v>
      </c>
    </row>
    <row r="63" spans="1:16" x14ac:dyDescent="0.25">
      <c r="A63" t="s">
        <v>379</v>
      </c>
      <c r="B63" t="s">
        <v>94</v>
      </c>
      <c r="G63" t="str">
        <f t="shared" si="3"/>
        <v>Glasses:3wayneit</v>
      </c>
      <c r="J63" t="s">
        <v>572</v>
      </c>
      <c r="L63">
        <v>8</v>
      </c>
      <c r="M63" t="s">
        <v>675</v>
      </c>
    </row>
    <row r="64" spans="1:16" x14ac:dyDescent="0.25">
      <c r="A64" t="s">
        <v>33</v>
      </c>
      <c r="B64" t="s">
        <v>95</v>
      </c>
      <c r="G64" t="str">
        <f t="shared" si="3"/>
        <v>Family:3ayleh</v>
      </c>
      <c r="J64" t="s">
        <v>546</v>
      </c>
      <c r="L64">
        <v>8</v>
      </c>
      <c r="M64" t="s">
        <v>676</v>
      </c>
    </row>
    <row r="65" spans="1:13" x14ac:dyDescent="0.25">
      <c r="A65" t="s">
        <v>37</v>
      </c>
      <c r="B65" t="s">
        <v>38</v>
      </c>
      <c r="G65" t="str">
        <f t="shared" ref="G65:G96" si="4">A65&amp;":"&amp;B65</f>
        <v>I:ana</v>
      </c>
      <c r="J65" t="s">
        <v>530</v>
      </c>
      <c r="L65">
        <v>8</v>
      </c>
      <c r="M65" t="s">
        <v>677</v>
      </c>
    </row>
    <row r="66" spans="1:13" x14ac:dyDescent="0.25">
      <c r="A66" t="s">
        <v>363</v>
      </c>
      <c r="B66" t="s">
        <v>39</v>
      </c>
      <c r="G66" t="str">
        <f t="shared" si="4"/>
        <v>He:howeh</v>
      </c>
      <c r="J66" t="s">
        <v>534</v>
      </c>
      <c r="L66">
        <v>8</v>
      </c>
      <c r="M66" t="s">
        <v>678</v>
      </c>
    </row>
    <row r="67" spans="1:13" x14ac:dyDescent="0.25">
      <c r="A67" t="s">
        <v>364</v>
      </c>
      <c r="B67" t="s">
        <v>40</v>
      </c>
      <c r="G67" t="str">
        <f t="shared" si="4"/>
        <v>She:hiyeh</v>
      </c>
      <c r="J67" t="s">
        <v>542</v>
      </c>
      <c r="L67">
        <v>8</v>
      </c>
      <c r="M67" t="s">
        <v>679</v>
      </c>
    </row>
    <row r="68" spans="1:13" x14ac:dyDescent="0.25">
      <c r="A68" t="s">
        <v>356</v>
      </c>
      <c r="B68" t="s">
        <v>96</v>
      </c>
      <c r="G68" t="str">
        <f t="shared" si="4"/>
        <v>We:neHna</v>
      </c>
      <c r="J68" t="s">
        <v>555</v>
      </c>
      <c r="L68">
        <v>8</v>
      </c>
      <c r="M68" t="s">
        <v>680</v>
      </c>
    </row>
    <row r="69" spans="1:13" x14ac:dyDescent="0.25">
      <c r="A69" t="s">
        <v>365</v>
      </c>
      <c r="B69" t="s">
        <v>42</v>
      </c>
      <c r="G69" t="str">
        <f t="shared" si="4"/>
        <v>They:henneh</v>
      </c>
      <c r="J69" t="s">
        <v>581</v>
      </c>
      <c r="L69">
        <v>9</v>
      </c>
      <c r="M69" t="s">
        <v>681</v>
      </c>
    </row>
    <row r="70" spans="1:13" x14ac:dyDescent="0.25">
      <c r="A70" t="s">
        <v>43</v>
      </c>
      <c r="B70" t="s">
        <v>97</v>
      </c>
      <c r="G70" t="str">
        <f t="shared" si="4"/>
        <v>Monday:tanein</v>
      </c>
      <c r="J70" t="s">
        <v>603</v>
      </c>
      <c r="L70">
        <v>9</v>
      </c>
      <c r="M70" t="s">
        <v>682</v>
      </c>
    </row>
    <row r="71" spans="1:13" x14ac:dyDescent="0.25">
      <c r="A71" t="s">
        <v>45</v>
      </c>
      <c r="B71" t="s">
        <v>98</v>
      </c>
      <c r="G71" t="str">
        <f t="shared" si="4"/>
        <v>Tuesday:taleita</v>
      </c>
      <c r="J71" t="s">
        <v>545</v>
      </c>
      <c r="L71">
        <v>9</v>
      </c>
      <c r="M71" t="s">
        <v>683</v>
      </c>
    </row>
    <row r="72" spans="1:13" x14ac:dyDescent="0.25">
      <c r="A72" t="s">
        <v>397</v>
      </c>
      <c r="B72" t="s">
        <v>99</v>
      </c>
      <c r="G72" t="str">
        <f t="shared" si="4"/>
        <v>Wednsday:orb3a</v>
      </c>
      <c r="J72" t="s">
        <v>536</v>
      </c>
      <c r="L72">
        <v>9</v>
      </c>
      <c r="M72" t="s">
        <v>684</v>
      </c>
    </row>
    <row r="73" spans="1:13" x14ac:dyDescent="0.25">
      <c r="A73" t="s">
        <v>46</v>
      </c>
      <c r="B73" t="s">
        <v>100</v>
      </c>
      <c r="G73" t="str">
        <f t="shared" si="4"/>
        <v>Thursday:khamees</v>
      </c>
      <c r="J73" t="s">
        <v>595</v>
      </c>
      <c r="L73">
        <v>9</v>
      </c>
      <c r="M73" t="s">
        <v>685</v>
      </c>
    </row>
    <row r="74" spans="1:13" x14ac:dyDescent="0.25">
      <c r="A74" t="s">
        <v>47</v>
      </c>
      <c r="B74" t="s">
        <v>101</v>
      </c>
      <c r="G74" t="str">
        <f t="shared" si="4"/>
        <v>Friday:jem3a</v>
      </c>
      <c r="J74" t="s">
        <v>578</v>
      </c>
      <c r="L74">
        <v>9</v>
      </c>
      <c r="M74" t="s">
        <v>686</v>
      </c>
    </row>
    <row r="75" spans="1:13" x14ac:dyDescent="0.25">
      <c r="A75" t="s">
        <v>48</v>
      </c>
      <c r="B75" t="s">
        <v>44</v>
      </c>
      <c r="G75" t="str">
        <f t="shared" si="4"/>
        <v>Saturday:sabet</v>
      </c>
      <c r="J75" t="s">
        <v>550</v>
      </c>
      <c r="L75">
        <v>10</v>
      </c>
      <c r="M75" t="s">
        <v>687</v>
      </c>
    </row>
    <row r="76" spans="1:13" x14ac:dyDescent="0.25">
      <c r="A76" t="s">
        <v>49</v>
      </c>
      <c r="B76" t="s">
        <v>102</v>
      </c>
      <c r="G76" t="str">
        <f t="shared" si="4"/>
        <v>Sunday:aHad</v>
      </c>
      <c r="J76" t="s">
        <v>606</v>
      </c>
      <c r="L76">
        <v>10</v>
      </c>
      <c r="M76" t="s">
        <v>688</v>
      </c>
    </row>
    <row r="77" spans="1:13" x14ac:dyDescent="0.25">
      <c r="A77" t="s">
        <v>388</v>
      </c>
      <c r="B77" t="s">
        <v>50</v>
      </c>
      <c r="G77" t="str">
        <f t="shared" si="4"/>
        <v>Rice:rezz</v>
      </c>
      <c r="J77" t="s">
        <v>562</v>
      </c>
      <c r="L77">
        <v>10</v>
      </c>
      <c r="M77" t="s">
        <v>689</v>
      </c>
    </row>
    <row r="78" spans="1:13" x14ac:dyDescent="0.25">
      <c r="A78" t="s">
        <v>389</v>
      </c>
      <c r="B78" t="s">
        <v>51</v>
      </c>
      <c r="G78" t="str">
        <f t="shared" si="4"/>
        <v>Button:zerr</v>
      </c>
      <c r="J78" t="s">
        <v>517</v>
      </c>
      <c r="L78">
        <v>10</v>
      </c>
      <c r="M78" t="s">
        <v>690</v>
      </c>
    </row>
    <row r="79" spans="1:13" x14ac:dyDescent="0.25">
      <c r="A79" t="s">
        <v>390</v>
      </c>
      <c r="B79" t="s">
        <v>52</v>
      </c>
      <c r="G79" t="str">
        <f t="shared" si="4"/>
        <v>Horn:zammour</v>
      </c>
      <c r="J79" t="s">
        <v>523</v>
      </c>
      <c r="L79">
        <v>10</v>
      </c>
      <c r="M79" t="s">
        <v>691</v>
      </c>
    </row>
    <row r="80" spans="1:13" x14ac:dyDescent="0.25">
      <c r="A80" t="s">
        <v>391</v>
      </c>
      <c r="B80" t="s">
        <v>53</v>
      </c>
      <c r="G80" t="str">
        <f t="shared" si="4"/>
        <v>Gun:fared</v>
      </c>
      <c r="J80" t="s">
        <v>561</v>
      </c>
      <c r="L80">
        <v>11</v>
      </c>
      <c r="M80" t="s">
        <v>692</v>
      </c>
    </row>
    <row r="81" spans="1:13" x14ac:dyDescent="0.25">
      <c r="A81" t="s">
        <v>381</v>
      </c>
      <c r="B81" t="s">
        <v>103</v>
      </c>
      <c r="G81" t="str">
        <f t="shared" si="4"/>
        <v>Anger:to3seeb</v>
      </c>
      <c r="J81" t="s">
        <v>608</v>
      </c>
      <c r="L81">
        <v>11</v>
      </c>
      <c r="M81" t="s">
        <v>693</v>
      </c>
    </row>
    <row r="82" spans="1:13" x14ac:dyDescent="0.25">
      <c r="A82" t="s">
        <v>382</v>
      </c>
      <c r="B82" t="s">
        <v>104</v>
      </c>
      <c r="G82" t="str">
        <f t="shared" si="4"/>
        <v>Optimism:tafei'oul</v>
      </c>
      <c r="J82" t="s">
        <v>522</v>
      </c>
      <c r="L82">
        <v>11</v>
      </c>
      <c r="M82" t="s">
        <v>694</v>
      </c>
    </row>
    <row r="83" spans="1:13" x14ac:dyDescent="0.25">
      <c r="A83" t="s">
        <v>383</v>
      </c>
      <c r="B83" t="s">
        <v>105</v>
      </c>
      <c r="G83" t="str">
        <f t="shared" si="4"/>
        <v>Pessimism:tashei'oum</v>
      </c>
      <c r="J83" t="s">
        <v>605</v>
      </c>
      <c r="L83">
        <v>11</v>
      </c>
      <c r="M83" t="s">
        <v>695</v>
      </c>
    </row>
    <row r="84" spans="1:13" x14ac:dyDescent="0.25">
      <c r="A84" t="s">
        <v>384</v>
      </c>
      <c r="B84" t="s">
        <v>54</v>
      </c>
      <c r="G84" t="str">
        <f t="shared" si="4"/>
        <v>Orgasm:nashweh</v>
      </c>
      <c r="J84" t="s">
        <v>575</v>
      </c>
      <c r="L84">
        <v>11</v>
      </c>
      <c r="M84" t="s">
        <v>696</v>
      </c>
    </row>
    <row r="85" spans="1:13" x14ac:dyDescent="0.25">
      <c r="A85" t="s">
        <v>385</v>
      </c>
      <c r="B85" t="s">
        <v>55</v>
      </c>
      <c r="G85" t="str">
        <f t="shared" si="4"/>
        <v>Pride:fakher</v>
      </c>
      <c r="J85" t="s">
        <v>520</v>
      </c>
      <c r="L85">
        <v>12</v>
      </c>
      <c r="M85" t="s">
        <v>697</v>
      </c>
    </row>
    <row r="86" spans="1:13" x14ac:dyDescent="0.25">
      <c r="A86" t="s">
        <v>386</v>
      </c>
      <c r="B86" t="s">
        <v>56</v>
      </c>
      <c r="G86" t="str">
        <f t="shared" si="4"/>
        <v>Shyness:khajal</v>
      </c>
      <c r="J86" t="s">
        <v>589</v>
      </c>
      <c r="L86">
        <v>12</v>
      </c>
      <c r="M86" t="s">
        <v>698</v>
      </c>
    </row>
    <row r="87" spans="1:13" x14ac:dyDescent="0.25">
      <c r="A87" t="s">
        <v>387</v>
      </c>
      <c r="B87" t="s">
        <v>57</v>
      </c>
      <c r="G87" t="str">
        <f t="shared" si="4"/>
        <v>Anxiety:ala'</v>
      </c>
      <c r="J87" t="s">
        <v>582</v>
      </c>
      <c r="L87">
        <v>12</v>
      </c>
      <c r="M87" t="s">
        <v>699</v>
      </c>
    </row>
    <row r="88" spans="1:13" x14ac:dyDescent="0.25">
      <c r="A88" t="s">
        <v>358</v>
      </c>
      <c r="B88" t="s">
        <v>60</v>
      </c>
      <c r="G88" t="str">
        <f t="shared" si="4"/>
        <v>Sun:shames</v>
      </c>
      <c r="J88" t="s">
        <v>579</v>
      </c>
      <c r="L88">
        <v>12</v>
      </c>
      <c r="M88" t="s">
        <v>700</v>
      </c>
    </row>
    <row r="89" spans="1:13" x14ac:dyDescent="0.25">
      <c r="A89" t="s">
        <v>392</v>
      </c>
      <c r="B89" t="s">
        <v>58</v>
      </c>
      <c r="G89" t="str">
        <f t="shared" si="4"/>
        <v>Fish:samak</v>
      </c>
      <c r="J89" t="s">
        <v>528</v>
      </c>
      <c r="L89">
        <v>13</v>
      </c>
      <c r="M89" t="s">
        <v>701</v>
      </c>
    </row>
    <row r="90" spans="1:13" x14ac:dyDescent="0.25">
      <c r="A90" t="s">
        <v>393</v>
      </c>
      <c r="B90" t="s">
        <v>106</v>
      </c>
      <c r="G90" t="str">
        <f t="shared" si="4"/>
        <v>Guardian:Haares</v>
      </c>
      <c r="J90" t="s">
        <v>518</v>
      </c>
      <c r="L90">
        <v>13</v>
      </c>
      <c r="M90" t="s">
        <v>702</v>
      </c>
    </row>
    <row r="91" spans="1:13" x14ac:dyDescent="0.25">
      <c r="A91" t="s">
        <v>394</v>
      </c>
      <c r="B91" t="s">
        <v>107</v>
      </c>
      <c r="G91" t="str">
        <f t="shared" si="4"/>
        <v>Grass:hasheesh</v>
      </c>
      <c r="J91" t="s">
        <v>574</v>
      </c>
      <c r="L91">
        <v>14</v>
      </c>
      <c r="M91" t="s">
        <v>703</v>
      </c>
    </row>
    <row r="92" spans="1:13" x14ac:dyDescent="0.25">
      <c r="A92" t="s">
        <v>359</v>
      </c>
      <c r="B92" t="s">
        <v>108</v>
      </c>
      <c r="G92" t="str">
        <f t="shared" si="4"/>
        <v>Grey:rmeideh</v>
      </c>
      <c r="J92" t="s">
        <v>511</v>
      </c>
      <c r="L92">
        <v>14</v>
      </c>
      <c r="M92" t="s">
        <v>704</v>
      </c>
    </row>
    <row r="93" spans="1:13" x14ac:dyDescent="0.25">
      <c r="A93" t="s">
        <v>360</v>
      </c>
      <c r="B93" t="s">
        <v>61</v>
      </c>
      <c r="G93" t="str">
        <f t="shared" si="4"/>
        <v>Purple:banafsajeh</v>
      </c>
      <c r="J93" t="s">
        <v>591</v>
      </c>
      <c r="L93">
        <v>15</v>
      </c>
      <c r="M93" t="s">
        <v>705</v>
      </c>
    </row>
    <row r="94" spans="1:13" x14ac:dyDescent="0.25">
      <c r="A94" t="s">
        <v>361</v>
      </c>
      <c r="B94" t="s">
        <v>62</v>
      </c>
      <c r="G94" t="str">
        <f t="shared" si="4"/>
        <v>Pink:zahreh</v>
      </c>
      <c r="J94" t="s">
        <v>540</v>
      </c>
      <c r="L94">
        <v>15</v>
      </c>
      <c r="M94" t="s">
        <v>706</v>
      </c>
    </row>
    <row r="95" spans="1:13" x14ac:dyDescent="0.25">
      <c r="A95" t="s">
        <v>362</v>
      </c>
      <c r="B95" t="s">
        <v>63</v>
      </c>
      <c r="G95" t="str">
        <f t="shared" si="4"/>
        <v>Brown:benneh</v>
      </c>
      <c r="J95" t="s">
        <v>590</v>
      </c>
      <c r="L95">
        <v>16</v>
      </c>
      <c r="M95" t="s">
        <v>707</v>
      </c>
    </row>
    <row r="96" spans="1:13" x14ac:dyDescent="0.25">
      <c r="A96" t="s">
        <v>499</v>
      </c>
      <c r="B96" t="s">
        <v>500</v>
      </c>
      <c r="G96" t="str">
        <f t="shared" si="4"/>
        <v>ice cream:bouza</v>
      </c>
      <c r="J96" t="s">
        <v>560</v>
      </c>
      <c r="L96">
        <v>16</v>
      </c>
      <c r="M96" t="s">
        <v>708</v>
      </c>
    </row>
    <row r="97" spans="1:13" x14ac:dyDescent="0.25">
      <c r="A97" t="s">
        <v>501</v>
      </c>
      <c r="B97" t="s">
        <v>502</v>
      </c>
      <c r="G97" t="str">
        <f t="shared" ref="G97:G106" si="5">A97&amp;":"&amp;B97</f>
        <v>nearest:a'rab</v>
      </c>
      <c r="J97" t="s">
        <v>601</v>
      </c>
      <c r="L97">
        <v>17</v>
      </c>
      <c r="M97" t="s">
        <v>709</v>
      </c>
    </row>
    <row r="98" spans="1:13" x14ac:dyDescent="0.25">
      <c r="A98" t="s">
        <v>357</v>
      </c>
      <c r="B98" t="s">
        <v>111</v>
      </c>
      <c r="G98" t="str">
        <f t="shared" si="5"/>
        <v>Rose:wardeh</v>
      </c>
      <c r="J98" t="s">
        <v>527</v>
      </c>
      <c r="L98">
        <v>17</v>
      </c>
      <c r="M98" t="s">
        <v>710</v>
      </c>
    </row>
    <row r="99" spans="1:13" x14ac:dyDescent="0.25">
      <c r="A99" t="s">
        <v>380</v>
      </c>
      <c r="B99" t="s">
        <v>115</v>
      </c>
      <c r="G99" t="str">
        <f t="shared" si="5"/>
        <v>Friendship:sadaa'a</v>
      </c>
      <c r="J99" t="s">
        <v>532</v>
      </c>
      <c r="L99">
        <v>17</v>
      </c>
      <c r="M99" t="s">
        <v>711</v>
      </c>
    </row>
    <row r="100" spans="1:13" x14ac:dyDescent="0.25">
      <c r="A100" t="s">
        <v>396</v>
      </c>
      <c r="B100" t="s">
        <v>112</v>
      </c>
      <c r="G100" t="str">
        <f t="shared" si="5"/>
        <v>Flower:zahra</v>
      </c>
      <c r="J100" t="s">
        <v>557</v>
      </c>
      <c r="L100">
        <v>18</v>
      </c>
      <c r="M100" t="s">
        <v>712</v>
      </c>
    </row>
    <row r="101" spans="1:13" x14ac:dyDescent="0.25">
      <c r="A101" t="s">
        <v>395</v>
      </c>
      <c r="B101" t="s">
        <v>110</v>
      </c>
      <c r="G101" t="str">
        <f t="shared" si="5"/>
        <v>Improvisation:ertijeil</v>
      </c>
      <c r="J101" t="s">
        <v>548</v>
      </c>
      <c r="L101">
        <v>18</v>
      </c>
      <c r="M101" t="s">
        <v>713</v>
      </c>
    </row>
    <row r="102" spans="1:13" x14ac:dyDescent="0.25">
      <c r="A102" t="s">
        <v>503</v>
      </c>
      <c r="B102" t="s">
        <v>504</v>
      </c>
      <c r="G102" t="str">
        <f t="shared" si="5"/>
        <v>coffee:ahweh</v>
      </c>
      <c r="J102" t="s">
        <v>592</v>
      </c>
      <c r="L102">
        <v>19</v>
      </c>
      <c r="M102" t="s">
        <v>714</v>
      </c>
    </row>
    <row r="103" spans="1:13" x14ac:dyDescent="0.25">
      <c r="A103" t="s">
        <v>109</v>
      </c>
      <c r="B103" t="s">
        <v>114</v>
      </c>
      <c r="G103" t="str">
        <f t="shared" si="5"/>
        <v>I drink coffee everyday:beshrab ahweh kel yom</v>
      </c>
      <c r="J103" t="s">
        <v>521</v>
      </c>
      <c r="L103">
        <v>19</v>
      </c>
      <c r="M103" t="s">
        <v>715</v>
      </c>
    </row>
    <row r="104" spans="1:13" x14ac:dyDescent="0.25">
      <c r="A104" t="s">
        <v>505</v>
      </c>
      <c r="B104" t="s">
        <v>506</v>
      </c>
      <c r="G104" t="str">
        <f t="shared" si="5"/>
        <v>kids:wleid</v>
      </c>
      <c r="J104" t="s">
        <v>600</v>
      </c>
      <c r="L104">
        <v>20</v>
      </c>
      <c r="M104" t="s">
        <v>716</v>
      </c>
    </row>
    <row r="105" spans="1:13" x14ac:dyDescent="0.25">
      <c r="A105" t="s">
        <v>507</v>
      </c>
      <c r="B105" t="s">
        <v>67</v>
      </c>
      <c r="G105" t="str">
        <f t="shared" si="5"/>
        <v>kiss :bawseh</v>
      </c>
      <c r="J105" t="s">
        <v>516</v>
      </c>
      <c r="L105">
        <v>21</v>
      </c>
    </row>
    <row r="106" spans="1:13" x14ac:dyDescent="0.25">
      <c r="A106" t="s">
        <v>1</v>
      </c>
      <c r="B106" t="s">
        <v>66</v>
      </c>
      <c r="G106" t="str">
        <f t="shared" si="5"/>
        <v>Heart :aleb</v>
      </c>
      <c r="J106" t="s">
        <v>553</v>
      </c>
      <c r="L106">
        <v>22</v>
      </c>
    </row>
  </sheetData>
  <sortState ref="J1:L353">
    <sortCondition ref="L1:L353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workbookViewId="0">
      <selection activeCell="A9" sqref="A1:A9"/>
    </sheetView>
  </sheetViews>
  <sheetFormatPr defaultRowHeight="15" x14ac:dyDescent="0.25"/>
  <sheetData>
    <row r="1" spans="1:6" x14ac:dyDescent="0.25">
      <c r="A1" t="s">
        <v>35</v>
      </c>
      <c r="B1">
        <v>1</v>
      </c>
      <c r="F1">
        <v>1</v>
      </c>
    </row>
    <row r="2" spans="1:6" x14ac:dyDescent="0.25">
      <c r="A2" t="s">
        <v>721</v>
      </c>
      <c r="B2">
        <v>1</v>
      </c>
      <c r="F2">
        <v>1</v>
      </c>
    </row>
    <row r="3" spans="1:6" x14ac:dyDescent="0.25">
      <c r="A3" t="s">
        <v>465</v>
      </c>
      <c r="B3">
        <v>1</v>
      </c>
      <c r="F3">
        <v>1</v>
      </c>
    </row>
    <row r="4" spans="1:6" x14ac:dyDescent="0.25">
      <c r="A4" t="s">
        <v>734</v>
      </c>
      <c r="B4">
        <v>1</v>
      </c>
      <c r="F4">
        <v>1</v>
      </c>
    </row>
    <row r="5" spans="1:6" x14ac:dyDescent="0.25">
      <c r="A5" t="s">
        <v>78</v>
      </c>
      <c r="B5">
        <v>2</v>
      </c>
      <c r="F5">
        <v>1</v>
      </c>
    </row>
    <row r="6" spans="1:6" x14ac:dyDescent="0.25">
      <c r="A6" t="s">
        <v>41</v>
      </c>
      <c r="B6">
        <v>2</v>
      </c>
      <c r="F6">
        <v>1</v>
      </c>
    </row>
    <row r="7" spans="1:6" x14ac:dyDescent="0.25">
      <c r="A7" t="s">
        <v>725</v>
      </c>
      <c r="B7">
        <v>2</v>
      </c>
      <c r="F7">
        <v>1</v>
      </c>
    </row>
    <row r="8" spans="1:6" x14ac:dyDescent="0.25">
      <c r="A8" t="s">
        <v>473</v>
      </c>
      <c r="B8">
        <v>2</v>
      </c>
      <c r="F8">
        <v>1</v>
      </c>
    </row>
    <row r="9" spans="1:6" x14ac:dyDescent="0.25">
      <c r="A9" t="s">
        <v>494</v>
      </c>
      <c r="B9">
        <v>3</v>
      </c>
      <c r="F9">
        <v>1</v>
      </c>
    </row>
    <row r="10" spans="1:6" x14ac:dyDescent="0.25">
      <c r="A10" t="s">
        <v>87</v>
      </c>
      <c r="B10">
        <v>3</v>
      </c>
      <c r="F10">
        <v>1</v>
      </c>
    </row>
    <row r="11" spans="1:6" x14ac:dyDescent="0.25">
      <c r="A11" t="s">
        <v>100</v>
      </c>
      <c r="B11">
        <v>3</v>
      </c>
      <c r="F11">
        <v>1</v>
      </c>
    </row>
    <row r="12" spans="1:6" x14ac:dyDescent="0.25">
      <c r="A12" t="s">
        <v>729</v>
      </c>
      <c r="B12">
        <v>3</v>
      </c>
      <c r="F12">
        <v>1</v>
      </c>
    </row>
    <row r="13" spans="1:6" x14ac:dyDescent="0.25">
      <c r="A13" t="s">
        <v>736</v>
      </c>
      <c r="B13">
        <v>3</v>
      </c>
      <c r="F13">
        <v>1</v>
      </c>
    </row>
    <row r="14" spans="1:6" x14ac:dyDescent="0.25">
      <c r="A14" t="s">
        <v>727</v>
      </c>
      <c r="B14">
        <v>1</v>
      </c>
      <c r="F14">
        <v>2</v>
      </c>
    </row>
    <row r="15" spans="1:6" x14ac:dyDescent="0.25">
      <c r="A15" t="s">
        <v>732</v>
      </c>
      <c r="B15">
        <v>1</v>
      </c>
      <c r="F15">
        <v>2</v>
      </c>
    </row>
    <row r="16" spans="1:6" x14ac:dyDescent="0.25">
      <c r="A16" t="s">
        <v>113</v>
      </c>
      <c r="B16">
        <v>1</v>
      </c>
      <c r="F16">
        <v>2</v>
      </c>
    </row>
    <row r="17" spans="1:6" x14ac:dyDescent="0.25">
      <c r="A17" t="s">
        <v>97</v>
      </c>
      <c r="B17">
        <v>1</v>
      </c>
      <c r="F17">
        <v>2</v>
      </c>
    </row>
    <row r="18" spans="1:6" x14ac:dyDescent="0.25">
      <c r="A18" t="s">
        <v>500</v>
      </c>
      <c r="B18">
        <v>2</v>
      </c>
      <c r="F18">
        <v>2</v>
      </c>
    </row>
    <row r="19" spans="1:6" x14ac:dyDescent="0.25">
      <c r="A19" t="s">
        <v>42</v>
      </c>
      <c r="B19">
        <v>2</v>
      </c>
      <c r="F19">
        <v>2</v>
      </c>
    </row>
    <row r="20" spans="1:6" x14ac:dyDescent="0.25">
      <c r="A20" t="s">
        <v>724</v>
      </c>
      <c r="B20">
        <v>2</v>
      </c>
      <c r="F20">
        <v>2</v>
      </c>
    </row>
    <row r="21" spans="1:6" x14ac:dyDescent="0.25">
      <c r="A21" t="s">
        <v>93</v>
      </c>
      <c r="B21">
        <v>2</v>
      </c>
      <c r="F21">
        <v>2</v>
      </c>
    </row>
    <row r="22" spans="1:6" x14ac:dyDescent="0.25">
      <c r="A22" t="s">
        <v>38</v>
      </c>
      <c r="B22">
        <v>3</v>
      </c>
      <c r="F22">
        <v>2</v>
      </c>
    </row>
    <row r="23" spans="1:6" x14ac:dyDescent="0.25">
      <c r="A23" t="s">
        <v>719</v>
      </c>
      <c r="B23">
        <v>3</v>
      </c>
      <c r="F23">
        <v>2</v>
      </c>
    </row>
    <row r="24" spans="1:6" x14ac:dyDescent="0.25">
      <c r="A24" t="s">
        <v>726</v>
      </c>
      <c r="B24">
        <v>3</v>
      </c>
      <c r="F24">
        <v>2</v>
      </c>
    </row>
    <row r="25" spans="1:6" x14ac:dyDescent="0.25">
      <c r="A25" t="s">
        <v>728</v>
      </c>
      <c r="B25">
        <v>3</v>
      </c>
      <c r="F25">
        <v>2</v>
      </c>
    </row>
    <row r="26" spans="1:6" x14ac:dyDescent="0.25">
      <c r="A26" t="s">
        <v>730</v>
      </c>
      <c r="B26">
        <v>1</v>
      </c>
      <c r="F26">
        <v>3</v>
      </c>
    </row>
    <row r="27" spans="1:6" x14ac:dyDescent="0.25">
      <c r="A27" t="s">
        <v>718</v>
      </c>
      <c r="B27">
        <v>1</v>
      </c>
      <c r="F27">
        <v>3</v>
      </c>
    </row>
    <row r="28" spans="1:6" x14ac:dyDescent="0.25">
      <c r="A28" t="s">
        <v>723</v>
      </c>
      <c r="B28">
        <v>1</v>
      </c>
      <c r="F28">
        <v>3</v>
      </c>
    </row>
    <row r="29" spans="1:6" x14ac:dyDescent="0.25">
      <c r="A29" t="s">
        <v>720</v>
      </c>
      <c r="B29">
        <v>1</v>
      </c>
      <c r="F29">
        <v>3</v>
      </c>
    </row>
    <row r="30" spans="1:6" x14ac:dyDescent="0.25">
      <c r="A30" t="s">
        <v>722</v>
      </c>
      <c r="B30">
        <v>1</v>
      </c>
      <c r="F30">
        <v>3</v>
      </c>
    </row>
    <row r="31" spans="1:6" x14ac:dyDescent="0.25">
      <c r="A31" t="s">
        <v>81</v>
      </c>
      <c r="B31">
        <v>2</v>
      </c>
      <c r="F31">
        <v>3</v>
      </c>
    </row>
    <row r="32" spans="1:6" x14ac:dyDescent="0.25">
      <c r="A32" t="s">
        <v>34</v>
      </c>
      <c r="B32">
        <v>2</v>
      </c>
      <c r="F32">
        <v>3</v>
      </c>
    </row>
    <row r="33" spans="1:6" x14ac:dyDescent="0.25">
      <c r="A33" t="s">
        <v>735</v>
      </c>
      <c r="B33">
        <v>2</v>
      </c>
      <c r="F33">
        <v>3</v>
      </c>
    </row>
    <row r="34" spans="1:6" x14ac:dyDescent="0.25">
      <c r="A34" t="s">
        <v>733</v>
      </c>
      <c r="B34">
        <v>2</v>
      </c>
      <c r="F34">
        <v>3</v>
      </c>
    </row>
    <row r="35" spans="1:6" x14ac:dyDescent="0.25">
      <c r="A35" t="s">
        <v>731</v>
      </c>
      <c r="B35">
        <v>3</v>
      </c>
      <c r="F35">
        <v>3</v>
      </c>
    </row>
    <row r="36" spans="1:6" x14ac:dyDescent="0.25">
      <c r="A36" t="s">
        <v>40</v>
      </c>
      <c r="B36">
        <v>3</v>
      </c>
      <c r="F36">
        <v>3</v>
      </c>
    </row>
    <row r="37" spans="1:6" x14ac:dyDescent="0.25">
      <c r="A37" t="s">
        <v>58</v>
      </c>
      <c r="B37">
        <v>3</v>
      </c>
      <c r="F37">
        <v>3</v>
      </c>
    </row>
  </sheetData>
  <sortState ref="A1:F48">
    <sortCondition ref="F1:F4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crosswords</vt:lpstr>
      <vt:lpstr>wordsearch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Naim</dc:creator>
  <cp:lastModifiedBy>naim_elhajj@hotmail.com</cp:lastModifiedBy>
  <dcterms:created xsi:type="dcterms:W3CDTF">2013-09-15T11:38:46Z</dcterms:created>
  <dcterms:modified xsi:type="dcterms:W3CDTF">2016-07-12T09:12:50Z</dcterms:modified>
</cp:coreProperties>
</file>