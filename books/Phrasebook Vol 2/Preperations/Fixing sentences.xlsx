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Lebanese Arabic\Phrasebook Vol 2\Preperations\"/>
    </mc:Choice>
  </mc:AlternateContent>
  <bookViews>
    <workbookView xWindow="0" yWindow="0" windowWidth="20490" windowHeight="7155" activeTab="2"/>
  </bookViews>
  <sheets>
    <sheet name="Sheet1" sheetId="1" r:id="rId1"/>
    <sheet name="chapters" sheetId="8" r:id="rId2"/>
    <sheet name="Tables" sheetId="9" r:id="rId3"/>
    <sheet name="Sheet2" sheetId="2" r:id="rId4"/>
    <sheet name="Sheet5" sheetId="10" r:id="rId5"/>
    <sheet name="Sheet4" sheetId="4" r:id="rId6"/>
    <sheet name="Sheet3" sheetId="3" r:id="rId7"/>
    <sheet name="Text" sheetId="7" r:id="rId8"/>
    <sheet name="crosswords" sheetId="5" r:id="rId9"/>
    <sheet name="wordsearch" sheetId="6" r:id="rId10"/>
  </sheets>
  <calcPr calcId="152511"/>
</workbook>
</file>

<file path=xl/calcChain.xml><?xml version="1.0" encoding="utf-8"?>
<calcChain xmlns="http://schemas.openxmlformats.org/spreadsheetml/2006/main">
  <c r="B409" i="1" l="1"/>
  <c r="B397" i="1"/>
  <c r="B400" i="1"/>
  <c r="B401" i="1"/>
  <c r="B402" i="1"/>
  <c r="B403" i="1"/>
  <c r="B410" i="1"/>
  <c r="B398" i="1"/>
  <c r="B399" i="1"/>
  <c r="B404" i="1"/>
  <c r="B405" i="1"/>
  <c r="B406" i="1"/>
  <c r="B407" i="1"/>
  <c r="B390" i="1"/>
  <c r="B391" i="1"/>
  <c r="B392" i="1"/>
  <c r="B393" i="1"/>
  <c r="B387" i="1"/>
  <c r="B388" i="1"/>
  <c r="B385" i="1"/>
  <c r="B386" i="1"/>
  <c r="B381" i="1"/>
  <c r="B380" i="1"/>
  <c r="A806" i="9"/>
  <c r="A5" i="10" l="1"/>
  <c r="A1303" i="10"/>
  <c r="A1302" i="10"/>
  <c r="A1300" i="10"/>
  <c r="A1299" i="10"/>
  <c r="A1297" i="10"/>
  <c r="A1296" i="10"/>
  <c r="A1294" i="10"/>
  <c r="A1293" i="10"/>
  <c r="A1291" i="10"/>
  <c r="A1290" i="10"/>
  <c r="A1288" i="10"/>
  <c r="A1287" i="10"/>
  <c r="A1285" i="10"/>
  <c r="A1284" i="10"/>
  <c r="A1282" i="10"/>
  <c r="A1281" i="10"/>
  <c r="A1279" i="10"/>
  <c r="A1278" i="10"/>
  <c r="A1276" i="10"/>
  <c r="A1275" i="10"/>
  <c r="A1273" i="10"/>
  <c r="A1272" i="10"/>
  <c r="A1270" i="10"/>
  <c r="A1269" i="10"/>
  <c r="A1267" i="10"/>
  <c r="A1266" i="10"/>
  <c r="A1264" i="10"/>
  <c r="A1263" i="10"/>
  <c r="A1261" i="10"/>
  <c r="A1260" i="10"/>
  <c r="A1258" i="10"/>
  <c r="A1257" i="10"/>
  <c r="A1255" i="10"/>
  <c r="A1254" i="10"/>
  <c r="A1252" i="10"/>
  <c r="A1251" i="10"/>
  <c r="A1249" i="10"/>
  <c r="A1248" i="10"/>
  <c r="A1246" i="10"/>
  <c r="A1245" i="10"/>
  <c r="A1243" i="10"/>
  <c r="A1242" i="10"/>
  <c r="A1240" i="10"/>
  <c r="A1239" i="10"/>
  <c r="A1237" i="10"/>
  <c r="A1236" i="10"/>
  <c r="A1234" i="10"/>
  <c r="A1233" i="10"/>
  <c r="A1231" i="10"/>
  <c r="A1230" i="10"/>
  <c r="A1228" i="10"/>
  <c r="A1227" i="10"/>
  <c r="A1225" i="10"/>
  <c r="A1224" i="10"/>
  <c r="A1222" i="10"/>
  <c r="A1221" i="10"/>
  <c r="A1219" i="10"/>
  <c r="A1218" i="10"/>
  <c r="A1216" i="10"/>
  <c r="A1215" i="10"/>
  <c r="A1213" i="10"/>
  <c r="A1212" i="10"/>
  <c r="A1210" i="10"/>
  <c r="A1209" i="10"/>
  <c r="A1207" i="10"/>
  <c r="A1206" i="10"/>
  <c r="A1204" i="10"/>
  <c r="A1203" i="10"/>
  <c r="A1201" i="10"/>
  <c r="A1200" i="10"/>
  <c r="A1198" i="10"/>
  <c r="A1197" i="10"/>
  <c r="A1195" i="10"/>
  <c r="A1194" i="10"/>
  <c r="A1192" i="10"/>
  <c r="A1191" i="10"/>
  <c r="A1189" i="10"/>
  <c r="A1188" i="10"/>
  <c r="A1186" i="10"/>
  <c r="A1185" i="10"/>
  <c r="A1183" i="10"/>
  <c r="A1182" i="10"/>
  <c r="A1180" i="10"/>
  <c r="A1179" i="10"/>
  <c r="A1177" i="10"/>
  <c r="A1176" i="10"/>
  <c r="A1174" i="10"/>
  <c r="A1173" i="10"/>
  <c r="A1171" i="10"/>
  <c r="A1170" i="10"/>
  <c r="A1168" i="10"/>
  <c r="A1167" i="10"/>
  <c r="A1165" i="10"/>
  <c r="A1164" i="10"/>
  <c r="A1162" i="10"/>
  <c r="A1161" i="10"/>
  <c r="A1159" i="10"/>
  <c r="A1158" i="10"/>
  <c r="A1156" i="10"/>
  <c r="A1155" i="10"/>
  <c r="A1153" i="10"/>
  <c r="A1152" i="10"/>
  <c r="A1150" i="10"/>
  <c r="A1149" i="10"/>
  <c r="A1147" i="10"/>
  <c r="A1146" i="10"/>
  <c r="A1144" i="10"/>
  <c r="A1143" i="10"/>
  <c r="A1141" i="10"/>
  <c r="A1140" i="10"/>
  <c r="A1138" i="10"/>
  <c r="A1137" i="10"/>
  <c r="A1135" i="10"/>
  <c r="A1134" i="10"/>
  <c r="A1132" i="10"/>
  <c r="A1131" i="10"/>
  <c r="A1129" i="10"/>
  <c r="A1128" i="10"/>
  <c r="A1126" i="10"/>
  <c r="A1125" i="10"/>
  <c r="A1123" i="10"/>
  <c r="A1122" i="10"/>
  <c r="A1120" i="10"/>
  <c r="A1119" i="10"/>
  <c r="A1117" i="10"/>
  <c r="A1116" i="10"/>
  <c r="A1114" i="10"/>
  <c r="A1113" i="10"/>
  <c r="A1111" i="10"/>
  <c r="A1110" i="10"/>
  <c r="A1108" i="10"/>
  <c r="A1107" i="10"/>
  <c r="A1105" i="10"/>
  <c r="A1104" i="10"/>
  <c r="A1102" i="10"/>
  <c r="A1101" i="10"/>
  <c r="A1099" i="10"/>
  <c r="A1098" i="10"/>
  <c r="A1096" i="10"/>
  <c r="A1095" i="10"/>
  <c r="A1093" i="10"/>
  <c r="A1092" i="10"/>
  <c r="A1090" i="10"/>
  <c r="A1089" i="10"/>
  <c r="A1087" i="10"/>
  <c r="A1086" i="10"/>
  <c r="A1084" i="10"/>
  <c r="A1083" i="10"/>
  <c r="A1081" i="10"/>
  <c r="A1080" i="10"/>
  <c r="A1078" i="10"/>
  <c r="A1077" i="10"/>
  <c r="A1075" i="10"/>
  <c r="A1074" i="10"/>
  <c r="A1072" i="10"/>
  <c r="A1071" i="10"/>
  <c r="A1069" i="10"/>
  <c r="A1068" i="10"/>
  <c r="A1066" i="10"/>
  <c r="A1065" i="10"/>
  <c r="A1063" i="10"/>
  <c r="A1062" i="10"/>
  <c r="A1060" i="10"/>
  <c r="A1059" i="10"/>
  <c r="A1057" i="10"/>
  <c r="A1056" i="10"/>
  <c r="A1054" i="10"/>
  <c r="A1053" i="10"/>
  <c r="A1051" i="10"/>
  <c r="A1050" i="10"/>
  <c r="A1048" i="10"/>
  <c r="A1047" i="10"/>
  <c r="A1045" i="10"/>
  <c r="A1044" i="10"/>
  <c r="A1042" i="10"/>
  <c r="A1041" i="10"/>
  <c r="A1039" i="10"/>
  <c r="A1038" i="10"/>
  <c r="A1036" i="10"/>
  <c r="A1035" i="10"/>
  <c r="A1033" i="10"/>
  <c r="A1032" i="10"/>
  <c r="A1030" i="10"/>
  <c r="A1029" i="10"/>
  <c r="A1027" i="10"/>
  <c r="A1026" i="10"/>
  <c r="A1024" i="10"/>
  <c r="A1023" i="10"/>
  <c r="A1021" i="10"/>
  <c r="A1020" i="10"/>
  <c r="A1018" i="10"/>
  <c r="A1017" i="10"/>
  <c r="A1015" i="10"/>
  <c r="A1014" i="10"/>
  <c r="A1012" i="10"/>
  <c r="A1011" i="10"/>
  <c r="A1009" i="10"/>
  <c r="A1008" i="10"/>
  <c r="A1006" i="10"/>
  <c r="A1005" i="10"/>
  <c r="A1003" i="10"/>
  <c r="A1002" i="10"/>
  <c r="A1000" i="10"/>
  <c r="A999" i="10"/>
  <c r="A997" i="10"/>
  <c r="A996" i="10"/>
  <c r="A994" i="10"/>
  <c r="A993" i="10"/>
  <c r="A991" i="10"/>
  <c r="A990" i="10"/>
  <c r="A988" i="10"/>
  <c r="A987" i="10"/>
  <c r="A985" i="10"/>
  <c r="A984" i="10"/>
  <c r="A982" i="10"/>
  <c r="A981" i="10"/>
  <c r="A979" i="10"/>
  <c r="A978" i="10"/>
  <c r="A976" i="10"/>
  <c r="A975" i="10"/>
  <c r="A973" i="10"/>
  <c r="A972" i="10"/>
  <c r="A970" i="10"/>
  <c r="A969" i="10"/>
  <c r="A967" i="10"/>
  <c r="A966" i="10"/>
  <c r="A964" i="10"/>
  <c r="A963" i="10"/>
  <c r="A961" i="10"/>
  <c r="A960" i="10"/>
  <c r="A958" i="10"/>
  <c r="A957" i="10"/>
  <c r="A955" i="10"/>
  <c r="A954" i="10"/>
  <c r="A952" i="10"/>
  <c r="A951" i="10"/>
  <c r="A949" i="10"/>
  <c r="A948" i="10"/>
  <c r="A946" i="10"/>
  <c r="A945" i="10"/>
  <c r="A943" i="10"/>
  <c r="A942" i="10"/>
  <c r="A940" i="10"/>
  <c r="A939" i="10"/>
  <c r="A937" i="10"/>
  <c r="A936" i="10"/>
  <c r="A934" i="10"/>
  <c r="A933" i="10"/>
  <c r="A931" i="10"/>
  <c r="A930" i="10"/>
  <c r="A928" i="10"/>
  <c r="A927" i="10"/>
  <c r="A925" i="10"/>
  <c r="A924" i="10"/>
  <c r="A922" i="10"/>
  <c r="A921" i="10"/>
  <c r="A919" i="10"/>
  <c r="A918" i="10"/>
  <c r="A916" i="10"/>
  <c r="A915" i="10"/>
  <c r="A913" i="10"/>
  <c r="A912" i="10"/>
  <c r="A910" i="10"/>
  <c r="A909" i="10"/>
  <c r="A907" i="10"/>
  <c r="A906" i="10"/>
  <c r="A904" i="10"/>
  <c r="A903" i="10"/>
  <c r="A901" i="10"/>
  <c r="A900" i="10"/>
  <c r="A898" i="10"/>
  <c r="A897" i="10"/>
  <c r="A895" i="10"/>
  <c r="A894" i="10"/>
  <c r="A892" i="10"/>
  <c r="A891" i="10"/>
  <c r="A889" i="10"/>
  <c r="A888" i="10"/>
  <c r="A886" i="10"/>
  <c r="A885" i="10"/>
  <c r="A883" i="10"/>
  <c r="A882" i="10"/>
  <c r="A880" i="10"/>
  <c r="A879" i="10"/>
  <c r="A877" i="10"/>
  <c r="A876" i="10"/>
  <c r="A874" i="10"/>
  <c r="A873" i="10"/>
  <c r="A871" i="10"/>
  <c r="A870" i="10"/>
  <c r="A868" i="10"/>
  <c r="A867" i="10"/>
  <c r="A865" i="10"/>
  <c r="A864" i="10"/>
  <c r="A862" i="10"/>
  <c r="A861" i="10"/>
  <c r="A859" i="10"/>
  <c r="A858" i="10"/>
  <c r="A856" i="10"/>
  <c r="A855" i="10"/>
  <c r="A853" i="10"/>
  <c r="A852" i="10"/>
  <c r="A850" i="10"/>
  <c r="A849" i="10"/>
  <c r="A847" i="10"/>
  <c r="A846" i="10"/>
  <c r="A844" i="10"/>
  <c r="A843" i="10"/>
  <c r="A841" i="10"/>
  <c r="A840" i="10"/>
  <c r="A838" i="10"/>
  <c r="A837" i="10"/>
  <c r="A835" i="10"/>
  <c r="A834" i="10"/>
  <c r="A832" i="10"/>
  <c r="A831" i="10"/>
  <c r="A829" i="10"/>
  <c r="A828" i="10"/>
  <c r="A826" i="10"/>
  <c r="A825" i="10"/>
  <c r="A823" i="10"/>
  <c r="A822" i="10"/>
  <c r="A820" i="10"/>
  <c r="A819" i="10"/>
  <c r="A817" i="10"/>
  <c r="A816" i="10"/>
  <c r="A814" i="10"/>
  <c r="A813" i="10"/>
  <c r="A811" i="10"/>
  <c r="A810" i="10"/>
  <c r="A808" i="10"/>
  <c r="A807" i="10"/>
  <c r="A805" i="10"/>
  <c r="A804" i="10"/>
  <c r="A802" i="10"/>
  <c r="A801" i="10"/>
  <c r="A799" i="10"/>
  <c r="A798" i="10"/>
  <c r="A796" i="10"/>
  <c r="A795" i="10"/>
  <c r="A793" i="10"/>
  <c r="A792" i="10"/>
  <c r="A790" i="10"/>
  <c r="A789" i="10"/>
  <c r="A787" i="10"/>
  <c r="A786" i="10"/>
  <c r="A784" i="10"/>
  <c r="A783" i="10"/>
  <c r="A781" i="10"/>
  <c r="A780" i="10"/>
  <c r="A778" i="10"/>
  <c r="A777" i="10"/>
  <c r="A775" i="10"/>
  <c r="A774" i="10"/>
  <c r="A772" i="10"/>
  <c r="A771" i="10"/>
  <c r="A769" i="10"/>
  <c r="A768" i="10"/>
  <c r="A766" i="10"/>
  <c r="A765" i="10"/>
  <c r="A763" i="10"/>
  <c r="A762" i="10"/>
  <c r="A760" i="10"/>
  <c r="A759" i="10"/>
  <c r="A757" i="10"/>
  <c r="A756" i="10"/>
  <c r="A754" i="10"/>
  <c r="A753" i="10"/>
  <c r="A751" i="10"/>
  <c r="A750" i="10"/>
  <c r="A748" i="10"/>
  <c r="A747" i="10"/>
  <c r="A745" i="10"/>
  <c r="A744" i="10"/>
  <c r="A742" i="10"/>
  <c r="A741" i="10"/>
  <c r="A739" i="10"/>
  <c r="A738" i="10"/>
  <c r="A736" i="10"/>
  <c r="A735" i="10"/>
  <c r="A733" i="10"/>
  <c r="A732" i="10"/>
  <c r="A730" i="10"/>
  <c r="A729" i="10"/>
  <c r="A727" i="10"/>
  <c r="A726" i="10"/>
  <c r="A724" i="10"/>
  <c r="A723" i="10"/>
  <c r="A721" i="10"/>
  <c r="A720" i="10"/>
  <c r="A718" i="10"/>
  <c r="A717" i="10"/>
  <c r="A715" i="10"/>
  <c r="A714" i="10"/>
  <c r="A712" i="10"/>
  <c r="A711" i="10"/>
  <c r="A709" i="10"/>
  <c r="A708" i="10"/>
  <c r="A706" i="10"/>
  <c r="A705" i="10"/>
  <c r="A703" i="10"/>
  <c r="A702" i="10"/>
  <c r="A700" i="10"/>
  <c r="A699" i="10"/>
  <c r="A697" i="10"/>
  <c r="A696" i="10"/>
  <c r="A694" i="10"/>
  <c r="A693" i="10"/>
  <c r="A691" i="10"/>
  <c r="A690" i="10"/>
  <c r="A688" i="10"/>
  <c r="A687" i="10"/>
  <c r="A685" i="10"/>
  <c r="A684" i="10"/>
  <c r="A682" i="10"/>
  <c r="A681" i="10"/>
  <c r="A679" i="10"/>
  <c r="A678" i="10"/>
  <c r="A676" i="10"/>
  <c r="A675" i="10"/>
  <c r="A673" i="10"/>
  <c r="A672" i="10"/>
  <c r="A670" i="10"/>
  <c r="A669" i="10"/>
  <c r="A667" i="10"/>
  <c r="A666" i="10"/>
  <c r="A664" i="10"/>
  <c r="A663" i="10"/>
  <c r="A661" i="10"/>
  <c r="A660" i="10"/>
  <c r="A658" i="10"/>
  <c r="A657" i="10"/>
  <c r="A655" i="10"/>
  <c r="A654" i="10"/>
  <c r="A652" i="10"/>
  <c r="A651" i="10"/>
  <c r="A649" i="10"/>
  <c r="A648" i="10"/>
  <c r="A646" i="10"/>
  <c r="A645" i="10"/>
  <c r="A643" i="10"/>
  <c r="A642" i="10"/>
  <c r="A640" i="10"/>
  <c r="A639" i="10"/>
  <c r="A637" i="10"/>
  <c r="A636" i="10"/>
  <c r="A634" i="10"/>
  <c r="A633" i="10"/>
  <c r="A631" i="10"/>
  <c r="A630" i="10"/>
  <c r="A628" i="10"/>
  <c r="A627" i="10"/>
  <c r="A625" i="10"/>
  <c r="A624" i="10"/>
  <c r="A622" i="10"/>
  <c r="A621" i="10"/>
  <c r="A619" i="10"/>
  <c r="A618" i="10"/>
  <c r="A616" i="10"/>
  <c r="A615" i="10"/>
  <c r="A613" i="10"/>
  <c r="A612" i="10"/>
  <c r="A610" i="10"/>
  <c r="A609" i="10"/>
  <c r="A607" i="10"/>
  <c r="A606" i="10"/>
  <c r="A604" i="10"/>
  <c r="A603" i="10"/>
  <c r="A601" i="10"/>
  <c r="A600" i="10"/>
  <c r="A598" i="10"/>
  <c r="A597" i="10"/>
  <c r="A595" i="10"/>
  <c r="A594" i="10"/>
  <c r="A592" i="10"/>
  <c r="A591" i="10"/>
  <c r="A589" i="10"/>
  <c r="A588" i="10"/>
  <c r="A586" i="10"/>
  <c r="A585" i="10"/>
  <c r="A583" i="10"/>
  <c r="A582" i="10"/>
  <c r="A580" i="10"/>
  <c r="A579" i="10"/>
  <c r="A577" i="10"/>
  <c r="A576" i="10"/>
  <c r="A574" i="10"/>
  <c r="A573" i="10"/>
  <c r="A571" i="10"/>
  <c r="A570" i="10"/>
  <c r="A568" i="10"/>
  <c r="A567" i="10"/>
  <c r="A565" i="10"/>
  <c r="A564" i="10"/>
  <c r="A562" i="10"/>
  <c r="A561" i="10"/>
  <c r="A559" i="10"/>
  <c r="A558" i="10"/>
  <c r="A556" i="10"/>
  <c r="A555" i="10"/>
  <c r="A553" i="10"/>
  <c r="A552" i="10"/>
  <c r="A550" i="10"/>
  <c r="A549" i="10"/>
  <c r="A547" i="10"/>
  <c r="A546" i="10"/>
  <c r="A544" i="10"/>
  <c r="A543" i="10"/>
  <c r="A541" i="10"/>
  <c r="A540" i="10"/>
  <c r="A538" i="10"/>
  <c r="A537" i="10"/>
  <c r="A535" i="10"/>
  <c r="A534" i="10"/>
  <c r="A532" i="10"/>
  <c r="A531" i="10"/>
  <c r="A529" i="10"/>
  <c r="A528" i="10"/>
  <c r="A526" i="10"/>
  <c r="A525" i="10"/>
  <c r="A523" i="10"/>
  <c r="A522" i="10"/>
  <c r="A520" i="10"/>
  <c r="A519" i="10"/>
  <c r="A517" i="10"/>
  <c r="A516" i="10"/>
  <c r="A514" i="10"/>
  <c r="A513" i="10"/>
  <c r="A511" i="10"/>
  <c r="A510" i="10"/>
  <c r="A508" i="10"/>
  <c r="A507" i="10"/>
  <c r="A505" i="10"/>
  <c r="A504" i="10"/>
  <c r="A502" i="10"/>
  <c r="A501" i="10"/>
  <c r="A499" i="10"/>
  <c r="A498" i="10"/>
  <c r="A496" i="10"/>
  <c r="A495" i="10"/>
  <c r="A493" i="10"/>
  <c r="A492" i="10"/>
  <c r="A490" i="10"/>
  <c r="A489" i="10"/>
  <c r="A487" i="10"/>
  <c r="A486" i="10"/>
  <c r="A484" i="10"/>
  <c r="A483" i="10"/>
  <c r="A481" i="10"/>
  <c r="A480" i="10"/>
  <c r="A478" i="10"/>
  <c r="A477" i="10"/>
  <c r="A475" i="10"/>
  <c r="A474" i="10"/>
  <c r="A472" i="10"/>
  <c r="A471" i="10"/>
  <c r="A469" i="10"/>
  <c r="A468" i="10"/>
  <c r="A466" i="10"/>
  <c r="A465" i="10"/>
  <c r="A463" i="10"/>
  <c r="A462" i="10"/>
  <c r="A460" i="10"/>
  <c r="A459" i="10"/>
  <c r="A457" i="10"/>
  <c r="A456" i="10"/>
  <c r="A454" i="10"/>
  <c r="A453" i="10"/>
  <c r="A451" i="10"/>
  <c r="A450" i="10"/>
  <c r="A448" i="10"/>
  <c r="A447" i="10"/>
  <c r="A445" i="10"/>
  <c r="A444" i="10"/>
  <c r="A442" i="10"/>
  <c r="A441" i="10"/>
  <c r="A439" i="10"/>
  <c r="A438" i="10"/>
  <c r="A436" i="10"/>
  <c r="A435" i="10"/>
  <c r="A433" i="10"/>
  <c r="A432" i="10"/>
  <c r="A430" i="10"/>
  <c r="A429" i="10"/>
  <c r="A427" i="10"/>
  <c r="A426" i="10"/>
  <c r="A424" i="10"/>
  <c r="A423" i="10"/>
  <c r="A421" i="10"/>
  <c r="A420" i="10"/>
  <c r="A418" i="10"/>
  <c r="A417" i="10"/>
  <c r="A415" i="10"/>
  <c r="A414" i="10"/>
  <c r="A412" i="10"/>
  <c r="A411" i="10"/>
  <c r="A409" i="10"/>
  <c r="A408" i="10"/>
  <c r="A406" i="10"/>
  <c r="A405" i="10"/>
  <c r="A403" i="10"/>
  <c r="A402" i="10"/>
  <c r="A400" i="10"/>
  <c r="A399" i="10"/>
  <c r="A397" i="10"/>
  <c r="A396" i="10"/>
  <c r="A394" i="10"/>
  <c r="A393" i="10"/>
  <c r="A391" i="10"/>
  <c r="A390" i="10"/>
  <c r="A388" i="10"/>
  <c r="A387" i="10"/>
  <c r="A385" i="10"/>
  <c r="A384" i="10"/>
  <c r="A382" i="10"/>
  <c r="A381" i="10"/>
  <c r="A379" i="10"/>
  <c r="A378" i="10"/>
  <c r="A376" i="10"/>
  <c r="A375" i="10"/>
  <c r="A373" i="10"/>
  <c r="A372" i="10"/>
  <c r="A370" i="10"/>
  <c r="A369" i="10"/>
  <c r="A367" i="10"/>
  <c r="A366" i="10"/>
  <c r="A364" i="10"/>
  <c r="A363" i="10"/>
  <c r="A361" i="10"/>
  <c r="A360" i="10"/>
  <c r="A358" i="10"/>
  <c r="A357" i="10"/>
  <c r="A355" i="10"/>
  <c r="A354" i="10"/>
  <c r="A352" i="10"/>
  <c r="A351" i="10"/>
  <c r="A349" i="10"/>
  <c r="A348" i="10"/>
  <c r="A346" i="10"/>
  <c r="A345" i="10"/>
  <c r="A343" i="10"/>
  <c r="A342" i="10"/>
  <c r="A340" i="10"/>
  <c r="A339" i="10"/>
  <c r="A337" i="10"/>
  <c r="A336" i="10"/>
  <c r="A334" i="10"/>
  <c r="A333" i="10"/>
  <c r="A331" i="10"/>
  <c r="A330" i="10"/>
  <c r="A328" i="10"/>
  <c r="A327" i="10"/>
  <c r="A325" i="10"/>
  <c r="A324" i="10"/>
  <c r="A322" i="10"/>
  <c r="A321" i="10"/>
  <c r="A319" i="10"/>
  <c r="A318" i="10"/>
  <c r="A316" i="10"/>
  <c r="A315" i="10"/>
  <c r="A313" i="10"/>
  <c r="A312" i="10"/>
  <c r="A310" i="10"/>
  <c r="A309" i="10"/>
  <c r="A307" i="10"/>
  <c r="A306" i="10"/>
  <c r="A304" i="10"/>
  <c r="A303" i="10"/>
  <c r="A301" i="10"/>
  <c r="A300" i="10"/>
  <c r="A298" i="10"/>
  <c r="A297" i="10"/>
  <c r="A295" i="10"/>
  <c r="A294" i="10"/>
  <c r="A292" i="10"/>
  <c r="A291" i="10"/>
  <c r="A289" i="10"/>
  <c r="A288" i="10"/>
  <c r="A286" i="10"/>
  <c r="A285" i="10"/>
  <c r="A283" i="10"/>
  <c r="A282" i="10"/>
  <c r="A280" i="10"/>
  <c r="A279" i="10"/>
  <c r="A277" i="10"/>
  <c r="A276" i="10"/>
  <c r="A274" i="10"/>
  <c r="A273" i="10"/>
  <c r="A271" i="10"/>
  <c r="A270" i="10"/>
  <c r="A268" i="10"/>
  <c r="A267" i="10"/>
  <c r="A265" i="10"/>
  <c r="A264" i="10"/>
  <c r="A262" i="10"/>
  <c r="A261" i="10"/>
  <c r="A259" i="10"/>
  <c r="A258" i="10"/>
  <c r="A256" i="10"/>
  <c r="A255" i="10"/>
  <c r="A253" i="10"/>
  <c r="A252" i="10"/>
  <c r="A250" i="10"/>
  <c r="A249" i="10"/>
  <c r="A247" i="10"/>
  <c r="A246" i="10"/>
  <c r="A244" i="10"/>
  <c r="A243" i="10"/>
  <c r="A241" i="10"/>
  <c r="A240" i="10"/>
  <c r="A238" i="10"/>
  <c r="A237" i="10"/>
  <c r="A235" i="10"/>
  <c r="A234" i="10"/>
  <c r="A232" i="10"/>
  <c r="A231" i="10"/>
  <c r="A229" i="10"/>
  <c r="A228" i="10"/>
  <c r="A226" i="10"/>
  <c r="A225" i="10"/>
  <c r="A223" i="10"/>
  <c r="A222" i="10"/>
  <c r="A220" i="10"/>
  <c r="A219" i="10"/>
  <c r="A217" i="10"/>
  <c r="A216" i="10"/>
  <c r="A214" i="10"/>
  <c r="A213" i="10"/>
  <c r="A211" i="10"/>
  <c r="A210" i="10"/>
  <c r="A208" i="10"/>
  <c r="A207" i="10"/>
  <c r="A205" i="10"/>
  <c r="A204" i="10"/>
  <c r="A202" i="10"/>
  <c r="A201" i="10"/>
  <c r="A199" i="10"/>
  <c r="A198" i="10"/>
  <c r="A196" i="10"/>
  <c r="A195" i="10"/>
  <c r="A193" i="10"/>
  <c r="A192" i="10"/>
  <c r="A190" i="10"/>
  <c r="A189" i="10"/>
  <c r="A187" i="10"/>
  <c r="A186" i="10"/>
  <c r="A184" i="10"/>
  <c r="A183" i="10"/>
  <c r="A181" i="10"/>
  <c r="A180" i="10"/>
  <c r="A178" i="10"/>
  <c r="A177" i="10"/>
  <c r="A175" i="10"/>
  <c r="A174" i="10"/>
  <c r="A172" i="10"/>
  <c r="A171" i="10"/>
  <c r="A169" i="10"/>
  <c r="A168" i="10"/>
  <c r="A166" i="10"/>
  <c r="A165" i="10"/>
  <c r="A163" i="10"/>
  <c r="A162" i="10"/>
  <c r="A160" i="10"/>
  <c r="A159" i="10"/>
  <c r="A157" i="10"/>
  <c r="A156" i="10"/>
  <c r="A154" i="10"/>
  <c r="A153" i="10"/>
  <c r="A151" i="10"/>
  <c r="A150" i="10"/>
  <c r="A148" i="10"/>
  <c r="A147" i="10"/>
  <c r="A145" i="10"/>
  <c r="A144" i="10"/>
  <c r="A142" i="10"/>
  <c r="A141" i="10"/>
  <c r="A139" i="10"/>
  <c r="A138" i="10"/>
  <c r="A136" i="10"/>
  <c r="A135" i="10"/>
  <c r="A133" i="10"/>
  <c r="A132" i="10"/>
  <c r="A130" i="10"/>
  <c r="A129" i="10"/>
  <c r="A127" i="10"/>
  <c r="A126" i="10"/>
  <c r="A124" i="10"/>
  <c r="A123" i="10"/>
  <c r="A121" i="10"/>
  <c r="A120" i="10"/>
  <c r="A118" i="10"/>
  <c r="A117" i="10"/>
  <c r="A115" i="10"/>
  <c r="A114" i="10"/>
  <c r="A112" i="10"/>
  <c r="A111" i="10"/>
  <c r="A109" i="10"/>
  <c r="A108" i="10"/>
  <c r="A106" i="10"/>
  <c r="A105" i="10"/>
  <c r="A103" i="10"/>
  <c r="A102" i="10"/>
  <c r="A100" i="10"/>
  <c r="A99" i="10"/>
  <c r="A97" i="10"/>
  <c r="A96" i="10"/>
  <c r="A94" i="10"/>
  <c r="A93" i="10"/>
  <c r="A91" i="10"/>
  <c r="A90" i="10"/>
  <c r="A1" i="10"/>
  <c r="B394" i="1"/>
  <c r="B379" i="1"/>
  <c r="B384" i="1"/>
  <c r="B411" i="1"/>
  <c r="B412" i="1"/>
  <c r="B413" i="1"/>
  <c r="B414" i="1"/>
  <c r="B395" i="1"/>
  <c r="B389" i="1"/>
  <c r="B382" i="1"/>
  <c r="B383" i="1"/>
  <c r="B396" i="1"/>
  <c r="B408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A790" i="9"/>
  <c r="A766" i="9"/>
  <c r="F8" i="8" l="1"/>
  <c r="F7" i="8"/>
  <c r="F2" i="8"/>
  <c r="F1" i="8"/>
  <c r="A822" i="9"/>
  <c r="A158" i="9"/>
  <c r="A122" i="9"/>
  <c r="A172" i="9"/>
  <c r="A776" i="9"/>
  <c r="A128" i="9"/>
  <c r="A162" i="9"/>
  <c r="A134" i="9"/>
  <c r="A820" i="9"/>
  <c r="A818" i="9"/>
  <c r="A132" i="9"/>
  <c r="A170" i="9"/>
  <c r="A150" i="9"/>
  <c r="A160" i="9"/>
  <c r="A136" i="9"/>
  <c r="A142" i="9"/>
  <c r="A146" i="9"/>
  <c r="A154" i="9"/>
  <c r="A118" i="9"/>
  <c r="A144" i="9"/>
  <c r="A166" i="9"/>
  <c r="A138" i="9"/>
  <c r="A120" i="9"/>
  <c r="A126" i="9"/>
  <c r="A156" i="9"/>
  <c r="A868" i="9"/>
  <c r="A176" i="9"/>
  <c r="A756" i="9"/>
  <c r="A152" i="9"/>
  <c r="A124" i="9"/>
  <c r="A164" i="9"/>
  <c r="A174" i="9"/>
  <c r="A826" i="9"/>
  <c r="A140" i="9"/>
  <c r="A168" i="9"/>
  <c r="A148" i="9"/>
  <c r="A130" i="9"/>
  <c r="A786" i="9"/>
  <c r="A178" i="9"/>
  <c r="A824" i="9"/>
  <c r="F4" i="8" l="1"/>
  <c r="F6" i="8"/>
  <c r="F5" i="8"/>
  <c r="F3" i="8"/>
  <c r="B155" i="1" l="1"/>
  <c r="B137" i="1"/>
  <c r="B138" i="1"/>
  <c r="B139" i="1"/>
  <c r="B140" i="1"/>
  <c r="B141" i="1"/>
  <c r="B142" i="1"/>
  <c r="B156" i="1"/>
  <c r="B157" i="1"/>
  <c r="B143" i="1"/>
  <c r="B158" i="1"/>
  <c r="B144" i="1"/>
  <c r="B159" i="1"/>
  <c r="B145" i="1"/>
  <c r="B146" i="1"/>
  <c r="B147" i="1"/>
  <c r="B148" i="1"/>
  <c r="B149" i="1"/>
  <c r="B150" i="1"/>
  <c r="B151" i="1"/>
  <c r="B152" i="1"/>
  <c r="B261" i="1"/>
  <c r="B294" i="1"/>
  <c r="B262" i="1"/>
  <c r="B263" i="1"/>
  <c r="B264" i="1"/>
  <c r="B265" i="1"/>
  <c r="B266" i="1"/>
  <c r="B267" i="1"/>
  <c r="B268" i="1"/>
  <c r="B269" i="1"/>
  <c r="B270" i="1"/>
  <c r="B271" i="1"/>
  <c r="B295" i="1"/>
  <c r="B296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97" i="1"/>
  <c r="B286" i="1"/>
  <c r="B287" i="1"/>
  <c r="B288" i="1"/>
  <c r="B289" i="1"/>
  <c r="B290" i="1"/>
  <c r="B291" i="1"/>
  <c r="B292" i="1"/>
  <c r="B293" i="1"/>
  <c r="B298" i="1"/>
  <c r="B299" i="1"/>
  <c r="B160" i="1"/>
  <c r="B182" i="1"/>
  <c r="B183" i="1"/>
  <c r="B161" i="1"/>
  <c r="B162" i="1"/>
  <c r="B184" i="1"/>
  <c r="B163" i="1"/>
  <c r="B164" i="1"/>
  <c r="B165" i="1"/>
  <c r="B166" i="1"/>
  <c r="B167" i="1"/>
  <c r="B168" i="1"/>
  <c r="B169" i="1"/>
  <c r="B170" i="1"/>
  <c r="B185" i="1"/>
  <c r="B171" i="1"/>
  <c r="B172" i="1"/>
  <c r="B186" i="1"/>
  <c r="B173" i="1"/>
  <c r="B187" i="1"/>
  <c r="B174" i="1"/>
  <c r="B188" i="1"/>
  <c r="B175" i="1"/>
  <c r="B176" i="1"/>
  <c r="B177" i="1"/>
  <c r="B189" i="1"/>
  <c r="B178" i="1"/>
  <c r="B190" i="1"/>
  <c r="B179" i="1"/>
  <c r="B191" i="1"/>
  <c r="B180" i="1"/>
  <c r="B192" i="1"/>
  <c r="B193" i="1"/>
  <c r="B194" i="1"/>
  <c r="B195" i="1"/>
  <c r="B181" i="1"/>
  <c r="B196" i="1"/>
  <c r="B426" i="1"/>
  <c r="B415" i="1"/>
  <c r="B427" i="1"/>
  <c r="B416" i="1"/>
  <c r="B428" i="1"/>
  <c r="B429" i="1"/>
  <c r="B430" i="1"/>
  <c r="B431" i="1"/>
  <c r="B417" i="1"/>
  <c r="B418" i="1"/>
  <c r="B419" i="1"/>
  <c r="B432" i="1"/>
  <c r="B420" i="1"/>
  <c r="B433" i="1"/>
  <c r="B421" i="1"/>
  <c r="B422" i="1"/>
  <c r="B423" i="1"/>
  <c r="B424" i="1"/>
  <c r="B425" i="1"/>
  <c r="B232" i="1"/>
  <c r="B233" i="1"/>
  <c r="B234" i="1"/>
  <c r="B235" i="1"/>
  <c r="B222" i="1"/>
  <c r="B223" i="1"/>
  <c r="B224" i="1"/>
  <c r="B225" i="1"/>
  <c r="B236" i="1"/>
  <c r="B226" i="1"/>
  <c r="B227" i="1"/>
  <c r="B228" i="1"/>
  <c r="B229" i="1"/>
  <c r="B237" i="1"/>
  <c r="B230" i="1"/>
  <c r="B231" i="1"/>
  <c r="B238" i="1"/>
  <c r="B34" i="1"/>
  <c r="B46" i="1"/>
  <c r="B35" i="1"/>
  <c r="B47" i="1"/>
  <c r="B36" i="1"/>
  <c r="B48" i="1"/>
  <c r="B37" i="1"/>
  <c r="B49" i="1"/>
  <c r="B50" i="1"/>
  <c r="B51" i="1"/>
  <c r="B52" i="1"/>
  <c r="B38" i="1"/>
  <c r="B53" i="1"/>
  <c r="B39" i="1"/>
  <c r="B54" i="1"/>
  <c r="B40" i="1"/>
  <c r="B55" i="1"/>
  <c r="B41" i="1"/>
  <c r="B56" i="1"/>
  <c r="B42" i="1"/>
  <c r="B43" i="1"/>
  <c r="B57" i="1"/>
  <c r="B44" i="1"/>
  <c r="B58" i="1"/>
  <c r="B45" i="1"/>
  <c r="B59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197" i="1"/>
  <c r="B198" i="1"/>
  <c r="B213" i="1"/>
  <c r="B199" i="1"/>
  <c r="B214" i="1"/>
  <c r="B200" i="1"/>
  <c r="B215" i="1"/>
  <c r="B216" i="1"/>
  <c r="B201" i="1"/>
  <c r="B217" i="1"/>
  <c r="B218" i="1"/>
  <c r="B202" i="1"/>
  <c r="B203" i="1"/>
  <c r="B204" i="1"/>
  <c r="B205" i="1"/>
  <c r="B206" i="1"/>
  <c r="B207" i="1"/>
  <c r="B208" i="1"/>
  <c r="B209" i="1"/>
  <c r="B210" i="1"/>
  <c r="B211" i="1"/>
  <c r="B212" i="1"/>
  <c r="B219" i="1"/>
  <c r="B220" i="1"/>
  <c r="B221" i="1"/>
  <c r="B305" i="1"/>
  <c r="B306" i="1"/>
  <c r="B307" i="1"/>
  <c r="B300" i="1"/>
  <c r="B308" i="1"/>
  <c r="B309" i="1"/>
  <c r="B310" i="1"/>
  <c r="B311" i="1"/>
  <c r="B312" i="1"/>
  <c r="B313" i="1"/>
  <c r="B301" i="1"/>
  <c r="B314" i="1"/>
  <c r="B315" i="1"/>
  <c r="B316" i="1"/>
  <c r="B317" i="1"/>
  <c r="B318" i="1"/>
  <c r="B319" i="1"/>
  <c r="B302" i="1"/>
  <c r="B320" i="1"/>
  <c r="B321" i="1"/>
  <c r="B322" i="1"/>
  <c r="B303" i="1"/>
  <c r="B304" i="1"/>
  <c r="B323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24" i="1"/>
  <c r="B325" i="1"/>
  <c r="B326" i="1"/>
  <c r="B344" i="1"/>
  <c r="B327" i="1"/>
  <c r="B328" i="1"/>
  <c r="B329" i="1"/>
  <c r="B330" i="1"/>
  <c r="B331" i="1"/>
  <c r="B332" i="1"/>
  <c r="B345" i="1"/>
  <c r="B333" i="1"/>
  <c r="B334" i="1"/>
  <c r="B335" i="1"/>
  <c r="B336" i="1"/>
  <c r="B337" i="1"/>
  <c r="B338" i="1"/>
  <c r="B339" i="1"/>
  <c r="B346" i="1"/>
  <c r="B340" i="1"/>
  <c r="B341" i="1"/>
  <c r="B342" i="1"/>
  <c r="B343" i="1"/>
  <c r="B347" i="1"/>
  <c r="B348" i="1"/>
  <c r="B355" i="1"/>
  <c r="B349" i="1"/>
  <c r="B356" i="1"/>
  <c r="B350" i="1"/>
  <c r="B351" i="1"/>
  <c r="B352" i="1"/>
  <c r="B353" i="1"/>
  <c r="B357" i="1"/>
  <c r="B358" i="1"/>
  <c r="B359" i="1"/>
  <c r="B354" i="1"/>
  <c r="B2" i="1"/>
  <c r="B3" i="1"/>
  <c r="B4" i="1"/>
  <c r="B17" i="1"/>
  <c r="B5" i="1"/>
  <c r="B6" i="1"/>
  <c r="B7" i="1"/>
  <c r="B8" i="1"/>
  <c r="B9" i="1"/>
  <c r="B10" i="1"/>
  <c r="B11" i="1"/>
  <c r="B12" i="1"/>
  <c r="B13" i="1"/>
  <c r="B14" i="1"/>
  <c r="B28" i="1"/>
  <c r="B29" i="1"/>
  <c r="B30" i="1"/>
  <c r="B31" i="1"/>
  <c r="B32" i="1"/>
  <c r="B33" i="1"/>
  <c r="B15" i="1"/>
  <c r="B16" i="1"/>
  <c r="B18" i="1"/>
  <c r="B19" i="1"/>
  <c r="B2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53" i="1"/>
  <c r="B131" i="1"/>
  <c r="B132" i="1"/>
  <c r="B133" i="1"/>
  <c r="B154" i="1"/>
  <c r="B134" i="1"/>
  <c r="B135" i="1"/>
  <c r="B136" i="1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  <c r="A828" i="9"/>
  <c r="A308" i="9"/>
  <c r="A278" i="9"/>
  <c r="A312" i="9"/>
  <c r="A316" i="9"/>
  <c r="A294" i="9"/>
  <c r="A302" i="9"/>
  <c r="A524" i="9"/>
  <c r="A532" i="9"/>
  <c r="A540" i="9"/>
  <c r="A544" i="9"/>
  <c r="A552" i="9"/>
  <c r="A560" i="9"/>
  <c r="A568" i="9"/>
  <c r="A574" i="9"/>
  <c r="A582" i="9"/>
  <c r="A318" i="9"/>
  <c r="A322" i="9"/>
  <c r="A328" i="9"/>
  <c r="A336" i="9"/>
  <c r="A342" i="9"/>
  <c r="A346" i="9"/>
  <c r="A352" i="9"/>
  <c r="A356" i="9"/>
  <c r="A384" i="9"/>
  <c r="A390" i="9"/>
  <c r="A832" i="9"/>
  <c r="A862" i="9"/>
  <c r="A864" i="9"/>
  <c r="A844" i="9"/>
  <c r="A462" i="9"/>
  <c r="A442" i="9"/>
  <c r="A470" i="9"/>
  <c r="A456" i="9"/>
  <c r="A474" i="9"/>
  <c r="A92" i="9"/>
  <c r="A96" i="9"/>
  <c r="A74" i="9"/>
  <c r="A78" i="9"/>
  <c r="A82" i="9"/>
  <c r="A114" i="9"/>
  <c r="A478" i="9"/>
  <c r="A486" i="9"/>
  <c r="A494" i="9"/>
  <c r="A502" i="9"/>
  <c r="A510" i="9"/>
  <c r="A518" i="9"/>
  <c r="A396" i="9"/>
  <c r="A430" i="9"/>
  <c r="A402" i="9"/>
  <c r="A410" i="9"/>
  <c r="A418" i="9"/>
  <c r="A438" i="9"/>
  <c r="A612" i="9"/>
  <c r="A618" i="9"/>
  <c r="A600" i="9"/>
  <c r="A632" i="9"/>
  <c r="A638" i="9"/>
  <c r="A606" i="9"/>
  <c r="A722" i="9"/>
  <c r="A730" i="9"/>
  <c r="A738" i="9"/>
  <c r="A746" i="9"/>
  <c r="A754" i="9"/>
  <c r="A686" i="9"/>
  <c r="A658" i="9"/>
  <c r="A664" i="9"/>
  <c r="A672" i="9"/>
  <c r="A678" i="9"/>
  <c r="A692" i="9"/>
  <c r="A710" i="9"/>
  <c r="A704" i="9"/>
  <c r="A706" i="9"/>
  <c r="A64" i="9"/>
  <c r="A184" i="9"/>
  <c r="A192" i="9"/>
  <c r="A200" i="9"/>
  <c r="A208" i="9"/>
  <c r="A216" i="9"/>
  <c r="A224" i="9"/>
  <c r="A232" i="9"/>
  <c r="A240" i="9"/>
  <c r="A248" i="9"/>
  <c r="A256" i="9"/>
  <c r="A262" i="9"/>
  <c r="A268" i="9"/>
  <c r="A272" i="9"/>
  <c r="A280" i="9"/>
  <c r="A284" i="9"/>
  <c r="A288" i="9"/>
  <c r="A296" i="9"/>
  <c r="A520" i="9"/>
  <c r="A526" i="9"/>
  <c r="A534" i="9"/>
  <c r="A588" i="9"/>
  <c r="A546" i="9"/>
  <c r="A554" i="9"/>
  <c r="A562" i="9"/>
  <c r="A592" i="9"/>
  <c r="A576" i="9"/>
  <c r="A584" i="9"/>
  <c r="A362" i="9"/>
  <c r="A366" i="9"/>
  <c r="A330" i="9"/>
  <c r="A338" i="9"/>
  <c r="A370" i="9"/>
  <c r="A374" i="9"/>
  <c r="A376" i="9"/>
  <c r="A380" i="9"/>
  <c r="A386" i="9"/>
  <c r="A852" i="9"/>
  <c r="A856" i="9"/>
  <c r="A834" i="9"/>
  <c r="A840" i="9"/>
  <c r="A846" i="9"/>
  <c r="A464" i="9"/>
  <c r="A444" i="9"/>
  <c r="A450" i="9"/>
  <c r="A472" i="9"/>
  <c r="A66" i="9"/>
  <c r="A70" i="9"/>
  <c r="A98" i="9"/>
  <c r="A104" i="9"/>
  <c r="A108" i="9"/>
  <c r="A84" i="9"/>
  <c r="A88" i="9"/>
  <c r="A480" i="9"/>
  <c r="A488" i="9"/>
  <c r="A496" i="9"/>
  <c r="A504" i="9"/>
  <c r="A512" i="9"/>
  <c r="A392" i="9"/>
  <c r="A426" i="9"/>
  <c r="A400" i="9"/>
  <c r="A404" i="9"/>
  <c r="A412" i="9"/>
  <c r="A420" i="9"/>
  <c r="A440" i="9"/>
  <c r="A598" i="9"/>
  <c r="A620" i="9"/>
  <c r="A626" i="9"/>
  <c r="A634" i="9"/>
  <c r="A640" i="9"/>
  <c r="A644" i="9"/>
  <c r="A724" i="9"/>
  <c r="A732" i="9"/>
  <c r="A740" i="9"/>
  <c r="A748" i="9"/>
  <c r="A646" i="9"/>
  <c r="A652" i="9"/>
  <c r="A660" i="9"/>
  <c r="A666" i="9"/>
  <c r="A674" i="9"/>
  <c r="A680" i="9"/>
  <c r="A694" i="9"/>
  <c r="A698" i="9"/>
  <c r="A712" i="9"/>
  <c r="A186" i="9"/>
  <c r="A194" i="9"/>
  <c r="A202" i="9"/>
  <c r="A210" i="9"/>
  <c r="A218" i="9"/>
  <c r="A226" i="9"/>
  <c r="A234" i="9"/>
  <c r="A242" i="9"/>
  <c r="A250" i="9"/>
  <c r="A258" i="9"/>
  <c r="A264" i="9"/>
  <c r="A270" i="9"/>
  <c r="A274" i="9"/>
  <c r="A282" i="9"/>
  <c r="A314" i="9"/>
  <c r="A290" i="9"/>
  <c r="A298" i="9"/>
  <c r="A586" i="9"/>
  <c r="A528" i="9"/>
  <c r="A536" i="9"/>
  <c r="A590" i="9"/>
  <c r="A548" i="9"/>
  <c r="A556" i="9"/>
  <c r="A564" i="9"/>
  <c r="A570" i="9"/>
  <c r="A578" i="9"/>
  <c r="A594" i="9"/>
  <c r="A364" i="9"/>
  <c r="A324" i="9"/>
  <c r="A332" i="9"/>
  <c r="A368" i="9"/>
  <c r="A344" i="9"/>
  <c r="A348" i="9"/>
  <c r="A354" i="9"/>
  <c r="A358" i="9"/>
  <c r="A388" i="9"/>
  <c r="A830" i="9"/>
  <c r="A858" i="9"/>
  <c r="A836" i="9"/>
  <c r="A866" i="9"/>
  <c r="A848" i="9"/>
  <c r="A466" i="9"/>
  <c r="A446" i="9"/>
  <c r="A452" i="9"/>
  <c r="A458" i="9"/>
  <c r="A90" i="9"/>
  <c r="A94" i="9"/>
  <c r="A100" i="9"/>
  <c r="A76" i="9"/>
  <c r="A80" i="9"/>
  <c r="A112" i="9"/>
  <c r="A116" i="9"/>
  <c r="A482" i="9"/>
  <c r="A490" i="9"/>
  <c r="A498" i="9"/>
  <c r="A506" i="9"/>
  <c r="A514" i="9"/>
  <c r="A394" i="9"/>
  <c r="A398" i="9"/>
  <c r="A432" i="9"/>
  <c r="A406" i="9"/>
  <c r="A414" i="9"/>
  <c r="A422" i="9"/>
  <c r="A608" i="9"/>
  <c r="A614" i="9"/>
  <c r="A622" i="9"/>
  <c r="A628" i="9"/>
  <c r="A636" i="9"/>
  <c r="A642" i="9"/>
  <c r="A718" i="9"/>
  <c r="A726" i="9"/>
  <c r="A734" i="9"/>
  <c r="A742" i="9"/>
  <c r="A750" i="9"/>
  <c r="A648" i="9"/>
  <c r="A654" i="9"/>
  <c r="A662" i="9"/>
  <c r="A668" i="9"/>
  <c r="A676" i="9"/>
  <c r="A682" i="9"/>
  <c r="A708" i="9"/>
  <c r="A700" i="9"/>
  <c r="A714" i="9"/>
  <c r="A180" i="9"/>
  <c r="A188" i="9"/>
  <c r="A196" i="9"/>
  <c r="A204" i="9"/>
  <c r="A212" i="9"/>
  <c r="A220" i="9"/>
  <c r="A228" i="9"/>
  <c r="A236" i="9"/>
  <c r="A244" i="9"/>
  <c r="A252" i="9"/>
  <c r="A304" i="9"/>
  <c r="A306" i="9"/>
  <c r="A276" i="9"/>
  <c r="A310" i="9"/>
  <c r="A286" i="9"/>
  <c r="A292" i="9"/>
  <c r="A300" i="9"/>
  <c r="A522" i="9"/>
  <c r="A530" i="9"/>
  <c r="A538" i="9"/>
  <c r="A542" i="9"/>
  <c r="A550" i="9"/>
  <c r="A558" i="9"/>
  <c r="A566" i="9"/>
  <c r="A572" i="9"/>
  <c r="A580" i="9"/>
  <c r="A596" i="9"/>
  <c r="A320" i="9"/>
  <c r="A326" i="9"/>
  <c r="A334" i="9"/>
  <c r="A340" i="9"/>
  <c r="A372" i="9"/>
  <c r="A350" i="9"/>
  <c r="A378" i="9"/>
  <c r="A382" i="9"/>
  <c r="A360" i="9"/>
  <c r="A854" i="9"/>
  <c r="A860" i="9"/>
  <c r="A838" i="9"/>
  <c r="A842" i="9"/>
  <c r="A850" i="9"/>
  <c r="A468" i="9"/>
  <c r="A448" i="9"/>
  <c r="A454" i="9"/>
  <c r="A460" i="9"/>
  <c r="A68" i="9"/>
  <c r="A72" i="9"/>
  <c r="A102" i="9"/>
  <c r="A106" i="9"/>
  <c r="A110" i="9"/>
  <c r="A86" i="9"/>
  <c r="A476" i="9"/>
  <c r="A484" i="9"/>
  <c r="A492" i="9"/>
  <c r="A500" i="9"/>
  <c r="A508" i="9"/>
  <c r="A516" i="9"/>
  <c r="A424" i="9"/>
  <c r="A428" i="9"/>
  <c r="A434" i="9"/>
  <c r="A408" i="9"/>
  <c r="A416" i="9"/>
  <c r="A436" i="9"/>
  <c r="A610" i="9"/>
  <c r="A616" i="9"/>
  <c r="A624" i="9"/>
  <c r="A630" i="9"/>
  <c r="A602" i="9"/>
  <c r="A604" i="9"/>
  <c r="A720" i="9"/>
  <c r="A728" i="9"/>
  <c r="A736" i="9"/>
  <c r="A744" i="9"/>
  <c r="A752" i="9"/>
  <c r="A650" i="9"/>
  <c r="A656" i="9"/>
  <c r="A688" i="9"/>
  <c r="A670" i="9"/>
  <c r="A690" i="9"/>
  <c r="A684" i="9"/>
  <c r="A696" i="9"/>
  <c r="A702" i="9"/>
  <c r="A716" i="9"/>
  <c r="A62" i="9"/>
  <c r="A182" i="9"/>
  <c r="A190" i="9"/>
  <c r="A198" i="9"/>
  <c r="A206" i="9"/>
  <c r="A214" i="9"/>
  <c r="A222" i="9"/>
  <c r="A230" i="9"/>
  <c r="A238" i="9"/>
  <c r="A246" i="9"/>
  <c r="A254" i="9"/>
  <c r="A260" i="9"/>
  <c r="A266" i="9"/>
  <c r="B866" i="9" l="1"/>
  <c r="B741" i="9"/>
  <c r="B38" i="9"/>
  <c r="B695" i="9"/>
  <c r="E645" i="10"/>
  <c r="E334" i="10"/>
  <c r="B853" i="9"/>
  <c r="E220" i="10"/>
  <c r="B764" i="9"/>
  <c r="B564" i="9"/>
  <c r="B814" i="9"/>
  <c r="B545" i="9"/>
  <c r="D720" i="10"/>
  <c r="E291" i="10"/>
  <c r="B58" i="9"/>
  <c r="B327" i="9"/>
  <c r="B495" i="9"/>
  <c r="D22" i="10"/>
  <c r="B763" i="9"/>
  <c r="B584" i="9"/>
  <c r="E577" i="10"/>
  <c r="B203" i="9"/>
  <c r="B509" i="9"/>
  <c r="B377" i="9"/>
  <c r="D216" i="10"/>
  <c r="B788" i="9"/>
  <c r="B852" i="9"/>
  <c r="B848" i="9"/>
  <c r="D6" i="10"/>
  <c r="B80" i="9"/>
  <c r="E280" i="10"/>
  <c r="B212" i="9"/>
  <c r="B5" i="9"/>
  <c r="B403" i="9"/>
  <c r="B427" i="9"/>
  <c r="B517" i="9"/>
  <c r="B571" i="9"/>
  <c r="B823" i="9"/>
  <c r="B420" i="9"/>
  <c r="B352" i="9"/>
  <c r="B612" i="9"/>
  <c r="B129" i="9"/>
  <c r="B416" i="9"/>
  <c r="B318" i="9"/>
  <c r="B305" i="9"/>
  <c r="B857" i="9"/>
  <c r="B624" i="9"/>
  <c r="B616" i="9"/>
  <c r="B255" i="9"/>
  <c r="B12" i="9"/>
  <c r="B111" i="9"/>
  <c r="B26" i="9"/>
  <c r="E242" i="10"/>
  <c r="E389" i="10"/>
  <c r="D38" i="10"/>
  <c r="B464" i="9"/>
  <c r="D88" i="10"/>
  <c r="B574" i="9"/>
  <c r="B381" i="9"/>
  <c r="B710" i="9"/>
  <c r="B784" i="9"/>
  <c r="B263" i="9"/>
  <c r="B588" i="9"/>
  <c r="B743" i="9"/>
  <c r="B615" i="9"/>
  <c r="B596" i="9"/>
  <c r="B846" i="9"/>
  <c r="B260" i="9"/>
  <c r="B492" i="9"/>
  <c r="B539" i="9"/>
  <c r="B559" i="9"/>
  <c r="E512" i="10"/>
  <c r="D164" i="10"/>
  <c r="B856" i="9"/>
  <c r="B455" i="9"/>
  <c r="D344" i="10"/>
  <c r="B264" i="9"/>
  <c r="D536" i="10"/>
  <c r="B489" i="9"/>
  <c r="B324" i="9"/>
  <c r="B657" i="9"/>
  <c r="B694" i="9"/>
  <c r="E141" i="10"/>
  <c r="B527" i="9"/>
  <c r="B732" i="9"/>
  <c r="B279" i="9"/>
  <c r="B505" i="9"/>
  <c r="B181" i="9"/>
  <c r="B18" i="9"/>
  <c r="D530" i="10"/>
  <c r="E138" i="10"/>
  <c r="B84" i="9"/>
  <c r="B182" i="9"/>
  <c r="E421" i="10"/>
  <c r="B115" i="9"/>
  <c r="B307" i="9"/>
  <c r="B409" i="9"/>
  <c r="B719" i="9"/>
  <c r="B653" i="9"/>
  <c r="B70" i="9"/>
  <c r="B561" i="9"/>
  <c r="B159" i="9"/>
  <c r="B603" i="9"/>
  <c r="B756" i="9"/>
  <c r="E160" i="10"/>
  <c r="B721" i="9"/>
  <c r="B673" i="9"/>
  <c r="B704" i="9"/>
  <c r="B378" i="9"/>
  <c r="B6" i="9"/>
  <c r="B542" i="9"/>
  <c r="B637" i="9"/>
  <c r="B845" i="9"/>
  <c r="B686" i="9"/>
  <c r="D248" i="10"/>
  <c r="B591" i="9"/>
  <c r="B321" i="9"/>
  <c r="B297" i="9"/>
  <c r="B430" i="9"/>
  <c r="B714" i="9"/>
  <c r="D466" i="10"/>
  <c r="B658" i="9"/>
  <c r="D298" i="10"/>
  <c r="B246" i="9"/>
  <c r="B143" i="9"/>
  <c r="B335" i="9"/>
  <c r="B167" i="9"/>
  <c r="B761" i="9"/>
  <c r="B793" i="9"/>
  <c r="B436" i="9"/>
  <c r="B338" i="9"/>
  <c r="B339" i="9"/>
  <c r="B681" i="9"/>
  <c r="E422" i="10"/>
  <c r="B587" i="9"/>
  <c r="D112" i="10"/>
  <c r="B652" i="9"/>
  <c r="B491" i="9"/>
  <c r="B697" i="9"/>
  <c r="B8" i="9"/>
  <c r="B419" i="9"/>
  <c r="B605" i="9"/>
  <c r="D198" i="10"/>
  <c r="B343" i="9"/>
  <c r="B347" i="9"/>
  <c r="D366" i="10"/>
  <c r="B643" i="9"/>
  <c r="B863" i="9"/>
  <c r="B567" i="9"/>
  <c r="B783" i="9"/>
  <c r="B285" i="9"/>
  <c r="B166" i="9"/>
  <c r="E482" i="10"/>
  <c r="D342" i="10"/>
  <c r="B461" i="9"/>
  <c r="B536" i="9"/>
  <c r="B389" i="9"/>
  <c r="B751" i="9"/>
  <c r="B625" i="9"/>
  <c r="B839" i="9"/>
  <c r="B3" i="9"/>
  <c r="B759" i="9"/>
  <c r="B864" i="9"/>
  <c r="E717" i="10"/>
  <c r="B449" i="9"/>
  <c r="B560" i="9"/>
  <c r="E575" i="10"/>
  <c r="E45" i="10"/>
  <c r="B778" i="9"/>
  <c r="E284" i="10"/>
  <c r="B558" i="9"/>
  <c r="B56" i="9"/>
  <c r="B319" i="9"/>
  <c r="D304" i="10"/>
  <c r="B364" i="9"/>
  <c r="E183" i="10"/>
  <c r="B570" i="9"/>
  <c r="E159" i="10"/>
  <c r="D446" i="10"/>
  <c r="B83" i="9"/>
  <c r="B593" i="9"/>
  <c r="D562" i="10"/>
  <c r="A6" i="10"/>
  <c r="B136" i="9"/>
  <c r="E34" i="10"/>
  <c r="E66" i="10"/>
  <c r="B238" i="9"/>
  <c r="E451" i="10"/>
  <c r="B400" i="9"/>
  <c r="B365" i="9"/>
  <c r="B671" i="9"/>
  <c r="B586" i="9"/>
  <c r="B494" i="9"/>
  <c r="E299" i="10"/>
  <c r="B646" i="9"/>
  <c r="E506" i="10"/>
  <c r="B576" i="9"/>
  <c r="B396" i="9"/>
  <c r="B865" i="9"/>
  <c r="B501" i="9"/>
  <c r="B669" i="9"/>
  <c r="B460" i="9"/>
  <c r="B266" i="9"/>
  <c r="B682" i="9"/>
  <c r="E572" i="10"/>
  <c r="B481" i="9"/>
  <c r="B642" i="9"/>
  <c r="B424" i="9"/>
  <c r="B294" i="9"/>
  <c r="B668" i="9"/>
  <c r="B808" i="9"/>
  <c r="B443" i="9"/>
  <c r="E110" i="10"/>
  <c r="E487" i="10"/>
  <c r="B782" i="9"/>
  <c r="B368" i="9"/>
  <c r="E258" i="10"/>
  <c r="B226" i="9"/>
  <c r="B726" i="9"/>
  <c r="E21" i="10"/>
  <c r="E410" i="10"/>
  <c r="B313" i="9"/>
  <c r="B815" i="9"/>
  <c r="B549" i="9"/>
  <c r="B774" i="9"/>
  <c r="B291" i="9"/>
  <c r="E266" i="10"/>
  <c r="B735" i="9"/>
  <c r="B475" i="9"/>
  <c r="B82" i="9"/>
  <c r="B482" i="9"/>
  <c r="B551" i="9"/>
  <c r="B425" i="9"/>
  <c r="B198" i="9"/>
  <c r="B644" i="9"/>
  <c r="E298" i="10"/>
  <c r="B613" i="9"/>
  <c r="B836" i="9"/>
  <c r="D278" i="10"/>
  <c r="B102" i="9"/>
  <c r="B796" i="9"/>
  <c r="E538" i="10"/>
  <c r="B329" i="9"/>
  <c r="E257" i="10"/>
  <c r="B590" i="9"/>
  <c r="B76" i="9"/>
  <c r="B370" i="9"/>
  <c r="B860" i="9"/>
  <c r="E589" i="10"/>
  <c r="E531" i="10"/>
  <c r="B478" i="9"/>
  <c r="E237" i="10"/>
  <c r="B535" i="9"/>
  <c r="D688" i="10"/>
  <c r="B466" i="9"/>
  <c r="B32" i="9"/>
  <c r="B667" i="9"/>
  <c r="B805" i="9"/>
  <c r="B789" i="9"/>
  <c r="D518" i="10"/>
  <c r="B209" i="9"/>
  <c r="B602" i="9"/>
  <c r="B375" i="9"/>
  <c r="E738" i="10"/>
  <c r="B471" i="9"/>
  <c r="B24" i="9"/>
  <c r="B52" i="9"/>
  <c r="D522" i="10"/>
  <c r="B369" i="9"/>
  <c r="B703" i="9"/>
  <c r="E150" i="10"/>
  <c r="B628" i="9"/>
  <c r="A30" i="9"/>
  <c r="D152" i="10"/>
  <c r="B160" i="9"/>
  <c r="B371" i="9"/>
  <c r="B609" i="10"/>
  <c r="B211" i="9"/>
  <c r="B684" i="9"/>
  <c r="B162" i="9"/>
  <c r="B518" i="9"/>
  <c r="E72" i="10"/>
  <c r="B521" i="9"/>
  <c r="B312" i="9"/>
  <c r="B713" i="9"/>
  <c r="B733" i="9"/>
  <c r="B360" i="9"/>
  <c r="E29" i="10"/>
  <c r="B773" i="9"/>
  <c r="E176" i="10"/>
  <c r="B439" i="9"/>
  <c r="E148" i="10"/>
  <c r="A38" i="9"/>
  <c r="B414" i="9"/>
  <c r="B354" i="9"/>
  <c r="B208" i="9"/>
  <c r="E475" i="10"/>
  <c r="B780" i="9"/>
  <c r="B649" i="9"/>
  <c r="D440" i="10"/>
  <c r="E500" i="10"/>
  <c r="B11" i="9"/>
  <c r="B254" i="9"/>
  <c r="B844" i="9"/>
  <c r="B725" i="9"/>
  <c r="B520" i="9"/>
  <c r="B601" i="9"/>
  <c r="B399" i="9"/>
  <c r="B579" i="9"/>
  <c r="B817" i="9"/>
  <c r="D464" i="10"/>
  <c r="B744" i="9"/>
  <c r="B61" i="9"/>
  <c r="B397" i="9"/>
  <c r="B248" i="9"/>
  <c r="B813" i="9"/>
  <c r="D66" i="10"/>
  <c r="B614" i="9"/>
  <c r="B723" i="9"/>
  <c r="E424" i="10"/>
  <c r="E552" i="10"/>
  <c r="E773" i="10"/>
  <c r="B781" i="9"/>
  <c r="B835" i="9"/>
  <c r="D368" i="10"/>
  <c r="B351" i="9"/>
  <c r="E680" i="10"/>
  <c r="B611" i="9"/>
  <c r="A50" i="9"/>
  <c r="E483" i="10"/>
  <c r="E730" i="10"/>
  <c r="B472" i="9"/>
  <c r="B507" i="9"/>
  <c r="B20" i="9"/>
  <c r="B541" i="9"/>
  <c r="E77" i="10"/>
  <c r="B382" i="9"/>
  <c r="B806" i="9"/>
  <c r="E762" i="10"/>
  <c r="B770" i="9"/>
  <c r="B647" i="9"/>
  <c r="E476" i="10"/>
  <c r="B573" i="9"/>
  <c r="B402" i="9"/>
  <c r="B626" i="9"/>
  <c r="B383" i="9"/>
  <c r="D174" i="10"/>
  <c r="E290" i="10"/>
  <c r="B815" i="10"/>
  <c r="D290" i="10"/>
  <c r="A4" i="9"/>
  <c r="B654" i="9"/>
  <c r="B116" i="9"/>
  <c r="B367" i="9"/>
  <c r="E233" i="10"/>
  <c r="D458" i="10"/>
  <c r="B824" i="9"/>
  <c r="B610" i="9"/>
  <c r="B709" i="9"/>
  <c r="D274" i="10"/>
  <c r="B804" i="9"/>
  <c r="B737" i="9"/>
  <c r="B556" i="9"/>
  <c r="B537" i="9"/>
  <c r="B829" i="9"/>
  <c r="B676" i="9"/>
  <c r="E78" i="10"/>
  <c r="B554" i="9"/>
  <c r="B519" i="9"/>
  <c r="B229" i="9"/>
  <c r="B358" i="9"/>
  <c r="B693" i="9"/>
  <c r="B168" i="9"/>
  <c r="B645" i="9"/>
  <c r="B696" i="9"/>
  <c r="B683" i="9"/>
  <c r="E268" i="10"/>
  <c r="E124" i="10"/>
  <c r="E472" i="10"/>
  <c r="B557" i="9"/>
  <c r="E305" i="10"/>
  <c r="E226" i="10"/>
  <c r="B847" i="9"/>
  <c r="B275" i="9"/>
  <c r="B672" i="9"/>
  <c r="B550" i="9"/>
  <c r="B765" i="9"/>
  <c r="B779" i="9"/>
  <c r="E186" i="10"/>
  <c r="E493" i="10"/>
  <c r="E554" i="10"/>
  <c r="B344" i="9"/>
  <c r="B376" i="9"/>
  <c r="B127" i="9"/>
  <c r="B514" i="9"/>
  <c r="E354" i="10"/>
  <c r="B828" i="9"/>
  <c r="B25" i="9"/>
  <c r="B629" i="9"/>
  <c r="B479" i="9"/>
  <c r="D364" i="10"/>
  <c r="E314" i="10"/>
  <c r="B244" i="9"/>
  <c r="B799" i="9"/>
  <c r="B655" i="9"/>
  <c r="B415" i="9"/>
  <c r="B582" i="9"/>
  <c r="B831" i="9"/>
  <c r="E107" i="10"/>
  <c r="A40" i="9"/>
  <c r="D280" i="10"/>
  <c r="B691" i="9"/>
  <c r="E12" i="10"/>
  <c r="E204" i="10"/>
  <c r="B821" i="9"/>
  <c r="E788" i="10"/>
  <c r="D136" i="10"/>
  <c r="B144" i="9"/>
  <c r="B757" i="9"/>
  <c r="E32" i="10"/>
  <c r="D100" i="10"/>
  <c r="E303" i="10"/>
  <c r="E365" i="10"/>
  <c r="D404" i="10"/>
  <c r="D170" i="10"/>
  <c r="D308" i="10"/>
  <c r="D398" i="10"/>
  <c r="B650" i="9"/>
  <c r="B214" i="9"/>
  <c r="B147" i="9"/>
  <c r="B575" i="9"/>
  <c r="E523" i="10"/>
  <c r="B609" i="9"/>
  <c r="E245" i="10"/>
  <c r="E794" i="10"/>
  <c r="D244" i="10"/>
  <c r="E288" i="10"/>
  <c r="D674" i="10"/>
  <c r="E58" i="10"/>
  <c r="D130" i="10"/>
  <c r="E371" i="10"/>
  <c r="B662" i="9"/>
  <c r="E193" i="10"/>
  <c r="B718" i="9"/>
  <c r="B504" i="9"/>
  <c r="E109" i="10"/>
  <c r="D142" i="10"/>
  <c r="E368" i="10"/>
  <c r="D738" i="10"/>
  <c r="E234" i="10"/>
  <c r="B328" i="9"/>
  <c r="E447" i="10"/>
  <c r="B301" i="9"/>
  <c r="E273" i="10"/>
  <c r="E282" i="10"/>
  <c r="B268" i="10"/>
  <c r="E187" i="10"/>
  <c r="E203" i="10"/>
  <c r="E514" i="10"/>
  <c r="B600" i="9"/>
  <c r="B104" i="9"/>
  <c r="B879" i="10"/>
  <c r="B228" i="9"/>
  <c r="B859" i="9"/>
  <c r="B184" i="10"/>
  <c r="D372" i="10"/>
  <c r="B809" i="9"/>
  <c r="B276" i="9"/>
  <c r="B734" i="9"/>
  <c r="B64" i="10"/>
  <c r="D362" i="10"/>
  <c r="B685" i="9"/>
  <c r="E264" i="10"/>
  <c r="B148" i="9"/>
  <c r="B678" i="9"/>
  <c r="B206" i="9"/>
  <c r="E536" i="10"/>
  <c r="B48" i="10"/>
  <c r="B386" i="9"/>
  <c r="B837" i="9"/>
  <c r="E567" i="10"/>
  <c r="B175" i="9"/>
  <c r="B240" i="9"/>
  <c r="D354" i="10"/>
  <c r="B738" i="9"/>
  <c r="E556" i="10"/>
  <c r="B772" i="9"/>
  <c r="E698" i="10"/>
  <c r="B483" i="10"/>
  <c r="E360" i="10"/>
  <c r="B169" i="9"/>
  <c r="E837" i="10"/>
  <c r="B705" i="9"/>
  <c r="E307" i="10"/>
  <c r="B752" i="9"/>
  <c r="B618" i="9"/>
  <c r="E517" i="10"/>
  <c r="B651" i="9"/>
  <c r="B833" i="9"/>
  <c r="D572" i="10"/>
  <c r="B597" i="9"/>
  <c r="B331" i="9"/>
  <c r="E255" i="10"/>
  <c r="D256" i="10"/>
  <c r="B861" i="9"/>
  <c r="B621" i="9"/>
  <c r="B867" i="9"/>
  <c r="B758" i="9"/>
  <c r="B404" i="9"/>
  <c r="E114" i="10"/>
  <c r="B768" i="9"/>
  <c r="E162" i="10"/>
  <c r="E453" i="10"/>
  <c r="E312" i="10"/>
  <c r="B91" i="9"/>
  <c r="B184" i="9"/>
  <c r="E347" i="10"/>
  <c r="B722" i="9"/>
  <c r="B640" i="9"/>
  <c r="E205" i="10"/>
  <c r="D104" i="10"/>
  <c r="B661" i="9"/>
  <c r="B452" i="9"/>
  <c r="B639" i="9"/>
  <c r="B233" i="9"/>
  <c r="B384" i="9"/>
  <c r="B262" i="9"/>
  <c r="B484" i="9"/>
  <c r="B413" i="9"/>
  <c r="B701" i="9"/>
  <c r="B620" i="9"/>
  <c r="B797" i="9"/>
  <c r="B825" i="9"/>
  <c r="E65" i="10"/>
  <c r="B674" i="9"/>
  <c r="D408" i="10"/>
  <c r="E97" i="10"/>
  <c r="B599" i="9"/>
  <c r="B766" i="9"/>
  <c r="B298" i="9"/>
  <c r="B308" i="9"/>
  <c r="E819" i="10"/>
  <c r="B515" i="9"/>
  <c r="A12" i="9"/>
  <c r="B502" i="10"/>
  <c r="B239" i="9"/>
  <c r="B843" i="9"/>
  <c r="B217" i="9"/>
  <c r="B47" i="9"/>
  <c r="B196" i="10"/>
  <c r="B407" i="9"/>
  <c r="B802" i="9"/>
  <c r="E606" i="10"/>
  <c r="E96" i="10"/>
  <c r="B122" i="9"/>
  <c r="E113" i="10"/>
  <c r="B785" i="9"/>
  <c r="D610" i="10"/>
  <c r="D634" i="10"/>
  <c r="B544" i="9"/>
  <c r="E693" i="10"/>
  <c r="B366" i="9"/>
  <c r="B638" i="9"/>
  <c r="B154" i="9"/>
  <c r="B78" i="9"/>
  <c r="E478" i="10"/>
  <c r="E26" i="10"/>
  <c r="B465" i="9"/>
  <c r="B192" i="10"/>
  <c r="B559" i="10"/>
  <c r="B304" i="9"/>
  <c r="E208" i="10"/>
  <c r="B53" i="9"/>
  <c r="E337" i="10"/>
  <c r="B522" i="9"/>
  <c r="B112" i="9"/>
  <c r="E715" i="10"/>
  <c r="B405" i="9"/>
  <c r="B283" i="9"/>
  <c r="B769" i="9"/>
  <c r="B459" i="9"/>
  <c r="B800" i="10"/>
  <c r="B516" i="9"/>
  <c r="B716" i="9"/>
  <c r="D140" i="10"/>
  <c r="E602" i="10"/>
  <c r="E543" i="10"/>
  <c r="B340" i="9"/>
  <c r="B469" i="9"/>
  <c r="B791" i="9"/>
  <c r="B316" i="9"/>
  <c r="D92" i="10"/>
  <c r="E521" i="10"/>
  <c r="E540" i="10"/>
  <c r="E674" i="10"/>
  <c r="E46" i="10"/>
  <c r="B526" i="9"/>
  <c r="E588" i="10"/>
  <c r="E442" i="10"/>
  <c r="B623" i="9"/>
  <c r="B434" i="10"/>
  <c r="B578" i="9"/>
  <c r="B189" i="9"/>
  <c r="A32" i="9"/>
  <c r="B729" i="9"/>
  <c r="B771" i="9"/>
  <c r="E133" i="10"/>
  <c r="E90" i="10"/>
  <c r="E81" i="10"/>
  <c r="B249" i="9"/>
  <c r="D306" i="10"/>
  <c r="E631" i="10"/>
  <c r="E247" i="10"/>
  <c r="B86" i="9"/>
  <c r="B131" i="9"/>
  <c r="E563" i="10"/>
  <c r="E393" i="10"/>
  <c r="B664" i="9"/>
  <c r="D168" i="10"/>
  <c r="B213" i="10"/>
  <c r="D70" i="10"/>
  <c r="D382" i="10"/>
  <c r="E456" i="10"/>
  <c r="E432" i="10"/>
  <c r="B34" i="9"/>
  <c r="B687" i="9"/>
  <c r="B441" i="9"/>
  <c r="E696" i="10"/>
  <c r="E267" i="10"/>
  <c r="B186" i="9"/>
  <c r="E815" i="10"/>
  <c r="B277" i="9"/>
  <c r="B525" i="9"/>
  <c r="B565" i="9"/>
  <c r="E181" i="10"/>
  <c r="B234" i="9"/>
  <c r="E359" i="10"/>
  <c r="B315" i="9"/>
  <c r="B822" i="9"/>
  <c r="B500" i="9"/>
  <c r="E301" i="10"/>
  <c r="B754" i="9"/>
  <c r="E163" i="10"/>
  <c r="E704" i="10"/>
  <c r="B241" i="9"/>
  <c r="B101" i="9"/>
  <c r="B834" i="9"/>
  <c r="B51" i="9"/>
  <c r="B670" i="9"/>
  <c r="B499" i="9"/>
  <c r="B191" i="9"/>
  <c r="D696" i="10"/>
  <c r="B140" i="9"/>
  <c r="B350" i="9"/>
  <c r="E80" i="10"/>
  <c r="B851" i="9"/>
  <c r="B432" i="9"/>
  <c r="B717" i="9"/>
  <c r="B379" i="9"/>
  <c r="B862" i="9"/>
  <c r="B89" i="9"/>
  <c r="D206" i="10"/>
  <c r="B634" i="9"/>
  <c r="D118" i="10"/>
  <c r="B748" i="9"/>
  <c r="B677" i="9"/>
  <c r="D122" i="10"/>
  <c r="E50" i="10"/>
  <c r="E471" i="10"/>
  <c r="D390" i="10"/>
  <c r="B742" i="9"/>
  <c r="E497" i="10"/>
  <c r="B453" i="9"/>
  <c r="A18" i="9"/>
  <c r="E82" i="10"/>
  <c r="B23" i="9"/>
  <c r="E11" i="10"/>
  <c r="B995" i="10"/>
  <c r="B172" i="9"/>
  <c r="B581" i="9"/>
  <c r="E805" i="10"/>
  <c r="B179" i="9"/>
  <c r="D376" i="10"/>
  <c r="B346" i="9"/>
  <c r="D226" i="10"/>
  <c r="D594" i="10"/>
  <c r="E59" i="10"/>
  <c r="E128" i="10"/>
  <c r="B119" i="9"/>
  <c r="B250" i="9"/>
  <c r="B36" i="9"/>
  <c r="D592" i="10"/>
  <c r="E125" i="10"/>
  <c r="E739" i="10"/>
  <c r="E189" i="10"/>
  <c r="D340" i="10"/>
  <c r="B448" i="9"/>
  <c r="B421" i="9"/>
  <c r="E61" i="10"/>
  <c r="E259" i="10"/>
  <c r="E16" i="10"/>
  <c r="E357" i="10"/>
  <c r="B288" i="9"/>
  <c r="B692" i="9"/>
  <c r="B708" i="9"/>
  <c r="B28" i="9"/>
  <c r="E685" i="10"/>
  <c r="B820" i="9"/>
  <c r="B731" i="9"/>
  <c r="B278" i="9"/>
  <c r="E74" i="10"/>
  <c r="E22" i="10"/>
  <c r="D166" i="10"/>
  <c r="B660" i="9"/>
  <c r="E749" i="10"/>
  <c r="B503" i="9"/>
  <c r="B390" i="9"/>
  <c r="E650" i="10"/>
  <c r="E321" i="10"/>
  <c r="D350" i="10"/>
  <c r="B417" i="9"/>
  <c r="B422" i="9"/>
  <c r="B472" i="10"/>
  <c r="B792" i="9"/>
  <c r="B803" i="9"/>
  <c r="B398" i="9"/>
  <c r="B529" i="9"/>
  <c r="E481" i="10"/>
  <c r="B812" i="9"/>
  <c r="E152" i="10"/>
  <c r="B163" i="9"/>
  <c r="D730" i="10"/>
  <c r="B855" i="9"/>
  <c r="B317" i="9"/>
  <c r="B123" i="9"/>
  <c r="E271" i="10"/>
  <c r="B85" i="9"/>
  <c r="B322" i="9"/>
  <c r="B508" i="10"/>
  <c r="D172" i="10"/>
  <c r="B702" i="9"/>
  <c r="E561" i="10"/>
  <c r="E199" i="10"/>
  <c r="B312" i="10"/>
  <c r="B392" i="9"/>
  <c r="B95" i="9"/>
  <c r="B528" i="9"/>
  <c r="D32" i="10"/>
  <c r="B303" i="9"/>
  <c r="B5" i="10"/>
  <c r="E75" i="10"/>
  <c r="E766" i="10"/>
  <c r="E642" i="10"/>
  <c r="B569" i="9"/>
  <c r="B139" i="9"/>
  <c r="D414" i="10"/>
  <c r="E135" i="10"/>
  <c r="A36" i="9"/>
  <c r="E557" i="10"/>
  <c r="B444" i="9"/>
  <c r="E130" i="10"/>
  <c r="E479" i="10"/>
  <c r="B810" i="9"/>
  <c r="E767" i="10"/>
  <c r="B679" i="9"/>
  <c r="B736" i="9"/>
  <c r="B488" i="9"/>
  <c r="B858" i="9"/>
  <c r="E534" i="10"/>
  <c r="E56" i="10"/>
  <c r="E227" i="10"/>
  <c r="E519" i="10"/>
  <c r="B762" i="9"/>
  <c r="D120" i="10"/>
  <c r="D632" i="10"/>
  <c r="B406" i="9"/>
  <c r="B388" i="9"/>
  <c r="E216" i="10"/>
  <c r="B850" i="9"/>
  <c r="A28" i="9"/>
  <c r="B40" i="9"/>
  <c r="E322" i="10"/>
  <c r="B348" i="9"/>
  <c r="E621" i="10"/>
  <c r="B190" i="9"/>
  <c r="B401" i="9"/>
  <c r="B442" i="9"/>
  <c r="B456" i="9"/>
  <c r="B152" i="9"/>
  <c r="B555" i="9"/>
  <c r="B418" i="9"/>
  <c r="B323" i="9"/>
  <c r="B274" i="9"/>
  <c r="E825" i="10"/>
  <c r="B428" i="9"/>
  <c r="B81" i="9"/>
  <c r="B468" i="9"/>
  <c r="E793" i="10"/>
  <c r="B740" i="9"/>
  <c r="E387" i="10"/>
  <c r="E120" i="10"/>
  <c r="B895" i="10"/>
  <c r="B180" i="9"/>
  <c r="B689" i="9"/>
  <c r="E378" i="10"/>
  <c r="D476" i="10"/>
  <c r="E507" i="10"/>
  <c r="B700" i="9"/>
  <c r="E404" i="10"/>
  <c r="E789" i="10"/>
  <c r="B196" i="9"/>
  <c r="B760" i="9"/>
  <c r="E24" i="10"/>
  <c r="B330" i="9"/>
  <c r="E15" i="10"/>
  <c r="B462" i="9"/>
  <c r="E831" i="10"/>
  <c r="B174" i="9"/>
  <c r="E850" i="10"/>
  <c r="B99" i="9"/>
  <c r="D832" i="10"/>
  <c r="E824" i="10"/>
  <c r="B677" i="10"/>
  <c r="D296" i="10"/>
  <c r="B202" i="9"/>
  <c r="E638" i="10"/>
  <c r="B777" i="9"/>
  <c r="E356" i="10"/>
  <c r="E653" i="10"/>
  <c r="E858" i="10"/>
  <c r="E88" i="10"/>
  <c r="E48" i="10"/>
  <c r="B546" i="9"/>
  <c r="B12" i="10"/>
  <c r="E248" i="10"/>
  <c r="E473" i="10"/>
  <c r="B177" i="9"/>
  <c r="B77" i="9"/>
  <c r="E42" i="10"/>
  <c r="D312" i="10"/>
  <c r="B293" i="9"/>
  <c r="B469" i="10"/>
  <c r="D188" i="10"/>
  <c r="B393" i="9"/>
  <c r="D320" i="10"/>
  <c r="B193" i="9"/>
  <c r="E755" i="10"/>
  <c r="B566" i="9"/>
  <c r="B622" i="9"/>
  <c r="B72" i="9"/>
  <c r="E401" i="10"/>
  <c r="B372" i="9"/>
  <c r="B673" i="10"/>
  <c r="E444" i="10"/>
  <c r="E582" i="10"/>
  <c r="D286" i="10"/>
  <c r="E195" i="10"/>
  <c r="B826" i="9"/>
  <c r="D704" i="10"/>
  <c r="B325" i="9"/>
  <c r="E688" i="10"/>
  <c r="E644" i="10"/>
  <c r="B97" i="9"/>
  <c r="B363" i="9"/>
  <c r="B68" i="9"/>
  <c r="E269" i="10"/>
  <c r="E119" i="10"/>
  <c r="B150" i="9"/>
  <c r="B575" i="10"/>
  <c r="E480" i="10"/>
  <c r="B220" i="9"/>
  <c r="B572" i="9"/>
  <c r="B46" i="9"/>
  <c r="B842" i="9"/>
  <c r="B391" i="9"/>
  <c r="B356" i="9"/>
  <c r="B156" i="9"/>
  <c r="E603" i="10"/>
  <c r="B680" i="9"/>
  <c r="B463" i="9"/>
  <c r="B134" i="9"/>
  <c r="B272" i="9"/>
  <c r="B132" i="9"/>
  <c r="A20" i="9"/>
  <c r="B540" i="9"/>
  <c r="E370" i="10"/>
  <c r="B467" i="9"/>
  <c r="D330" i="10"/>
  <c r="B96" i="9"/>
  <c r="B201" i="9"/>
  <c r="B688" i="9"/>
  <c r="B133" i="10"/>
  <c r="B826" i="10"/>
  <c r="B287" i="9"/>
  <c r="E443" i="10"/>
  <c r="B286" i="9"/>
  <c r="B807" i="9"/>
  <c r="B687" i="10"/>
  <c r="E192" i="10"/>
  <c r="B387" i="9"/>
  <c r="E494" i="10"/>
  <c r="B22" i="9"/>
  <c r="B446" i="9"/>
  <c r="B577" i="9"/>
  <c r="D816" i="10"/>
  <c r="B800" i="9"/>
  <c r="E283" i="10"/>
  <c r="E54" i="10"/>
  <c r="D444" i="10"/>
  <c r="E196" i="10"/>
  <c r="B543" i="9"/>
  <c r="E6" i="10"/>
  <c r="B818" i="9"/>
  <c r="B309" i="9"/>
  <c r="E219" i="10"/>
  <c r="D664" i="10"/>
  <c r="E637" i="10"/>
  <c r="E488" i="10"/>
  <c r="E477" i="10"/>
  <c r="D40" i="10"/>
  <c r="B1246" i="10"/>
  <c r="E211" i="10"/>
  <c r="B204" i="9"/>
  <c r="B538" i="9"/>
  <c r="D708" i="10"/>
  <c r="A1145" i="10"/>
  <c r="B310" i="10"/>
  <c r="E151" i="10"/>
  <c r="E666" i="10"/>
  <c r="B549" i="10"/>
  <c r="B4" i="9"/>
  <c r="B211" i="10"/>
  <c r="A929" i="10"/>
  <c r="E709" i="10"/>
  <c r="A1163" i="10"/>
  <c r="B554" i="10"/>
  <c r="E532" i="10"/>
  <c r="B1000" i="10"/>
  <c r="E748" i="10"/>
  <c r="D656" i="10"/>
  <c r="E326" i="10"/>
  <c r="D746" i="10"/>
  <c r="B507" i="10"/>
  <c r="B1064" i="10"/>
  <c r="B739" i="9"/>
  <c r="E69" i="10"/>
  <c r="B787" i="9"/>
  <c r="B208" i="10"/>
  <c r="B320" i="10"/>
  <c r="B210" i="9"/>
  <c r="E533" i="10"/>
  <c r="B302" i="9"/>
  <c r="B508" i="9"/>
  <c r="E231" i="10"/>
  <c r="B648" i="9"/>
  <c r="B114" i="9"/>
  <c r="E498" i="10"/>
  <c r="E836" i="10"/>
  <c r="B488" i="10"/>
  <c r="B457" i="9"/>
  <c r="D456" i="10"/>
  <c r="D620" i="10"/>
  <c r="B635" i="9"/>
  <c r="B408" i="9"/>
  <c r="E508" i="10"/>
  <c r="B400" i="10"/>
  <c r="D428" i="10"/>
  <c r="D566" i="10"/>
  <c r="E297" i="10"/>
  <c r="B15" i="9"/>
  <c r="E292" i="10"/>
  <c r="B690" i="9"/>
  <c r="E340" i="10"/>
  <c r="E147" i="10"/>
  <c r="B352" i="10"/>
  <c r="D498" i="10"/>
  <c r="E695" i="10"/>
  <c r="B260" i="10"/>
  <c r="B93" i="9"/>
  <c r="B167" i="10"/>
  <c r="E785" i="10"/>
  <c r="E484" i="10"/>
  <c r="E673" i="10"/>
  <c r="B280" i="10"/>
  <c r="E287" i="10"/>
  <c r="B435" i="9"/>
  <c r="D272" i="10"/>
  <c r="B259" i="9"/>
  <c r="D292" i="10"/>
  <c r="E707" i="10"/>
  <c r="B805" i="10"/>
  <c r="B513" i="9"/>
  <c r="A2" i="9"/>
  <c r="E744" i="10"/>
  <c r="E542" i="10"/>
  <c r="B1144" i="10"/>
  <c r="B357" i="9"/>
  <c r="E786" i="10"/>
  <c r="A293" i="10"/>
  <c r="E235" i="10"/>
  <c r="B1187" i="10"/>
  <c r="B221" i="9"/>
  <c r="B268" i="9"/>
  <c r="B639" i="10"/>
  <c r="E100" i="10"/>
  <c r="E798" i="10"/>
  <c r="B152" i="10"/>
  <c r="E134" i="10"/>
  <c r="E605" i="10"/>
  <c r="B423" i="9"/>
  <c r="B636" i="9"/>
  <c r="E157" i="10"/>
  <c r="E212" i="10"/>
  <c r="B1159" i="10"/>
  <c r="E555" i="10"/>
  <c r="B108" i="9"/>
  <c r="D224" i="10"/>
  <c r="B314" i="9"/>
  <c r="E166" i="10"/>
  <c r="B641" i="9"/>
  <c r="B458" i="9"/>
  <c r="D150" i="10"/>
  <c r="D432" i="10"/>
  <c r="E634" i="10"/>
  <c r="B253" i="9"/>
  <c r="D418" i="10"/>
  <c r="B65" i="9"/>
  <c r="B113" i="9"/>
  <c r="A16" i="9"/>
  <c r="E388" i="10"/>
  <c r="B790" i="9"/>
  <c r="B524" i="9"/>
  <c r="B849" i="9"/>
  <c r="B103" i="9"/>
  <c r="D500" i="10"/>
  <c r="B216" i="9"/>
  <c r="B353" i="9"/>
  <c r="B176" i="9"/>
  <c r="D426" i="10"/>
  <c r="B69" i="9"/>
  <c r="E295" i="10"/>
  <c r="B199" i="9"/>
  <c r="E213" i="10"/>
  <c r="B231" i="9"/>
  <c r="B225" i="9"/>
  <c r="B80" i="10"/>
  <c r="B336" i="9"/>
  <c r="B1208" i="10"/>
  <c r="B197" i="9"/>
  <c r="D496" i="10"/>
  <c r="D504" i="10"/>
  <c r="B59" i="9"/>
  <c r="E528" i="10"/>
  <c r="B906" i="10"/>
  <c r="A419" i="10"/>
  <c r="B66" i="10"/>
  <c r="B827" i="9"/>
  <c r="D860" i="10"/>
  <c r="D488" i="10"/>
  <c r="B292" i="9"/>
  <c r="B185" i="10"/>
  <c r="E413" i="10"/>
  <c r="B723" i="10"/>
  <c r="B810" i="10"/>
  <c r="E194" i="10"/>
  <c r="E564" i="10"/>
  <c r="D252" i="10"/>
  <c r="D238" i="10"/>
  <c r="B1015" i="10"/>
  <c r="B433" i="9"/>
  <c r="D82" i="10"/>
  <c r="B16" i="9"/>
  <c r="E180" i="10"/>
  <c r="B362" i="9"/>
  <c r="D784" i="10"/>
  <c r="E129" i="10"/>
  <c r="D812" i="10"/>
  <c r="D654" i="10"/>
  <c r="E467" i="10"/>
  <c r="B589" i="9"/>
  <c r="B750" i="10"/>
  <c r="B438" i="10"/>
  <c r="B585" i="9"/>
  <c r="B606" i="9"/>
  <c r="B627" i="10"/>
  <c r="B487" i="10"/>
  <c r="D542" i="10"/>
  <c r="B715" i="9"/>
  <c r="E658" i="10"/>
  <c r="B1123" i="10"/>
  <c r="B568" i="9"/>
  <c r="E741" i="10"/>
  <c r="D546" i="10"/>
  <c r="E304" i="10"/>
  <c r="D452" i="10"/>
  <c r="B50" i="10"/>
  <c r="E607" i="10"/>
  <c r="B251" i="10"/>
  <c r="B753" i="9"/>
  <c r="E338" i="10"/>
  <c r="D820" i="10"/>
  <c r="B405" i="10"/>
  <c r="B1147" i="10"/>
  <c r="B232" i="9"/>
  <c r="B2" i="9"/>
  <c r="E153" i="10"/>
  <c r="B106" i="9"/>
  <c r="B110" i="9"/>
  <c r="E787" i="10"/>
  <c r="E859" i="10"/>
  <c r="E585" i="10"/>
  <c r="B13" i="9"/>
  <c r="B440" i="9"/>
  <c r="E672" i="10"/>
  <c r="D128" i="10"/>
  <c r="E747" i="10"/>
  <c r="E710" i="10"/>
  <c r="B411" i="10"/>
  <c r="E433" i="10"/>
  <c r="E584" i="10"/>
  <c r="B411" i="9"/>
  <c r="B227" i="10"/>
  <c r="E39" i="10"/>
  <c r="B7" i="9"/>
  <c r="B407" i="10"/>
  <c r="B111" i="10"/>
  <c r="B256" i="9"/>
  <c r="E780" i="10"/>
  <c r="B487" i="9"/>
  <c r="E103" i="10"/>
  <c r="B801" i="9"/>
  <c r="E860" i="10"/>
  <c r="B795" i="10"/>
  <c r="E667" i="10"/>
  <c r="B258" i="10"/>
  <c r="D490" i="10"/>
  <c r="B794" i="9"/>
  <c r="B83" i="10"/>
  <c r="E566" i="10"/>
  <c r="E435" i="10"/>
  <c r="E574" i="10"/>
  <c r="B562" i="10"/>
  <c r="E319" i="10"/>
  <c r="B627" i="9"/>
  <c r="B21" i="9"/>
  <c r="B869" i="9"/>
  <c r="B462" i="10"/>
  <c r="B178" i="9"/>
  <c r="B659" i="9"/>
  <c r="B613" i="10"/>
  <c r="B151" i="9"/>
  <c r="B474" i="9"/>
  <c r="D338" i="10"/>
  <c r="B698" i="9"/>
  <c r="D360" i="10"/>
  <c r="B374" i="9"/>
  <c r="D240" i="10"/>
  <c r="B376" i="10"/>
  <c r="B617" i="9"/>
  <c r="B707" i="9"/>
  <c r="D16" i="10"/>
  <c r="E173" i="10"/>
  <c r="D56" i="10"/>
  <c r="B841" i="9"/>
  <c r="B666" i="9"/>
  <c r="B41" i="9"/>
  <c r="B412" i="9"/>
  <c r="E706" i="10"/>
  <c r="D520" i="10"/>
  <c r="B706" i="9"/>
  <c r="B486" i="9"/>
  <c r="B66" i="9"/>
  <c r="B450" i="9"/>
  <c r="B563" i="9"/>
  <c r="B125" i="9"/>
  <c r="D236" i="10"/>
  <c r="E595" i="10"/>
  <c r="E358" i="10"/>
  <c r="B133" i="9"/>
  <c r="B511" i="9"/>
  <c r="D424" i="10"/>
  <c r="E279" i="10"/>
  <c r="E274" i="10"/>
  <c r="E551" i="10"/>
  <c r="B498" i="10"/>
  <c r="E328" i="10"/>
  <c r="B28" i="10"/>
  <c r="D264" i="10"/>
  <c r="B619" i="9"/>
  <c r="B265" i="9"/>
  <c r="E7" i="10"/>
  <c r="E460" i="10"/>
  <c r="B552" i="9"/>
  <c r="B562" i="9"/>
  <c r="E796" i="10"/>
  <c r="D102" i="10"/>
  <c r="E834" i="10"/>
  <c r="E431" i="10"/>
  <c r="E344" i="10"/>
  <c r="B48" i="9"/>
  <c r="D124" i="10"/>
  <c r="E627" i="10"/>
  <c r="E93" i="10"/>
  <c r="E541" i="10"/>
  <c r="D84" i="10"/>
  <c r="E601" i="10"/>
  <c r="E403" i="10"/>
  <c r="B173" i="9"/>
  <c r="B117" i="9"/>
  <c r="D578" i="10"/>
  <c r="D672" i="10"/>
  <c r="E139" i="10"/>
  <c r="B289" i="9"/>
  <c r="E668" i="10"/>
  <c r="B320" i="9"/>
  <c r="E25" i="10"/>
  <c r="B281" i="9"/>
  <c r="B534" i="9"/>
  <c r="B342" i="9"/>
  <c r="E41" i="10"/>
  <c r="B316" i="10"/>
  <c r="E73" i="10"/>
  <c r="B1032" i="10"/>
  <c r="E40" i="10"/>
  <c r="B50" i="9"/>
  <c r="E525" i="10"/>
  <c r="B188" i="9"/>
  <c r="B481" i="10"/>
  <c r="D282" i="10"/>
  <c r="B114" i="10"/>
  <c r="E549" i="10"/>
  <c r="E332" i="10"/>
  <c r="D352" i="10"/>
  <c r="B195" i="9"/>
  <c r="E616" i="10"/>
  <c r="D494" i="10"/>
  <c r="A1064" i="10"/>
  <c r="B403" i="10"/>
  <c r="E573" i="10"/>
  <c r="B291" i="10"/>
  <c r="D728" i="10"/>
  <c r="E86" i="10"/>
  <c r="E838" i="10"/>
  <c r="E526" i="10"/>
  <c r="E108" i="10"/>
  <c r="B932" i="10"/>
  <c r="A461" i="10"/>
  <c r="B588" i="10"/>
  <c r="E333" i="10"/>
  <c r="D200" i="10"/>
  <c r="B453" i="10"/>
  <c r="B17" i="9"/>
  <c r="B829" i="10"/>
  <c r="B820" i="10"/>
  <c r="D854" i="10"/>
  <c r="B90" i="9"/>
  <c r="D402" i="10"/>
  <c r="B135" i="9"/>
  <c r="E250" i="10"/>
  <c r="B276" i="10"/>
  <c r="B27" i="10"/>
  <c r="B103" i="10"/>
  <c r="E170" i="10"/>
  <c r="B175" i="10"/>
  <c r="D326" i="10"/>
  <c r="D78" i="10"/>
  <c r="E256" i="10"/>
  <c r="B483" i="9"/>
  <c r="E115" i="10"/>
  <c r="E243" i="10"/>
  <c r="B245" i="9"/>
  <c r="B531" i="9"/>
  <c r="B31" i="9"/>
  <c r="B727" i="9"/>
  <c r="B607" i="9"/>
  <c r="B207" i="9"/>
  <c r="B510" i="9"/>
  <c r="A26" i="9"/>
  <c r="D160" i="10"/>
  <c r="B270" i="9"/>
  <c r="B496" i="9"/>
  <c r="B711" i="9"/>
  <c r="B138" i="9"/>
  <c r="B801" i="10"/>
  <c r="D30" i="10"/>
  <c r="B349" i="10"/>
  <c r="D74" i="10"/>
  <c r="B931" i="10"/>
  <c r="D246" i="10"/>
  <c r="E759" i="10"/>
  <c r="E201" i="10"/>
  <c r="E386" i="10"/>
  <c r="B431" i="9"/>
  <c r="E682" i="10"/>
  <c r="E102" i="10"/>
  <c r="B192" i="9"/>
  <c r="E596" i="10"/>
  <c r="B545" i="10"/>
  <c r="E320" i="10"/>
  <c r="B146" i="9"/>
  <c r="E350" i="10"/>
  <c r="E570" i="10"/>
  <c r="B300" i="9"/>
  <c r="D316" i="10"/>
  <c r="B237" i="9"/>
  <c r="B633" i="9"/>
  <c r="D334" i="10"/>
  <c r="E821" i="10"/>
  <c r="A731" i="10"/>
  <c r="B1036" i="10"/>
  <c r="B87" i="9"/>
  <c r="E474" i="10"/>
  <c r="B333" i="9"/>
  <c r="D294" i="10"/>
  <c r="E33" i="10"/>
  <c r="B340" i="10"/>
  <c r="E827" i="10"/>
  <c r="D582" i="10"/>
  <c r="D552" i="10"/>
  <c r="B20" i="10"/>
  <c r="E804" i="10"/>
  <c r="A24" i="9"/>
  <c r="B89" i="10"/>
  <c r="A8" i="9"/>
  <c r="E496" i="10"/>
  <c r="D622" i="10"/>
  <c r="B75" i="9"/>
  <c r="D384" i="10"/>
  <c r="D734" i="10"/>
  <c r="B775" i="9"/>
  <c r="B868" i="9"/>
  <c r="E35" i="10"/>
  <c r="B144" i="10"/>
  <c r="B24" i="10"/>
  <c r="E495" i="10"/>
  <c r="B622" i="10"/>
  <c r="B206" i="10"/>
  <c r="E656" i="10"/>
  <c r="B865" i="10"/>
  <c r="D584" i="10"/>
  <c r="E47" i="10"/>
  <c r="B239" i="10"/>
  <c r="B840" i="10"/>
  <c r="B501" i="10"/>
  <c r="E364" i="10"/>
  <c r="E400" i="10"/>
  <c r="D650" i="10"/>
  <c r="B385" i="9"/>
  <c r="D54" i="10"/>
  <c r="E438" i="10"/>
  <c r="E448" i="10"/>
  <c r="D710" i="10"/>
  <c r="E486" i="10"/>
  <c r="D648" i="10"/>
  <c r="B160" i="10"/>
  <c r="B328" i="10"/>
  <c r="D438" i="10"/>
  <c r="B116" i="10"/>
  <c r="B290" i="9"/>
  <c r="E830" i="10"/>
  <c r="B30" i="9"/>
  <c r="D108" i="10"/>
  <c r="E832" i="10"/>
  <c r="B345" i="10"/>
  <c r="D866" i="10"/>
  <c r="E411" i="10"/>
  <c r="B315" i="10"/>
  <c r="D186" i="10"/>
  <c r="E146" i="10"/>
  <c r="B217" i="10"/>
  <c r="B1046" i="10"/>
  <c r="A563" i="10"/>
  <c r="E662" i="10"/>
  <c r="B855" i="10"/>
  <c r="B1030" i="10"/>
  <c r="B834" i="10"/>
  <c r="B490" i="9"/>
  <c r="A185" i="10"/>
  <c r="A680" i="10"/>
  <c r="A839" i="10"/>
  <c r="B1026" i="10"/>
  <c r="E206" i="10"/>
  <c r="D34" i="10"/>
  <c r="B529" i="10"/>
  <c r="E681" i="10"/>
  <c r="A287" i="10"/>
  <c r="B193" i="10"/>
  <c r="D814" i="10"/>
  <c r="A857" i="10"/>
  <c r="A650" i="10"/>
  <c r="B1098" i="10"/>
  <c r="E391" i="10"/>
  <c r="B43" i="9"/>
  <c r="E177" i="10"/>
  <c r="D586" i="10"/>
  <c r="E179" i="10"/>
  <c r="B224" i="10"/>
  <c r="E210" i="10"/>
  <c r="D214" i="10"/>
  <c r="B665" i="9"/>
  <c r="E430" i="10"/>
  <c r="D314" i="10"/>
  <c r="B329" i="10"/>
  <c r="B54" i="10"/>
  <c r="B198" i="10"/>
  <c r="E516" i="10"/>
  <c r="B281" i="10"/>
  <c r="D830" i="10"/>
  <c r="E317" i="10"/>
  <c r="B164" i="10"/>
  <c r="B951" i="10"/>
  <c r="B832" i="9"/>
  <c r="E765" i="10"/>
  <c r="D556" i="10"/>
  <c r="B88" i="10"/>
  <c r="E562" i="10"/>
  <c r="B608" i="10"/>
  <c r="B1203" i="10"/>
  <c r="B388" i="10"/>
  <c r="E537" i="10"/>
  <c r="B311" i="9"/>
  <c r="E649" i="10"/>
  <c r="B451" i="9"/>
  <c r="B1166" i="10"/>
  <c r="B303" i="10"/>
  <c r="B207" i="10"/>
  <c r="D356" i="10"/>
  <c r="B61" i="10"/>
  <c r="E374" i="10"/>
  <c r="B126" i="10"/>
  <c r="B494" i="10"/>
  <c r="B109" i="10"/>
  <c r="B332" i="9"/>
  <c r="B1257" i="10"/>
  <c r="E491" i="10"/>
  <c r="B971" i="10"/>
  <c r="B771" i="10"/>
  <c r="B1141" i="10"/>
  <c r="D266" i="10"/>
  <c r="B491" i="10"/>
  <c r="B348" i="10"/>
  <c r="B502" i="9"/>
  <c r="B49" i="10"/>
  <c r="B1023" i="10"/>
  <c r="B1062" i="10"/>
  <c r="A350" i="10"/>
  <c r="D660" i="10"/>
  <c r="B1097" i="10"/>
  <c r="B731" i="10"/>
  <c r="B342" i="10"/>
  <c r="B79" i="10"/>
  <c r="A698" i="10"/>
  <c r="E241" i="10"/>
  <c r="B218" i="9"/>
  <c r="E363" i="10"/>
  <c r="B214" i="10"/>
  <c r="B251" i="9"/>
  <c r="A6" i="9"/>
  <c r="B958" i="10"/>
  <c r="E43" i="10"/>
  <c r="D828" i="10"/>
  <c r="B1039" i="10"/>
  <c r="A989" i="10"/>
  <c r="B441" i="10"/>
  <c r="E191" i="10"/>
  <c r="B755" i="9"/>
  <c r="E808" i="10"/>
  <c r="B49" i="9"/>
  <c r="B595" i="10"/>
  <c r="B776" i="10"/>
  <c r="A1256" i="10"/>
  <c r="B753" i="10"/>
  <c r="B998" i="10"/>
  <c r="E142" i="10"/>
  <c r="E27" i="10"/>
  <c r="D554" i="10"/>
  <c r="B888" i="10"/>
  <c r="D20" i="10"/>
  <c r="B543" i="10"/>
  <c r="A48" i="9"/>
  <c r="B533" i="10"/>
  <c r="E399" i="10"/>
  <c r="D588" i="10"/>
  <c r="D486" i="10"/>
  <c r="D744" i="10"/>
  <c r="E464" i="10"/>
  <c r="E800" i="10"/>
  <c r="E663" i="10"/>
  <c r="A485" i="10"/>
  <c r="B1273" i="10"/>
  <c r="E36" i="10"/>
  <c r="A260" i="10"/>
  <c r="D8" i="10"/>
  <c r="B1165" i="10"/>
  <c r="D690" i="10"/>
  <c r="B357" i="10"/>
  <c r="A932" i="10"/>
  <c r="B1221" i="10"/>
  <c r="A1094" i="10"/>
  <c r="B514" i="10"/>
  <c r="B427" i="10"/>
  <c r="B384" i="10"/>
  <c r="B1202" i="10"/>
  <c r="D268" i="10"/>
  <c r="A986" i="10"/>
  <c r="B1154" i="10"/>
  <c r="D868" i="10"/>
  <c r="E676" i="10"/>
  <c r="B934" i="10"/>
  <c r="A785" i="10"/>
  <c r="B1196" i="10"/>
  <c r="A797" i="10"/>
  <c r="B532" i="10"/>
  <c r="A296" i="10"/>
  <c r="B892" i="10"/>
  <c r="D534" i="10"/>
  <c r="B194" i="10"/>
  <c r="E632" i="10"/>
  <c r="E84" i="10"/>
  <c r="B150" i="10"/>
  <c r="E445" i="10"/>
  <c r="B736" i="10"/>
  <c r="B625" i="10"/>
  <c r="D770" i="10"/>
  <c r="B100" i="9"/>
  <c r="D834" i="10"/>
  <c r="B165" i="9"/>
  <c r="E311" i="10"/>
  <c r="B326" i="9"/>
  <c r="D52" i="10"/>
  <c r="E336" i="10"/>
  <c r="E263" i="10"/>
  <c r="E465" i="10"/>
  <c r="E809" i="10"/>
  <c r="B623" i="10"/>
  <c r="D652" i="10"/>
  <c r="B1128" i="10"/>
  <c r="B493" i="9"/>
  <c r="B604" i="9"/>
  <c r="D506" i="10"/>
  <c r="B702" i="10"/>
  <c r="E515" i="10"/>
  <c r="E252" i="10"/>
  <c r="E188" i="10"/>
  <c r="B380" i="9"/>
  <c r="E434" i="10"/>
  <c r="B74" i="9"/>
  <c r="E485" i="10"/>
  <c r="B608" i="9"/>
  <c r="B592" i="9"/>
  <c r="B170" i="9"/>
  <c r="B506" i="9"/>
  <c r="B795" i="9"/>
  <c r="E175" i="10"/>
  <c r="B745" i="9"/>
  <c r="E20" i="10"/>
  <c r="B74" i="10"/>
  <c r="B553" i="9"/>
  <c r="B247" i="9"/>
  <c r="D44" i="10"/>
  <c r="E679" i="10"/>
  <c r="D434" i="10"/>
  <c r="E417" i="10"/>
  <c r="B1148" i="10"/>
  <c r="A719" i="10"/>
  <c r="E345" i="10"/>
  <c r="B299" i="9"/>
  <c r="B746" i="10"/>
  <c r="B324" i="10"/>
  <c r="D146" i="10"/>
  <c r="B1220" i="10"/>
  <c r="A758" i="10"/>
  <c r="B1262" i="10"/>
  <c r="E489" i="10"/>
  <c r="D46" i="10"/>
  <c r="E611" i="10"/>
  <c r="B178" i="10"/>
  <c r="B248" i="10"/>
  <c r="B1137" i="10"/>
  <c r="B231" i="10"/>
  <c r="E246" i="10"/>
  <c r="B109" i="9"/>
  <c r="E348" i="10"/>
  <c r="B88" i="9"/>
  <c r="E594" i="10"/>
  <c r="B373" i="9"/>
  <c r="B39" i="10"/>
  <c r="E270" i="10"/>
  <c r="D774" i="10"/>
  <c r="D36" i="10"/>
  <c r="E626" i="10"/>
  <c r="B311" i="10"/>
  <c r="B33" i="9"/>
  <c r="E750" i="10"/>
  <c r="B230" i="10"/>
  <c r="D318" i="10"/>
  <c r="B389" i="10"/>
  <c r="B219" i="9"/>
  <c r="D544" i="10"/>
  <c r="D636" i="10"/>
  <c r="E790" i="10"/>
  <c r="B894" i="10"/>
  <c r="E154" i="10"/>
  <c r="B587" i="10"/>
  <c r="D606" i="10"/>
  <c r="B542" i="10"/>
  <c r="E335" i="10"/>
  <c r="E553" i="10"/>
  <c r="B91" i="10"/>
  <c r="B45" i="9"/>
  <c r="B672" i="10"/>
  <c r="B831" i="10"/>
  <c r="A60" i="9"/>
  <c r="E547" i="10"/>
  <c r="B163" i="10"/>
  <c r="D176" i="10"/>
  <c r="B1267" i="10"/>
  <c r="B526" i="10"/>
  <c r="B1210" i="10"/>
  <c r="B294" i="10"/>
  <c r="B573" i="10"/>
  <c r="E384" i="10"/>
  <c r="B185" i="9"/>
  <c r="E293" i="10"/>
  <c r="A842" i="10"/>
  <c r="B280" i="9"/>
  <c r="B9" i="10"/>
  <c r="B430" i="10"/>
  <c r="B172" i="10"/>
  <c r="B121" i="10"/>
  <c r="B779" i="10"/>
  <c r="A52" i="9"/>
  <c r="A1019" i="10"/>
  <c r="B242" i="10"/>
  <c r="B768" i="10"/>
  <c r="B706" i="10"/>
  <c r="B1198" i="10"/>
  <c r="B460" i="10"/>
  <c r="E518" i="10"/>
  <c r="B990" i="10"/>
  <c r="B885" i="10"/>
  <c r="B803" i="10"/>
  <c r="B848" i="10"/>
  <c r="B1068" i="10"/>
  <c r="B743" i="10"/>
  <c r="B840" i="9"/>
  <c r="B70" i="10"/>
  <c r="D370" i="10"/>
  <c r="B341" i="10"/>
  <c r="B710" i="10"/>
  <c r="B915" i="10"/>
  <c r="E9" i="10"/>
  <c r="B789" i="10"/>
  <c r="B1091" i="10"/>
  <c r="E745" i="10"/>
  <c r="E169" i="10"/>
  <c r="B141" i="9"/>
  <c r="E833" i="10"/>
  <c r="B666" i="10"/>
  <c r="E558" i="10"/>
  <c r="B597" i="10"/>
  <c r="B263" i="10"/>
  <c r="D190" i="10"/>
  <c r="D72" i="10"/>
  <c r="D598" i="10"/>
  <c r="B1192" i="10"/>
  <c r="D788" i="10"/>
  <c r="B73" i="9"/>
  <c r="E799" i="10"/>
  <c r="B56" i="10"/>
  <c r="B769" i="10"/>
  <c r="B851" i="10"/>
  <c r="B780" i="10"/>
  <c r="B978" i="10"/>
  <c r="E185" i="10"/>
  <c r="A320" i="10"/>
  <c r="D804" i="10"/>
  <c r="E89" i="10"/>
  <c r="B39" i="9"/>
  <c r="D148" i="10"/>
  <c r="E568" i="10"/>
  <c r="A368" i="10"/>
  <c r="B1211" i="10"/>
  <c r="E795" i="10"/>
  <c r="B123" i="10"/>
  <c r="B290" i="10"/>
  <c r="B282" i="10"/>
  <c r="E505" i="10"/>
  <c r="B1225" i="10"/>
  <c r="B1063" i="10"/>
  <c r="B1298" i="10"/>
  <c r="B610" i="10"/>
  <c r="A833" i="10"/>
  <c r="B767" i="10"/>
  <c r="B1190" i="10"/>
  <c r="B450" i="10"/>
  <c r="E174" i="10"/>
  <c r="B493" i="10"/>
  <c r="B190" i="10"/>
  <c r="B703" i="10"/>
  <c r="A167" i="10"/>
  <c r="E736" i="10"/>
  <c r="B937" i="10"/>
  <c r="B1110" i="10"/>
  <c r="B808" i="10"/>
  <c r="B739" i="10"/>
  <c r="B1034" i="10"/>
  <c r="B1075" i="10"/>
  <c r="A848" i="10"/>
  <c r="E37" i="10"/>
  <c r="E817" i="10"/>
  <c r="B533" i="9"/>
  <c r="E383" i="10"/>
  <c r="E714" i="10"/>
  <c r="E722" i="10"/>
  <c r="D258" i="10"/>
  <c r="D776" i="10"/>
  <c r="E251" i="10"/>
  <c r="D580" i="10"/>
  <c r="D182" i="10"/>
  <c r="B361" i="10"/>
  <c r="B27" i="9"/>
  <c r="B284" i="9"/>
  <c r="B72" i="10"/>
  <c r="E669" i="10"/>
  <c r="E380" i="10"/>
  <c r="E529" i="10"/>
  <c r="E85" i="10"/>
  <c r="B220" i="10"/>
  <c r="B1112" i="10"/>
  <c r="E579" i="10"/>
  <c r="D400" i="10"/>
  <c r="D538" i="10"/>
  <c r="D222" i="10"/>
  <c r="D800" i="10"/>
  <c r="E352" i="10"/>
  <c r="D138" i="10"/>
  <c r="B561" i="10"/>
  <c r="B887" i="10"/>
  <c r="A95" i="10"/>
  <c r="B689" i="10"/>
  <c r="B153" i="9"/>
  <c r="E55" i="10"/>
  <c r="A743" i="10"/>
  <c r="B1103" i="10"/>
  <c r="E593" i="10"/>
  <c r="B255" i="10"/>
  <c r="B46" i="10"/>
  <c r="A1055" i="10"/>
  <c r="B1250" i="10"/>
  <c r="B977" i="10"/>
  <c r="A557" i="10"/>
  <c r="D50" i="10"/>
  <c r="A128" i="10"/>
  <c r="E768" i="10"/>
  <c r="B330" i="10"/>
  <c r="D564" i="10"/>
  <c r="E855" i="10"/>
  <c r="E791" i="10"/>
  <c r="B900" i="10"/>
  <c r="B793" i="10"/>
  <c r="A1178" i="10"/>
  <c r="A800" i="10"/>
  <c r="B1215" i="10"/>
  <c r="B269" i="9"/>
  <c r="E236" i="10"/>
  <c r="E816" i="10"/>
  <c r="D322" i="10"/>
  <c r="B762" i="10"/>
  <c r="E723" i="10"/>
  <c r="E461" i="10"/>
  <c r="B747" i="9"/>
  <c r="D416" i="10"/>
  <c r="B767" i="9"/>
  <c r="D144" i="10"/>
  <c r="B634" i="10"/>
  <c r="B512" i="9"/>
  <c r="D762" i="10"/>
  <c r="D752" i="10"/>
  <c r="B595" i="9"/>
  <c r="B618" i="10"/>
  <c r="D234" i="10"/>
  <c r="B485" i="9"/>
  <c r="E355" i="10"/>
  <c r="E4" i="10"/>
  <c r="B853" i="10"/>
  <c r="B1118" i="10"/>
  <c r="B13" i="10"/>
  <c r="B830" i="9"/>
  <c r="E842" i="10"/>
  <c r="B171" i="9"/>
  <c r="B811" i="9"/>
  <c r="E308" i="10"/>
  <c r="B337" i="9"/>
  <c r="D560" i="10"/>
  <c r="D736" i="10"/>
  <c r="E221" i="10"/>
  <c r="D348" i="10"/>
  <c r="B8" i="10"/>
  <c r="B252" i="9"/>
  <c r="B194" i="9"/>
  <c r="D472" i="10"/>
  <c r="E53" i="10"/>
  <c r="E772" i="10"/>
  <c r="E583" i="10"/>
  <c r="B38" i="10"/>
  <c r="B638" i="10"/>
  <c r="E144" i="10"/>
  <c r="B580" i="9"/>
  <c r="D796" i="10"/>
  <c r="B438" i="9"/>
  <c r="B632" i="9"/>
  <c r="D212" i="10"/>
  <c r="B558" i="10"/>
  <c r="E164" i="10"/>
  <c r="B564" i="10"/>
  <c r="E509" i="10"/>
  <c r="E123" i="10"/>
  <c r="D640" i="10"/>
  <c r="E229" i="10"/>
  <c r="B54" i="9"/>
  <c r="B92" i="10"/>
  <c r="D768" i="10"/>
  <c r="E140" i="10"/>
  <c r="B334" i="9"/>
  <c r="B92" i="9"/>
  <c r="E617" i="10"/>
  <c r="D528" i="10"/>
  <c r="D628" i="10"/>
  <c r="B728" i="9"/>
  <c r="D178" i="10"/>
  <c r="A146" i="10"/>
  <c r="D558" i="10"/>
  <c r="E70" i="10"/>
  <c r="B794" i="10"/>
  <c r="E753" i="10"/>
  <c r="B157" i="9"/>
  <c r="B480" i="9"/>
  <c r="B275" i="10"/>
  <c r="D722" i="10"/>
  <c r="B640" i="10"/>
  <c r="E867" i="10"/>
  <c r="D10" i="10"/>
  <c r="A1181" i="10"/>
  <c r="B628" i="10"/>
  <c r="B359" i="10"/>
  <c r="B630" i="9"/>
  <c r="E503" i="10"/>
  <c r="B119" i="10"/>
  <c r="D550" i="10"/>
  <c r="B47" i="10"/>
  <c r="E402" i="10"/>
  <c r="E254" i="10"/>
  <c r="E381" i="10"/>
  <c r="B40" i="10"/>
  <c r="B470" i="9"/>
  <c r="B1293" i="10"/>
  <c r="B697" i="10"/>
  <c r="E275" i="10"/>
  <c r="E339" i="10"/>
  <c r="D568" i="10"/>
  <c r="B164" i="9"/>
  <c r="E132" i="10"/>
  <c r="B730" i="9"/>
  <c r="E826" i="10"/>
  <c r="B1292" i="10"/>
  <c r="B1268" i="10"/>
  <c r="B950" i="10"/>
  <c r="A749" i="10"/>
  <c r="A476" i="10"/>
  <c r="B1184" i="10"/>
  <c r="B602" i="10"/>
  <c r="B249" i="10"/>
  <c r="B954" i="10"/>
  <c r="B1205" i="10"/>
  <c r="B857" i="10"/>
  <c r="B1280" i="10"/>
  <c r="B873" i="10"/>
  <c r="E44" i="10"/>
  <c r="E385" i="10"/>
  <c r="E622" i="10"/>
  <c r="B1206" i="10"/>
  <c r="B982" i="10"/>
  <c r="A590" i="10"/>
  <c r="A509" i="10"/>
  <c r="D262" i="10"/>
  <c r="A536" i="10"/>
  <c r="B798" i="10"/>
  <c r="B426" i="9"/>
  <c r="A134" i="10"/>
  <c r="E581" i="10"/>
  <c r="B444" i="10"/>
  <c r="B243" i="9"/>
  <c r="E261" i="10"/>
  <c r="B663" i="9"/>
  <c r="E701" i="10"/>
  <c r="E346" i="10"/>
  <c r="B926" i="10"/>
  <c r="E569" i="10"/>
  <c r="B377" i="10"/>
  <c r="E853" i="10"/>
  <c r="B271" i="9"/>
  <c r="B532" i="9"/>
  <c r="B655" i="10"/>
  <c r="E30" i="10"/>
  <c r="E699" i="10"/>
  <c r="B132" i="10"/>
  <c r="E428" i="10"/>
  <c r="A968" i="10"/>
  <c r="A56" i="9"/>
  <c r="E122" i="10"/>
  <c r="D450" i="10"/>
  <c r="B96" i="10"/>
  <c r="B824" i="10"/>
  <c r="B1207" i="10"/>
  <c r="B345" i="9"/>
  <c r="E19" i="10"/>
  <c r="B306" i="9"/>
  <c r="E285" i="10"/>
  <c r="D94" i="10"/>
  <c r="B629" i="10"/>
  <c r="B973" i="10"/>
  <c r="B213" i="9"/>
  <c r="B23" i="10"/>
  <c r="A533" i="10"/>
  <c r="B468" i="10"/>
  <c r="E313" i="10"/>
  <c r="B305" i="10"/>
  <c r="A356" i="10"/>
  <c r="E868" i="10"/>
  <c r="B6" i="10"/>
  <c r="D162" i="10"/>
  <c r="A230" i="10"/>
  <c r="E83" i="10"/>
  <c r="B1105" i="10"/>
  <c r="B44" i="9"/>
  <c r="E664" i="10"/>
  <c r="E784" i="10"/>
  <c r="B547" i="10"/>
  <c r="A788" i="10"/>
  <c r="B1277" i="10"/>
  <c r="D300" i="10"/>
  <c r="B445" i="9"/>
  <c r="E846" i="10"/>
  <c r="B913" i="10"/>
  <c r="B55" i="9"/>
  <c r="E501" i="10"/>
  <c r="B1051" i="10"/>
  <c r="B818" i="10"/>
  <c r="E60" i="10"/>
  <c r="E615" i="10"/>
  <c r="D460" i="10"/>
  <c r="B71" i="9"/>
  <c r="B563" i="10"/>
  <c r="D750" i="10"/>
  <c r="A44" i="9"/>
  <c r="B1176" i="10"/>
  <c r="E367" i="10"/>
  <c r="D618" i="10"/>
  <c r="D590" i="10"/>
  <c r="B432" i="10"/>
  <c r="E28" i="10"/>
  <c r="D396" i="10"/>
  <c r="E691" i="10"/>
  <c r="B235" i="10"/>
  <c r="B235" i="9"/>
  <c r="A54" i="9"/>
  <c r="B1042" i="10"/>
  <c r="B84" i="10"/>
  <c r="D764" i="10"/>
  <c r="B325" i="10"/>
  <c r="A686" i="10"/>
  <c r="E524" i="10"/>
  <c r="B222" i="9"/>
  <c r="A1058" i="10"/>
  <c r="B671" i="10"/>
  <c r="E781" i="10"/>
  <c r="E544" i="10"/>
  <c r="E68" i="10"/>
  <c r="B57" i="9"/>
  <c r="E492" i="10"/>
  <c r="D808" i="10"/>
  <c r="B719" i="10"/>
  <c r="B643" i="10"/>
  <c r="E79" i="10"/>
  <c r="E446" i="10"/>
  <c r="B201" i="10"/>
  <c r="B1003" i="10"/>
  <c r="E223" i="10"/>
  <c r="B943" i="10"/>
  <c r="B351" i="10"/>
  <c r="B1092" i="10"/>
  <c r="B1146" i="10"/>
  <c r="E623" i="10"/>
  <c r="B661" i="10"/>
  <c r="B1236" i="10"/>
  <c r="B761" i="10"/>
  <c r="D644" i="10"/>
  <c r="D858" i="10"/>
  <c r="D242" i="10"/>
  <c r="B304" i="10"/>
  <c r="B649" i="10"/>
  <c r="E820" i="10"/>
  <c r="B237" i="10"/>
  <c r="E535" i="10"/>
  <c r="B335" i="10"/>
  <c r="B616" i="10"/>
  <c r="B644" i="10"/>
  <c r="E761" i="10"/>
  <c r="A869" i="10"/>
  <c r="B1059" i="10"/>
  <c r="A791" i="10"/>
  <c r="E774" i="10"/>
  <c r="B161" i="10"/>
  <c r="B153" i="10"/>
  <c r="E712" i="10"/>
  <c r="A22" i="9"/>
  <c r="E802" i="10"/>
  <c r="B473" i="9"/>
  <c r="B367" i="10"/>
  <c r="E559" i="10"/>
  <c r="D510" i="10"/>
  <c r="E415" i="10"/>
  <c r="E240" i="10"/>
  <c r="D48" i="10"/>
  <c r="B62" i="9"/>
  <c r="B183" i="9"/>
  <c r="B838" i="9"/>
  <c r="E253" i="10"/>
  <c r="D192" i="10"/>
  <c r="E131" i="10"/>
  <c r="E449" i="10"/>
  <c r="D210" i="10"/>
  <c r="D220" i="10"/>
  <c r="E209" i="10"/>
  <c r="B410" i="9"/>
  <c r="D194" i="10"/>
  <c r="E184" i="10"/>
  <c r="B783" i="10"/>
  <c r="B82" i="10"/>
  <c r="D844" i="10"/>
  <c r="B306" i="10"/>
  <c r="B11" i="10"/>
  <c r="E548" i="10"/>
  <c r="E694" i="10"/>
  <c r="B215" i="9"/>
  <c r="B546" i="10"/>
  <c r="E633" i="10"/>
  <c r="A1133" i="10"/>
  <c r="E452" i="10"/>
  <c r="A578" i="10"/>
  <c r="B963" i="10"/>
  <c r="D12" i="10"/>
  <c r="E865" i="10"/>
  <c r="B746" i="9"/>
  <c r="D678" i="10"/>
  <c r="E733" i="10"/>
  <c r="D754" i="10"/>
  <c r="E418" i="10"/>
  <c r="E278" i="10"/>
  <c r="B513" i="10"/>
  <c r="D682" i="10"/>
  <c r="D454" i="10"/>
  <c r="D726" i="10"/>
  <c r="E779" i="10"/>
  <c r="E777" i="10"/>
  <c r="B1297" i="10"/>
  <c r="D742" i="10"/>
  <c r="E323" i="10"/>
  <c r="B35" i="9"/>
  <c r="B120" i="10"/>
  <c r="E646" i="10"/>
  <c r="A299" i="10"/>
  <c r="D862" i="10"/>
  <c r="E95" i="10"/>
  <c r="E149" i="10"/>
  <c r="B339" i="10"/>
  <c r="A1142" i="10"/>
  <c r="B674" i="10"/>
  <c r="E746" i="10"/>
  <c r="B135" i="10"/>
  <c r="B76" i="10"/>
  <c r="A1259" i="10"/>
  <c r="B1024" i="10"/>
  <c r="D630" i="10"/>
  <c r="B288" i="10"/>
  <c r="B686" i="10"/>
  <c r="E539" i="10"/>
  <c r="B631" i="9"/>
  <c r="B1283" i="10"/>
  <c r="B1002" i="10"/>
  <c r="B724" i="10"/>
  <c r="B32" i="10"/>
  <c r="A1091" i="10"/>
  <c r="B600" i="10"/>
  <c r="B530" i="10"/>
  <c r="B188" i="10"/>
  <c r="E651" i="10"/>
  <c r="B230" i="9"/>
  <c r="E609" i="10"/>
  <c r="B467" i="10"/>
  <c r="B830" i="10"/>
  <c r="D230" i="10"/>
  <c r="B1114" i="10"/>
  <c r="D540" i="10"/>
  <c r="E797" i="10"/>
  <c r="B354" i="10"/>
  <c r="E670" i="10"/>
  <c r="D250" i="10"/>
  <c r="E586" i="10"/>
  <c r="A1202" i="10"/>
  <c r="B599" i="10"/>
  <c r="B36" i="10"/>
  <c r="B307" i="10"/>
  <c r="B236" i="10"/>
  <c r="E843" i="10"/>
  <c r="B567" i="10"/>
  <c r="B98" i="10"/>
  <c r="A42" i="9"/>
  <c r="A353" i="10"/>
  <c r="B31" i="10"/>
  <c r="D116" i="10"/>
  <c r="B30" i="10"/>
  <c r="B129" i="10"/>
  <c r="B187" i="10"/>
  <c r="B696" i="10"/>
  <c r="B907" i="10"/>
  <c r="B395" i="10"/>
  <c r="B1263" i="10"/>
  <c r="B463" i="10"/>
  <c r="B656" i="10"/>
  <c r="A1025" i="10"/>
  <c r="B956" i="10"/>
  <c r="B946" i="10"/>
  <c r="E840" i="10"/>
  <c r="B177" i="10"/>
  <c r="A923" i="10"/>
  <c r="B1290" i="10"/>
  <c r="B1048" i="10"/>
  <c r="A602" i="10"/>
  <c r="B841" i="10"/>
  <c r="B273" i="10"/>
  <c r="A161" i="10"/>
  <c r="E18" i="10"/>
  <c r="B146" i="10"/>
  <c r="A46" i="9"/>
  <c r="E171" i="10"/>
  <c r="A458" i="10"/>
  <c r="B105" i="10"/>
  <c r="B456" i="10"/>
  <c r="D492" i="10"/>
  <c r="D624" i="10"/>
  <c r="D26" i="10"/>
  <c r="B548" i="10"/>
  <c r="B101" i="10"/>
  <c r="B197" i="10"/>
  <c r="A1169" i="10"/>
  <c r="A992" i="10"/>
  <c r="A1067" i="10"/>
  <c r="B654" i="10"/>
  <c r="B837" i="10"/>
  <c r="E397" i="10"/>
  <c r="E198" i="10"/>
  <c r="E684" i="10"/>
  <c r="A1151" i="10"/>
  <c r="E690" i="10"/>
  <c r="B511" i="10"/>
  <c r="B859" i="10"/>
  <c r="E427" i="10"/>
  <c r="B1130" i="10"/>
  <c r="B816" i="10"/>
  <c r="E390" i="10"/>
  <c r="E289" i="10"/>
  <c r="B694" i="10"/>
  <c r="B633" i="10"/>
  <c r="E309" i="10"/>
  <c r="B791" i="10"/>
  <c r="E720" i="10"/>
  <c r="D626" i="10"/>
  <c r="B16" i="10"/>
  <c r="D570" i="10"/>
  <c r="E225" i="10"/>
  <c r="B984" i="10"/>
  <c r="D668" i="10"/>
  <c r="B969" i="10"/>
  <c r="A728" i="10"/>
  <c r="B42" i="10"/>
  <c r="B565" i="10"/>
  <c r="A515" i="10"/>
  <c r="B809" i="10"/>
  <c r="A1268" i="10"/>
  <c r="B902" i="10"/>
  <c r="B1296" i="10"/>
  <c r="B738" i="10"/>
  <c r="B77" i="10"/>
  <c r="B770" i="10"/>
  <c r="A278" i="10"/>
  <c r="B1243" i="10"/>
  <c r="A1274" i="10"/>
  <c r="B43" i="10"/>
  <c r="D332" i="10"/>
  <c r="E592" i="10"/>
  <c r="E342" i="10"/>
  <c r="B534" i="10"/>
  <c r="B585" i="10"/>
  <c r="E823" i="10"/>
  <c r="E425" i="10"/>
  <c r="B265" i="10"/>
  <c r="D684" i="10"/>
  <c r="D574" i="10"/>
  <c r="B476" i="9"/>
  <c r="E296" i="10"/>
  <c r="B37" i="9"/>
  <c r="B1011" i="10"/>
  <c r="E734" i="10"/>
  <c r="B606" i="10"/>
  <c r="A473" i="10"/>
  <c r="D512" i="10"/>
  <c r="E165" i="10"/>
  <c r="B1017" i="10"/>
  <c r="A206" i="10"/>
  <c r="B691" i="10"/>
  <c r="B568" i="10"/>
  <c r="B14" i="10"/>
  <c r="E373" i="10"/>
  <c r="D792" i="10"/>
  <c r="B994" i="10"/>
  <c r="E214" i="10"/>
  <c r="A920" i="10"/>
  <c r="E341" i="10"/>
  <c r="B1104" i="10"/>
  <c r="E864" i="10"/>
  <c r="B699" i="10"/>
  <c r="B641" i="10"/>
  <c r="B298" i="10"/>
  <c r="B166" i="10"/>
  <c r="B65" i="10"/>
  <c r="B781" i="10"/>
  <c r="A638" i="10"/>
  <c r="B1213" i="10"/>
  <c r="B1043" i="10"/>
  <c r="E647" i="10"/>
  <c r="B1086" i="10"/>
  <c r="B264" i="10"/>
  <c r="B935" i="10"/>
  <c r="E101" i="10"/>
  <c r="B929" i="10"/>
  <c r="B409" i="10"/>
  <c r="B1109" i="10"/>
  <c r="D604" i="10"/>
  <c r="A905" i="10"/>
  <c r="E624" i="10"/>
  <c r="B241" i="10"/>
  <c r="B758" i="10"/>
  <c r="A1265" i="10"/>
  <c r="E306" i="10"/>
  <c r="B478" i="10"/>
  <c r="B1226" i="10"/>
  <c r="B110" i="10"/>
  <c r="E782" i="10"/>
  <c r="B1004" i="10"/>
  <c r="D448" i="10"/>
  <c r="A647" i="10"/>
  <c r="B279" i="10"/>
  <c r="B41" i="10"/>
  <c r="B843" i="10"/>
  <c r="A89" i="10"/>
  <c r="E197" i="10"/>
  <c r="B1155" i="10"/>
  <c r="B952" i="10"/>
  <c r="B9" i="9"/>
  <c r="E155" i="10"/>
  <c r="D724" i="10"/>
  <c r="E395" i="10"/>
  <c r="B289" i="10"/>
  <c r="B816" i="9"/>
  <c r="B282" i="9"/>
  <c r="B145" i="9"/>
  <c r="E230" i="10"/>
  <c r="B699" i="9"/>
  <c r="E318" i="10"/>
  <c r="E121" i="10"/>
  <c r="B126" i="9"/>
  <c r="E423" i="10"/>
  <c r="D184" i="10"/>
  <c r="E343" i="10"/>
  <c r="E426" i="10"/>
  <c r="D646" i="10"/>
  <c r="E852" i="10"/>
  <c r="B856" i="10"/>
  <c r="D134" i="10"/>
  <c r="B440" i="10"/>
  <c r="B336" i="10"/>
  <c r="E94" i="10"/>
  <c r="E711" i="10"/>
  <c r="B680" i="10"/>
  <c r="B1281" i="10"/>
  <c r="B891" i="10"/>
  <c r="E272" i="10"/>
  <c r="B651" i="10"/>
  <c r="B682" i="10"/>
  <c r="E71" i="10"/>
  <c r="D482" i="10"/>
  <c r="E737" i="10"/>
  <c r="B205" i="9"/>
  <c r="B267" i="9"/>
  <c r="B452" i="10"/>
  <c r="B176" i="10"/>
  <c r="A623" i="10"/>
  <c r="A281" i="10"/>
  <c r="B966" i="10"/>
  <c r="B489" i="10"/>
  <c r="B69" i="10"/>
  <c r="A935" i="10"/>
  <c r="B821" i="10"/>
  <c r="B898" i="10"/>
  <c r="E158" i="10"/>
  <c r="E300" i="10"/>
  <c r="B356" i="10"/>
  <c r="B867" i="10"/>
  <c r="A1298" i="10"/>
  <c r="E756" i="10"/>
  <c r="B10" i="9"/>
  <c r="D86" i="10"/>
  <c r="B838" i="10"/>
  <c r="B266" i="10"/>
  <c r="B209" i="10"/>
  <c r="A1118" i="10"/>
  <c r="B327" i="10"/>
  <c r="B1056" i="10"/>
  <c r="E286" i="10"/>
  <c r="A1007" i="10"/>
  <c r="B1251" i="10"/>
  <c r="B1100" i="10"/>
  <c r="E630" i="10"/>
  <c r="B1082" i="10"/>
  <c r="B700" i="10"/>
  <c r="B882" i="10"/>
  <c r="B688" i="10"/>
  <c r="B1269" i="10"/>
  <c r="E118" i="10"/>
  <c r="E600" i="10"/>
  <c r="B972" i="10"/>
  <c r="B668" i="10"/>
  <c r="E172" i="10"/>
  <c r="E847" i="10"/>
  <c r="A1106" i="10"/>
  <c r="B1289" i="10"/>
  <c r="B424" i="10"/>
  <c r="B224" i="9"/>
  <c r="B258" i="9"/>
  <c r="E725" i="10"/>
  <c r="B615" i="10"/>
  <c r="B1175" i="10"/>
  <c r="B1078" i="10"/>
  <c r="B51" i="10"/>
  <c r="B748" i="10"/>
  <c r="B317" i="10"/>
  <c r="B630" i="10"/>
  <c r="B733" i="10"/>
  <c r="B1275" i="10"/>
  <c r="E636" i="10"/>
  <c r="B1229" i="10"/>
  <c r="B495" i="10"/>
  <c r="B878" i="10"/>
  <c r="A752" i="10"/>
  <c r="B134" i="10"/>
  <c r="E5" i="10"/>
  <c r="B933" i="10"/>
  <c r="B1241" i="10"/>
  <c r="B1266" i="10"/>
  <c r="A428" i="10"/>
  <c r="D60" i="10"/>
  <c r="B819" i="10"/>
  <c r="A767" i="10"/>
  <c r="A440" i="10"/>
  <c r="B705" i="10"/>
  <c r="B381" i="10"/>
  <c r="B817" i="10"/>
  <c r="B1014" i="10"/>
  <c r="E463" i="10"/>
  <c r="B415" i="10"/>
  <c r="B148" i="10"/>
  <c r="B482" i="10"/>
  <c r="B974" i="10"/>
  <c r="B412" i="10"/>
  <c r="B742" i="10"/>
  <c r="B833" i="10"/>
  <c r="A710" i="10"/>
  <c r="B433" i="10"/>
  <c r="A455" i="10"/>
  <c r="A224" i="10"/>
  <c r="E778" i="10"/>
  <c r="E818" i="10"/>
  <c r="D748" i="10"/>
  <c r="E628" i="10"/>
  <c r="B890" i="10"/>
  <c r="B1054" i="10"/>
  <c r="B277" i="10"/>
  <c r="E437" i="10"/>
  <c r="D462" i="10"/>
  <c r="B806" i="10"/>
  <c r="A539" i="10"/>
  <c r="A980" i="10"/>
  <c r="B240" i="10"/>
  <c r="B1287" i="10"/>
  <c r="B321" i="10"/>
  <c r="B250" i="10"/>
  <c r="A1046" i="10"/>
  <c r="B1113" i="10"/>
  <c r="B204" i="10"/>
  <c r="B470" i="10"/>
  <c r="E98" i="10"/>
  <c r="E262" i="10"/>
  <c r="B1013" i="10"/>
  <c r="A1241" i="10"/>
  <c r="B522" i="10"/>
  <c r="B87" i="10"/>
  <c r="B127" i="10"/>
  <c r="A221" i="10"/>
  <c r="B159" i="10"/>
  <c r="B566" i="10"/>
  <c r="B79" i="9"/>
  <c r="A671" i="10"/>
  <c r="E377" i="10"/>
  <c r="B1219" i="10"/>
  <c r="B428" i="10"/>
  <c r="B786" i="9"/>
  <c r="E412" i="10"/>
  <c r="D852" i="10"/>
  <c r="A902" i="10"/>
  <c r="E829" i="10"/>
  <c r="A665" i="10"/>
  <c r="B744" i="10"/>
  <c r="A893" i="10"/>
  <c r="B337" i="10"/>
  <c r="B457" i="10"/>
  <c r="B1238" i="10"/>
  <c r="B449" i="10"/>
  <c r="B333" i="10"/>
  <c r="B380" i="10"/>
  <c r="B480" i="10"/>
  <c r="A641" i="10"/>
  <c r="B601" i="10"/>
  <c r="A335" i="10"/>
  <c r="D62" i="10"/>
  <c r="B825" i="10"/>
  <c r="B925" i="10"/>
  <c r="A1013" i="10"/>
  <c r="A695" i="10"/>
  <c r="B435" i="10"/>
  <c r="B850" i="10"/>
  <c r="B960" i="10"/>
  <c r="A275" i="10"/>
  <c r="D732" i="10"/>
  <c r="D430" i="10"/>
  <c r="B698" i="10"/>
  <c r="E652" i="10"/>
  <c r="B1182" i="10"/>
  <c r="D90" i="10"/>
  <c r="E713" i="10"/>
  <c r="B341" i="9"/>
  <c r="B350" i="10"/>
  <c r="A308" i="10"/>
  <c r="A1022" i="10"/>
  <c r="B683" i="10"/>
  <c r="D202" i="10"/>
  <c r="A500" i="10"/>
  <c r="B527" i="10"/>
  <c r="D380" i="10"/>
  <c r="B366" i="10"/>
  <c r="B1116" i="10"/>
  <c r="B477" i="9"/>
  <c r="B361" i="9"/>
  <c r="E522" i="10"/>
  <c r="D718" i="10"/>
  <c r="B445" i="10"/>
  <c r="B991" i="10"/>
  <c r="B734" i="10"/>
  <c r="A770" i="10"/>
  <c r="E813" i="10"/>
  <c r="B535" i="10"/>
  <c r="B1302" i="10"/>
  <c r="A1232" i="10"/>
  <c r="B957" i="10"/>
  <c r="A1250" i="10"/>
  <c r="B592" i="10"/>
  <c r="B647" i="10"/>
  <c r="D324" i="10"/>
  <c r="D276" i="10"/>
  <c r="D616" i="10"/>
  <c r="E510" i="10"/>
  <c r="B844" i="10"/>
  <c r="B181" i="10"/>
  <c r="E844" i="10"/>
  <c r="A1187" i="10"/>
  <c r="D782" i="10"/>
  <c r="A482" i="10"/>
  <c r="B154" i="10"/>
  <c r="B993" i="10"/>
  <c r="B238" i="10"/>
  <c r="B391" i="10"/>
  <c r="A179" i="10"/>
  <c r="B422" i="10"/>
  <c r="A545" i="10"/>
  <c r="B658" i="10"/>
  <c r="A662" i="10"/>
  <c r="B724" i="9"/>
  <c r="B1142" i="10"/>
  <c r="A554" i="10"/>
  <c r="A10" i="9"/>
  <c r="B1282" i="10"/>
  <c r="B1209" i="10"/>
  <c r="A266" i="10"/>
  <c r="B537" i="10"/>
  <c r="B589" i="10"/>
  <c r="E466" i="10"/>
  <c r="B442" i="10"/>
  <c r="E724" i="10"/>
  <c r="D716" i="10"/>
  <c r="B203" i="10"/>
  <c r="D850" i="10"/>
  <c r="A1052" i="10"/>
  <c r="B1069" i="10"/>
  <c r="A803" i="10"/>
  <c r="E190" i="10"/>
  <c r="E161" i="10"/>
  <c r="B524" i="10"/>
  <c r="B310" i="9"/>
  <c r="E613" i="10"/>
  <c r="D114" i="10"/>
  <c r="D758" i="10"/>
  <c r="B212" i="10"/>
  <c r="B242" i="9"/>
  <c r="B60" i="9"/>
  <c r="D436" i="10"/>
  <c r="B161" i="9"/>
  <c r="D156" i="10"/>
  <c r="B434" i="9"/>
  <c r="B120" i="9"/>
  <c r="B386" i="10"/>
  <c r="B652" i="10"/>
  <c r="E396" i="10"/>
  <c r="B156" i="10"/>
  <c r="E218" i="10"/>
  <c r="E104" i="10"/>
  <c r="E751" i="10"/>
  <c r="E578" i="10"/>
  <c r="E599" i="10"/>
  <c r="B1083" i="10"/>
  <c r="B261" i="9"/>
  <c r="A4" i="10"/>
  <c r="A1244" i="10"/>
  <c r="B1161" i="10"/>
  <c r="A566" i="10"/>
  <c r="B1055" i="10"/>
  <c r="E409" i="10"/>
  <c r="A827" i="10"/>
  <c r="B914" i="10"/>
  <c r="B530" i="9"/>
  <c r="E440" i="10"/>
  <c r="E869" i="10"/>
  <c r="A131" i="10"/>
  <c r="E52" i="10"/>
  <c r="B624" i="10"/>
  <c r="A896" i="10"/>
  <c r="E675" i="10"/>
  <c r="B270" i="10"/>
  <c r="B145" i="10"/>
  <c r="B509" i="10"/>
  <c r="E379" i="10"/>
  <c r="B29" i="10"/>
  <c r="B431" i="10"/>
  <c r="E394" i="10"/>
  <c r="E504" i="10"/>
  <c r="B296" i="10"/>
  <c r="E770" i="10"/>
  <c r="B374" i="10"/>
  <c r="E771" i="10"/>
  <c r="B576" i="10"/>
  <c r="A542" i="10"/>
  <c r="E462" i="10"/>
  <c r="B675" i="9"/>
  <c r="A392" i="10"/>
  <c r="D358" i="10"/>
  <c r="A341" i="10"/>
  <c r="B1253" i="10"/>
  <c r="E740" i="10"/>
  <c r="E207" i="10"/>
  <c r="B67" i="9"/>
  <c r="B314" i="10"/>
  <c r="B271" i="10"/>
  <c r="B485" i="10"/>
  <c r="B747" i="10"/>
  <c r="A518" i="10"/>
  <c r="E677" i="10"/>
  <c r="B813" i="10"/>
  <c r="B475" i="10"/>
  <c r="E91" i="10"/>
  <c r="B17" i="10"/>
  <c r="A122" i="10"/>
  <c r="D378" i="10"/>
  <c r="E565" i="10"/>
  <c r="D420" i="10"/>
  <c r="B227" i="9"/>
  <c r="B233" i="10"/>
  <c r="B732" i="10"/>
  <c r="E610" i="10"/>
  <c r="A644" i="10"/>
  <c r="E469" i="10"/>
  <c r="B1303" i="10"/>
  <c r="E17" i="10"/>
  <c r="A1016" i="10"/>
  <c r="B519" i="10"/>
  <c r="B363" i="10"/>
  <c r="D80" i="10"/>
  <c r="B1183" i="10"/>
  <c r="B711" i="10"/>
  <c r="E281" i="10"/>
  <c r="B19" i="9"/>
  <c r="B854" i="9"/>
  <c r="E700" i="10"/>
  <c r="E513" i="10"/>
  <c r="E458" i="10"/>
  <c r="B777" i="10"/>
  <c r="B1045" i="10"/>
  <c r="B774" i="10"/>
  <c r="A176" i="10"/>
  <c r="B669" i="10"/>
  <c r="B506" i="10"/>
  <c r="B812" i="10"/>
  <c r="D612" i="10"/>
  <c r="A359" i="10"/>
  <c r="A1034" i="10"/>
  <c r="B99" i="10"/>
  <c r="B7" i="10"/>
  <c r="A1130" i="10"/>
  <c r="B555" i="10"/>
  <c r="B4" i="10"/>
  <c r="E812" i="10"/>
  <c r="B1131" i="10"/>
  <c r="B953" i="10"/>
  <c r="D842" i="10"/>
  <c r="B218" i="10"/>
  <c r="B221" i="10"/>
  <c r="B1271" i="10"/>
  <c r="A254" i="10"/>
  <c r="B756" i="10"/>
  <c r="B68" i="10"/>
  <c r="A1157" i="10"/>
  <c r="B492" i="10"/>
  <c r="E614" i="10"/>
  <c r="B648" i="10"/>
  <c r="B417" i="10"/>
  <c r="B486" i="10"/>
  <c r="B947" i="10"/>
  <c r="A1040" i="10"/>
  <c r="A713" i="10"/>
  <c r="B604" i="10"/>
  <c r="B1090" i="10"/>
  <c r="B631" i="10"/>
  <c r="E735" i="10"/>
  <c r="E92" i="10"/>
  <c r="E743" i="10"/>
  <c r="B1084" i="10"/>
  <c r="B29" i="9"/>
  <c r="E459" i="10"/>
  <c r="B1080" i="10"/>
  <c r="B63" i="10"/>
  <c r="A404" i="10"/>
  <c r="A488" i="10"/>
  <c r="B113" i="10"/>
  <c r="A1109" i="10"/>
  <c r="B102" i="10"/>
  <c r="A197" i="10"/>
  <c r="B1218" i="10"/>
  <c r="E641" i="10"/>
  <c r="E814" i="10"/>
  <c r="B605" i="10"/>
  <c r="E470" i="10"/>
  <c r="E499" i="10"/>
  <c r="B223" i="9"/>
  <c r="B869" i="10"/>
  <c r="B782" i="10"/>
  <c r="B94" i="10"/>
  <c r="A965" i="10"/>
  <c r="B1071" i="10"/>
  <c r="A1010" i="10"/>
  <c r="A34" i="9"/>
  <c r="B309" i="10"/>
  <c r="E3" i="10"/>
  <c r="A14" i="9"/>
  <c r="D158" i="10"/>
  <c r="D824" i="10"/>
  <c r="B996" i="10"/>
  <c r="B823" i="10"/>
  <c r="A1004" i="10"/>
  <c r="E127" i="10"/>
  <c r="A1226" i="10"/>
  <c r="B404" i="10"/>
  <c r="A389" i="10"/>
  <c r="B106" i="10"/>
  <c r="B538" i="10"/>
  <c r="B125" i="10"/>
  <c r="E763" i="10"/>
  <c r="D28" i="10"/>
  <c r="A227" i="10"/>
  <c r="A632" i="10"/>
  <c r="E398" i="10"/>
  <c r="B936" i="10"/>
  <c r="E106" i="10"/>
  <c r="A584" i="10"/>
  <c r="E806" i="10"/>
  <c r="D670" i="10"/>
  <c r="D64" i="10"/>
  <c r="A716" i="10"/>
  <c r="E232" i="10"/>
  <c r="B73" i="10"/>
  <c r="A365" i="10"/>
  <c r="B578" i="10"/>
  <c r="A452" i="10"/>
  <c r="E640" i="10"/>
  <c r="E643" i="10"/>
  <c r="A674" i="10"/>
  <c r="D480" i="10"/>
  <c r="E249" i="10"/>
  <c r="E145" i="10"/>
  <c r="D388" i="10"/>
  <c r="B141" i="10"/>
  <c r="D638" i="10"/>
  <c r="B1139" i="10"/>
  <c r="B536" i="10"/>
  <c r="A395" i="10"/>
  <c r="D698" i="10"/>
  <c r="B1143" i="10"/>
  <c r="B832" i="10"/>
  <c r="D836" i="10"/>
  <c r="B876" i="10"/>
  <c r="D502" i="10"/>
  <c r="A338" i="10"/>
  <c r="B822" i="10"/>
  <c r="B975" i="10"/>
  <c r="A677" i="10"/>
  <c r="E31" i="10"/>
  <c r="E215" i="10"/>
  <c r="E822" i="10"/>
  <c r="B650" i="10"/>
  <c r="D600" i="10"/>
  <c r="B1029" i="10"/>
  <c r="B394" i="9"/>
  <c r="B1093" i="10"/>
  <c r="B790" i="10"/>
  <c r="A422" i="10"/>
  <c r="B930" i="10"/>
  <c r="D642" i="10"/>
  <c r="B1248" i="10"/>
  <c r="A491" i="10"/>
  <c r="A377" i="10"/>
  <c r="A689" i="10"/>
  <c r="B1181" i="10"/>
  <c r="B1285" i="10"/>
  <c r="B464" i="10"/>
  <c r="E811" i="10"/>
  <c r="B883" i="10"/>
  <c r="B358" i="10"/>
  <c r="B852" i="10"/>
  <c r="D42" i="10"/>
  <c r="B646" i="10"/>
  <c r="B1129" i="10"/>
  <c r="B195" i="10"/>
  <c r="E659" i="10"/>
  <c r="D288" i="10"/>
  <c r="B200" i="9"/>
  <c r="B1151" i="10"/>
  <c r="D524" i="10"/>
  <c r="E732" i="10"/>
  <c r="B21" i="10"/>
  <c r="A824" i="10"/>
  <c r="B395" i="9"/>
  <c r="B25" i="10"/>
  <c r="D58" i="10"/>
  <c r="E608" i="10"/>
  <c r="B186" i="10"/>
  <c r="E315" i="10"/>
  <c r="B548" i="9"/>
  <c r="E502" i="10"/>
  <c r="B273" i="9"/>
  <c r="B1102" i="10"/>
  <c r="B236" i="9"/>
  <c r="B98" i="9"/>
  <c r="E441" i="10"/>
  <c r="E618" i="10"/>
  <c r="B516" i="10"/>
  <c r="D76" i="10"/>
  <c r="B750" i="9"/>
  <c r="B169" i="10"/>
  <c r="E167" i="10"/>
  <c r="B707" i="10"/>
  <c r="B347" i="10"/>
  <c r="E277" i="10"/>
  <c r="B461" i="10"/>
  <c r="B512" i="10"/>
  <c r="E754" i="10"/>
  <c r="B547" i="9"/>
  <c r="E546" i="10"/>
  <c r="B165" i="10"/>
  <c r="B785" i="10"/>
  <c r="E457" i="10"/>
  <c r="A1124" i="10"/>
  <c r="B692" i="10"/>
  <c r="D838" i="10"/>
  <c r="E224" i="10"/>
  <c r="D68" i="10"/>
  <c r="E87" i="10"/>
  <c r="D394" i="10"/>
  <c r="B257" i="9"/>
  <c r="D596" i="10"/>
  <c r="E329" i="10"/>
  <c r="E665" i="10"/>
  <c r="B362" i="10"/>
  <c r="B740" i="10"/>
  <c r="A782" i="10"/>
  <c r="B112" i="10"/>
  <c r="B517" i="10"/>
  <c r="B787" i="10"/>
  <c r="B749" i="9"/>
  <c r="B881" i="10"/>
  <c r="D14" i="10"/>
  <c r="D336" i="10"/>
  <c r="E23" i="10"/>
  <c r="E13" i="10"/>
  <c r="B107" i="9"/>
  <c r="B1022" i="10"/>
  <c r="E136" i="10"/>
  <c r="B967" i="10"/>
  <c r="B1025" i="10"/>
  <c r="A884" i="10"/>
  <c r="E863" i="10"/>
  <c r="B1010" i="10"/>
  <c r="A1190" i="10"/>
  <c r="A794" i="10"/>
  <c r="E671" i="10"/>
  <c r="E550" i="10"/>
  <c r="E330" i="10"/>
  <c r="B574" i="10"/>
  <c r="D208" i="10"/>
  <c r="D794" i="10"/>
  <c r="E689" i="10"/>
  <c r="D468" i="10"/>
  <c r="E527" i="10"/>
  <c r="B497" i="9"/>
  <c r="A908" i="10"/>
  <c r="B579" i="10"/>
  <c r="B670" i="10"/>
  <c r="B105" i="9"/>
  <c r="B471" i="10"/>
  <c r="B717" i="10"/>
  <c r="E576" i="10"/>
  <c r="B531" i="10"/>
  <c r="E511" i="10"/>
  <c r="B246" i="10"/>
  <c r="B371" i="10"/>
  <c r="B124" i="10"/>
  <c r="B81" i="10"/>
  <c r="B1240" i="10"/>
  <c r="B1058" i="10"/>
  <c r="E775" i="10"/>
  <c r="E697" i="10"/>
  <c r="A1223" i="10"/>
  <c r="B557" i="10"/>
  <c r="E99" i="10"/>
  <c r="E376" i="10"/>
  <c r="E716" i="10"/>
  <c r="E731" i="10"/>
  <c r="D478" i="10"/>
  <c r="B130" i="10"/>
  <c r="B759" i="10"/>
  <c r="A362" i="10"/>
  <c r="E217" i="10"/>
  <c r="B1227" i="10"/>
  <c r="B896" i="10"/>
  <c r="A317" i="10"/>
  <c r="B474" i="10"/>
  <c r="E619" i="10"/>
  <c r="B1031" i="10"/>
  <c r="A347" i="10"/>
  <c r="A737" i="10"/>
  <c r="E648" i="10"/>
  <c r="B871" i="10"/>
  <c r="B745" i="10"/>
  <c r="B1012" i="10"/>
  <c r="B244" i="10"/>
  <c r="A119" i="10"/>
  <c r="B399" i="10"/>
  <c r="B1157" i="10"/>
  <c r="E49" i="10"/>
  <c r="E828" i="10"/>
  <c r="A1208" i="10"/>
  <c r="A734" i="10"/>
  <c r="D204" i="10"/>
  <c r="A1247" i="10"/>
  <c r="B685" i="10"/>
  <c r="D328" i="10"/>
  <c r="E841" i="10"/>
  <c r="B598" i="9"/>
  <c r="A1082" i="10"/>
  <c r="B284" i="10"/>
  <c r="A959" i="10"/>
  <c r="D786" i="10"/>
  <c r="B437" i="9"/>
  <c r="D154" i="10"/>
  <c r="B15" i="10"/>
  <c r="E137" i="10"/>
  <c r="D232" i="10"/>
  <c r="B659" i="10"/>
  <c r="E571" i="10"/>
  <c r="B269" i="10"/>
  <c r="B130" i="9"/>
  <c r="A326" i="10"/>
  <c r="B916" i="10"/>
  <c r="B137" i="9"/>
  <c r="B372" i="10"/>
  <c r="B137" i="10"/>
  <c r="B447" i="9"/>
  <c r="B229" i="10"/>
  <c r="B223" i="10"/>
  <c r="E112" i="10"/>
  <c r="D856" i="10"/>
  <c r="B1150" i="10"/>
  <c r="A164" i="10"/>
  <c r="B1156" i="10"/>
  <c r="B78" i="10"/>
  <c r="B476" i="10"/>
  <c r="E168" i="10"/>
  <c r="A1301" i="10"/>
  <c r="B1300" i="10"/>
  <c r="B67" i="10"/>
  <c r="E639" i="10"/>
  <c r="B1256" i="10"/>
  <c r="D254" i="10"/>
  <c r="B709" i="10"/>
  <c r="B183" i="10"/>
  <c r="B875" i="10"/>
  <c r="A371" i="10"/>
  <c r="B131" i="10"/>
  <c r="A830" i="10"/>
  <c r="B1067" i="10"/>
  <c r="B182" i="10"/>
  <c r="B594" i="10"/>
  <c r="B1149" i="10"/>
  <c r="B1185" i="10"/>
  <c r="B497" i="10"/>
  <c r="A1097" i="10"/>
  <c r="D24" i="10"/>
  <c r="E302" i="10"/>
  <c r="E801" i="10"/>
  <c r="E520" i="10"/>
  <c r="B586" i="10"/>
  <c r="B607" i="10"/>
  <c r="A1061" i="10"/>
  <c r="A548" i="10"/>
  <c r="B893" i="10"/>
  <c r="E310" i="10"/>
  <c r="B393" i="10"/>
  <c r="B846" i="10"/>
  <c r="B149" i="10"/>
  <c r="B22" i="10"/>
  <c r="B94" i="9"/>
  <c r="A1160" i="10"/>
  <c r="E38" i="10"/>
  <c r="B819" i="9"/>
  <c r="B775" i="10"/>
  <c r="D110" i="10"/>
  <c r="B149" i="9"/>
  <c r="B253" i="10"/>
  <c r="E727" i="10"/>
  <c r="B730" i="10"/>
  <c r="B226" i="10"/>
  <c r="D676" i="10"/>
  <c r="B749" i="10"/>
  <c r="A188" i="10"/>
  <c r="E420" i="10"/>
  <c r="B1195" i="10"/>
  <c r="E351" i="10"/>
  <c r="B140" i="10"/>
  <c r="A58" i="9"/>
  <c r="B107" i="10"/>
  <c r="B1255" i="10"/>
  <c r="B752" i="10"/>
  <c r="B1180" i="10"/>
  <c r="B897" i="10"/>
  <c r="B928" i="10"/>
  <c r="B1291" i="10"/>
  <c r="B295" i="10"/>
  <c r="D778" i="10"/>
  <c r="A374" i="10"/>
  <c r="B523" i="10"/>
  <c r="A1139" i="10"/>
  <c r="B1018" i="10"/>
  <c r="E490" i="10"/>
  <c r="A953" i="10"/>
  <c r="B814" i="10"/>
  <c r="B355" i="10"/>
  <c r="A1286" i="10"/>
  <c r="B986" i="10"/>
  <c r="B138" i="10"/>
  <c r="B662" i="10"/>
  <c r="E866" i="10"/>
  <c r="B679" i="10"/>
  <c r="A125" i="10"/>
  <c r="A284" i="10"/>
  <c r="D848" i="10"/>
  <c r="B754" i="10"/>
  <c r="B353" i="10"/>
  <c r="B684" i="10"/>
  <c r="B274" i="10"/>
  <c r="A1172" i="10"/>
  <c r="D602" i="10"/>
  <c r="B360" i="10"/>
  <c r="A344" i="10"/>
  <c r="B979" i="10"/>
  <c r="B718" i="10"/>
  <c r="B772" i="10"/>
  <c r="B1170" i="10"/>
  <c r="B382" i="10"/>
  <c r="B626" i="10"/>
  <c r="B523" i="9"/>
  <c r="E718" i="10"/>
  <c r="B1223" i="10"/>
  <c r="B326" i="10"/>
  <c r="B983" i="10"/>
  <c r="D484" i="10"/>
  <c r="D310" i="10"/>
  <c r="B921" i="10"/>
  <c r="B612" i="10"/>
  <c r="E14" i="10"/>
  <c r="A812" i="10"/>
  <c r="A512" i="10"/>
  <c r="A881" i="10"/>
  <c r="E455" i="10"/>
  <c r="B1050" i="10"/>
  <c r="E587" i="10"/>
  <c r="B757" i="10"/>
  <c r="B987" i="10"/>
  <c r="A113" i="10"/>
  <c r="A746" i="10"/>
  <c r="E414" i="10"/>
  <c r="B766" i="10"/>
  <c r="B171" i="10"/>
  <c r="A779" i="10"/>
  <c r="A1148" i="10"/>
  <c r="B847" i="10"/>
  <c r="B1152" i="10"/>
  <c r="A1238" i="10"/>
  <c r="B1019" i="10"/>
  <c r="E2" i="10"/>
  <c r="B302" i="10"/>
  <c r="A1088" i="10"/>
  <c r="B1278" i="10"/>
  <c r="B839" i="10"/>
  <c r="B1136" i="10"/>
  <c r="B57" i="10"/>
  <c r="B726" i="10"/>
  <c r="A1079" i="10"/>
  <c r="B949" i="10"/>
  <c r="B378" i="10"/>
  <c r="B678" i="10"/>
  <c r="E604" i="10"/>
  <c r="A1253" i="10"/>
  <c r="B598" i="10"/>
  <c r="A1136" i="10"/>
  <c r="B71" i="10"/>
  <c r="B911" i="10"/>
  <c r="B924" i="10"/>
  <c r="B619" i="10"/>
  <c r="B34" i="10"/>
  <c r="B1231" i="10"/>
  <c r="A605" i="10"/>
  <c r="A560" i="10"/>
  <c r="B365" i="10"/>
  <c r="B1079" i="10"/>
  <c r="B1216" i="10"/>
  <c r="A107" i="10"/>
  <c r="A878" i="10"/>
  <c r="B728" i="10"/>
  <c r="B1233" i="10"/>
  <c r="A416" i="10"/>
  <c r="E719" i="10"/>
  <c r="D608" i="10"/>
  <c r="E228" i="10"/>
  <c r="B539" i="10"/>
  <c r="E429" i="10"/>
  <c r="B234" i="10"/>
  <c r="D218" i="10"/>
  <c r="B760" i="10"/>
  <c r="E530" i="10"/>
  <c r="B1096" i="10"/>
  <c r="A956" i="10"/>
  <c r="B504" i="10"/>
  <c r="B447" i="10"/>
  <c r="B1041" i="10"/>
  <c r="B359" i="9"/>
  <c r="B1173" i="10"/>
  <c r="E702" i="10"/>
  <c r="B420" i="10"/>
  <c r="A1028" i="10"/>
  <c r="A182" i="10"/>
  <c r="A806" i="10"/>
  <c r="A1289" i="10"/>
  <c r="B199" i="10"/>
  <c r="B1044" i="10"/>
  <c r="B189" i="10"/>
  <c r="B1047" i="10"/>
  <c r="B1254" i="10"/>
  <c r="D700" i="10"/>
  <c r="B1177" i="10"/>
  <c r="B387" i="10"/>
  <c r="A653" i="10"/>
  <c r="A983" i="10"/>
  <c r="D576" i="10"/>
  <c r="A218" i="10"/>
  <c r="A200" i="10"/>
  <c r="B293" i="10"/>
  <c r="E857" i="10"/>
  <c r="E856" i="10"/>
  <c r="A581" i="10"/>
  <c r="B418" i="10"/>
  <c r="B945" i="10"/>
  <c r="B788" i="10"/>
  <c r="E361" i="10"/>
  <c r="B940" i="10"/>
  <c r="E848" i="10"/>
  <c r="B1117" i="10"/>
  <c r="B708" i="10"/>
  <c r="B19" i="10"/>
  <c r="B1095" i="10"/>
  <c r="B1065" i="10"/>
  <c r="A1277" i="10"/>
  <c r="B556" i="10"/>
  <c r="E265" i="10"/>
  <c r="B552" i="10"/>
  <c r="B1217" i="10"/>
  <c r="D302" i="10"/>
  <c r="B157" i="10"/>
  <c r="B582" i="10"/>
  <c r="A521" i="10"/>
  <c r="A1076" i="10"/>
  <c r="B1197" i="10"/>
  <c r="B721" i="10"/>
  <c r="B93" i="10"/>
  <c r="A845" i="10"/>
  <c r="E67" i="10"/>
  <c r="B690" i="10"/>
  <c r="B448" i="10"/>
  <c r="D840" i="10"/>
  <c r="E758" i="10"/>
  <c r="B1132" i="10"/>
  <c r="B1133" i="10"/>
  <c r="A494" i="10"/>
  <c r="E792" i="10"/>
  <c r="B1087" i="10"/>
  <c r="E692" i="10"/>
  <c r="A1115" i="10"/>
  <c r="B551" i="10"/>
  <c r="A890" i="10"/>
  <c r="B786" i="10"/>
  <c r="A914" i="10"/>
  <c r="B714" i="10"/>
  <c r="B1122" i="10"/>
  <c r="B44" i="10"/>
  <c r="B862" i="10"/>
  <c r="B232" i="10"/>
  <c r="E783" i="10"/>
  <c r="A995" i="10"/>
  <c r="A143" i="10"/>
  <c r="B406" i="10"/>
  <c r="A464" i="10"/>
  <c r="B267" i="10"/>
  <c r="E835" i="10"/>
  <c r="B1049" i="10"/>
  <c r="B187" i="9"/>
  <c r="B515" i="10"/>
  <c r="E57" i="10"/>
  <c r="B370" i="10"/>
  <c r="B525" i="10"/>
  <c r="B1186" i="10"/>
  <c r="B583" i="10"/>
  <c r="A170" i="10"/>
  <c r="E324" i="10"/>
  <c r="A683" i="10"/>
  <c r="B1115" i="10"/>
  <c r="B1245" i="10"/>
  <c r="D196" i="10"/>
  <c r="E803" i="10"/>
  <c r="D658" i="10"/>
  <c r="A248" i="10"/>
  <c r="A773" i="10"/>
  <c r="B927" i="10"/>
  <c r="B1244" i="10"/>
  <c r="E810" i="10"/>
  <c r="A926" i="10"/>
  <c r="B455" i="10"/>
  <c r="A998" i="10"/>
  <c r="A620" i="10"/>
  <c r="B490" i="10"/>
  <c r="B636" i="10"/>
  <c r="B147" i="10"/>
  <c r="B174" i="10"/>
  <c r="B332" i="10"/>
  <c r="E635" i="10"/>
  <c r="A596" i="10"/>
  <c r="E450" i="10"/>
  <c r="E316" i="10"/>
  <c r="B1040" i="10"/>
  <c r="A1049" i="10"/>
  <c r="A215" i="10"/>
  <c r="E369" i="10"/>
  <c r="A1295" i="10"/>
  <c r="B368" i="10"/>
  <c r="A1085" i="10"/>
  <c r="A1199" i="10"/>
  <c r="B828" i="10"/>
  <c r="B845" i="10"/>
  <c r="B155" i="10"/>
  <c r="A470" i="10"/>
  <c r="B886" i="10"/>
  <c r="B919" i="10"/>
  <c r="B436" i="10"/>
  <c r="B155" i="9"/>
  <c r="B965" i="10"/>
  <c r="A104" i="10"/>
  <c r="B296" i="9"/>
  <c r="B118" i="10"/>
  <c r="B63" i="9"/>
  <c r="D822" i="10"/>
  <c r="B191" i="10"/>
  <c r="B540" i="10"/>
  <c r="B1239" i="10"/>
  <c r="B33" i="10"/>
  <c r="B980" i="10"/>
  <c r="A764" i="10"/>
  <c r="B1294" i="10"/>
  <c r="D260" i="10"/>
  <c r="D412" i="10"/>
  <c r="B792" i="10"/>
  <c r="B903" i="10"/>
  <c r="E182" i="10"/>
  <c r="D270" i="10"/>
  <c r="B620" i="10"/>
  <c r="B53" i="10"/>
  <c r="B142" i="9"/>
  <c r="E845" i="10"/>
  <c r="B904" i="10"/>
  <c r="A761" i="10"/>
  <c r="B423" i="10"/>
  <c r="B278" i="10"/>
  <c r="B439" i="10"/>
  <c r="B603" i="10"/>
  <c r="B379" i="10"/>
  <c r="B591" i="10"/>
  <c r="B313" i="10"/>
  <c r="E372" i="10"/>
  <c r="B301" i="10"/>
  <c r="B997" i="10"/>
  <c r="D790" i="10"/>
  <c r="A1214" i="10"/>
  <c r="B122" i="10"/>
  <c r="B880" i="10"/>
  <c r="A323" i="10"/>
  <c r="B1120" i="10"/>
  <c r="B59" i="10"/>
  <c r="A191" i="10"/>
  <c r="B128" i="9"/>
  <c r="B970" i="10"/>
  <c r="A611" i="10"/>
  <c r="B889" i="10"/>
  <c r="B1249" i="10"/>
  <c r="E655" i="10"/>
  <c r="B18" i="10"/>
  <c r="A587" i="10"/>
  <c r="B713" i="10"/>
  <c r="B864" i="10"/>
  <c r="E325" i="10"/>
  <c r="B1164" i="10"/>
  <c r="B346" i="10"/>
  <c r="E678" i="10"/>
  <c r="B459" i="10"/>
  <c r="B989" i="10"/>
  <c r="A1196" i="10"/>
  <c r="A437" i="10"/>
  <c r="B1099" i="10"/>
  <c r="B1162" i="10"/>
  <c r="A1112" i="10"/>
  <c r="D98" i="10"/>
  <c r="B836" i="10"/>
  <c r="B1191" i="10"/>
  <c r="A668" i="10"/>
  <c r="B124" i="9"/>
  <c r="B295" i="9"/>
  <c r="A974" i="10"/>
  <c r="B95" i="10"/>
  <c r="B383" i="10"/>
  <c r="A1166" i="10"/>
  <c r="E729" i="10"/>
  <c r="E156" i="10"/>
  <c r="E436" i="10"/>
  <c r="D826" i="10"/>
  <c r="D2" i="10"/>
  <c r="B632" i="10"/>
  <c r="D692" i="10"/>
  <c r="E8" i="10"/>
  <c r="B228" i="10"/>
  <c r="B319" i="10"/>
  <c r="E657" i="10"/>
  <c r="B1035" i="10"/>
  <c r="B97" i="10"/>
  <c r="B917" i="10"/>
  <c r="B1252" i="10"/>
  <c r="A1184" i="10"/>
  <c r="A818" i="10"/>
  <c r="B1108" i="10"/>
  <c r="E687" i="10"/>
  <c r="A887" i="10"/>
  <c r="B1085" i="10"/>
  <c r="E454" i="10"/>
  <c r="E327" i="10"/>
  <c r="B364" i="10"/>
  <c r="D780" i="10"/>
  <c r="B334" i="10"/>
  <c r="B553" i="10"/>
  <c r="B1138" i="10"/>
  <c r="A1043" i="10"/>
  <c r="E764" i="10"/>
  <c r="A1271" i="10"/>
  <c r="B1020" i="10"/>
  <c r="B1174" i="10"/>
  <c r="A1127" i="10"/>
  <c r="B583" i="9"/>
  <c r="E545" i="10"/>
  <c r="B737" i="10"/>
  <c r="A872" i="10"/>
  <c r="B1028" i="10"/>
  <c r="A977" i="10"/>
  <c r="E683" i="10"/>
  <c r="E598" i="10"/>
  <c r="A1205" i="10"/>
  <c r="A446" i="10"/>
  <c r="D508" i="10"/>
  <c r="A1121" i="10"/>
  <c r="A692" i="10"/>
  <c r="A1070" i="10"/>
  <c r="B854" i="10"/>
  <c r="E63" i="10"/>
  <c r="E757" i="10"/>
  <c r="B955" i="10"/>
  <c r="B115" i="10"/>
  <c r="B373" i="10"/>
  <c r="E362" i="10"/>
  <c r="B1076" i="10"/>
  <c r="A425" i="10"/>
  <c r="B874" i="10"/>
  <c r="B349" i="9"/>
  <c r="D180" i="10"/>
  <c r="D106" i="10"/>
  <c r="B863" i="10"/>
  <c r="E62" i="10"/>
  <c r="B1284" i="10"/>
  <c r="B544" i="10"/>
  <c r="E392" i="10"/>
  <c r="B64" i="9"/>
  <c r="B355" i="9"/>
  <c r="D614" i="10"/>
  <c r="E839" i="10"/>
  <c r="D666" i="10"/>
  <c r="D706" i="10"/>
  <c r="B550" i="10"/>
  <c r="E143" i="10"/>
  <c r="B498" i="9"/>
  <c r="B909" i="10"/>
  <c r="B262" i="10"/>
  <c r="B1007" i="10"/>
  <c r="B1107" i="10"/>
  <c r="A899" i="10"/>
  <c r="A212" i="10"/>
  <c r="B1172" i="10"/>
  <c r="B496" i="10"/>
  <c r="E408" i="10"/>
  <c r="B722" i="10"/>
  <c r="B419" i="10"/>
  <c r="B1038" i="10"/>
  <c r="B842" i="10"/>
  <c r="A572" i="10"/>
  <c r="E366" i="10"/>
  <c r="B158" i="10"/>
  <c r="D802" i="10"/>
  <c r="B1171" i="10"/>
  <c r="E752" i="10"/>
  <c r="B1237" i="10"/>
  <c r="B518" i="10"/>
  <c r="B1163" i="10"/>
  <c r="E105" i="10"/>
  <c r="B180" i="10"/>
  <c r="A401" i="10"/>
  <c r="B964" i="10"/>
  <c r="E654" i="10"/>
  <c r="B297" i="10"/>
  <c r="B168" i="10"/>
  <c r="B593" i="10"/>
  <c r="B42" i="9"/>
  <c r="B390" i="10"/>
  <c r="B292" i="10"/>
  <c r="B645" i="10"/>
  <c r="B941" i="10"/>
  <c r="E116" i="10"/>
  <c r="D714" i="10"/>
  <c r="B765" i="10"/>
  <c r="B392" i="10"/>
  <c r="B1264" i="10"/>
  <c r="E705" i="10"/>
  <c r="B121" i="9"/>
  <c r="B252" i="10"/>
  <c r="D712" i="10"/>
  <c r="A245" i="10"/>
  <c r="B667" i="10"/>
  <c r="E331" i="10"/>
  <c r="D526" i="10"/>
  <c r="B1259" i="10"/>
  <c r="B877" i="10"/>
  <c r="B962" i="10"/>
  <c r="B1073" i="10"/>
  <c r="B1235" i="10"/>
  <c r="B1008" i="10"/>
  <c r="B614" i="10"/>
  <c r="B617" i="10"/>
  <c r="B910" i="10"/>
  <c r="A110" i="10"/>
  <c r="A242" i="10"/>
  <c r="B908" i="10"/>
  <c r="B572" i="10"/>
  <c r="B437" i="10"/>
  <c r="D864" i="10"/>
  <c r="A1211" i="10"/>
  <c r="D694" i="10"/>
  <c r="B35" i="10"/>
  <c r="B920" i="10"/>
  <c r="B1121" i="10"/>
  <c r="E612" i="10"/>
  <c r="B90" i="10"/>
  <c r="B222" i="10"/>
  <c r="B1167" i="10"/>
  <c r="B247" i="10"/>
  <c r="B479" i="10"/>
  <c r="B861" i="10"/>
  <c r="E419" i="10"/>
  <c r="B664" i="10"/>
  <c r="B1270" i="10"/>
  <c r="B1053" i="10"/>
  <c r="E769" i="10"/>
  <c r="B1222" i="10"/>
  <c r="E111" i="10"/>
  <c r="A311" i="10"/>
  <c r="B992" i="10"/>
  <c r="B827" i="10"/>
  <c r="B1033" i="10"/>
  <c r="B466" i="10"/>
  <c r="B1052" i="10"/>
  <c r="B802" i="10"/>
  <c r="B798" i="9"/>
  <c r="B560" i="10"/>
  <c r="B243" i="10"/>
  <c r="B1124" i="10"/>
  <c r="B868" i="10"/>
  <c r="A608" i="10"/>
  <c r="A1292" i="10"/>
  <c r="A950" i="10"/>
  <c r="B421" i="10"/>
  <c r="B37" i="10"/>
  <c r="B1265" i="10"/>
  <c r="A1073" i="10"/>
  <c r="A1031" i="10"/>
  <c r="B1189" i="10"/>
  <c r="D346" i="10"/>
  <c r="B681" i="10"/>
  <c r="B621" i="10"/>
  <c r="A1217" i="10"/>
  <c r="B283" i="10"/>
  <c r="B1242" i="10"/>
  <c r="A1229" i="10"/>
  <c r="B1140" i="10"/>
  <c r="A836" i="10"/>
  <c r="E200" i="10"/>
  <c r="B1193" i="10"/>
  <c r="B343" i="10"/>
  <c r="B425" i="10"/>
  <c r="D126" i="10"/>
  <c r="E708" i="10"/>
  <c r="B414" i="10"/>
  <c r="B968" i="10"/>
  <c r="B200" i="10"/>
  <c r="B899" i="10"/>
  <c r="B635" i="10"/>
  <c r="E728" i="10"/>
  <c r="A386" i="10"/>
  <c r="B344" i="10"/>
  <c r="A659" i="10"/>
  <c r="B1179" i="10"/>
  <c r="B1230" i="10"/>
  <c r="B988" i="10"/>
  <c r="B272" i="10"/>
  <c r="B369" i="10"/>
  <c r="E742" i="10"/>
  <c r="B866" i="10"/>
  <c r="D740" i="10"/>
  <c r="A101" i="10"/>
  <c r="B398" i="10"/>
  <c r="B86" i="10"/>
  <c r="B1194" i="10"/>
  <c r="B720" i="9"/>
  <c r="B261" i="10"/>
  <c r="B704" i="10"/>
  <c r="A233" i="10"/>
  <c r="A575" i="10"/>
  <c r="B776" i="9"/>
  <c r="E468" i="10"/>
  <c r="D516" i="10"/>
  <c r="B245" i="10"/>
  <c r="A863" i="10"/>
  <c r="B656" i="9"/>
  <c r="B285" i="10"/>
  <c r="E854" i="10"/>
  <c r="B1188" i="10"/>
  <c r="E625" i="10"/>
  <c r="D548" i="10"/>
  <c r="B410" i="10"/>
  <c r="E597" i="10"/>
  <c r="B660" i="10"/>
  <c r="A941" i="10"/>
  <c r="B1088" i="10"/>
  <c r="A314" i="10"/>
  <c r="A158" i="10"/>
  <c r="B959" i="10"/>
  <c r="A962" i="10"/>
  <c r="B725" i="10"/>
  <c r="B590" i="10"/>
  <c r="E851" i="10"/>
  <c r="E349" i="10"/>
  <c r="D760" i="10"/>
  <c r="A239" i="10"/>
  <c r="A302" i="10"/>
  <c r="B1153" i="10"/>
  <c r="B1074" i="10"/>
  <c r="A269" i="10"/>
  <c r="B473" i="10"/>
  <c r="B62" i="10"/>
  <c r="B308" i="10"/>
  <c r="B1214" i="10"/>
  <c r="B642" i="10"/>
  <c r="B454" i="10"/>
  <c r="B205" i="10"/>
  <c r="B142" i="10"/>
  <c r="E126" i="10"/>
  <c r="A944" i="10"/>
  <c r="B1119" i="10"/>
  <c r="D228" i="10"/>
  <c r="E703" i="10"/>
  <c r="B541" i="10"/>
  <c r="B331" i="10"/>
  <c r="A431" i="10"/>
  <c r="B256" i="10"/>
  <c r="B755" i="10"/>
  <c r="A809" i="10"/>
  <c r="B665" i="10"/>
  <c r="B858" i="10"/>
  <c r="A92" i="10"/>
  <c r="B1127" i="10"/>
  <c r="B510" i="10"/>
  <c r="B299" i="10"/>
  <c r="A626" i="10"/>
  <c r="E591" i="10"/>
  <c r="E353" i="10"/>
  <c r="B1060" i="10"/>
  <c r="E117" i="10"/>
  <c r="B948" i="10"/>
  <c r="A569" i="10"/>
  <c r="B799" i="10"/>
  <c r="A527" i="10"/>
  <c r="B716" i="10"/>
  <c r="D680" i="10"/>
  <c r="B162" i="10"/>
  <c r="B918" i="10"/>
  <c r="B773" i="10"/>
  <c r="E239" i="10"/>
  <c r="E382" i="10"/>
  <c r="E407" i="10"/>
  <c r="A257" i="10"/>
  <c r="B1134" i="10"/>
  <c r="D442" i="10"/>
  <c r="B1201" i="10"/>
  <c r="B751" i="10"/>
  <c r="B835" i="10"/>
  <c r="A854" i="10"/>
  <c r="E620" i="10"/>
  <c r="A410" i="10"/>
  <c r="A140" i="10"/>
  <c r="B465" i="10"/>
  <c r="B912" i="10"/>
  <c r="B944" i="10"/>
  <c r="E64" i="10"/>
  <c r="B653" i="10"/>
  <c r="B807" i="10"/>
  <c r="E10" i="10"/>
  <c r="B1077" i="10"/>
  <c r="B939" i="10"/>
  <c r="B938" i="10"/>
  <c r="B720" i="10"/>
  <c r="B741" i="10"/>
  <c r="B458" i="10"/>
  <c r="B397" i="10"/>
  <c r="A98" i="10"/>
  <c r="E661" i="10"/>
  <c r="D662" i="10"/>
  <c r="D818" i="10"/>
  <c r="B1274" i="10"/>
  <c r="B804" i="10"/>
  <c r="A860" i="10"/>
  <c r="B26" i="10"/>
  <c r="B1158" i="10"/>
  <c r="D392" i="10"/>
  <c r="E760" i="10"/>
  <c r="B1089" i="10"/>
  <c r="B1106" i="10"/>
  <c r="B60" i="10"/>
  <c r="B1027" i="10"/>
  <c r="A815" i="10"/>
  <c r="B1261" i="10"/>
  <c r="B338" i="10"/>
  <c r="A1154" i="10"/>
  <c r="A776" i="10"/>
  <c r="B764" i="10"/>
  <c r="B569" i="10"/>
  <c r="B100" i="10"/>
  <c r="B637" i="10"/>
  <c r="B611" i="10"/>
  <c r="A875" i="10"/>
  <c r="E178" i="10"/>
  <c r="A1175" i="10"/>
  <c r="A506" i="10"/>
  <c r="B1009" i="10"/>
  <c r="B143" i="10"/>
  <c r="B1101" i="10"/>
  <c r="B225" i="10"/>
  <c r="D406" i="10"/>
  <c r="B104" i="10"/>
  <c r="A152" i="10"/>
  <c r="B426" i="10"/>
  <c r="B58" i="10"/>
  <c r="B923" i="10"/>
  <c r="A938" i="10"/>
  <c r="B961" i="10"/>
  <c r="A821" i="10"/>
  <c r="B1081" i="10"/>
  <c r="A209" i="10"/>
  <c r="D772" i="10"/>
  <c r="A911" i="10"/>
  <c r="E660" i="10"/>
  <c r="B402" i="10"/>
  <c r="B1005" i="10"/>
  <c r="B1299" i="10"/>
  <c r="A866" i="10"/>
  <c r="B287" i="10"/>
  <c r="A383" i="10"/>
  <c r="B1228" i="10"/>
  <c r="A707" i="10"/>
  <c r="B179" i="10"/>
  <c r="D798" i="10"/>
  <c r="B999" i="10"/>
  <c r="E406" i="10"/>
  <c r="B528" i="10"/>
  <c r="B300" i="10"/>
  <c r="B477" i="10"/>
  <c r="B596" i="10"/>
  <c r="A434" i="10"/>
  <c r="A755" i="10"/>
  <c r="B401" i="10"/>
  <c r="B1200" i="10"/>
  <c r="A137" i="10"/>
  <c r="A194" i="10"/>
  <c r="D386" i="10"/>
  <c r="B1288" i="10"/>
  <c r="E861" i="10"/>
  <c r="E76" i="10"/>
  <c r="D686" i="10"/>
  <c r="B1016" i="10"/>
  <c r="E260" i="10"/>
  <c r="B981" i="10"/>
  <c r="B849" i="10"/>
  <c r="B108" i="10"/>
  <c r="A725" i="10"/>
  <c r="B693" i="10"/>
  <c r="A203" i="10"/>
  <c r="A524" i="10"/>
  <c r="A443" i="10"/>
  <c r="B219" i="10"/>
  <c r="A617" i="10"/>
  <c r="B55" i="10"/>
  <c r="B416" i="10"/>
  <c r="A656" i="10"/>
  <c r="B712" i="10"/>
  <c r="B408" i="10"/>
  <c r="B1247" i="10"/>
  <c r="B451" i="10"/>
  <c r="B1232" i="10"/>
  <c r="A1283" i="10"/>
  <c r="D810" i="10"/>
  <c r="B985" i="10"/>
  <c r="B1272" i="10"/>
  <c r="A263" i="10"/>
  <c r="B75" i="10"/>
  <c r="A398" i="10"/>
  <c r="A971" i="10"/>
  <c r="B577" i="10"/>
  <c r="D806" i="10"/>
  <c r="A380" i="10"/>
  <c r="B1258" i="10"/>
  <c r="B1057" i="10"/>
  <c r="B870" i="10"/>
  <c r="B1295" i="10"/>
  <c r="B860" i="10"/>
  <c r="E202" i="10"/>
  <c r="B1169" i="10"/>
  <c r="B484" i="10"/>
  <c r="B443" i="10"/>
  <c r="B1224" i="10"/>
  <c r="D514" i="10"/>
  <c r="A851" i="10"/>
  <c r="A251" i="10"/>
  <c r="E222" i="10"/>
  <c r="B663" i="10"/>
  <c r="B796" i="10"/>
  <c r="B1061" i="10"/>
  <c r="B10" i="10"/>
  <c r="B52" i="10"/>
  <c r="A740" i="10"/>
  <c r="A467" i="10"/>
  <c r="E416" i="10"/>
  <c r="B499" i="10"/>
  <c r="B318" i="10"/>
  <c r="B118" i="9"/>
  <c r="B811" i="10"/>
  <c r="B158" i="9"/>
  <c r="B675" i="10"/>
  <c r="B797" i="10"/>
  <c r="E51" i="10"/>
  <c r="B657" i="10"/>
  <c r="A173" i="10"/>
  <c r="B14" i="9"/>
  <c r="B1212" i="10"/>
  <c r="D766" i="10"/>
  <c r="B594" i="9"/>
  <c r="A149" i="10"/>
  <c r="B778" i="10"/>
  <c r="B446" i="10"/>
  <c r="E776" i="10"/>
  <c r="B872" i="10"/>
  <c r="E439" i="10"/>
  <c r="E721" i="10"/>
  <c r="B503" i="10"/>
  <c r="B1286" i="10"/>
  <c r="A1103" i="10"/>
  <c r="B1135" i="10"/>
  <c r="A155" i="10"/>
  <c r="A1280" i="10"/>
  <c r="B571" i="10"/>
  <c r="B584" i="10"/>
  <c r="A272" i="10"/>
  <c r="B454" i="9"/>
  <c r="A614" i="10"/>
  <c r="B1234" i="10"/>
  <c r="E276" i="10"/>
  <c r="B1204" i="10"/>
  <c r="E580" i="10"/>
  <c r="B286" i="10"/>
  <c r="B695" i="10"/>
  <c r="D470" i="10"/>
  <c r="B901" i="10"/>
  <c r="D422" i="10"/>
  <c r="B1301" i="10"/>
  <c r="B520" i="10"/>
  <c r="B763" i="10"/>
  <c r="B1126" i="10"/>
  <c r="A290" i="10"/>
  <c r="B580" i="10"/>
  <c r="E560" i="10"/>
  <c r="E238" i="10"/>
  <c r="B375" i="10"/>
  <c r="D702" i="10"/>
  <c r="B500" i="10"/>
  <c r="A503" i="10"/>
  <c r="D756" i="10"/>
  <c r="B1276" i="10"/>
  <c r="E807" i="10"/>
  <c r="B1072" i="10"/>
  <c r="E590" i="10"/>
  <c r="B1006" i="10"/>
  <c r="D132" i="10"/>
  <c r="B1160" i="10"/>
  <c r="E862" i="10"/>
  <c r="B1260" i="10"/>
  <c r="B712" i="9"/>
  <c r="B128" i="10"/>
  <c r="A305" i="10"/>
  <c r="A593" i="10"/>
  <c r="B85" i="10"/>
  <c r="A701" i="10"/>
  <c r="D474" i="10"/>
  <c r="A917" i="10"/>
  <c r="D374" i="10"/>
  <c r="E686" i="10"/>
  <c r="B136" i="10"/>
  <c r="A1235" i="10"/>
  <c r="B905" i="10"/>
  <c r="B396" i="10"/>
  <c r="A722" i="10"/>
  <c r="B521" i="10"/>
  <c r="B259" i="10"/>
  <c r="A635" i="10"/>
  <c r="B1199" i="10"/>
  <c r="B429" i="9"/>
  <c r="A1100" i="10"/>
  <c r="A236" i="10"/>
  <c r="A332" i="10"/>
  <c r="B1125" i="10"/>
  <c r="B505" i="10"/>
  <c r="A1220" i="10"/>
  <c r="B45" i="10"/>
  <c r="B257" i="10"/>
  <c r="D410" i="10"/>
  <c r="B1001" i="10"/>
  <c r="A479" i="10"/>
  <c r="B942" i="10"/>
  <c r="A1193" i="10"/>
  <c r="B976" i="10"/>
  <c r="B729" i="10"/>
  <c r="A497" i="10"/>
  <c r="A629" i="10"/>
  <c r="B1021" i="10"/>
  <c r="B117" i="10"/>
  <c r="B139" i="10"/>
  <c r="B884" i="10"/>
  <c r="B715" i="10"/>
  <c r="B151" i="10"/>
  <c r="E244" i="10"/>
  <c r="B322" i="10"/>
  <c r="A1037" i="10"/>
  <c r="A599" i="10"/>
  <c r="A329" i="10"/>
  <c r="A407" i="10"/>
  <c r="A1001" i="10"/>
  <c r="B676" i="10"/>
  <c r="D4" i="10"/>
  <c r="B1066" i="10"/>
  <c r="A1262" i="10"/>
  <c r="B922" i="10"/>
  <c r="B173" i="10"/>
  <c r="E849" i="10"/>
  <c r="B1145" i="10"/>
  <c r="B1111" i="10"/>
  <c r="B1070" i="10"/>
  <c r="B701" i="10"/>
  <c r="B1178" i="10"/>
  <c r="B254" i="10"/>
  <c r="E629" i="10"/>
  <c r="D96" i="10"/>
  <c r="B735" i="10"/>
  <c r="D284" i="10"/>
  <c r="D18" i="10"/>
  <c r="B323" i="10"/>
  <c r="D846" i="10"/>
  <c r="A551" i="10"/>
  <c r="B429" i="10"/>
  <c r="A947" i="10"/>
  <c r="A116" i="10"/>
  <c r="B727" i="10"/>
  <c r="A449" i="10"/>
  <c r="B1279" i="10"/>
  <c r="B784" i="10"/>
  <c r="B581" i="10"/>
  <c r="B570" i="10"/>
  <c r="B210" i="10"/>
  <c r="B1037" i="10"/>
  <c r="B385" i="10"/>
  <c r="E375" i="10"/>
  <c r="B202" i="10"/>
  <c r="A704" i="10"/>
  <c r="E294" i="10"/>
  <c r="B1094" i="10"/>
  <c r="A530" i="10"/>
  <c r="A413" i="10"/>
  <c r="B394" i="10"/>
  <c r="B215" i="10"/>
  <c r="D532" i="10"/>
  <c r="E405" i="10"/>
  <c r="B170" i="10"/>
  <c r="B216" i="10"/>
  <c r="B1168" i="10"/>
  <c r="B413" i="10"/>
  <c r="E726" i="10"/>
</calcChain>
</file>

<file path=xl/sharedStrings.xml><?xml version="1.0" encoding="utf-8"?>
<sst xmlns="http://schemas.openxmlformats.org/spreadsheetml/2006/main" count="3776" uniqueCount="2296">
  <si>
    <t xml:space="preserve">Heart 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</si>
  <si>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</si>
  <si>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</si>
  <si>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</si>
  <si>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</si>
  <si>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</si>
  <si>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</si>
  <si>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</si>
  <si>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</si>
  <si>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</si>
  <si>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</si>
  <si>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</si>
  <si>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 xml:space="preserve">Road </t>
  </si>
  <si>
    <t xml:space="preserve">Left </t>
  </si>
  <si>
    <t xml:space="preserve">Right </t>
  </si>
  <si>
    <t xml:space="preserve">Straight </t>
  </si>
  <si>
    <t xml:space="preserve">Today </t>
  </si>
  <si>
    <t xml:space="preserve">Autumn </t>
  </si>
  <si>
    <t xml:space="preserve">Winter </t>
  </si>
  <si>
    <t xml:space="preserve">Spring </t>
  </si>
  <si>
    <t xml:space="preserve">Summer </t>
  </si>
  <si>
    <t xml:space="preserve">Morning </t>
  </si>
  <si>
    <t xml:space="preserve">Noon </t>
  </si>
  <si>
    <t xml:space="preserve">Night </t>
  </si>
  <si>
    <t xml:space="preserve">Home </t>
  </si>
  <si>
    <t xml:space="preserve">Apartement </t>
  </si>
  <si>
    <t>wa</t>
  </si>
  <si>
    <t>fa</t>
  </si>
  <si>
    <t>bas</t>
  </si>
  <si>
    <t>sobbat</t>
  </si>
  <si>
    <t>Dress</t>
  </si>
  <si>
    <t>fostan</t>
  </si>
  <si>
    <t>Family</t>
  </si>
  <si>
    <t>khaleh</t>
  </si>
  <si>
    <t>bayyeh</t>
  </si>
  <si>
    <t>setteh</t>
  </si>
  <si>
    <t>I</t>
  </si>
  <si>
    <t>ana</t>
  </si>
  <si>
    <t>howeh</t>
  </si>
  <si>
    <t>hiyeh</t>
  </si>
  <si>
    <t>ento</t>
  </si>
  <si>
    <t>henneh</t>
  </si>
  <si>
    <t>Monday</t>
  </si>
  <si>
    <t>sabet</t>
  </si>
  <si>
    <t>Tuesday</t>
  </si>
  <si>
    <t>Thursday</t>
  </si>
  <si>
    <t>Friday</t>
  </si>
  <si>
    <t>Saturday</t>
  </si>
  <si>
    <t>Sunday</t>
  </si>
  <si>
    <t>rezz</t>
  </si>
  <si>
    <t>zerr</t>
  </si>
  <si>
    <t>zammour</t>
  </si>
  <si>
    <t>fared</t>
  </si>
  <si>
    <t>nashweh</t>
  </si>
  <si>
    <t>fakher</t>
  </si>
  <si>
    <t>khajal</t>
  </si>
  <si>
    <t>ala'</t>
  </si>
  <si>
    <t>samak</t>
  </si>
  <si>
    <t>shmeil</t>
  </si>
  <si>
    <t>shames</t>
  </si>
  <si>
    <t>banafsajeh</t>
  </si>
  <si>
    <t>zahreh</t>
  </si>
  <si>
    <t>benneh</t>
  </si>
  <si>
    <t>English</t>
  </si>
  <si>
    <t>Video</t>
  </si>
  <si>
    <t>aleb</t>
  </si>
  <si>
    <t>bawseh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</si>
  <si>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</si>
  <si>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</si>
  <si>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</si>
  <si>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</si>
  <si>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</si>
  <si>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</si>
  <si>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</si>
  <si>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</si>
  <si>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</si>
  <si>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</si>
  <si>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alf</t>
  </si>
  <si>
    <t>taree'</t>
  </si>
  <si>
    <t>yameen</t>
  </si>
  <si>
    <t>deghreh</t>
  </si>
  <si>
    <t>lyom</t>
  </si>
  <si>
    <t>khareef</t>
  </si>
  <si>
    <t>rabee3</t>
  </si>
  <si>
    <t>seif</t>
  </si>
  <si>
    <t>sobeH</t>
  </si>
  <si>
    <t>doher</t>
  </si>
  <si>
    <t>leil</t>
  </si>
  <si>
    <t>beit</t>
  </si>
  <si>
    <t>she'a</t>
  </si>
  <si>
    <t>3ala</t>
  </si>
  <si>
    <t>ameess</t>
  </si>
  <si>
    <t>scarbeeneh</t>
  </si>
  <si>
    <t>3wayneit</t>
  </si>
  <si>
    <t>3ayleh</t>
  </si>
  <si>
    <t>neHna</t>
  </si>
  <si>
    <t>tanein</t>
  </si>
  <si>
    <t>taleita</t>
  </si>
  <si>
    <t>orb3a</t>
  </si>
  <si>
    <t>khamees</t>
  </si>
  <si>
    <t>jem3a</t>
  </si>
  <si>
    <t>aHad</t>
  </si>
  <si>
    <t>to3seeb</t>
  </si>
  <si>
    <t>tafei'oul</t>
  </si>
  <si>
    <t>tashei'oum</t>
  </si>
  <si>
    <t>Haares</t>
  </si>
  <si>
    <t>hasheesh</t>
  </si>
  <si>
    <t>rmeideh</t>
  </si>
  <si>
    <t>I drink coffee everyday</t>
  </si>
  <si>
    <t>ertijeil</t>
  </si>
  <si>
    <t>wardeh</t>
  </si>
  <si>
    <t>zahra</t>
  </si>
  <si>
    <t>mnodhar</t>
  </si>
  <si>
    <t>beshrab ahweh kel yom</t>
  </si>
  <si>
    <t>sadaa'a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</si>
  <si>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</si>
  <si>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</si>
  <si>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</si>
  <si>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</si>
  <si>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</si>
  <si>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</si>
  <si>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</si>
  <si>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</si>
  <si>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</si>
  <si>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</si>
  <si>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</si>
  <si>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</si>
  <si>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</si>
  <si>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</si>
  <si>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</si>
  <si>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</si>
  <si>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</si>
  <si>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</si>
  <si>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</si>
  <si>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</si>
  <si>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</si>
  <si>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</si>
  <si>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</si>
  <si>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</si>
  <si>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</si>
  <si>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</si>
  <si>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</si>
  <si>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</si>
  <si>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</si>
  <si>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</si>
  <si>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</si>
  <si>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</si>
  <si>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</si>
  <si>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</si>
  <si>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</si>
  <si>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</si>
  <si>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</si>
  <si>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</si>
  <si>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</si>
  <si>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</si>
  <si>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</si>
  <si>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</si>
  <si>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</si>
  <si>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</si>
  <si>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</si>
  <si>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</si>
  <si>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</si>
  <si>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</si>
  <si>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</si>
  <si>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</si>
  <si>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</si>
  <si>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</si>
  <si>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</si>
  <si>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</si>
  <si>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</si>
  <si>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</si>
  <si>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</si>
  <si>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</si>
  <si>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</si>
  <si>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</si>
  <si>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</si>
  <si>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</si>
  <si>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</si>
  <si>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</si>
  <si>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</si>
  <si>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</si>
  <si>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</si>
  <si>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</si>
  <si>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</si>
  <si>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</si>
  <si>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</si>
  <si>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</si>
  <si>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</si>
  <si>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</si>
  <si>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</si>
  <si>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</si>
  <si>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</si>
  <si>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</si>
  <si>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</si>
  <si>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</si>
  <si>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</si>
  <si>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</si>
  <si>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</si>
  <si>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</si>
  <si>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</si>
  <si>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</si>
  <si>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</si>
  <si>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</si>
  <si>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</si>
  <si>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</si>
  <si>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</si>
  <si>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</si>
  <si>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</si>
  <si>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</si>
  <si>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</si>
  <si>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</si>
  <si>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</si>
  <si>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</si>
  <si>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</si>
  <si>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</si>
  <si>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</si>
  <si>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</si>
  <si>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</si>
  <si>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</si>
  <si>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</si>
  <si>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</si>
  <si>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</si>
  <si>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</si>
  <si>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</si>
  <si>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</si>
  <si>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</si>
  <si>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</si>
  <si>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</si>
  <si>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</si>
  <si>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</si>
  <si>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</si>
  <si>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</si>
  <si>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</si>
  <si>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</si>
  <si>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</si>
  <si>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</si>
  <si>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</si>
  <si>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</si>
  <si>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</si>
  <si>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</si>
  <si>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</si>
  <si>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</si>
  <si>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</si>
  <si>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</si>
  <si>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</si>
  <si>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</si>
  <si>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</si>
  <si>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</si>
  <si>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</si>
  <si>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</si>
  <si>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</si>
  <si>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</si>
  <si>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</si>
  <si>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</si>
  <si>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</si>
  <si>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</si>
  <si>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</si>
  <si>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</si>
  <si>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</si>
  <si>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</si>
  <si>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</si>
  <si>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</si>
  <si>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</si>
  <si>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</si>
  <si>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</si>
  <si>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</si>
  <si>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</si>
  <si>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</si>
  <si>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</si>
  <si>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</si>
  <si>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</si>
  <si>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</si>
  <si>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</si>
  <si>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</si>
  <si>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</si>
  <si>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</si>
  <si>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</si>
  <si>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</si>
  <si>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</si>
  <si>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</si>
  <si>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</si>
  <si>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</si>
  <si>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</si>
  <si>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</si>
  <si>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</si>
  <si>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</si>
  <si>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</si>
  <si>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</si>
  <si>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</si>
  <si>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</si>
  <si>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</si>
  <si>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</si>
  <si>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</si>
  <si>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</si>
  <si>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</si>
  <si>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</si>
  <si>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</si>
  <si>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</si>
  <si>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</si>
  <si>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</si>
  <si>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</si>
  <si>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</si>
  <si>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</si>
  <si>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</si>
  <si>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</si>
  <si>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</si>
  <si>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</si>
  <si>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</si>
  <si>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</si>
  <si>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</si>
  <si>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</si>
  <si>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</si>
  <si>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</si>
  <si>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</si>
  <si>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</si>
  <si>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</si>
  <si>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</si>
  <si>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lamma</t>
  </si>
  <si>
    <t>men</t>
  </si>
  <si>
    <t>3an</t>
  </si>
  <si>
    <t>enno</t>
  </si>
  <si>
    <t>la'enno</t>
  </si>
  <si>
    <t>ba3dein</t>
  </si>
  <si>
    <t>sheteh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</si>
  <si>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</si>
  <si>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</si>
  <si>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</si>
  <si>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</si>
  <si>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</si>
  <si>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</si>
  <si>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</si>
  <si>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</si>
  <si>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</si>
  <si>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</si>
  <si>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</si>
  <si>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</si>
  <si>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</si>
  <si>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</si>
  <si>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</si>
  <si>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</si>
  <si>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</si>
  <si>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</si>
  <si>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</si>
  <si>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</si>
  <si>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</si>
  <si>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</si>
  <si>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</si>
  <si>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</si>
  <si>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</si>
  <si>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</si>
  <si>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</si>
  <si>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</si>
  <si>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</si>
  <si>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We</t>
  </si>
  <si>
    <t>Rose</t>
  </si>
  <si>
    <t>Sun</t>
  </si>
  <si>
    <t>Grey</t>
  </si>
  <si>
    <t>Purple</t>
  </si>
  <si>
    <t>Pink</t>
  </si>
  <si>
    <t>Brown</t>
  </si>
  <si>
    <t>He</t>
  </si>
  <si>
    <t>She</t>
  </si>
  <si>
    <t>They</t>
  </si>
  <si>
    <t>And</t>
  </si>
  <si>
    <t>So</t>
  </si>
  <si>
    <t>But</t>
  </si>
  <si>
    <t>After</t>
  </si>
  <si>
    <t>When</t>
  </si>
  <si>
    <t>From</t>
  </si>
  <si>
    <t>On</t>
  </si>
  <si>
    <t>About</t>
  </si>
  <si>
    <t>That</t>
  </si>
  <si>
    <t>Because</t>
  </si>
  <si>
    <t>Shirt</t>
  </si>
  <si>
    <t>High heels</t>
  </si>
  <si>
    <t>Shoe</t>
  </si>
  <si>
    <t>Glasses</t>
  </si>
  <si>
    <t>Friendship</t>
  </si>
  <si>
    <t>Anger</t>
  </si>
  <si>
    <t>Optimism</t>
  </si>
  <si>
    <t>Pessimism</t>
  </si>
  <si>
    <t>Orgasm</t>
  </si>
  <si>
    <t>Pride</t>
  </si>
  <si>
    <t>Shyness</t>
  </si>
  <si>
    <t>Anxiety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</si>
  <si>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</si>
  <si>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</si>
  <si>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</si>
  <si>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</si>
  <si>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</si>
  <si>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</si>
  <si>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</si>
  <si>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</si>
  <si>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</si>
  <si>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Wednsday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</si>
  <si>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</si>
  <si>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</si>
  <si>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</si>
  <si>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</si>
  <si>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</si>
  <si>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</si>
  <si>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</si>
  <si>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</si>
  <si>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</si>
  <si>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</si>
  <si>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</si>
  <si>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</si>
  <si>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</si>
  <si>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</si>
  <si>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</si>
  <si>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</si>
  <si>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</si>
  <si>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</si>
  <si>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</si>
  <si>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</si>
  <si>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</si>
  <si>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</si>
  <si>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</si>
  <si>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</si>
  <si>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</si>
  <si>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</si>
  <si>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</si>
  <si>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</si>
  <si>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</si>
  <si>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</si>
  <si>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</si>
  <si>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</si>
  <si>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</si>
  <si>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</si>
  <si>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</si>
  <si>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</si>
  <si>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</si>
  <si>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</si>
  <si>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</si>
  <si>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</si>
  <si>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</si>
  <si>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</si>
  <si>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</si>
  <si>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</si>
  <si>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</si>
  <si>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</si>
  <si>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</si>
  <si>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</si>
  <si>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</si>
  <si>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</si>
  <si>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</si>
  <si>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</si>
  <si>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</si>
  <si>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</si>
  <si>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</si>
  <si>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</si>
  <si>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</si>
  <si>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</si>
  <si>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</si>
  <si>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</si>
  <si>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</si>
  <si>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</si>
  <si>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</si>
  <si>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</si>
  <si>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</si>
  <si>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</si>
  <si>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</si>
  <si>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</si>
  <si>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</si>
  <si>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</si>
  <si>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</si>
  <si>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</si>
  <si>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</si>
  <si>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</si>
  <si>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</si>
  <si>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</si>
  <si>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</si>
  <si>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</si>
  <si>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</si>
  <si>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</si>
  <si>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</si>
  <si>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</si>
  <si>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</si>
  <si>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</si>
  <si>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</si>
  <si>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</si>
  <si>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</si>
  <si>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</si>
  <si>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</si>
  <si>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</si>
  <si>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</si>
  <si>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</si>
  <si>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</si>
  <si>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</si>
  <si>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</si>
  <si>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</si>
  <si>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</si>
  <si>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</si>
  <si>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</si>
  <si>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</si>
  <si>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</si>
  <si>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</si>
  <si>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</si>
  <si>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</si>
  <si>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</si>
  <si>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</si>
  <si>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</si>
  <si>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</si>
  <si>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</si>
  <si>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</si>
  <si>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</si>
  <si>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</si>
  <si>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</si>
  <si>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</si>
  <si>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</si>
  <si>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</si>
  <si>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</si>
  <si>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</si>
  <si>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</si>
  <si>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</si>
  <si>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</si>
  <si>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</si>
  <si>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</si>
  <si>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</si>
  <si>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</si>
  <si>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</si>
  <si>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</si>
  <si>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</si>
  <si>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</si>
  <si>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</si>
  <si>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</si>
  <si>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</si>
  <si>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</si>
  <si>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</si>
  <si>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</si>
  <si>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</si>
  <si>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</si>
  <si>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</si>
  <si>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</si>
  <si>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</si>
  <si>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</si>
  <si>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</si>
  <si>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</si>
  <si>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</si>
  <si>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</si>
  <si>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</si>
  <si>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</si>
  <si>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</si>
  <si>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</si>
  <si>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</si>
  <si>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</si>
  <si>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</si>
  <si>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</si>
  <si>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</si>
  <si>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</si>
  <si>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</si>
  <si>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</si>
  <si>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</si>
  <si>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</si>
  <si>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</si>
  <si>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</si>
  <si>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</si>
  <si>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</si>
  <si>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</si>
  <si>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</si>
  <si>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</si>
  <si>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</si>
  <si>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</si>
  <si>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</si>
  <si>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</si>
  <si>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</si>
  <si>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</si>
  <si>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</si>
  <si>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</si>
  <si>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</si>
  <si>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</si>
  <si>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</si>
  <si>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</si>
  <si>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</si>
  <si>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</si>
  <si>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</si>
  <si>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</si>
  <si>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</si>
  <si>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</si>
  <si>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</si>
  <si>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</si>
  <si>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</si>
  <si>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</si>
  <si>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</si>
  <si>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</si>
  <si>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</si>
  <si>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</si>
  <si>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</si>
  <si>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</si>
  <si>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</si>
  <si>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</si>
  <si>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</si>
  <si>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</si>
  <si>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</si>
  <si>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</si>
  <si>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</si>
  <si>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</si>
  <si>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</si>
  <si>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</si>
  <si>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</si>
  <si>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</si>
  <si>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</si>
  <si>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</si>
  <si>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</si>
  <si>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</si>
  <si>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</si>
  <si>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</si>
  <si>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</si>
  <si>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</si>
  <si>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</si>
  <si>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</si>
  <si>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</si>
  <si>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</si>
  <si>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</si>
  <si>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</si>
  <si>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</si>
  <si>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</si>
  <si>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</si>
  <si>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</si>
  <si>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</si>
  <si>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</si>
  <si>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</si>
  <si>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</si>
  <si>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</si>
  <si>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</si>
  <si>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</si>
  <si>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</si>
  <si>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</si>
  <si>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</si>
  <si>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</si>
  <si>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</si>
  <si>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</si>
  <si>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</si>
  <si>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</si>
  <si>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</si>
  <si>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</si>
  <si>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</si>
  <si>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</si>
  <si>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</si>
  <si>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</si>
  <si>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</si>
  <si>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</si>
  <si>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</si>
  <si>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</si>
  <si>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</si>
  <si>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</si>
  <si>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</si>
  <si>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</si>
  <si>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</si>
  <si>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</si>
  <si>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</si>
  <si>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</si>
  <si>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</si>
  <si>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</si>
  <si>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</si>
  <si>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</si>
  <si>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</si>
  <si>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</si>
  <si>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</si>
  <si>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</si>
  <si>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</si>
  <si>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</si>
  <si>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</si>
  <si>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</si>
  <si>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</si>
  <si>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</si>
  <si>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</si>
  <si>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</si>
  <si>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</si>
  <si>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</si>
  <si>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</si>
  <si>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</si>
  <si>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</si>
  <si>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</si>
  <si>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</si>
  <si>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</si>
  <si>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</si>
  <si>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</si>
  <si>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</si>
  <si>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</si>
  <si>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</si>
  <si>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</si>
  <si>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</si>
  <si>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</si>
  <si>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</si>
  <si>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</si>
  <si>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</si>
  <si>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</si>
  <si>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</si>
  <si>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</si>
  <si>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</si>
  <si>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</si>
  <si>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</si>
  <si>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</si>
  <si>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</si>
  <si>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</si>
  <si>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</si>
  <si>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</si>
  <si>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</si>
  <si>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</si>
  <si>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</si>
  <si>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</si>
  <si>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</si>
  <si>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</si>
  <si>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</si>
  <si>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</si>
  <si>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</si>
  <si>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</si>
  <si>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</si>
  <si>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</si>
  <si>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</si>
  <si>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</si>
  <si>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</si>
  <si>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</si>
  <si>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</si>
  <si>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</si>
  <si>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</si>
  <si>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</si>
  <si>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</si>
  <si>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</si>
  <si>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</si>
  <si>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</si>
  <si>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</si>
  <si>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</si>
  <si>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</si>
  <si>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</si>
  <si>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</si>
  <si>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</si>
  <si>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</si>
  <si>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</si>
  <si>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</si>
  <si>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</si>
  <si>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</si>
  <si>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</si>
  <si>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Latin</t>
  </si>
  <si>
    <t>Politics</t>
  </si>
  <si>
    <t>siyeseh</t>
  </si>
  <si>
    <t>سياسِة</t>
  </si>
  <si>
    <t>بَلَد</t>
  </si>
  <si>
    <t>balad</t>
  </si>
  <si>
    <t>Country</t>
  </si>
  <si>
    <t>Capital</t>
  </si>
  <si>
    <t>3asmeh</t>
  </si>
  <si>
    <t>عاصمة</t>
  </si>
  <si>
    <t>The capital of Lebanon is Beirut</t>
  </si>
  <si>
    <t>State</t>
  </si>
  <si>
    <t>dawleh/wileyeh</t>
  </si>
  <si>
    <t>President</t>
  </si>
  <si>
    <t>ra'is/ra'iseh</t>
  </si>
  <si>
    <t>رَئيس/ة</t>
  </si>
  <si>
    <t>King</t>
  </si>
  <si>
    <t>malik</t>
  </si>
  <si>
    <t>مَلِك</t>
  </si>
  <si>
    <t>Queen</t>
  </si>
  <si>
    <t>malikeh</t>
  </si>
  <si>
    <t>مَلِكة</t>
  </si>
  <si>
    <t>Republic</t>
  </si>
  <si>
    <t>joumhouriyeh</t>
  </si>
  <si>
    <t>Kingdom</t>
  </si>
  <si>
    <t>mamlakeh</t>
  </si>
  <si>
    <t>مَملَكِة</t>
  </si>
  <si>
    <t>Republic of Lebanon</t>
  </si>
  <si>
    <t>Parliament</t>
  </si>
  <si>
    <t>barlamein</t>
  </si>
  <si>
    <t>بَرلَمان</t>
  </si>
  <si>
    <t>Ministry</t>
  </si>
  <si>
    <t>Minister</t>
  </si>
  <si>
    <t>Ministers</t>
  </si>
  <si>
    <t>wizara</t>
  </si>
  <si>
    <t>wazir</t>
  </si>
  <si>
    <t>wouzara</t>
  </si>
  <si>
    <t>وِزارَة</t>
  </si>
  <si>
    <t>وَزير</t>
  </si>
  <si>
    <t>وُزَرا</t>
  </si>
  <si>
    <t>Representative</t>
  </si>
  <si>
    <t>Representatives</t>
  </si>
  <si>
    <t>neiyib</t>
  </si>
  <si>
    <t>nouwweib</t>
  </si>
  <si>
    <t>نايب</t>
  </si>
  <si>
    <t>نُوّاب</t>
  </si>
  <si>
    <t>Nation</t>
  </si>
  <si>
    <t>oummeh</t>
  </si>
  <si>
    <t>United Nations</t>
  </si>
  <si>
    <t>el oumam el meteHdeh</t>
  </si>
  <si>
    <t>أُمّة</t>
  </si>
  <si>
    <t>Party</t>
  </si>
  <si>
    <t>Parties</t>
  </si>
  <si>
    <t>Hezeb</t>
  </si>
  <si>
    <t>aHzeib</t>
  </si>
  <si>
    <t>حِزب</t>
  </si>
  <si>
    <t>أحزاب</t>
  </si>
  <si>
    <t>Elections</t>
  </si>
  <si>
    <t>intikhabeit</t>
  </si>
  <si>
    <t>Revolution</t>
  </si>
  <si>
    <t>sawra</t>
  </si>
  <si>
    <t>ثَورَة</t>
  </si>
  <si>
    <t>Today, the representatives met at the patliament to elect a president</t>
  </si>
  <si>
    <t>el yom, el nouwweib jtama3o bil barlamein ta yentekhbo ra'ees</t>
  </si>
  <si>
    <t>اليوم, النوّاب جتمعوا تينتخبوا رئيس</t>
  </si>
  <si>
    <t>There are two main political parties in the United States</t>
  </si>
  <si>
    <t>في أزمِة نفِايات بِلبنان، والحكومِة بَعد ما لقيت حَلّ</t>
  </si>
  <si>
    <t>بَلَدِيّة/ بَلَدِيّات</t>
  </si>
  <si>
    <t>كِلّ بَلَدِيّة، مَسؤولِة عَن فَرز النِفايات</t>
  </si>
  <si>
    <t>Peace</t>
  </si>
  <si>
    <t>Protest</t>
  </si>
  <si>
    <t>Protests</t>
  </si>
  <si>
    <t xml:space="preserve"> سَلام</t>
  </si>
  <si>
    <t xml:space="preserve"> سِلميّة</t>
  </si>
  <si>
    <t xml:space="preserve"> مُظاهَرَة</t>
  </si>
  <si>
    <t xml:space="preserve"> مُظاهَرات</t>
  </si>
  <si>
    <t>Peaceful</t>
  </si>
  <si>
    <t>في مُظاهرات سِلميّة مُستمرّة بالعاصمة اللبنانية، عَم بطالِب بإستقالة وَزير البيئة</t>
  </si>
  <si>
    <t>اليَوم، خَمسين شَخص ماتوا نَتيجِة إنفجار</t>
  </si>
  <si>
    <t>There is a garbage crisis in Lebanon, and the government did not find a solution yet.</t>
  </si>
  <si>
    <t>Municipality/ies</t>
  </si>
  <si>
    <t>Every municipality is responsible for waste sorting</t>
  </si>
  <si>
    <t>There are ongoing peacful protests in the Lebanese capital demanding the resignation of the minister of the environment</t>
  </si>
  <si>
    <t>Today, fifty people were killed as a result of an explosion</t>
  </si>
  <si>
    <t>Martyr</t>
  </si>
  <si>
    <t>shaheed</t>
  </si>
  <si>
    <t>بل ألفين وتلاتعش مَجلِس النّواب عَدَّلوا الدُستور، تَ يقدَروا يمَدّدوا لَ نَفسُن</t>
  </si>
  <si>
    <t>شهيد</t>
  </si>
  <si>
    <t>In 2013, the parliament ammended the constitution to be able to extend their term</t>
  </si>
  <si>
    <t>good luck</t>
  </si>
  <si>
    <t>موَفَق/ موَفَقَة/ موَفَقين</t>
  </si>
  <si>
    <t>Go with peace</t>
  </si>
  <si>
    <t>مَع السَلامة</t>
  </si>
  <si>
    <t>Stay</t>
  </si>
  <si>
    <t>خَلّيك/ خَلّيكي/ خَلّيكُن</t>
  </si>
  <si>
    <t>stay a little more</t>
  </si>
  <si>
    <t xml:space="preserve"> خَلّيك (بقا) بَعد شوي</t>
  </si>
  <si>
    <t>God is with you</t>
  </si>
  <si>
    <t>allah maaak/ maiik/ maakoun</t>
  </si>
  <si>
    <t>الله مَعَك/ مَعِك/ مَعكُن</t>
  </si>
  <si>
    <t>drop by soon</t>
  </si>
  <si>
    <t>تبقَ طُلّ/ تبقي طُلّي/ تبقو طُلّو</t>
  </si>
  <si>
    <t>drop by</t>
  </si>
  <si>
    <t>mayyil/ mayleh/ maylo</t>
  </si>
  <si>
    <t>مَيّل/ مَيلي/ مَيلو</t>
  </si>
  <si>
    <t>come back again</t>
  </si>
  <si>
    <t>عيدا/ عيديا/ عيدووا</t>
  </si>
  <si>
    <t xml:space="preserve">where are you going? </t>
  </si>
  <si>
    <t>la wein?</t>
  </si>
  <si>
    <t xml:space="preserve"> ?لَوين</t>
  </si>
  <si>
    <t>مِنعادة</t>
  </si>
  <si>
    <t>come again: (for men, woman and groups)</t>
  </si>
  <si>
    <t>mn3adeh</t>
  </si>
  <si>
    <t>good night</t>
  </si>
  <si>
    <t>سَعيدة/ تُصبَح ع خَير</t>
  </si>
  <si>
    <t>good night for you too</t>
  </si>
  <si>
    <t>w enta/enteh/ ento min ahlo</t>
  </si>
  <si>
    <t xml:space="preserve"> و إنتَ/ إنتِ/ إنتو من أهلو</t>
  </si>
  <si>
    <t>sallim/ salmeh/ salmo</t>
  </si>
  <si>
    <t>سَّلِّم/ سَلمي/ سَلمو</t>
  </si>
  <si>
    <t>say hi</t>
  </si>
  <si>
    <t>done!</t>
  </si>
  <si>
    <t>wosil</t>
  </si>
  <si>
    <t>وُصِل</t>
  </si>
  <si>
    <t>ok, i have to go</t>
  </si>
  <si>
    <t>yalla, sar lezim emcheh</t>
  </si>
  <si>
    <t>يَلاّ صار لازِم إمشي</t>
  </si>
  <si>
    <t>ok we saw you  (we have to leave)</t>
  </si>
  <si>
    <t>yalla chefnekoun</t>
  </si>
  <si>
    <t>يلاّ شفناكُن</t>
  </si>
  <si>
    <t>do you want somenthing?</t>
  </si>
  <si>
    <t>baddak, baddik, badkoun chi?</t>
  </si>
  <si>
    <t>بَدَّك/ بَدِّك/ بَدكُن شي؟</t>
  </si>
  <si>
    <t>we're happy we saw you</t>
  </si>
  <si>
    <t>mbasatna chefnekoun</t>
  </si>
  <si>
    <t>مبسَطنا شفناكُن</t>
  </si>
  <si>
    <t>we will come back again</t>
  </si>
  <si>
    <t>mniidah gheir marra</t>
  </si>
  <si>
    <t>منعيدا غَير مَرّا</t>
  </si>
  <si>
    <t>body</t>
  </si>
  <si>
    <t>jesem</t>
  </si>
  <si>
    <t>جِسم</t>
  </si>
  <si>
    <t>jesmeh aam youjaaneh</t>
  </si>
  <si>
    <t>جِسمي عَم يوجَعني</t>
  </si>
  <si>
    <t>face</t>
  </si>
  <si>
    <t xml:space="preserve"> وِجّ</t>
  </si>
  <si>
    <t>eyebrows</t>
  </si>
  <si>
    <t xml:space="preserve"> حواجِب</t>
  </si>
  <si>
    <t>nose</t>
  </si>
  <si>
    <t xml:space="preserve"> مِنخار/مَنخور</t>
  </si>
  <si>
    <t>eye</t>
  </si>
  <si>
    <t xml:space="preserve"> عَين</t>
  </si>
  <si>
    <t>eyes</t>
  </si>
  <si>
    <t xml:space="preserve"> عيون</t>
  </si>
  <si>
    <t>eyelashes</t>
  </si>
  <si>
    <t xml:space="preserve"> رموش</t>
  </si>
  <si>
    <t>mouth</t>
  </si>
  <si>
    <t xml:space="preserve"> تِمّ</t>
  </si>
  <si>
    <t>cheek</t>
  </si>
  <si>
    <t xml:space="preserve"> خدّ</t>
  </si>
  <si>
    <t>cheeks</t>
  </si>
  <si>
    <t xml:space="preserve"> خدود</t>
  </si>
  <si>
    <t>hair</t>
  </si>
  <si>
    <t xml:space="preserve"> شَعر</t>
  </si>
  <si>
    <t>neck</t>
  </si>
  <si>
    <t xml:space="preserve"> رَقبة</t>
  </si>
  <si>
    <t>chest/breast</t>
  </si>
  <si>
    <t xml:space="preserve"> صُدر</t>
  </si>
  <si>
    <t>shoulders</t>
  </si>
  <si>
    <t xml:space="preserve"> كتاف</t>
  </si>
  <si>
    <t>arm</t>
  </si>
  <si>
    <t xml:space="preserve"> إيد</t>
  </si>
  <si>
    <t>stomach</t>
  </si>
  <si>
    <t xml:space="preserve"> مِعدة</t>
  </si>
  <si>
    <t>belly</t>
  </si>
  <si>
    <t xml:space="preserve"> بَطن</t>
  </si>
  <si>
    <t>hips</t>
  </si>
  <si>
    <t xml:space="preserve"> وراك</t>
  </si>
  <si>
    <t>waist</t>
  </si>
  <si>
    <t xml:space="preserve"> خَصر</t>
  </si>
  <si>
    <t>leg</t>
  </si>
  <si>
    <t xml:space="preserve"> إجر</t>
  </si>
  <si>
    <t>legs</t>
  </si>
  <si>
    <t xml:space="preserve"> إجرين</t>
  </si>
  <si>
    <t>knee</t>
  </si>
  <si>
    <t xml:space="preserve"> رِكبة</t>
  </si>
  <si>
    <t>fingers</t>
  </si>
  <si>
    <t xml:space="preserve"> أصابع</t>
  </si>
  <si>
    <t>toes</t>
  </si>
  <si>
    <t xml:space="preserve"> أصابع الإجرين</t>
  </si>
  <si>
    <t>head</t>
  </si>
  <si>
    <t xml:space="preserve"> راس</t>
  </si>
  <si>
    <t>i have a headache</t>
  </si>
  <si>
    <t xml:space="preserve"> راسي عم يوجعني</t>
  </si>
  <si>
    <t>ear</t>
  </si>
  <si>
    <t xml:space="preserve"> دَينه</t>
  </si>
  <si>
    <t>ears</t>
  </si>
  <si>
    <t xml:space="preserve"> دينَين</t>
  </si>
  <si>
    <t>mole</t>
  </si>
  <si>
    <t xml:space="preserve"> شاميّة</t>
  </si>
  <si>
    <t>tooth</t>
  </si>
  <si>
    <t xml:space="preserve"> سِنّ</t>
  </si>
  <si>
    <t>teeth</t>
  </si>
  <si>
    <t xml:space="preserve"> سنان</t>
  </si>
  <si>
    <t xml:space="preserve"> لسان</t>
  </si>
  <si>
    <t>lip</t>
  </si>
  <si>
    <t xml:space="preserve"> شِفّه</t>
  </si>
  <si>
    <t>tongue</t>
  </si>
  <si>
    <t>lips</t>
  </si>
  <si>
    <t xml:space="preserve"> شفاف</t>
  </si>
  <si>
    <t>this girl is so skinny</t>
  </si>
  <si>
    <t xml:space="preserve"> هيدي البنت كتير ضعيفه</t>
  </si>
  <si>
    <t>this boy is fat</t>
  </si>
  <si>
    <t>heyda el sabeh naseh</t>
  </si>
  <si>
    <t>هيدا الصَبي ناصِح</t>
  </si>
  <si>
    <t>24th february</t>
  </si>
  <si>
    <t>home</t>
  </si>
  <si>
    <t xml:space="preserve"> بَيْت</t>
  </si>
  <si>
    <t>building</t>
  </si>
  <si>
    <t xml:space="preserve"> بناية</t>
  </si>
  <si>
    <t>Floor</t>
  </si>
  <si>
    <t xml:space="preserve"> طابقِ/ طَوابِق</t>
  </si>
  <si>
    <t>bedroom</t>
  </si>
  <si>
    <t xml:space="preserve"> قوضِة النَوْم</t>
  </si>
  <si>
    <t>living room</t>
  </si>
  <si>
    <t>قوضِة القَعْدِة</t>
  </si>
  <si>
    <t>kitchen</t>
  </si>
  <si>
    <t xml:space="preserve"> مَطبَخ</t>
  </si>
  <si>
    <t xml:space="preserve"> حَمّام</t>
  </si>
  <si>
    <t>bed</t>
  </si>
  <si>
    <t xml:space="preserve"> تَخْت</t>
  </si>
  <si>
    <t>closet</t>
  </si>
  <si>
    <t xml:space="preserve"> خْزانة</t>
  </si>
  <si>
    <t xml:space="preserve"> تياب</t>
  </si>
  <si>
    <t>clothes</t>
  </si>
  <si>
    <t>towel</t>
  </si>
  <si>
    <t xml:space="preserve"> مَنشَفة</t>
  </si>
  <si>
    <t>soap</t>
  </si>
  <si>
    <t xml:space="preserve"> صابون</t>
  </si>
  <si>
    <t>el sobeh bghassil wejjeh</t>
  </si>
  <si>
    <t xml:space="preserve"> الصُبُح بغَسِّل وِجِّي</t>
  </si>
  <si>
    <t>el sobeh mnrouh aal foren ta nechtreh mne'ich</t>
  </si>
  <si>
    <t xml:space="preserve"> الصُبُح مِنروح عَلى فُرن تَنِشتِري مْناقيش</t>
  </si>
  <si>
    <t>sink</t>
  </si>
  <si>
    <t xml:space="preserve"> مَجلَى</t>
  </si>
  <si>
    <t>im waching the dishes</t>
  </si>
  <si>
    <t xml:space="preserve"> أنا عَم بِجلي الصْحون</t>
  </si>
  <si>
    <t>dishe</t>
  </si>
  <si>
    <t xml:space="preserve"> صَحْن</t>
  </si>
  <si>
    <t>fork</t>
  </si>
  <si>
    <t xml:space="preserve"> شَوْكِة</t>
  </si>
  <si>
    <t>knife</t>
  </si>
  <si>
    <t xml:space="preserve"> سِكّين</t>
  </si>
  <si>
    <t>spoon</t>
  </si>
  <si>
    <t xml:space="preserve"> مَلْعقة</t>
  </si>
  <si>
    <t>cup</t>
  </si>
  <si>
    <t xml:space="preserve"> كَبَاية</t>
  </si>
  <si>
    <t>couches</t>
  </si>
  <si>
    <t xml:space="preserve"> كَنَبايِة</t>
  </si>
  <si>
    <t>table(s)</t>
  </si>
  <si>
    <t>chair(s)</t>
  </si>
  <si>
    <t>طَاوْلِة/ طاولات</t>
  </si>
  <si>
    <t xml:space="preserve"> كِرسِي/ كَراسِي</t>
  </si>
  <si>
    <t>oven/bakery</t>
  </si>
  <si>
    <t>I would like to</t>
  </si>
  <si>
    <t>I would like to order some food</t>
  </si>
  <si>
    <t>badde otloub akeil/talabiyyeh</t>
  </si>
  <si>
    <t>to where do you want us to deliver</t>
  </si>
  <si>
    <t>la wein mnwassela?</t>
  </si>
  <si>
    <t>street</t>
  </si>
  <si>
    <t>cheri3</t>
  </si>
  <si>
    <t>floor</t>
  </si>
  <si>
    <t>tabi'</t>
  </si>
  <si>
    <t>I live in St Lourde's street, in the fifth floor</t>
  </si>
  <si>
    <t>face to</t>
  </si>
  <si>
    <t>bi wejj</t>
  </si>
  <si>
    <t>near</t>
  </si>
  <si>
    <t>Hadd</t>
  </si>
  <si>
    <t>ask about</t>
  </si>
  <si>
    <t>s'al 3ann</t>
  </si>
  <si>
    <t xml:space="preserve">chicken </t>
  </si>
  <si>
    <t xml:space="preserve">garlic </t>
  </si>
  <si>
    <t xml:space="preserve">pickles </t>
  </si>
  <si>
    <t>djeij</t>
  </si>
  <si>
    <t>toum</t>
  </si>
  <si>
    <t>kabis</t>
  </si>
  <si>
    <t>with</t>
  </si>
  <si>
    <t>ma3</t>
  </si>
  <si>
    <t xml:space="preserve">without </t>
  </si>
  <si>
    <t>bala</t>
  </si>
  <si>
    <t xml:space="preserve">I want a chicken sandwich without garlic, with pickels, extra Hommous </t>
  </si>
  <si>
    <t>extra</t>
  </si>
  <si>
    <t>zyeideh</t>
  </si>
  <si>
    <t>cheese</t>
  </si>
  <si>
    <t>jebneh</t>
  </si>
  <si>
    <t>I want to order three pizza pepperoni, extra cheese</t>
  </si>
  <si>
    <t>baddeh otloub tleiteh pizza pepperoni, zyedeh jebneh</t>
  </si>
  <si>
    <t>vegeterian</t>
  </si>
  <si>
    <t>do you have vegeterian pizza</t>
  </si>
  <si>
    <t>ingredients</t>
  </si>
  <si>
    <t>what do you put inside the pizza</t>
  </si>
  <si>
    <t>mushrooms</t>
  </si>
  <si>
    <t>foter</t>
  </si>
  <si>
    <t xml:space="preserve">to add </t>
  </si>
  <si>
    <t>to remove</t>
  </si>
  <si>
    <t>tchil</t>
  </si>
  <si>
    <t>can you remove to mushrooms</t>
  </si>
  <si>
    <t xml:space="preserve">mustard </t>
  </si>
  <si>
    <t>khardal</t>
  </si>
  <si>
    <t>can you add mustard</t>
  </si>
  <si>
    <t>dressing</t>
  </si>
  <si>
    <t>salsa</t>
  </si>
  <si>
    <t>I want to change the dressing</t>
  </si>
  <si>
    <t>baddeh ghayir el salsa</t>
  </si>
  <si>
    <t xml:space="preserve">light </t>
  </si>
  <si>
    <t>khafif</t>
  </si>
  <si>
    <t>what do you have as something light</t>
  </si>
  <si>
    <t>dish of the day</t>
  </si>
  <si>
    <t>what is the dish of the day</t>
  </si>
  <si>
    <t>How much time the food will need to arrive</t>
  </si>
  <si>
    <t>ade bado wa'eit el akeil ta yousal</t>
  </si>
  <si>
    <t>cost</t>
  </si>
  <si>
    <t>ha'/ se3er</t>
  </si>
  <si>
    <t>how much will the food cost</t>
  </si>
  <si>
    <t>بدّي</t>
  </si>
  <si>
    <t>بَدّي أُطلُب أَكل/ طَلَبيّة</t>
  </si>
  <si>
    <t>لَ وَين مِنوصّلا</t>
  </si>
  <si>
    <t>شارِع</t>
  </si>
  <si>
    <t>طابِق</t>
  </si>
  <si>
    <t>أنا عايشي بشارِع سانت لورد، بالطابِق الخامِس</t>
  </si>
  <si>
    <t>بِ وجّ</t>
  </si>
  <si>
    <t>حَدّ</t>
  </si>
  <si>
    <t>سآل عنّ</t>
  </si>
  <si>
    <t>دجاج</t>
  </si>
  <si>
    <t>توم</t>
  </si>
  <si>
    <t>كَبيس</t>
  </si>
  <si>
    <t xml:space="preserve">مَع  </t>
  </si>
  <si>
    <t>بَلا</t>
  </si>
  <si>
    <t>بَدّي عَروس دجاج، بَلا توم، مَع كبيس، أكسترا حُمّص</t>
  </si>
  <si>
    <t>زيادي</t>
  </si>
  <si>
    <t>جِبنة</t>
  </si>
  <si>
    <t>بَدّي أُطلُب تلاتي بيتزا ببروني زيادي جِبنة</t>
  </si>
  <si>
    <t>نَباتي</t>
  </si>
  <si>
    <t xml:space="preserve">مُكونات </t>
  </si>
  <si>
    <t>فُطُر</t>
  </si>
  <si>
    <t>تزيد</t>
  </si>
  <si>
    <t>تشيل</t>
  </si>
  <si>
    <t xml:space="preserve">خَردَل </t>
  </si>
  <si>
    <t>صَلصَة</t>
  </si>
  <si>
    <t>بدّي غَيِّر الصَلصَة</t>
  </si>
  <si>
    <t>خَفيف</t>
  </si>
  <si>
    <t>شو عَندكُن شي خَفيف</t>
  </si>
  <si>
    <t>طَبَق اليوم</t>
  </si>
  <si>
    <t>شو طَبَق اليوم</t>
  </si>
  <si>
    <t xml:space="preserve">أدّي بِيطلَع حَقّ الأكل </t>
  </si>
  <si>
    <t>Mondial</t>
  </si>
  <si>
    <t>team</t>
  </si>
  <si>
    <t>fari'</t>
  </si>
  <si>
    <t>what team do you support</t>
  </si>
  <si>
    <t>enta/ente ma3 ayya fari'/ aya fari' btchaji3/btchaj3e</t>
  </si>
  <si>
    <t>Player/s</t>
  </si>
  <si>
    <t>le3ib/le3beh/la3ibeh</t>
  </si>
  <si>
    <t>this year, the world cup is in Brezil</t>
  </si>
  <si>
    <t>four years ago, it was in south Africa</t>
  </si>
  <si>
    <t>She is with the Spanish team</t>
  </si>
  <si>
    <t>hiyeh ma3 el fari' el espaneh</t>
  </si>
  <si>
    <t>this year I don't support any team</t>
  </si>
  <si>
    <t>heyde el seneh, ana manne ma3 wala fari'</t>
  </si>
  <si>
    <t xml:space="preserve">I'am with </t>
  </si>
  <si>
    <t>ana ma3</t>
  </si>
  <si>
    <t xml:space="preserve">I'am against </t>
  </si>
  <si>
    <t>ana dodd</t>
  </si>
  <si>
    <t xml:space="preserve">gain </t>
  </si>
  <si>
    <t>rebeH</t>
  </si>
  <si>
    <t>my team will win</t>
  </si>
  <si>
    <t>Loss</t>
  </si>
  <si>
    <t xml:space="preserve">I hope your team loses </t>
  </si>
  <si>
    <t>betmanna fari'ak/fari'ik yekhsar</t>
  </si>
  <si>
    <t>spanish team</t>
  </si>
  <si>
    <t>fari' espaneh</t>
  </si>
  <si>
    <t>Brazilian team</t>
  </si>
  <si>
    <t>Italian team</t>
  </si>
  <si>
    <t>fari' telyeneh (or italeh)</t>
  </si>
  <si>
    <t>Germanic team</t>
  </si>
  <si>
    <t>French team</t>
  </si>
  <si>
    <t>كأس العالَم</t>
  </si>
  <si>
    <t>فَريق</t>
  </si>
  <si>
    <t>إنتَ/إنتِ أيّا فريق بتشَجِّع/ بتشَجعي</t>
  </si>
  <si>
    <t>لاعِب/لاعبي/ لَعّيبي</t>
  </si>
  <si>
    <t>هَيدي السنة، كأس العالم بالبرازيل</t>
  </si>
  <si>
    <t>مِن أربَع سنين، كان بأفريقيا الجنوبيّة</t>
  </si>
  <si>
    <t>هيّ مَع الفَريق الأسباني</t>
  </si>
  <si>
    <t>هَيدي السنة، أنا مَنّي مَع ولا فَريق</t>
  </si>
  <si>
    <t>أنا مَع</t>
  </si>
  <si>
    <t>أنا ضُد</t>
  </si>
  <si>
    <t>ربح</t>
  </si>
  <si>
    <t>فَريقي رَح يربَح</t>
  </si>
  <si>
    <t>خسارَة</t>
  </si>
  <si>
    <t>فَريق إسباني</t>
  </si>
  <si>
    <t>فَريق برازيلي</t>
  </si>
  <si>
    <t xml:space="preserve">فَريق طلياني/ إطالي </t>
  </si>
  <si>
    <t>فَريق ألماني</t>
  </si>
  <si>
    <t xml:space="preserve">فَريق فَرَنسي/ فرنساوي </t>
  </si>
  <si>
    <t>عاصمِة لبنان, بَيروت</t>
  </si>
  <si>
    <t>دَولة/ وِلاية</t>
  </si>
  <si>
    <t>جُمهورِيّة</t>
  </si>
  <si>
    <t>جُمهوريّة لبنان/ الجُمهوريّة اللّبنانيّة</t>
  </si>
  <si>
    <t>الأُمَم المِتِّحْدة</t>
  </si>
  <si>
    <t>إنتِخابات</t>
  </si>
  <si>
    <t>في حِزبين أساسيّة بالولايات المتِّحْدة</t>
  </si>
  <si>
    <t>أَدّي بَدّو وَقت الأكل تَ يوصَل</t>
  </si>
  <si>
    <t xml:space="preserve">حَقّ/ سِعر </t>
  </si>
  <si>
    <t xml:space="preserve">I study Arabic </t>
  </si>
  <si>
    <t>I am a student</t>
  </si>
  <si>
    <t xml:space="preserve">I study in the Lebanese univeristy </t>
  </si>
  <si>
    <t xml:space="preserve">I am a student,  and study Arabic in the Lebanese univeristy  </t>
  </si>
  <si>
    <t xml:space="preserve">Pencil </t>
  </si>
  <si>
    <t xml:space="preserve">Pen </t>
  </si>
  <si>
    <t>Paper</t>
  </si>
  <si>
    <t xml:space="preserve">I write </t>
  </si>
  <si>
    <t>I write with the pen on the paper</t>
  </si>
  <si>
    <t xml:space="preserve">Book </t>
  </si>
  <si>
    <t xml:space="preserve">Notebook </t>
  </si>
  <si>
    <t xml:space="preserve">Ruler </t>
  </si>
  <si>
    <t xml:space="preserve">Board </t>
  </si>
  <si>
    <t>May I go to the bathroom</t>
  </si>
  <si>
    <t xml:space="preserve">Teacher (man) </t>
  </si>
  <si>
    <t xml:space="preserve">Teacher (woman) </t>
  </si>
  <si>
    <t xml:space="preserve">Can you lend me your pen </t>
  </si>
  <si>
    <t>معَلمة</t>
  </si>
  <si>
    <t>إستاذ</t>
  </si>
  <si>
    <t>فيني روح عَلى حَمّام</t>
  </si>
  <si>
    <t>لّوح</t>
  </si>
  <si>
    <t>مَسطَرَة</t>
  </si>
  <si>
    <t>دَفتَر</t>
  </si>
  <si>
    <t>كتاب</t>
  </si>
  <si>
    <t xml:space="preserve">أنا بِكتُب بالقَلَم عَلى الوَرقَة </t>
  </si>
  <si>
    <t>بِكتُب</t>
  </si>
  <si>
    <t>وَرقة</t>
  </si>
  <si>
    <t>قَلَم</t>
  </si>
  <si>
    <t>قَلَم رصاص</t>
  </si>
  <si>
    <t>أنا بدرُس عَرَبي</t>
  </si>
  <si>
    <t>أنا تلميذ/ تلميذة</t>
  </si>
  <si>
    <t>أنا بدرُس بالجامعة اللّبنانيّة</t>
  </si>
  <si>
    <t>أنا تلمبذ/تِلميذة، وبدرُس عَرَبي بالجامعَة اللّبنانيّة</t>
  </si>
  <si>
    <t>Why</t>
  </si>
  <si>
    <t>Why are you angry</t>
  </si>
  <si>
    <t xml:space="preserve">When </t>
  </si>
  <si>
    <t xml:space="preserve">When are you traveling </t>
  </si>
  <si>
    <t xml:space="preserve">Who </t>
  </si>
  <si>
    <t xml:space="preserve">Who is coming to the party </t>
  </si>
  <si>
    <t xml:space="preserve">How </t>
  </si>
  <si>
    <t xml:space="preserve">How are you today </t>
  </si>
  <si>
    <t xml:space="preserve">How is your mother </t>
  </si>
  <si>
    <t xml:space="preserve">How is your father </t>
  </si>
  <si>
    <t xml:space="preserve">How are your children </t>
  </si>
  <si>
    <t xml:space="preserve">What </t>
  </si>
  <si>
    <t xml:space="preserve">what is wrong with you </t>
  </si>
  <si>
    <t xml:space="preserve">Where </t>
  </si>
  <si>
    <t>where are you going</t>
  </si>
  <si>
    <t xml:space="preserve">What for </t>
  </si>
  <si>
    <t xml:space="preserve">what are these mugs for </t>
  </si>
  <si>
    <t xml:space="preserve">Since when </t>
  </si>
  <si>
    <t xml:space="preserve">Since when do you wear black </t>
  </si>
  <si>
    <t>Why not</t>
  </si>
  <si>
    <t xml:space="preserve">What else </t>
  </si>
  <si>
    <t xml:space="preserve">What else do you suggest </t>
  </si>
  <si>
    <t>How come</t>
  </si>
  <si>
    <t xml:space="preserve">How come you are here </t>
  </si>
  <si>
    <t xml:space="preserve">How much </t>
  </si>
  <si>
    <t xml:space="preserve">how much does it cost </t>
  </si>
  <si>
    <t>أدّي حَقّو/ حَقّا/ حَقُّن</t>
  </si>
  <si>
    <t>أدّي</t>
  </si>
  <si>
    <t xml:space="preserve">كيف تَ إنتَ،/ إنتِ/ إنتو هون </t>
  </si>
  <si>
    <t xml:space="preserve">كيف تَ  </t>
  </si>
  <si>
    <t>شو كَمان بتُقطُرِح/ بتٌفطُرحي/ بتُقطُرحوا</t>
  </si>
  <si>
    <t xml:space="preserve">شو كَمان   </t>
  </si>
  <si>
    <t>ليش لاء</t>
  </si>
  <si>
    <t>مِن أمتَن بتلبُس/ بتلبسي/ بتلبسوا أسوَد</t>
  </si>
  <si>
    <t xml:space="preserve">مِن أمتَن    </t>
  </si>
  <si>
    <t xml:space="preserve">اَشو هَودي الكبايات </t>
  </si>
  <si>
    <t>لَشو</t>
  </si>
  <si>
    <t xml:space="preserve">وَين رايح/ رايحا/ رايحين </t>
  </si>
  <si>
    <t xml:space="preserve">وَين   </t>
  </si>
  <si>
    <t xml:space="preserve">شو باك/ بكي/ بكُن </t>
  </si>
  <si>
    <t>شو</t>
  </si>
  <si>
    <t xml:space="preserve">كيفُن ولادَك/ ولادِك/ ولادكُن </t>
  </si>
  <si>
    <t xml:space="preserve">كيفا إمَّك/ إمِّك/ إمكُن </t>
  </si>
  <si>
    <t xml:space="preserve">كيفو بيَّك/ بيِّك/ بيكُن </t>
  </si>
  <si>
    <t xml:space="preserve">كيفَك/ كيفِك/ كيفكُن </t>
  </si>
  <si>
    <t>كيف</t>
  </si>
  <si>
    <t xml:space="preserve">مين جليي على سَهرَة </t>
  </si>
  <si>
    <t xml:space="preserve">مين   </t>
  </si>
  <si>
    <t xml:space="preserve">أمتَن مسافَر/ مسافرَة/ مسافرين </t>
  </si>
  <si>
    <t xml:space="preserve">أمتَن   </t>
  </si>
  <si>
    <t>ليع معَّصَّب/ معَصبي/ معَصبين</t>
  </si>
  <si>
    <t xml:space="preserve">ليه/ ليش </t>
  </si>
  <si>
    <t>فيك تعيرني قَلَم/ فيكي تعيريني قَلَم/ فيكُن تعيروني قلَم</t>
  </si>
  <si>
    <t>فيك تزيد/ فيكي تزيدي/ فيكُن تزيدو خَردَل</t>
  </si>
  <si>
    <t xml:space="preserve">فيك تشللّي/ فيكي تشيليلي/ فيكُك تشيلولي الفُطُر </t>
  </si>
  <si>
    <t>شو بحُطّ/ بتحُطّي/ بتحُطّوا فيها (بِ قَلبا)</t>
  </si>
  <si>
    <t>عَندَك/عَندِك/ عَندكُن  بيتزا نباتيّة</t>
  </si>
  <si>
    <t>كَم مَرًّة بتفَرشي سنانَك/ سنانِك/ سنانكُن بالنهار؟</t>
  </si>
  <si>
    <t xml:space="preserve">Job </t>
  </si>
  <si>
    <t>Jobs</t>
  </si>
  <si>
    <t xml:space="preserve">Show maker </t>
  </si>
  <si>
    <t xml:space="preserve">Blacksmith </t>
  </si>
  <si>
    <t xml:space="preserve">Carpenter </t>
  </si>
  <si>
    <t xml:space="preserve">Mechanic </t>
  </si>
  <si>
    <t xml:space="preserve">Grocery store </t>
  </si>
  <si>
    <t xml:space="preserve">Grocery owner </t>
  </si>
  <si>
    <t xml:space="preserve">Vegetables </t>
  </si>
  <si>
    <t xml:space="preserve">Vegetebale store owner </t>
  </si>
  <si>
    <t xml:space="preserve">Garden </t>
  </si>
  <si>
    <t xml:space="preserve">Gardner </t>
  </si>
  <si>
    <t xml:space="preserve">Bread </t>
  </si>
  <si>
    <t>bread maker/ Baker</t>
  </si>
  <si>
    <t xml:space="preserve">Hairdresser </t>
  </si>
  <si>
    <t xml:space="preserve">Fortune teller </t>
  </si>
  <si>
    <t xml:space="preserve">Wall painter </t>
  </si>
  <si>
    <t xml:space="preserve">Tiles </t>
  </si>
  <si>
    <t xml:space="preserve">tile worker </t>
  </si>
  <si>
    <t xml:space="preserve">Electrician </t>
  </si>
  <si>
    <t xml:space="preserve">Doorman </t>
  </si>
  <si>
    <t xml:space="preserve">Tailor </t>
  </si>
  <si>
    <t>خِيّاط/ خِيّاطَة</t>
  </si>
  <si>
    <t>ناطور</t>
  </si>
  <si>
    <t>كَهرَبجي</t>
  </si>
  <si>
    <t>بُلاّط</t>
  </si>
  <si>
    <t>بلاط</t>
  </si>
  <si>
    <t>طُرّاش</t>
  </si>
  <si>
    <t>بَّصّار/ بَصّارَة</t>
  </si>
  <si>
    <t>حِلاّق/ حِلاقَة</t>
  </si>
  <si>
    <t>خِبّاز/ فُرّان</t>
  </si>
  <si>
    <t>خِبز</t>
  </si>
  <si>
    <t xml:space="preserve">جنيناتي </t>
  </si>
  <si>
    <t>جنَينِة</t>
  </si>
  <si>
    <t xml:space="preserve">خَضَرجي </t>
  </si>
  <si>
    <t>خُضرَة</t>
  </si>
  <si>
    <t>دِكَّنجي</t>
  </si>
  <si>
    <t xml:space="preserve">دِكّان </t>
  </si>
  <si>
    <t xml:space="preserve">ميكانيسيان </t>
  </si>
  <si>
    <t xml:space="preserve">نَجّار </t>
  </si>
  <si>
    <t xml:space="preserve">حِدّاد </t>
  </si>
  <si>
    <t xml:space="preserve">كِندَرجي </t>
  </si>
  <si>
    <t xml:space="preserve">اشغال </t>
  </si>
  <si>
    <t xml:space="preserve">شغل </t>
  </si>
  <si>
    <t>Winter</t>
  </si>
  <si>
    <t>Cold</t>
  </si>
  <si>
    <t xml:space="preserve">Today, it's really cold </t>
  </si>
  <si>
    <t xml:space="preserve">Storm </t>
  </si>
  <si>
    <t xml:space="preserve">There is a storm coming soon </t>
  </si>
  <si>
    <t>Snow</t>
  </si>
  <si>
    <t xml:space="preserve">it snowed yesterday </t>
  </si>
  <si>
    <t xml:space="preserve">The road was blocked </t>
  </si>
  <si>
    <t xml:space="preserve">It's too cold, I can't go out, not to catch a cold </t>
  </si>
  <si>
    <t>Heating machines</t>
  </si>
  <si>
    <t xml:space="preserve">Electrical heater </t>
  </si>
  <si>
    <t xml:space="preserve">Chimney </t>
  </si>
  <si>
    <t xml:space="preserve">Coal </t>
  </si>
  <si>
    <t xml:space="preserve">winter food </t>
  </si>
  <si>
    <t xml:space="preserve">Chestnut </t>
  </si>
  <si>
    <t xml:space="preserve">Grilled potatoe </t>
  </si>
  <si>
    <t xml:space="preserve">Soup </t>
  </si>
  <si>
    <t xml:space="preserve">Scarf </t>
  </si>
  <si>
    <t xml:space="preserve">Gloves </t>
  </si>
  <si>
    <t xml:space="preserve">Hat </t>
  </si>
  <si>
    <t xml:space="preserve">Coat </t>
  </si>
  <si>
    <t xml:space="preserve">I am going to the snow </t>
  </si>
  <si>
    <t xml:space="preserve">I am goig skiing </t>
  </si>
  <si>
    <t xml:space="preserve">Keep warm </t>
  </si>
  <si>
    <t>تدَفّى/ تدفّي/ تدفّوا منيح</t>
  </si>
  <si>
    <t xml:space="preserve">أنا رايحا أعمُل سكي </t>
  </si>
  <si>
    <t>انا رايحل على تَلج</t>
  </si>
  <si>
    <t>بُرنَيطَة</t>
  </si>
  <si>
    <t>كفوف</t>
  </si>
  <si>
    <t>كَبّوت</t>
  </si>
  <si>
    <t>شال</t>
  </si>
  <si>
    <t>شَوَبَة</t>
  </si>
  <si>
    <t xml:space="preserve">بطاطا مِشويّة </t>
  </si>
  <si>
    <t>كَستنا</t>
  </si>
  <si>
    <t xml:space="preserve">أكل الشِتي </t>
  </si>
  <si>
    <t>حَطَب</t>
  </si>
  <si>
    <t>شوميني</t>
  </si>
  <si>
    <t>دِفّاية</t>
  </si>
  <si>
    <t>وَسائل تَدفِءة</t>
  </si>
  <si>
    <t>كنير سَقعَة، ما فيني أُضهّر، تَ ما أُمرَض</t>
  </si>
  <si>
    <t xml:space="preserve">طَريق </t>
  </si>
  <si>
    <t>الطَريق كان مَقطوع/ مسَكّر</t>
  </si>
  <si>
    <t>تَلَجِت مبارِح</t>
  </si>
  <si>
    <t>تَلج</t>
  </si>
  <si>
    <t xml:space="preserve">في عاصفِة جايي قَريبا" </t>
  </si>
  <si>
    <t xml:space="preserve">عَاصفِة </t>
  </si>
  <si>
    <t xml:space="preserve">اليوم، كنير سَقعَة </t>
  </si>
  <si>
    <t xml:space="preserve">سَقعَة </t>
  </si>
  <si>
    <t xml:space="preserve">شِتي </t>
  </si>
  <si>
    <t>I'm sick</t>
  </si>
  <si>
    <t xml:space="preserve">I'm feeling tired </t>
  </si>
  <si>
    <t xml:space="preserve">I want to see a doctor </t>
  </si>
  <si>
    <t xml:space="preserve">Advice </t>
  </si>
  <si>
    <t>Can you advice a good doctor</t>
  </si>
  <si>
    <t xml:space="preserve">I feel pain in my stomach </t>
  </si>
  <si>
    <t xml:space="preserve">I have  a headache </t>
  </si>
  <si>
    <t xml:space="preserve">My arm hearts </t>
  </si>
  <si>
    <t>What's causing me this pain?</t>
  </si>
  <si>
    <t xml:space="preserve">Cause </t>
  </si>
  <si>
    <t xml:space="preserve">Is their a solution/ treatment </t>
  </si>
  <si>
    <t>Shoud I do more exams?</t>
  </si>
  <si>
    <t>Do you think I should do an operation?</t>
  </si>
  <si>
    <t>bteete'id/ bteete'deih lezim aamoul aamaliyeih?</t>
  </si>
  <si>
    <t xml:space="preserve">Tell me what are you feeling </t>
  </si>
  <si>
    <t>Where do you feel pain?</t>
  </si>
  <si>
    <t>For how long has it been hearting</t>
  </si>
  <si>
    <t xml:space="preserve">Hereditary </t>
  </si>
  <si>
    <t>Is it something common in your family</t>
  </si>
  <si>
    <t>aandak/ aandik amrad mouzmineih?</t>
  </si>
  <si>
    <t xml:space="preserve">Do you have any chronic disease? </t>
  </si>
  <si>
    <t>Do you have any kind of allergies?</t>
  </si>
  <si>
    <t xml:space="preserve">Medicines </t>
  </si>
  <si>
    <t xml:space="preserve">Medicine </t>
  </si>
  <si>
    <t xml:space="preserve">Take the medicine three times per day </t>
  </si>
  <si>
    <t xml:space="preserve">أنا تعبان/ تعبانة </t>
  </si>
  <si>
    <t>نَصيحَة</t>
  </si>
  <si>
    <t>بَدّي شوف حَكيم/ حَكيمة</t>
  </si>
  <si>
    <t>فيك تُنصَحني بحكيم شاطِر/ فيكي تُنصَحيني بحَكيمي شاطرَة</t>
  </si>
  <si>
    <t>حاسِس/ حاسّي بِوَجَع بمعدتي</t>
  </si>
  <si>
    <t>راسي عَ يوجَعني</t>
  </si>
  <si>
    <t xml:space="preserve">إدي عَم توجَعني </t>
  </si>
  <si>
    <t>حَكيم، في شي خُطِر؟</t>
  </si>
  <si>
    <t xml:space="preserve">شو يَلّي عَم بِسبّبلي هَل وَجَع </t>
  </si>
  <si>
    <t>سَبَب</t>
  </si>
  <si>
    <t>في حَلّ/ عِلاج</t>
  </si>
  <si>
    <t>لازِم أعمُل بَعد فحوصات؟</t>
  </si>
  <si>
    <t>بتعتقد/ بتعتقدي لازم أعمُل عمَليّة؟</t>
  </si>
  <si>
    <t>خَبّرني شو حاسِس/ خَبريني شو حاسّي</t>
  </si>
  <si>
    <t>وَين عَم يوجَعَك/ يوجَعِك؟</t>
  </si>
  <si>
    <t xml:space="preserve">أدّي صَرلو الوَجَع (أدّي صَرلَك موجوع/ موجوعَة) </t>
  </si>
  <si>
    <t xml:space="preserve">وِراتي </t>
  </si>
  <si>
    <t>هَل هَيدا شي وِراتي بعَيلتَك/ عيلتِك؟</t>
  </si>
  <si>
    <t>عَندَك/ عندِك أمراض مُزمِنة؟</t>
  </si>
  <si>
    <t>عَندَك/ عَندِك حَساسِيّة عَشي؟</t>
  </si>
  <si>
    <t>دَوا</t>
  </si>
  <si>
    <t>إدوية</t>
  </si>
  <si>
    <t xml:space="preserve">خود/ خِدي الدَوا تلات مَرّات بالنهار </t>
  </si>
  <si>
    <t>Time</t>
  </si>
  <si>
    <t>Timing</t>
  </si>
  <si>
    <t>Hour</t>
  </si>
  <si>
    <t>se3a</t>
  </si>
  <si>
    <t>What time is it?</t>
  </si>
  <si>
    <t>2 hours</t>
  </si>
  <si>
    <t xml:space="preserve">Hours </t>
  </si>
  <si>
    <t xml:space="preserve">2 minutes </t>
  </si>
  <si>
    <t xml:space="preserve">Minute </t>
  </si>
  <si>
    <t xml:space="preserve">Minutes </t>
  </si>
  <si>
    <t xml:space="preserve">Second </t>
  </si>
  <si>
    <t xml:space="preserve">2 seconds </t>
  </si>
  <si>
    <t xml:space="preserve">Seconds </t>
  </si>
  <si>
    <t>وَقت</t>
  </si>
  <si>
    <t>توقيت</t>
  </si>
  <si>
    <t>ساعَة</t>
  </si>
  <si>
    <t>أدّي الساعَة؟</t>
  </si>
  <si>
    <t xml:space="preserve">ساعتين </t>
  </si>
  <si>
    <t xml:space="preserve">ساعات </t>
  </si>
  <si>
    <t>دقيقَة</t>
  </si>
  <si>
    <t>دقيقتين</t>
  </si>
  <si>
    <t>دَقايق</t>
  </si>
  <si>
    <t xml:space="preserve">ثانية </t>
  </si>
  <si>
    <t xml:space="preserve">ثانتين </t>
  </si>
  <si>
    <t xml:space="preserve">ثواني </t>
  </si>
  <si>
    <t>A.M</t>
  </si>
  <si>
    <t xml:space="preserve">P.M </t>
  </si>
  <si>
    <t xml:space="preserve">I'll be there in an hour or two </t>
  </si>
  <si>
    <t xml:space="preserve">I waited for yu for half an hour </t>
  </si>
  <si>
    <t xml:space="preserve">My sister is arriving in 3 hours </t>
  </si>
  <si>
    <t>قَبل الضُهر</t>
  </si>
  <si>
    <t xml:space="preserve">بَعد الضُهر </t>
  </si>
  <si>
    <t xml:space="preserve">رَ أوصَل بَعد ساعَة أو ساعتَين </t>
  </si>
  <si>
    <t>نَطَرتَك/ نَطَرتِك نُصّ ساعَة</t>
  </si>
  <si>
    <t xml:space="preserve">إختي واصلي (رَح توصَل) بَعد تلات ساعات </t>
  </si>
  <si>
    <t>1 minute and i will be with you</t>
  </si>
  <si>
    <t>What time is it in Canada time?</t>
  </si>
  <si>
    <t xml:space="preserve">I have a meeting tomorrow at 5 pm </t>
  </si>
  <si>
    <t xml:space="preserve">It's late </t>
  </si>
  <si>
    <t xml:space="preserve">It's early </t>
  </si>
  <si>
    <t xml:space="preserve">دقيقَة و بكون مَعَك </t>
  </si>
  <si>
    <t>ادّي الساعَة بتوقيت كَنَدا؟</t>
  </si>
  <si>
    <t xml:space="preserve">عَندي إجتماع/ مَوعَد بُكرا على ساعَة خَمسة بَعد الضٌهر </t>
  </si>
  <si>
    <t xml:space="preserve">مأخَّر </t>
  </si>
  <si>
    <t xml:space="preserve">بكّير </t>
  </si>
  <si>
    <t xml:space="preserve">10 to 1 </t>
  </si>
  <si>
    <t xml:space="preserve">5 past 6 </t>
  </si>
  <si>
    <t xml:space="preserve">5 to 6 </t>
  </si>
  <si>
    <t xml:space="preserve">وحدة إلاّ عَشرَة </t>
  </si>
  <si>
    <t xml:space="preserve">ستّة و خَمسة </t>
  </si>
  <si>
    <t xml:space="preserve">ستّة إلاّ خَمسة </t>
  </si>
  <si>
    <t xml:space="preserve">تنعش و ربع </t>
  </si>
  <si>
    <t xml:space="preserve">تنين (تنتين)  و نُصّ </t>
  </si>
  <si>
    <t xml:space="preserve">تلاتي و نُصّ إلاّ خَمسة </t>
  </si>
  <si>
    <t xml:space="preserve">تلاتي و نُصّ و خَمسة </t>
  </si>
  <si>
    <t xml:space="preserve">تلاتي و ربع </t>
  </si>
  <si>
    <t xml:space="preserve">تلاتي و تلت </t>
  </si>
  <si>
    <t xml:space="preserve">أربعَة إلاّ تلت </t>
  </si>
  <si>
    <t>انا بسافِر</t>
  </si>
  <si>
    <t>إنتَ بتسافِر/ إنتِ بتسافري</t>
  </si>
  <si>
    <t>هُوّ بسافِر</t>
  </si>
  <si>
    <t>هِيّ بتسافِر</t>
  </si>
  <si>
    <t>I travel</t>
  </si>
  <si>
    <t>You travel</t>
  </si>
  <si>
    <t>He travels</t>
  </si>
  <si>
    <t>She travels</t>
  </si>
  <si>
    <t>نِحنا منسافِر</t>
  </si>
  <si>
    <t>إنتو بتسافرو</t>
  </si>
  <si>
    <t>هِنّي بسافرو</t>
  </si>
  <si>
    <t>we travel</t>
  </si>
  <si>
    <t>you travel</t>
  </si>
  <si>
    <t>They travel</t>
  </si>
  <si>
    <t xml:space="preserve">أنا مسافَر/ مسافرَة </t>
  </si>
  <si>
    <t>إنتَ مسافَر/ إنتِ مسافرَة</t>
  </si>
  <si>
    <t>هُوّ مسافَر</t>
  </si>
  <si>
    <t>هِيّ مسافرَة</t>
  </si>
  <si>
    <t>I'm traveling</t>
  </si>
  <si>
    <t>You're traveling</t>
  </si>
  <si>
    <t>he's traveling</t>
  </si>
  <si>
    <t>She's traveling</t>
  </si>
  <si>
    <t xml:space="preserve">نحنا مسافرين </t>
  </si>
  <si>
    <t>إنتو مسافرين</t>
  </si>
  <si>
    <t>هِنّي مسافرين</t>
  </si>
  <si>
    <t>We're traveling</t>
  </si>
  <si>
    <t>you're traveling</t>
  </si>
  <si>
    <t>They're traveling</t>
  </si>
  <si>
    <t>I traveled</t>
  </si>
  <si>
    <t>أنا سافَرت</t>
  </si>
  <si>
    <t>You traveled</t>
  </si>
  <si>
    <t>إنتّ سافَرت/ إنتِ سافَرتي</t>
  </si>
  <si>
    <t>He traveled</t>
  </si>
  <si>
    <t>هُوّ سافَر</t>
  </si>
  <si>
    <t>She traveled</t>
  </si>
  <si>
    <t>هِيّ سافَرِت</t>
  </si>
  <si>
    <t>We traveled</t>
  </si>
  <si>
    <t>نِحنا سافَرنا</t>
  </si>
  <si>
    <t>إنتو سافَرتو</t>
  </si>
  <si>
    <t>They traveled</t>
  </si>
  <si>
    <t>هِنّي سافَرو</t>
  </si>
  <si>
    <t>I used to travel</t>
  </si>
  <si>
    <t>أنا كنت سافِر</t>
  </si>
  <si>
    <t>You used to travel</t>
  </si>
  <si>
    <t>إنتَ كنت تسافِر/ إنتِ كنتِ تسافري</t>
  </si>
  <si>
    <t>He used to travel</t>
  </si>
  <si>
    <t>هُوّ كان يسافِر</t>
  </si>
  <si>
    <t>She used to travel</t>
  </si>
  <si>
    <t>هِيّ كانِت تسافِر</t>
  </si>
  <si>
    <t>We used to travel</t>
  </si>
  <si>
    <t>نِحنا كِنّا نسافِر</t>
  </si>
  <si>
    <t>إنتو كنتو تسافرو</t>
  </si>
  <si>
    <t>They used to travel</t>
  </si>
  <si>
    <t>هِنّي كانو يسافرو</t>
  </si>
  <si>
    <t>I'll travel</t>
  </si>
  <si>
    <t>أنا رَح سافِر</t>
  </si>
  <si>
    <t>You'll travel</t>
  </si>
  <si>
    <t>إنتَ رَح تسافِر/ إنتِ رَح تسافري</t>
  </si>
  <si>
    <t>He'll travel</t>
  </si>
  <si>
    <t>هُوّ رَح يسافِر</t>
  </si>
  <si>
    <t>She'll travel</t>
  </si>
  <si>
    <t>هِيّ رَح تسافِر</t>
  </si>
  <si>
    <t>We'll travel</t>
  </si>
  <si>
    <t>نِحنا رَح نسافِر</t>
  </si>
  <si>
    <t>You'll tavel</t>
  </si>
  <si>
    <t>إنتو رَح تسافرو</t>
  </si>
  <si>
    <t>They'll travel</t>
  </si>
  <si>
    <t>هِنّي رَح يسافرو</t>
  </si>
  <si>
    <t>I'm traveling to Paris today</t>
  </si>
  <si>
    <t>أنا مسافَر/ مسافرَة عَلى باريز اليوم</t>
  </si>
  <si>
    <t>I travel every summer</t>
  </si>
  <si>
    <t>أنا بسافِر كِلّ صَيف/ صَيفيّة</t>
  </si>
  <si>
    <t>My brother and father, traveled last month, to Brezil</t>
  </si>
  <si>
    <t>خَيِّ و بَيِّ، سافَروا الشَهر الماضي، عَلى البرازيل</t>
  </si>
  <si>
    <t>We used to travel every year</t>
  </si>
  <si>
    <t xml:space="preserve"> نِحنا كِنّا نسافِر كِلّ سنة</t>
  </si>
  <si>
    <t>When will you travel?</t>
  </si>
  <si>
    <t>أمتَن رَح تسافرو؟</t>
  </si>
  <si>
    <t>On which floor do you live?</t>
  </si>
  <si>
    <t>bi ayya tabe' enta aayech/ enteh aaycheh?</t>
  </si>
  <si>
    <t xml:space="preserve"> بأيّ طابِق إنتَ عايش/ إنتِ عايشي؟</t>
  </si>
  <si>
    <t>What are you cooking</t>
  </si>
  <si>
    <t xml:space="preserve"> شو عَم تُطبُخ/ تُطُبخي؟</t>
  </si>
  <si>
    <t>In the morning we go the bakery to buy Manakeesh</t>
  </si>
  <si>
    <t>foren</t>
  </si>
  <si>
    <t>In the morning I wash my face</t>
  </si>
  <si>
    <t>How many times a day do you brush your teeth?</t>
  </si>
  <si>
    <t>majla</t>
  </si>
  <si>
    <t>ana aam bejleh el shoun</t>
  </si>
  <si>
    <t>sahein</t>
  </si>
  <si>
    <t>chawkeh</t>
  </si>
  <si>
    <t>sekkin</t>
  </si>
  <si>
    <t>malaa'a</t>
  </si>
  <si>
    <t>kebbeyeh</t>
  </si>
  <si>
    <t>kanabeyeh</t>
  </si>
  <si>
    <t>My body hurts</t>
  </si>
  <si>
    <t>This girl has long hair</t>
  </si>
  <si>
    <t>This boy has long hair</t>
  </si>
  <si>
    <t>هيدي البنت شعرا طويل</t>
  </si>
  <si>
    <t>هيدا الصبي شعرو طويل</t>
  </si>
  <si>
    <t xml:space="preserve">أنا مَريض/ مَريضَة صاخِن/ صاخنة </t>
  </si>
  <si>
    <t>English Proper</t>
  </si>
  <si>
    <t>arbaa w eechrin chbat</t>
  </si>
  <si>
    <t>bineyeh</t>
  </si>
  <si>
    <t>tabe'/ tawabe'</t>
  </si>
  <si>
    <t>oudit el nom</t>
  </si>
  <si>
    <t>oudit el 'aadeh</t>
  </si>
  <si>
    <t>matbakh</t>
  </si>
  <si>
    <t>chou aam totbokh/ totbkheh?</t>
  </si>
  <si>
    <t>hemmem</t>
  </si>
  <si>
    <t>khzeneh</t>
  </si>
  <si>
    <t>tyeib</t>
  </si>
  <si>
    <t>manchafeh</t>
  </si>
  <si>
    <t>saboun</t>
  </si>
  <si>
    <t>kam marra btfarcheh sneinak/ snenik/ sneinkoun bil nhar?</t>
  </si>
  <si>
    <t>tawleh/ tawleit</t>
  </si>
  <si>
    <t>kerseh/ karaseh</t>
  </si>
  <si>
    <t>wejj</t>
  </si>
  <si>
    <t>hwejib</t>
  </si>
  <si>
    <t>menkhar/mankhour</t>
  </si>
  <si>
    <t>aayn</t>
  </si>
  <si>
    <t>ayoun</t>
  </si>
  <si>
    <t>rmouch</t>
  </si>
  <si>
    <t>temm</t>
  </si>
  <si>
    <t>khadd</t>
  </si>
  <si>
    <t>khdoud</t>
  </si>
  <si>
    <t>chaeer</t>
  </si>
  <si>
    <t>ra'beh</t>
  </si>
  <si>
    <t>soder</t>
  </si>
  <si>
    <t>kteif</t>
  </si>
  <si>
    <t>'id</t>
  </si>
  <si>
    <t>meedeh</t>
  </si>
  <si>
    <t>baten</t>
  </si>
  <si>
    <t>wrak</t>
  </si>
  <si>
    <t>khaseir</t>
  </si>
  <si>
    <t>'ejer</t>
  </si>
  <si>
    <t>'ejrein</t>
  </si>
  <si>
    <t>rekbeh</t>
  </si>
  <si>
    <t>'asabee</t>
  </si>
  <si>
    <t>'asabee el ejrein</t>
  </si>
  <si>
    <t>ras</t>
  </si>
  <si>
    <t>raseh aam youjaaneh</t>
  </si>
  <si>
    <t>dayneh</t>
  </si>
  <si>
    <t>dinein</t>
  </si>
  <si>
    <t>chemiyeh</t>
  </si>
  <si>
    <t>seinn</t>
  </si>
  <si>
    <t>snein</t>
  </si>
  <si>
    <t>lsein</t>
  </si>
  <si>
    <t>cheiffeh</t>
  </si>
  <si>
    <t>chfeif</t>
  </si>
  <si>
    <t>heydeh el benet ktir diifeh</t>
  </si>
  <si>
    <t>badde</t>
  </si>
  <si>
    <t>nabeiteh</t>
  </si>
  <si>
    <t>aandak/aandik/aandkoun pizza nabetiyeh</t>
  </si>
  <si>
    <t>moukawwineit</t>
  </si>
  <si>
    <t>tzid</t>
  </si>
  <si>
    <t>chou 3andkoun chi khafif (for a group of people)</t>
  </si>
  <si>
    <t>taba' el yom</t>
  </si>
  <si>
    <t>chou taba' el yom</t>
  </si>
  <si>
    <t>khsara</t>
  </si>
  <si>
    <t>fari' faranseh (or frensewe)</t>
  </si>
  <si>
    <t>kifak/ kifik/ kifkoun el yom</t>
  </si>
  <si>
    <t>kifoun wleidak/ wleidik/ wleidkoun</t>
  </si>
  <si>
    <t>Heddeid</t>
  </si>
  <si>
    <t>khodra</t>
  </si>
  <si>
    <t>Hellei'/ coiffeur</t>
  </si>
  <si>
    <t>wase'il tadfi'a</t>
  </si>
  <si>
    <t>Hatab</t>
  </si>
  <si>
    <t>akeil el cheiteh</t>
  </si>
  <si>
    <t>raseih aam youjaaneih</t>
  </si>
  <si>
    <t>sabab</t>
  </si>
  <si>
    <t>wein aam youjaak/ yujaik</t>
  </si>
  <si>
    <t>edewyeih</t>
  </si>
  <si>
    <t>mwaffa'/ mwaffa'a/ mwaffa'in</t>
  </si>
  <si>
    <t>maa el salemeh</t>
  </si>
  <si>
    <t>khallik/ khallikeh/ khallikon</t>
  </si>
  <si>
    <t>khallik (b'aa) baad chway</t>
  </si>
  <si>
    <t>teb'a toll/ teb'eh tolli/ teb'o tollo</t>
  </si>
  <si>
    <t>iida/ idiya/ idouwa</t>
  </si>
  <si>
    <t>saiideh/ tosbah aa kheir</t>
  </si>
  <si>
    <t>saleim</t>
  </si>
  <si>
    <t>selmiyyeh</t>
  </si>
  <si>
    <t>mouzahara</t>
  </si>
  <si>
    <t>mouzaharat</t>
  </si>
  <si>
    <t>se3tein</t>
  </si>
  <si>
    <t>se3at</t>
  </si>
  <si>
    <t>senitein</t>
  </si>
  <si>
    <t>3andeih ejtimei3/ maw3ad boukra 3al se3a khamseih ba3eid el doheir</t>
  </si>
  <si>
    <t>tnein(tentein) w noss</t>
  </si>
  <si>
    <t>arb3a 'ella teileit</t>
  </si>
  <si>
    <t xml:space="preserve">Doctor, is it something serious (dangerous) </t>
  </si>
  <si>
    <t>heyde el benet chaara tawil</t>
  </si>
  <si>
    <t>heyda el sabeh chaaro asir</t>
  </si>
  <si>
    <t>ana 3ayche bi cheri3 st lourde, bil tabi' el khamis</t>
  </si>
  <si>
    <t>hadd</t>
  </si>
  <si>
    <t>baddeh 3arous djeij, bala toum, ma3 kabis, hommous extra</t>
  </si>
  <si>
    <t>chou bthot/ bthotteh/ bthotto fiya (or bi alba)</t>
  </si>
  <si>
    <t>fik tcheilleh/ fikeh tchilileh/ fikoun tchilouleh el foteir</t>
  </si>
  <si>
    <t>fik tzid/ fikeh tzideh/ fikoun tzido khardal</t>
  </si>
  <si>
    <t>addeh byotla3 ha' el akeil?</t>
  </si>
  <si>
    <t>ka'eis el 3alam/ mondial</t>
  </si>
  <si>
    <t>heyde el seneh, ka'eis el 3alam bil brazil</t>
  </si>
  <si>
    <t>min arba3 snin, kein bi afri'ya el jnoubiyeh</t>
  </si>
  <si>
    <t>rebeh</t>
  </si>
  <si>
    <t>fari'eh rah yerbah</t>
  </si>
  <si>
    <t>fari' brazileh</t>
  </si>
  <si>
    <t>fari' almaneh</t>
  </si>
  <si>
    <t>ana teilmiz/ teilmizeh</t>
  </si>
  <si>
    <t>ana bedrous arabeh</t>
  </si>
  <si>
    <t>ana bedrous bil jemaa el lebneniyeh</t>
  </si>
  <si>
    <t>ana teilmiz/teilmizeh, w bedrous arabeh bil jemaa el lebneniyeh</t>
  </si>
  <si>
    <t>alam rsas</t>
  </si>
  <si>
    <t>alam</t>
  </si>
  <si>
    <t>war'a</t>
  </si>
  <si>
    <t>bektoub</t>
  </si>
  <si>
    <t>ana bektoub bil alam aala el war'a</t>
  </si>
  <si>
    <t>kteib</t>
  </si>
  <si>
    <t>daftar</t>
  </si>
  <si>
    <t>mastara</t>
  </si>
  <si>
    <t>lawh</t>
  </si>
  <si>
    <t>fine rouh aal hemmem</t>
  </si>
  <si>
    <t>eisteiz</t>
  </si>
  <si>
    <t>maalmeh</t>
  </si>
  <si>
    <t>fik t3ire alam/ fikeh t3irine alam/ fikoun t3irouneh alam</t>
  </si>
  <si>
    <t>leh/lech</t>
  </si>
  <si>
    <t>leh maassab/ maassbeh/ maasbin</t>
  </si>
  <si>
    <t>eimtan</t>
  </si>
  <si>
    <t>eimtan mseifar/ mseifra/ mseifrin</t>
  </si>
  <si>
    <t>min</t>
  </si>
  <si>
    <t>min jeyeh aal sahra</t>
  </si>
  <si>
    <t>kifo bayyak/ bayyik/ baykoun</t>
  </si>
  <si>
    <t>kifa emmak/ emmik/ emkoun</t>
  </si>
  <si>
    <t>chou</t>
  </si>
  <si>
    <t>chou beik/ beikeh/ beikoun</t>
  </si>
  <si>
    <t>wein rayih/ rayha/ rayhin</t>
  </si>
  <si>
    <t>la chou</t>
  </si>
  <si>
    <t>la chou hawdeh el kebbeiyeit</t>
  </si>
  <si>
    <t>min eimtan</t>
  </si>
  <si>
    <t>min emtan btelbous/bteilbseih/btelbso aswad</t>
  </si>
  <si>
    <t>lech la'/ leh la'</t>
  </si>
  <si>
    <t>chou kamein</t>
  </si>
  <si>
    <t>chou kamein btoktorih/btoktorhe/ btoktorho</t>
  </si>
  <si>
    <t>kif ta</t>
  </si>
  <si>
    <t>kif ta enta/enteh/ento hon</t>
  </si>
  <si>
    <t>addeih</t>
  </si>
  <si>
    <t>addeih ha'o/ ha'a/ ha'oun</t>
  </si>
  <si>
    <t>chegeil</t>
  </si>
  <si>
    <t>achghal</t>
  </si>
  <si>
    <t>keindarjeh</t>
  </si>
  <si>
    <t>heddeid</t>
  </si>
  <si>
    <t>najjar</t>
  </si>
  <si>
    <t>mecanicien</t>
  </si>
  <si>
    <t>dikkein</t>
  </si>
  <si>
    <t>dikkanjeh</t>
  </si>
  <si>
    <t>khadarjeih</t>
  </si>
  <si>
    <t>jnayneih</t>
  </si>
  <si>
    <t>jnayneiteh</t>
  </si>
  <si>
    <t>khebeiz</t>
  </si>
  <si>
    <t>kheibbeiz / forran</t>
  </si>
  <si>
    <t>hellei'/ coiffeur</t>
  </si>
  <si>
    <t>bossar/ bossara</t>
  </si>
  <si>
    <t>torrach</t>
  </si>
  <si>
    <t>blat</t>
  </si>
  <si>
    <t>bollat</t>
  </si>
  <si>
    <t>kahrabjeih</t>
  </si>
  <si>
    <t>natour</t>
  </si>
  <si>
    <t>khiyyat/ khiyyata</t>
  </si>
  <si>
    <t>cheiteh</t>
  </si>
  <si>
    <t>sa'aa</t>
  </si>
  <si>
    <t>el yom, ktir sa'aa</t>
  </si>
  <si>
    <t>aasfeih</t>
  </si>
  <si>
    <t>fi aasfeih jeiyeh ariban</t>
  </si>
  <si>
    <t>taleij</t>
  </si>
  <si>
    <t>talajit mberih</t>
  </si>
  <si>
    <t>el tari' kein ma'tou3/ msakkar</t>
  </si>
  <si>
    <t>tari'</t>
  </si>
  <si>
    <t>ktir sa'aa, ma fineh odhar, ta ma omrad (or ta ma rachih)</t>
  </si>
  <si>
    <t>deffeiyeh</t>
  </si>
  <si>
    <t>cheminee</t>
  </si>
  <si>
    <t>hatab</t>
  </si>
  <si>
    <t>kastana</t>
  </si>
  <si>
    <t>batata mechwiyeh</t>
  </si>
  <si>
    <t>chawraba</t>
  </si>
  <si>
    <t>cheil</t>
  </si>
  <si>
    <t>kfouf</t>
  </si>
  <si>
    <t>bornayta</t>
  </si>
  <si>
    <t>kabbout</t>
  </si>
  <si>
    <t>ana rayha aal taleij</t>
  </si>
  <si>
    <t>aana rayha aamoul ski</t>
  </si>
  <si>
    <t>tddafa/ tdaffeh/ tdaffo mnih</t>
  </si>
  <si>
    <t>ana marid/ marida sakhin/ sakhneih</t>
  </si>
  <si>
    <t>ana teebein/ teebeineih</t>
  </si>
  <si>
    <t>baddeh chouf hakim/ hakimeih</t>
  </si>
  <si>
    <t>nasiha</t>
  </si>
  <si>
    <t>fik tonsahneih bi hakim chatir/ fikeh tonsahineih bi hakimeih chatra</t>
  </si>
  <si>
    <t>hasis/ hasseih bi wajaa bi meedteih</t>
  </si>
  <si>
    <t>ideih aam toujaaneih</t>
  </si>
  <si>
    <t>hakim, fi chi khotir?</t>
  </si>
  <si>
    <t>chou yalli aam bisabbeble hal wajaa</t>
  </si>
  <si>
    <t>fi hall/ iileij</t>
  </si>
  <si>
    <t>lezim aamoul baeed fhousat?</t>
  </si>
  <si>
    <t>khabeirneih chou hassis/ khabrineih chou hasseih</t>
  </si>
  <si>
    <t>addeih sarlo el wajaa (addeih sarlak mawju3/mawjou3a)</t>
  </si>
  <si>
    <t>wirateih</t>
  </si>
  <si>
    <t>hal hayda chi wirateih bi aayltak/ aayltik</t>
  </si>
  <si>
    <t>andak/ aandik haseisiyeh aa chi?</t>
  </si>
  <si>
    <t>dawa</t>
  </si>
  <si>
    <t>khod/ kheideh el dawa tleit marrat bil nhar</t>
  </si>
  <si>
    <t>3asmit lebnen, beirut</t>
  </si>
  <si>
    <t>joumhouriyet lebnen/el joumhouriyeh el lebneniyeh</t>
  </si>
  <si>
    <t>el oumam el metehdeh</t>
  </si>
  <si>
    <t>hezeb</t>
  </si>
  <si>
    <t>ahzeib</t>
  </si>
  <si>
    <t>fi hezbein aseisiyyeh bil wileyeit el metehdeh</t>
  </si>
  <si>
    <t>fi azmit nifeiyeit bi lebnen, wl hkoumeh baeed ma le'yit hal</t>
  </si>
  <si>
    <t>baladiyyeh/ baladiyyet</t>
  </si>
  <si>
    <t>kel baladiyyeh, mas'ouleh aan fareiz el nifeiyeit</t>
  </si>
  <si>
    <t>fi mouzaharat selmiyyeh moustamerra bil aasmeh el lebneniyeh, aam bettalib bi esti'alit wazir el bi'a</t>
  </si>
  <si>
    <t>el yom, khamsin chakheis meito natijit enfijar</t>
  </si>
  <si>
    <t>bil alfein w tleta3sh, majlis el nouwweib aaddalo el doustour, ta ye'daro ymaddeido la nafsoun</t>
  </si>
  <si>
    <t>waeit</t>
  </si>
  <si>
    <t>touw'it</t>
  </si>
  <si>
    <t>addeih el se3a?</t>
  </si>
  <si>
    <t>d'i'a</t>
  </si>
  <si>
    <t>d'i'tein</t>
  </si>
  <si>
    <t>da'eyi'</t>
  </si>
  <si>
    <t>seinyeh</t>
  </si>
  <si>
    <t>saweineih</t>
  </si>
  <si>
    <t>abeil el doheir</t>
  </si>
  <si>
    <t>ba3eid el doheir</t>
  </si>
  <si>
    <t>rah ousal ba3eid se3a aw se3tein</t>
  </si>
  <si>
    <t>natartak/ natartik noss se3a</t>
  </si>
  <si>
    <t>ekhteih wasleh (rah tousal) ba3eid tleit se3at</t>
  </si>
  <si>
    <t>d'i'a w bkoun ma3ak/ ma3ik</t>
  </si>
  <si>
    <t>addeih el se3a bi touw'it canada?</t>
  </si>
  <si>
    <t>m'akhar</t>
  </si>
  <si>
    <t>bakkir</t>
  </si>
  <si>
    <t>seitteih w khamseih</t>
  </si>
  <si>
    <t>seitteih 'ella khamseih</t>
  </si>
  <si>
    <t>tna3ch 'ella rebe3</t>
  </si>
  <si>
    <t>tleiteih w noss 'ella khamseih</t>
  </si>
  <si>
    <t>tleiteih w noss w khamseih</t>
  </si>
  <si>
    <t>tleiteih w rebe3</t>
  </si>
  <si>
    <t>tleiteih w teileit</t>
  </si>
  <si>
    <t>ana bseifir</t>
  </si>
  <si>
    <t>enta btseifir/ einteih btseifreih</t>
  </si>
  <si>
    <t>houwweih bisefir</t>
  </si>
  <si>
    <t>hiyyeih btsefir</t>
  </si>
  <si>
    <t>neihna mnseifir</t>
  </si>
  <si>
    <t>einto btseifro</t>
  </si>
  <si>
    <t>heinneih bisefro</t>
  </si>
  <si>
    <t>ana mseifar/ mseifra</t>
  </si>
  <si>
    <t>enta mseifar/ enteih mseifra</t>
  </si>
  <si>
    <t>houwweih mseifar</t>
  </si>
  <si>
    <t>hiyyeih mseifra</t>
  </si>
  <si>
    <t>neihna mseifrin</t>
  </si>
  <si>
    <t>einto mseifrin</t>
  </si>
  <si>
    <t>heinneih mseifrin</t>
  </si>
  <si>
    <t>ana seifareit</t>
  </si>
  <si>
    <t>enta seifareit/ einteih seifarteih</t>
  </si>
  <si>
    <t>houwweih seifar</t>
  </si>
  <si>
    <t>hiyyeih seifarit</t>
  </si>
  <si>
    <t>neihna seifarna</t>
  </si>
  <si>
    <t>einto seifarto</t>
  </si>
  <si>
    <t>heinneh seifaro</t>
  </si>
  <si>
    <t>ana keineit seifir</t>
  </si>
  <si>
    <t>houwweih kein yseifir/ hiyyeih keinit tseifir</t>
  </si>
  <si>
    <t>houwweih kein yseifir</t>
  </si>
  <si>
    <t>hiyyeih keinit tseifir</t>
  </si>
  <si>
    <t>neihna keinna nseifir</t>
  </si>
  <si>
    <t>einto keinto tseifro</t>
  </si>
  <si>
    <t>heinneih keino yseifro</t>
  </si>
  <si>
    <t>ana rah seifir</t>
  </si>
  <si>
    <t>einta rah tseifir/ einteih rah tseifreih</t>
  </si>
  <si>
    <t>houwweih rah yseifir</t>
  </si>
  <si>
    <t>hiyyeih rah tseifir</t>
  </si>
  <si>
    <t>neihna rah nseifir</t>
  </si>
  <si>
    <t>einto rah tseifro</t>
  </si>
  <si>
    <t>heinneih rah yseifro</t>
  </si>
  <si>
    <t>ana mseifar/ mseifra aala beiriz el yom</t>
  </si>
  <si>
    <t>ana bseifir kel seif/ sayfiyyeih</t>
  </si>
  <si>
    <t>khayyeih w bayyeih, seifaro el chaheir el madeih 3ala el brazil</t>
  </si>
  <si>
    <t>neihna keinna nseifir kel seineih</t>
  </si>
  <si>
    <t>eimtan rah tseifro?</t>
  </si>
  <si>
    <t>Latin fixed</t>
  </si>
  <si>
    <t>Hemmem</t>
  </si>
  <si>
    <t>el sobeH bghassil wejjeh</t>
  </si>
  <si>
    <t>heyda el sabeh naseH</t>
  </si>
  <si>
    <t>Ha'/ se3er</t>
  </si>
  <si>
    <t>بتمنّى فريقَك/ فَريقِك يخسَر</t>
  </si>
  <si>
    <t>lawH</t>
  </si>
  <si>
    <t>nasiHa</t>
  </si>
  <si>
    <t>ana raH seifir</t>
  </si>
  <si>
    <t>eimtan raH tseifro?</t>
  </si>
  <si>
    <t>أربعَة و عشرين شباط</t>
  </si>
  <si>
    <t>ana 3am bejleh el sHoun</t>
  </si>
  <si>
    <t>mal3a'a</t>
  </si>
  <si>
    <t>jesmeh 3am youja3neh</t>
  </si>
  <si>
    <t>3ayn</t>
  </si>
  <si>
    <t>3youn</t>
  </si>
  <si>
    <t>me3deh</t>
  </si>
  <si>
    <t>asabe3</t>
  </si>
  <si>
    <t>asabe3 el ejrein</t>
  </si>
  <si>
    <t>raseh 3am youja3neh</t>
  </si>
  <si>
    <t>3andak/3andik/3andkoun pizza nabetiyeh</t>
  </si>
  <si>
    <t>ana bedrous 3arabeh</t>
  </si>
  <si>
    <t>ana bektoub bil alam 3ala el war'a</t>
  </si>
  <si>
    <t>m3almeh</t>
  </si>
  <si>
    <t>sa'3a</t>
  </si>
  <si>
    <t>allah ma3ak/ ma3ik/ ma3koun</t>
  </si>
  <si>
    <t>kel baladiyyeh, mas'ouleh 3an farez el nifeiyeit</t>
  </si>
  <si>
    <t>arb3a 'ella telet</t>
  </si>
  <si>
    <t>arb3a w 3eshreen shbat</t>
  </si>
  <si>
    <t>bi ayya tabe' enta 3ayesh/ enteh 3aysheh?</t>
  </si>
  <si>
    <t>shou 3am totbokh/ totbkheh?</t>
  </si>
  <si>
    <t>manshafeh</t>
  </si>
  <si>
    <t>el sobeH mnrouH 3al foren ta neshtreh mne'eesh</t>
  </si>
  <si>
    <t>shawkeh</t>
  </si>
  <si>
    <t>rmoush</t>
  </si>
  <si>
    <t>sha3er</t>
  </si>
  <si>
    <t>shemiyeh</t>
  </si>
  <si>
    <t>shfeif</t>
  </si>
  <si>
    <t>sheri3</t>
  </si>
  <si>
    <t>shou btHot/ btHotteh/ btHotto fiya (or bi alba)</t>
  </si>
  <si>
    <t>tshil</t>
  </si>
  <si>
    <t>shou taba' el yom</t>
  </si>
  <si>
    <t>ashghal</t>
  </si>
  <si>
    <t>torrash</t>
  </si>
  <si>
    <t>batata meshwiyeh</t>
  </si>
  <si>
    <t>shawraba</t>
  </si>
  <si>
    <t>sheil</t>
  </si>
  <si>
    <t>3andak/ 3andik Haseisiyeh 3a shi?</t>
  </si>
  <si>
    <t>yalla, sar lezim emsheh</t>
  </si>
  <si>
    <t>baddak, baddik, badkoun shi?</t>
  </si>
  <si>
    <t>tna3sh 'ella rebe3</t>
  </si>
  <si>
    <t>ejrein</t>
  </si>
  <si>
    <t>kam marra btfarsheh sneinak/ sneinik/ sneinkoun bil nhar?</t>
  </si>
  <si>
    <t>saHen</t>
  </si>
  <si>
    <t>khaser</t>
  </si>
  <si>
    <t>sinn</t>
  </si>
  <si>
    <t>shiffeh</t>
  </si>
  <si>
    <t>feek tshilleh/ feekeh tshileeleh/ feekoun tshilouleh el foter</t>
  </si>
  <si>
    <t>ade bado wa'et el akel ta yousal</t>
  </si>
  <si>
    <t>addeh byotla3 Ha' el akel?</t>
  </si>
  <si>
    <t>ka'es el 3alam/ mondial</t>
  </si>
  <si>
    <t>esteiz</t>
  </si>
  <si>
    <t>kindarjeh</t>
  </si>
  <si>
    <t>khadarjeh</t>
  </si>
  <si>
    <t>jnayneh</t>
  </si>
  <si>
    <t>khebez</t>
  </si>
  <si>
    <t>kahrabjeh</t>
  </si>
  <si>
    <t>shiteh</t>
  </si>
  <si>
    <t>3asfeh</t>
  </si>
  <si>
    <t>talej</t>
  </si>
  <si>
    <t>el taree' kein ma'tou3/ msakkar</t>
  </si>
  <si>
    <t>akel el shiteh</t>
  </si>
  <si>
    <t>ana mareed/ mareeda sakhin/ sakhneh</t>
  </si>
  <si>
    <t>ana te3bein/ te3beineh</t>
  </si>
  <si>
    <t>baddeh shouf Hakeem/ Hakeemeh</t>
  </si>
  <si>
    <t>Hasis/ Hasseh bi waja3 bi me3dteh</t>
  </si>
  <si>
    <t>khabberneh shou Hassis/ khabreeneh shou Hasseh</t>
  </si>
  <si>
    <t>wirateh</t>
  </si>
  <si>
    <t>3andak/ 3andik amrad mouzmineh?</t>
  </si>
  <si>
    <t>edewyeh</t>
  </si>
  <si>
    <t>khod/ khedeh el dawa tleit marrat bil nhar</t>
  </si>
  <si>
    <t>sa3eedeh/ tosbaH 3a kheir</t>
  </si>
  <si>
    <t>fi azmit nifeiyeit bi lebnen, wl Hkoumeh ba3ed ma le'yit Hall</t>
  </si>
  <si>
    <t>el yom, khamseen shakhes meito nateejit enfijar</t>
  </si>
  <si>
    <t>bil alfein w tleta3sh, majlis el nouwweib 3addalo el doustour, ta ye'daro ymaddido la nafsoun</t>
  </si>
  <si>
    <t>wa'et</t>
  </si>
  <si>
    <t>saweineh</t>
  </si>
  <si>
    <t>abel el doher</t>
  </si>
  <si>
    <t>ba3ed el doher</t>
  </si>
  <si>
    <t>raH ousal ba3ed sei3a aw se3tein</t>
  </si>
  <si>
    <t>ekhteh wasleh (raH tousal) ba3ed tleit se3at</t>
  </si>
  <si>
    <t>addeh el sei3a bi touw'eet canada?</t>
  </si>
  <si>
    <t>3andeh ejtimei3/ maw3ad boukra 3al sei3a khamseh ba3ed el doher</t>
  </si>
  <si>
    <t>weHdeh 'ella 3ashra</t>
  </si>
  <si>
    <t>setteh w khamseh</t>
  </si>
  <si>
    <t>setteh 'ella khamseh</t>
  </si>
  <si>
    <t>tleiteh w noss 'ella khamseh</t>
  </si>
  <si>
    <t>tleiteh w noss w khamseh</t>
  </si>
  <si>
    <t>tleiteh w rebe3</t>
  </si>
  <si>
    <t>tleiteh w telet</t>
  </si>
  <si>
    <t>enta btseifir/ enteh btseifreh</t>
  </si>
  <si>
    <t>houwweh biseifir</t>
  </si>
  <si>
    <t>hiyyeh btseifir</t>
  </si>
  <si>
    <t>neHna mnseifir</t>
  </si>
  <si>
    <t>ento btseifro</t>
  </si>
  <si>
    <t>henneh biseifro</t>
  </si>
  <si>
    <t>enta mseifar/ enteh mseifra</t>
  </si>
  <si>
    <t>houwweh mseifar</t>
  </si>
  <si>
    <t>hiyyeh mseifra</t>
  </si>
  <si>
    <t>neHna mseifreen</t>
  </si>
  <si>
    <t>ento mseifreen</t>
  </si>
  <si>
    <t>henneh mseifreen</t>
  </si>
  <si>
    <t>ana seifaret</t>
  </si>
  <si>
    <t>enta seifaret/ enteh seifarteh</t>
  </si>
  <si>
    <t>houwweh seifar</t>
  </si>
  <si>
    <t>hiyyeh seifarit</t>
  </si>
  <si>
    <t>neHna seifarna</t>
  </si>
  <si>
    <t>ento seifarto</t>
  </si>
  <si>
    <t>henneh seifaro</t>
  </si>
  <si>
    <t>ana kenet seifir</t>
  </si>
  <si>
    <t>houwweh kein yseifir/ hiyyeh kenit tseifir</t>
  </si>
  <si>
    <t>houwweh kein yseifir</t>
  </si>
  <si>
    <t>hiyyeh keinit tseifir</t>
  </si>
  <si>
    <t>neHna kenna nseifir</t>
  </si>
  <si>
    <t>ento kento tseifro</t>
  </si>
  <si>
    <t>enta raH tseifir/ enteh raH tseifreh</t>
  </si>
  <si>
    <t>houwweh raH yseifir</t>
  </si>
  <si>
    <t>hiyyeh raH tseifir</t>
  </si>
  <si>
    <t>neHna raH nseifir</t>
  </si>
  <si>
    <t>ento raH tseifro</t>
  </si>
  <si>
    <t>ana mseifar/ mseifra 3ala beireez el yom</t>
  </si>
  <si>
    <t>ana bseifir kel seif/ sayfiyyeh</t>
  </si>
  <si>
    <t>neHna kenna nseifir kel seneh</t>
  </si>
  <si>
    <t>bte3te'id/ bte3te'deh lezim a3moul 3amaliyeh?</t>
  </si>
  <si>
    <t>henneh keino yseifro</t>
  </si>
  <si>
    <t>henneh raH yseifro</t>
  </si>
  <si>
    <t>sei3a</t>
  </si>
  <si>
    <t>addeh el sei3a?</t>
  </si>
  <si>
    <t>natartak/ natartik noss sei3a</t>
  </si>
  <si>
    <t>wehdeih 'ella 3achra</t>
  </si>
  <si>
    <t>sekkeen</t>
  </si>
  <si>
    <t>Hweijib</t>
  </si>
  <si>
    <t>heydeh el benet sha3ra taweel</t>
  </si>
  <si>
    <t>heyda el sabeh sha3ro aseer</t>
  </si>
  <si>
    <t>eed</t>
  </si>
  <si>
    <t>heydeh el benet kteer d3ifeh</t>
  </si>
  <si>
    <t>el yom, kteer sa'3a</t>
  </si>
  <si>
    <t>baddeh otloub akel/talabiyyeh</t>
  </si>
  <si>
    <t>ana 3aysheh bi sheri3 st lourde, bil tabi' el khamis</t>
  </si>
  <si>
    <t>kabees</t>
  </si>
  <si>
    <t>baddeh 3arous djeij, bala toum, ma3 kabees, Hommous extra</t>
  </si>
  <si>
    <t>feek tzeed/ feekeh tzeedeh/ feekoun tzeedo khardal</t>
  </si>
  <si>
    <t>khafeef</t>
  </si>
  <si>
    <t>faree'</t>
  </si>
  <si>
    <t>enta/enteh ma3 ayya faree'/ aya faree' btshaji3/btshaj3eh</t>
  </si>
  <si>
    <t>lei3ib/lei3beh/la3eebeh</t>
  </si>
  <si>
    <t>heydeh el seneh, ka'es el 3alam bil brazeel</t>
  </si>
  <si>
    <t>min arba3 sneen, kein bi afree'ya el jnoubiyeh</t>
  </si>
  <si>
    <t>hiyeh ma3 el faree' el espaneh</t>
  </si>
  <si>
    <t>heydeh el seneh, ana manneh ma3 wala faree'</t>
  </si>
  <si>
    <t>faree'eh raH yerbaH</t>
  </si>
  <si>
    <t>betmanna faree'ak/faree'ik yekhsar</t>
  </si>
  <si>
    <t>faree' espaneh</t>
  </si>
  <si>
    <t>faree' brazeeleh</t>
  </si>
  <si>
    <t>faree' telyeineh (or italeh)</t>
  </si>
  <si>
    <t>faree' almaneh</t>
  </si>
  <si>
    <t>faree' faranseh (or frenseiweh)</t>
  </si>
  <si>
    <t>ana tilmeez/ tilmeezeh</t>
  </si>
  <si>
    <t>ana bedrous bil jeim3a el lebneiniyeh</t>
  </si>
  <si>
    <t>ana telmeez/telmeezeh, w bedrous 3arabeh bil jeim3a el lebneiniyeh</t>
  </si>
  <si>
    <t>fineh rouH 3al Hemmeim</t>
  </si>
  <si>
    <t>feek t3eerneh/ feekeh t3ireeneh/ feekoun t3irouneh alam?</t>
  </si>
  <si>
    <t>leh/lesh?</t>
  </si>
  <si>
    <t>eimtan?</t>
  </si>
  <si>
    <t>leh m3assab/ m3assbeh/ m3asbeen?</t>
  </si>
  <si>
    <t>eimtan mseifar/ mseifra/ mseifreen?</t>
  </si>
  <si>
    <t>meen?</t>
  </si>
  <si>
    <t>meen jeyeh 3al sahra?</t>
  </si>
  <si>
    <t>keef?</t>
  </si>
  <si>
    <t>keefak/ keefik/ keefkoun el yom?</t>
  </si>
  <si>
    <t>keefo bayyak/ bayyik/ baykoun?</t>
  </si>
  <si>
    <t>keefa emmak/ emmik/ emkoun?</t>
  </si>
  <si>
    <t>keefoun wleidak/ wleidik/ wleidkoun?</t>
  </si>
  <si>
    <t>shou?</t>
  </si>
  <si>
    <t>shou beik/ bekeh/ bekoun?</t>
  </si>
  <si>
    <t>wein?</t>
  </si>
  <si>
    <t>wein rayiH/ rayHa/ rayHeen?</t>
  </si>
  <si>
    <t>la shou?</t>
  </si>
  <si>
    <t>la shou hawdeh el kebbeiyeit?</t>
  </si>
  <si>
    <t>min eimtan?</t>
  </si>
  <si>
    <t>min emtan btelbous/btelbseh/btelbso aswad?</t>
  </si>
  <si>
    <t>lesh la'/ leh la'?</t>
  </si>
  <si>
    <t>shou kamein?</t>
  </si>
  <si>
    <t>shou kamein btoktoriH/ btoktorHeh/ btoktorHo?</t>
  </si>
  <si>
    <t>keef ta?</t>
  </si>
  <si>
    <t>keef ta enta/enteh/ento hon?</t>
  </si>
  <si>
    <t>addeh?</t>
  </si>
  <si>
    <t>addeh Ha'o/ Ha'a/ Ha'oun?</t>
  </si>
  <si>
    <t>sheghel</t>
  </si>
  <si>
    <t>mecanisiein</t>
  </si>
  <si>
    <t>khebbeiz / forran</t>
  </si>
  <si>
    <t>talajit mbeiriH</t>
  </si>
  <si>
    <t>kteer sa'3a, ma feeneh odhar, ta ma omrad</t>
  </si>
  <si>
    <t>wasei'il tadfi'a</t>
  </si>
  <si>
    <t>feek tonsaHneh/ feekeh tonsaHeeneh bi Hakeem/ Hakeemeh shatir/ shatra</t>
  </si>
  <si>
    <t>eedeh 3am touja3neh</t>
  </si>
  <si>
    <t>shou yalleh 3am bisabbebleh hal waja3?</t>
  </si>
  <si>
    <t>sabab?</t>
  </si>
  <si>
    <t>leizim a3moul ba3ed fHousat?</t>
  </si>
  <si>
    <t>wein 3am youja3ak/ youja3ik?</t>
  </si>
  <si>
    <t>addeh sarlo el waja3 (addeh sarlak mawjou3/mawjou3a)?</t>
  </si>
  <si>
    <t>mwaffa'/ mwaffa'a/ mwaffa'een</t>
  </si>
  <si>
    <t>ma3 el saleimeh</t>
  </si>
  <si>
    <t>khalleek/ khalleekeh/ khalleekoun</t>
  </si>
  <si>
    <t>khalleek (b'a) ba3d shwey</t>
  </si>
  <si>
    <t>teb'a toll/ teb'eh tolleh/ teb'o tollo</t>
  </si>
  <si>
    <t>3eeda/ 3idiya/ 3idouwa</t>
  </si>
  <si>
    <t>min3adeh</t>
  </si>
  <si>
    <t>yalla shefneikoun</t>
  </si>
  <si>
    <t>mbasatna shefneikoun</t>
  </si>
  <si>
    <t>min3eeda gheir marra</t>
  </si>
  <si>
    <t>siyeiseh</t>
  </si>
  <si>
    <t>dawleh/wileiyeh</t>
  </si>
  <si>
    <t>ra'ees/ra'eeseh</t>
  </si>
  <si>
    <t>joumhouriyet lebnein/el joumhouriyeh el lebneiniyeh</t>
  </si>
  <si>
    <t>wazeer</t>
  </si>
  <si>
    <t>baladiyyeh/ baladiyyeit</t>
  </si>
  <si>
    <t>fi mouzaharat selmiyyeh moustamerra bil 3asmeh el lebneniyeh, 3am bettalib bi esti'alit wazeer el bee'a</t>
  </si>
  <si>
    <t>touw'eet</t>
  </si>
  <si>
    <t>bakkeer</t>
  </si>
  <si>
    <t>khayyeh w bayyeh, seifaro el shaher el madeh 3ala el brazeel</t>
  </si>
  <si>
    <t>shou 3andkoun shi khafeef (for a group of people)</t>
  </si>
  <si>
    <t>fi 3asfeh jeiyeh areeban</t>
  </si>
  <si>
    <t>Hakeem, fi shi khotir?</t>
  </si>
  <si>
    <t>fi Hall/ 3ileij?</t>
  </si>
  <si>
    <t>hal hayda shi wirateh bi 3ayltak/ 3ayltik?</t>
  </si>
  <si>
    <t>fi Hezbein aseisiyyeh bil wileiyeit el metteHdeh</t>
  </si>
  <si>
    <t>oudit el a3deh</t>
  </si>
  <si>
    <t>khzeineh</t>
  </si>
  <si>
    <t>ejer</t>
  </si>
  <si>
    <t xml:space="preserve">maw'adeh/ shemineh </t>
  </si>
  <si>
    <t>tddaffeh/ tdaffa/ tdaffo mniH</t>
  </si>
  <si>
    <t>ana rayHa/ rayiH 3al talej</t>
  </si>
  <si>
    <t>ana rayHa/ rayiH a3moul ski</t>
  </si>
  <si>
    <t>3aasmeh</t>
  </si>
  <si>
    <t>3aasmit lebnein, beirut</t>
  </si>
  <si>
    <t>politics 1</t>
  </si>
  <si>
    <t>politics 2</t>
  </si>
  <si>
    <t>clock</t>
  </si>
  <si>
    <t>At the Door</t>
  </si>
  <si>
    <t>Doctor</t>
  </si>
  <si>
    <t>Interrogative</t>
  </si>
  <si>
    <t>Studying</t>
  </si>
  <si>
    <t>World cup</t>
  </si>
  <si>
    <t>Ordering food</t>
  </si>
  <si>
    <t>Body parts</t>
  </si>
  <si>
    <t>In the house</t>
  </si>
  <si>
    <t>To Travel</t>
  </si>
  <si>
    <t>At Home</t>
  </si>
  <si>
    <t>Inside the house</t>
  </si>
  <si>
    <t>Basic</t>
  </si>
  <si>
    <t>Work/studying</t>
  </si>
  <si>
    <t>Conjugation</t>
  </si>
  <si>
    <t xml:space="preserve"> فُرن</t>
  </si>
  <si>
    <t>Please</t>
  </si>
  <si>
    <t>To love</t>
  </si>
  <si>
    <t>Formalities</t>
  </si>
  <si>
    <t>World Cup</t>
  </si>
  <si>
    <t>I love</t>
  </si>
  <si>
    <t>ana bHeb</t>
  </si>
  <si>
    <t>أنا بحبّ</t>
  </si>
  <si>
    <t>you love</t>
  </si>
  <si>
    <t>enta betHeb/enteh betHebbeh</t>
  </si>
  <si>
    <t>إنتَ بتحبّ/ إنتِ بتحبّي</t>
  </si>
  <si>
    <t>he loves</t>
  </si>
  <si>
    <t>howeh biHebb</t>
  </si>
  <si>
    <t>هوّ بِحبّ</t>
  </si>
  <si>
    <t>she loves</t>
  </si>
  <si>
    <t>hiyyeh betHebb</t>
  </si>
  <si>
    <t>هِيّ بتحبّ</t>
  </si>
  <si>
    <t>we love</t>
  </si>
  <si>
    <t>neHna menHebb</t>
  </si>
  <si>
    <t>نِحنا منحبّ</t>
  </si>
  <si>
    <t>ento betHebbo</t>
  </si>
  <si>
    <t>إنتو بتحبّو</t>
  </si>
  <si>
    <t>they love</t>
  </si>
  <si>
    <t>henneh biHebbo</t>
  </si>
  <si>
    <t xml:space="preserve">هنّي بحبّو </t>
  </si>
  <si>
    <t>I loved</t>
  </si>
  <si>
    <t>ana Habbeit</t>
  </si>
  <si>
    <t>أنا حَبيت</t>
  </si>
  <si>
    <t>you loved</t>
  </si>
  <si>
    <t>enta Habbeit/enteh Habbayteh</t>
  </si>
  <si>
    <t xml:space="preserve">إنتَ حَبيت/ إنتِ حَبيتي </t>
  </si>
  <si>
    <t>he loved</t>
  </si>
  <si>
    <t>howeh Habb</t>
  </si>
  <si>
    <t>هوّ حَبّ</t>
  </si>
  <si>
    <t>she loved</t>
  </si>
  <si>
    <t>hiyeh Habbit</t>
  </si>
  <si>
    <t xml:space="preserve">هيّ حَبِّت </t>
  </si>
  <si>
    <t>we loved</t>
  </si>
  <si>
    <t>neHna Habbayna</t>
  </si>
  <si>
    <t>نحنا حَبينا</t>
  </si>
  <si>
    <t>ento Habbayto</t>
  </si>
  <si>
    <t>إنتو حَبيتو</t>
  </si>
  <si>
    <t>they loved</t>
  </si>
  <si>
    <t>henneh Habbo</t>
  </si>
  <si>
    <t xml:space="preserve">هني حَبّو </t>
  </si>
  <si>
    <t>I used to love</t>
  </si>
  <si>
    <t>ana kenet Hebb</t>
  </si>
  <si>
    <t>أنا كنت حبّ</t>
  </si>
  <si>
    <t>you used to love</t>
  </si>
  <si>
    <t xml:space="preserve">إنتَ كنت تحبّ/ إنتِ كنتي تحبّي </t>
  </si>
  <si>
    <t>he used to love</t>
  </si>
  <si>
    <t>howeh ken yHebb</t>
  </si>
  <si>
    <t xml:space="preserve">هوّ كان يحبّ </t>
  </si>
  <si>
    <t>she used to love</t>
  </si>
  <si>
    <t>hiyyeh kenit tHebb</t>
  </si>
  <si>
    <t xml:space="preserve">هيّ كانت تحبّ </t>
  </si>
  <si>
    <t>we used to love</t>
  </si>
  <si>
    <t>neHna kenna nHebb</t>
  </si>
  <si>
    <t>نحنا كنّا نحبّ</t>
  </si>
  <si>
    <t>ento kento tHebbo</t>
  </si>
  <si>
    <t>إنتو كنتو تحبّو</t>
  </si>
  <si>
    <t>they used to love</t>
  </si>
  <si>
    <t>henneh keno yHebbo</t>
  </si>
  <si>
    <t xml:space="preserve">هنّي كانو يحبّو </t>
  </si>
  <si>
    <t>I will love</t>
  </si>
  <si>
    <t>ana raH Hebb</t>
  </si>
  <si>
    <t xml:space="preserve">أنا رّح حبّ </t>
  </si>
  <si>
    <t>you will love</t>
  </si>
  <si>
    <t>enta raH tHebb/enteh raH tHebbeh</t>
  </si>
  <si>
    <t xml:space="preserve">إنتَ رَح تحبّ/ إنتي رَح تحبّي </t>
  </si>
  <si>
    <t>he will love</t>
  </si>
  <si>
    <t>howeh raH yHebb</t>
  </si>
  <si>
    <t xml:space="preserve">هوّ رَح يحبّ </t>
  </si>
  <si>
    <t>she will love</t>
  </si>
  <si>
    <t>hiyeh raH tHebb</t>
  </si>
  <si>
    <t xml:space="preserve">هيّ رَح تحبّ </t>
  </si>
  <si>
    <t>we will love</t>
  </si>
  <si>
    <t>neHna raH nHebb</t>
  </si>
  <si>
    <t xml:space="preserve">نحنا رَح نحب </t>
  </si>
  <si>
    <t>ento raH tHebbo</t>
  </si>
  <si>
    <t xml:space="preserve">إنتو رَح تحبّو </t>
  </si>
  <si>
    <t>they will love</t>
  </si>
  <si>
    <t>henneh raH yHebbo</t>
  </si>
  <si>
    <t xml:space="preserve">هِنّي رَح يحبّوا </t>
  </si>
  <si>
    <t>I used to love you when we were kids</t>
  </si>
  <si>
    <t>ana kenet Hebbak lamma kenna wleid</t>
  </si>
  <si>
    <t>أنا كنت حبَّك/ حبِّك لَمّا كنا ولاد</t>
  </si>
  <si>
    <t>He says he loves me like before</t>
  </si>
  <si>
    <t>Howeh bi'oul enno biHebneh metel abel</t>
  </si>
  <si>
    <t xml:space="preserve">هوّ بِقول إنّو بِحبني متل قَبل </t>
  </si>
  <si>
    <t>I'm sure you'll love Byblos when you go</t>
  </si>
  <si>
    <t>ana akideh raH tHebb Jbeil bas trouH/trouHeh/trouHo</t>
  </si>
  <si>
    <t xml:space="preserve">أنا أكيد/ أكيدة رَح تحبّ جبيل بس تروح/ رح تحبّي جبيل بَس تروحي </t>
  </si>
  <si>
    <t>To Love</t>
  </si>
  <si>
    <t>howeh biHeb</t>
  </si>
  <si>
    <t>hiyyeh betHeb</t>
  </si>
  <si>
    <t>neHna menHeb</t>
  </si>
  <si>
    <t>enta kenet tHebb/enteh kenteh tHebbeh</t>
  </si>
  <si>
    <t>howeh kein yHebb</t>
  </si>
  <si>
    <t>hiyyeh keinit tHebb</t>
  </si>
  <si>
    <t>henneh keino yHebbo</t>
  </si>
  <si>
    <t>howeh bi'oul enno biHebneh metel abel</t>
  </si>
  <si>
    <t>ana akeedeh raH tHebb Jbeil bas trouH/trouHeh/trouHo</t>
  </si>
  <si>
    <t>ana bHebb</t>
  </si>
  <si>
    <t>enta betHebb/enteh betHebbeh</t>
  </si>
  <si>
    <t>please</t>
  </si>
  <si>
    <t>3mol/3meleh ma3rouf</t>
  </si>
  <si>
    <t>عمول/ عميلي مَعروف</t>
  </si>
  <si>
    <t>min fadlak/ min fadlik</t>
  </si>
  <si>
    <t>مِن فَضلَك/ فَضلِك</t>
  </si>
  <si>
    <t xml:space="preserve">excuse me </t>
  </si>
  <si>
    <t>عَفوا"</t>
  </si>
  <si>
    <t>b3azbak/b3azbik</t>
  </si>
  <si>
    <t>بعَزبَك/ بعَزبِك</t>
  </si>
  <si>
    <t>لَو سَمَحت/ لَو سَمَحتي</t>
  </si>
  <si>
    <t>Bi charafak/bi charafik</t>
  </si>
  <si>
    <t>بِشَرَفَك/ بِشَرَفِك</t>
  </si>
  <si>
    <t>Is it ok?</t>
  </si>
  <si>
    <t>ma3leh iza?</t>
  </si>
  <si>
    <t>مَعلي إذا؟</t>
  </si>
  <si>
    <t>Do you have a problem?</t>
  </si>
  <si>
    <t>3andak/3andik mechkleh?</t>
  </si>
  <si>
    <t>عَندَك/ عَندِك مشكلة؟</t>
  </si>
  <si>
    <t xml:space="preserve">no problem </t>
  </si>
  <si>
    <t xml:space="preserve">mich mechkleh </t>
  </si>
  <si>
    <t xml:space="preserve">مِش مشكلة </t>
  </si>
  <si>
    <t xml:space="preserve">It doesn't matter </t>
  </si>
  <si>
    <t xml:space="preserve">ma bi'assir </t>
  </si>
  <si>
    <t>ما بِأسّر</t>
  </si>
  <si>
    <t>Don't mention it</t>
  </si>
  <si>
    <t>walaw</t>
  </si>
  <si>
    <t>وَلَو</t>
  </si>
  <si>
    <t xml:space="preserve">you're welcome </t>
  </si>
  <si>
    <t>tekram 3aynak/3aynik</t>
  </si>
  <si>
    <t>تكرَم عَينَك/ عَينِك</t>
  </si>
  <si>
    <t>tekram/ tekrameh</t>
  </si>
  <si>
    <t>تِكرَم/ تِكرَمي</t>
  </si>
  <si>
    <t xml:space="preserve">ahla </t>
  </si>
  <si>
    <t>أهلا</t>
  </si>
  <si>
    <t xml:space="preserve">ya 3eib el choum </t>
  </si>
  <si>
    <t>يا عَيب الشوم</t>
  </si>
  <si>
    <t xml:space="preserve">ma tosghar </t>
  </si>
  <si>
    <t>ما تُصغَر</t>
  </si>
  <si>
    <t xml:space="preserve">ma twekhezneih/ ma twekhzineih </t>
  </si>
  <si>
    <t>ما تواخزني/ تواخزيني</t>
  </si>
  <si>
    <t xml:space="preserve">min ba3eid eiznak/ eiznik </t>
  </si>
  <si>
    <t>مِن بَعد إذنَك/ إذنِك</t>
  </si>
  <si>
    <t xml:space="preserve">iza btrid/ btrideh </t>
  </si>
  <si>
    <t>إذا بتريد/ بتريدي</t>
  </si>
  <si>
    <t xml:space="preserve">don't mention it </t>
  </si>
  <si>
    <t>mich baynetna</t>
  </si>
  <si>
    <t>مِش بيناتنا</t>
  </si>
  <si>
    <t>la 3younak/ la 3younik</t>
  </si>
  <si>
    <t>لَعيونَك/ لَعيونِك</t>
  </si>
  <si>
    <t>bi amrak/ b amrik</t>
  </si>
  <si>
    <t>بِأمرَك</t>
  </si>
  <si>
    <t>teslam</t>
  </si>
  <si>
    <t>تسلَم</t>
  </si>
  <si>
    <t>yeslamo hal idein</t>
  </si>
  <si>
    <t>يسلَمو هَل إدين</t>
  </si>
  <si>
    <t>ykhalilna yeik/ yeikeh</t>
  </si>
  <si>
    <t>يخَليلنا ياك</t>
  </si>
  <si>
    <t>ykhalik/ ykhalikeih fo' rasna</t>
  </si>
  <si>
    <t>يخلّيك/ يخَلّيكي فوق راسنا</t>
  </si>
  <si>
    <t>allah yo7fazak</t>
  </si>
  <si>
    <t>الله يُحفَظَك/ يُحفَظِك</t>
  </si>
  <si>
    <t>allah ykhallik</t>
  </si>
  <si>
    <t>الله يخَلّيك/ يخَلّيكي</t>
  </si>
  <si>
    <t>Thank you</t>
  </si>
  <si>
    <t>Yeslamo</t>
  </si>
  <si>
    <t>يِسلَمو</t>
  </si>
  <si>
    <t>ysallemoun</t>
  </si>
  <si>
    <t>يسلّمُن</t>
  </si>
  <si>
    <t>choukran</t>
  </si>
  <si>
    <t>شُكرا"</t>
  </si>
  <si>
    <t>machkour / machkoura</t>
  </si>
  <si>
    <t>مَشكور/ مَشكورَة</t>
  </si>
  <si>
    <t>kellak/ kellik zo2</t>
  </si>
  <si>
    <t>كِلَّك/ كِلِّك زوق</t>
  </si>
  <si>
    <t>khajaltna/ khajaltima</t>
  </si>
  <si>
    <t>خَجَلتنا/ خَجَلتينا</t>
  </si>
  <si>
    <t>ya3tik/ ya3tikeh el 3afyeih</t>
  </si>
  <si>
    <t>يَعطيك/ يَعطيكي العافية</t>
  </si>
  <si>
    <t xml:space="preserve">allah y3afik/ y3afikeh </t>
  </si>
  <si>
    <t>الله يعافيك: يعافيكي</t>
  </si>
  <si>
    <t xml:space="preserve">law samaHet/ law samaHteh </t>
  </si>
  <si>
    <t>Bi sharafak/bi sharafik</t>
  </si>
  <si>
    <t>3andak/3andik meshkleh?</t>
  </si>
  <si>
    <t xml:space="preserve">mish meshkleh </t>
  </si>
  <si>
    <t xml:space="preserve">ya 3eib el shoum </t>
  </si>
  <si>
    <t xml:space="preserve">ma twekhezneh/ ma twekhzeeneh </t>
  </si>
  <si>
    <t xml:space="preserve">min ba3ed eznak/ eznik </t>
  </si>
  <si>
    <t xml:space="preserve">iza btreed/ btreedeh </t>
  </si>
  <si>
    <t>mish bayneitna</t>
  </si>
  <si>
    <t>la 3younak/ 3younik</t>
  </si>
  <si>
    <t>b amrak/ b amrik</t>
  </si>
  <si>
    <t>ykhaleelna yeik/ yeikeh</t>
  </si>
  <si>
    <t>ykhaleek/ ykhaleekeh fo' rasna</t>
  </si>
  <si>
    <t>allah yoHfazak</t>
  </si>
  <si>
    <t>allah ykhalleek</t>
  </si>
  <si>
    <t>yeslamo</t>
  </si>
  <si>
    <t>shoukran</t>
  </si>
  <si>
    <t>mashkour / mashkoura</t>
  </si>
  <si>
    <t>kellak/ kellik zo'</t>
  </si>
  <si>
    <t>khajjaltna/ khajjalteena</t>
  </si>
  <si>
    <t>ya3teek/ ya3teekeh el 3afyeh</t>
  </si>
  <si>
    <t xml:space="preserve">allah y3afeek/ y3afeekeh </t>
  </si>
  <si>
    <t>order</t>
  </si>
  <si>
    <t>title</t>
  </si>
  <si>
    <t>Chapter</t>
  </si>
  <si>
    <t>subchapter</t>
  </si>
  <si>
    <t>your wish is my command</t>
  </si>
  <si>
    <t xml:space="preserve">salutation/ may you be well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</si>
</sst>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2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2"/>
      <color rgb="FF333333"/>
      <name val="Garamond"/>
      <family val="1"/>
    </font>
    <font>
      <sz val="12"/>
      <color theme="1"/>
      <name val="Garamond"/>
      <family val="1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rgb="FF333333"/>
      <name val="Garamond"/>
      <family val="1"/>
    </font>
    <font>
      <sz val="14"/>
      <color theme="1"/>
      <name val="Garamond"/>
      <family val="1"/>
    </font>
    <font>
      <sz val="14"/>
      <color theme="1"/>
      <name val="Arial"/>
      <family val="2"/>
    </font>
    <font>
      <b/>
      <sz val="14"/>
      <color theme="0"/>
      <name val="Garamond"/>
      <family val="1"/>
    </font>
    <font>
      <sz val="14"/>
      <color theme="0"/>
      <name val="Garamond"/>
      <family val="1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Font="1"/>
    <xf numFmtId="0" fontId="10" fillId="0" borderId="0" xfId="1" applyAlignment="1" applyProtection="1"/>
    <xf numFmtId="0" fontId="11" fillId="0" borderId="0" xfId="1" applyFont="1" applyAlignment="1" applyProtection="1"/>
    <xf numFmtId="0" fontId="12" fillId="0" borderId="0" xfId="0" applyFont="1"/>
    <xf numFmtId="0" fontId="0" fillId="0" borderId="0" xfId="0" quotePrefix="1"/>
    <xf numFmtId="20" fontId="0" fillId="0" borderId="0" xfId="0" applyNumberFormat="1"/>
    <xf numFmtId="0" fontId="0" fillId="4" borderId="0" xfId="0" applyFill="1"/>
    <xf numFmtId="20" fontId="0" fillId="4" borderId="0" xfId="0" applyNumberFormat="1" applyFill="1"/>
    <xf numFmtId="0" fontId="13" fillId="4" borderId="0" xfId="0" applyFont="1" applyFill="1"/>
    <xf numFmtId="0" fontId="13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4" fillId="0" borderId="0" xfId="0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12" borderId="7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8" fillId="0" borderId="0" xfId="0" applyFont="1"/>
    <xf numFmtId="0" fontId="15" fillId="0" borderId="7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11" borderId="7" xfId="0" applyFont="1" applyFill="1" applyBorder="1" applyAlignment="1">
      <alignment vertical="center" wrapText="1"/>
    </xf>
    <xf numFmtId="0" fontId="15" fillId="11" borderId="8" xfId="0" applyFont="1" applyFill="1" applyBorder="1" applyAlignment="1">
      <alignment vertical="center" wrapText="1"/>
    </xf>
    <xf numFmtId="0" fontId="15" fillId="11" borderId="9" xfId="0" applyFont="1" applyFill="1" applyBorder="1" applyAlignment="1">
      <alignment vertical="center" wrapText="1"/>
    </xf>
    <xf numFmtId="0" fontId="16" fillId="12" borderId="10" xfId="0" applyFont="1" applyFill="1" applyBorder="1" applyAlignment="1">
      <alignment horizontal="center" vertical="center" wrapText="1"/>
    </xf>
    <xf numFmtId="0" fontId="17" fillId="11" borderId="10" xfId="0" applyFont="1" applyFill="1" applyBorder="1" applyAlignment="1">
      <alignment horizontal="center" vertical="center" wrapText="1"/>
    </xf>
    <xf numFmtId="0" fontId="14" fillId="0" borderId="11" xfId="0" applyFont="1" applyBorder="1"/>
    <xf numFmtId="0" fontId="0" fillId="0" borderId="0" xfId="0" applyAlignment="1"/>
    <xf numFmtId="0" fontId="0" fillId="0" borderId="14" xfId="0" applyBorder="1"/>
    <xf numFmtId="0" fontId="20" fillId="12" borderId="19" xfId="0" applyFont="1" applyFill="1" applyBorder="1" applyAlignment="1">
      <alignment horizontal="center" vertical="center" wrapText="1"/>
    </xf>
    <xf numFmtId="0" fontId="21" fillId="11" borderId="20" xfId="0" applyFont="1" applyFill="1" applyBorder="1" applyAlignment="1">
      <alignment horizontal="center" vertical="center" wrapText="1"/>
    </xf>
    <xf numFmtId="0" fontId="24" fillId="14" borderId="15" xfId="0" applyFont="1" applyFill="1" applyBorder="1" applyAlignment="1">
      <alignment horizontal="center" vertical="center" wrapText="1"/>
    </xf>
    <xf numFmtId="0" fontId="23" fillId="15" borderId="12" xfId="0" applyFont="1" applyFill="1" applyBorder="1" applyAlignment="1">
      <alignment horizontal="center" vertical="center" wrapText="1"/>
    </xf>
    <xf numFmtId="0" fontId="19" fillId="11" borderId="17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164" fontId="22" fillId="14" borderId="13" xfId="0" applyNumberFormat="1" applyFont="1" applyFill="1" applyBorder="1" applyAlignment="1">
      <alignment horizontal="center" vertical="center" wrapText="1"/>
    </xf>
    <xf numFmtId="164" fontId="22" fillId="14" borderId="16" xfId="0" applyNumberFormat="1" applyFont="1" applyFill="1" applyBorder="1" applyAlignment="1">
      <alignment horizontal="center" vertical="center" wrapText="1"/>
    </xf>
    <xf numFmtId="164" fontId="19" fillId="11" borderId="17" xfId="0" applyNumberFormat="1" applyFont="1" applyFill="1" applyBorder="1" applyAlignment="1">
      <alignment horizontal="center" vertical="center" wrapText="1"/>
    </xf>
    <xf numFmtId="164" fontId="19" fillId="11" borderId="18" xfId="0" applyNumberFormat="1" applyFont="1" applyFill="1" applyBorder="1" applyAlignment="1">
      <alignment horizontal="center" vertical="center" wrapText="1"/>
    </xf>
    <xf numFmtId="0" fontId="22" fillId="14" borderId="13" xfId="0" applyFont="1" applyFill="1" applyBorder="1" applyAlignment="1">
      <alignment horizontal="center" vertical="center" wrapText="1"/>
    </xf>
    <xf numFmtId="0" fontId="22" fillId="14" borderId="16" xfId="0" applyFont="1" applyFill="1" applyBorder="1" applyAlignment="1">
      <alignment horizontal="center" vertical="center" wrapText="1"/>
    </xf>
    <xf numFmtId="0" fontId="22" fillId="14" borderId="2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horizontal="center" vertical="center" wrapText="1"/>
    </xf>
    <xf numFmtId="0" fontId="22" fillId="14" borderId="0" xfId="0" applyFont="1" applyFill="1" applyBorder="1" applyAlignment="1">
      <alignment horizontal="center" vertical="center" wrapText="1"/>
    </xf>
    <xf numFmtId="0" fontId="22" fillId="14" borderId="14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border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Lebanese Phrasebook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"/>
  <sheetViews>
    <sheetView topLeftCell="E397" zoomScaleNormal="100" workbookViewId="0">
      <selection activeCell="J397" sqref="A1:J1048576"/>
    </sheetView>
  </sheetViews>
  <sheetFormatPr defaultRowHeight="15" x14ac:dyDescent="0.25"/>
  <cols>
    <col min="1" max="1" width="19.25" style="17" customWidth="1"/>
    <col min="2" max="2" width="50" customWidth="1"/>
    <col min="3" max="3" width="41.625" customWidth="1"/>
    <col min="4" max="4" width="51.125" customWidth="1"/>
    <col min="5" max="5" width="33.75" customWidth="1"/>
  </cols>
  <sheetData>
    <row r="1" spans="1:13" s="20" customFormat="1" x14ac:dyDescent="0.25">
      <c r="A1" s="19" t="s">
        <v>63</v>
      </c>
      <c r="B1" s="20" t="s">
        <v>1537</v>
      </c>
      <c r="C1" s="20" t="s">
        <v>734</v>
      </c>
      <c r="D1" s="20" t="s">
        <v>1820</v>
      </c>
      <c r="E1" s="20" t="s">
        <v>316</v>
      </c>
      <c r="F1" s="20" t="s">
        <v>64</v>
      </c>
      <c r="G1" s="20" t="s">
        <v>2291</v>
      </c>
      <c r="H1" s="20" t="s">
        <v>2290</v>
      </c>
      <c r="I1" s="20" t="s">
        <v>2292</v>
      </c>
      <c r="J1" s="20" t="s">
        <v>2293</v>
      </c>
    </row>
    <row r="2" spans="1:13" x14ac:dyDescent="0.25">
      <c r="A2" s="17" t="s">
        <v>1378</v>
      </c>
      <c r="B2" t="str">
        <f>UPPER(LEFT(A2,1))&amp;LOWER(RIGHT(A2,LEN(A2)-1))</f>
        <v>Time</v>
      </c>
      <c r="C2" t="s">
        <v>1756</v>
      </c>
      <c r="D2" t="s">
        <v>1905</v>
      </c>
      <c r="E2" t="s">
        <v>1391</v>
      </c>
      <c r="F2">
        <v>37</v>
      </c>
      <c r="G2" t="s">
        <v>2068</v>
      </c>
      <c r="H2">
        <v>1</v>
      </c>
      <c r="I2">
        <v>1</v>
      </c>
      <c r="J2">
        <v>1</v>
      </c>
    </row>
    <row r="3" spans="1:13" x14ac:dyDescent="0.25">
      <c r="A3" s="17" t="s">
        <v>1379</v>
      </c>
      <c r="B3" t="str">
        <f>UPPER(LEFT(A3,1))&amp;LOWER(RIGHT(A3,LEN(A3)-1))</f>
        <v>Timing</v>
      </c>
      <c r="C3" t="s">
        <v>1757</v>
      </c>
      <c r="D3" t="s">
        <v>2048</v>
      </c>
      <c r="E3" t="s">
        <v>1392</v>
      </c>
      <c r="F3">
        <v>37</v>
      </c>
      <c r="G3" t="s">
        <v>2068</v>
      </c>
      <c r="H3">
        <v>1</v>
      </c>
      <c r="I3">
        <v>1</v>
      </c>
      <c r="J3">
        <v>1</v>
      </c>
    </row>
    <row r="4" spans="1:13" x14ac:dyDescent="0.25">
      <c r="A4" s="17" t="s">
        <v>1380</v>
      </c>
      <c r="B4" t="str">
        <f>UPPER(LEFT(A4,1))&amp;LOWER(RIGHT(A4,LEN(A4)-1))</f>
        <v>Hour</v>
      </c>
      <c r="C4" t="s">
        <v>1381</v>
      </c>
      <c r="D4" t="s">
        <v>1956</v>
      </c>
      <c r="E4" t="s">
        <v>1393</v>
      </c>
      <c r="F4">
        <v>37</v>
      </c>
      <c r="G4" t="s">
        <v>2068</v>
      </c>
      <c r="H4">
        <v>1</v>
      </c>
      <c r="I4">
        <v>1</v>
      </c>
      <c r="J4">
        <v>1</v>
      </c>
      <c r="L4">
        <v>37</v>
      </c>
      <c r="M4" s="23" t="s">
        <v>2068</v>
      </c>
    </row>
    <row r="5" spans="1:13" x14ac:dyDescent="0.25">
      <c r="A5" s="17" t="s">
        <v>1383</v>
      </c>
      <c r="B5" t="str">
        <f>UPPER(LEFT(A5,1))&amp;LOWER(RIGHT(A5,LEN(A5)-1))</f>
        <v>2 hours</v>
      </c>
      <c r="C5" t="s">
        <v>1620</v>
      </c>
      <c r="D5" t="s">
        <v>1620</v>
      </c>
      <c r="E5" t="s">
        <v>1395</v>
      </c>
      <c r="F5">
        <v>37</v>
      </c>
      <c r="G5" t="s">
        <v>2068</v>
      </c>
      <c r="H5">
        <v>1</v>
      </c>
      <c r="I5">
        <v>1</v>
      </c>
      <c r="J5">
        <v>1</v>
      </c>
      <c r="L5">
        <v>30</v>
      </c>
      <c r="M5" s="23" t="s">
        <v>2071</v>
      </c>
    </row>
    <row r="6" spans="1:13" x14ac:dyDescent="0.25">
      <c r="A6" s="17" t="s">
        <v>1384</v>
      </c>
      <c r="B6" t="str">
        <f>UPPER(LEFT(A6,1))&amp;LOWER(RIGHT(A6,LEN(A6)-1))</f>
        <v xml:space="preserve">Hours </v>
      </c>
      <c r="C6" t="s">
        <v>1621</v>
      </c>
      <c r="D6" t="s">
        <v>1621</v>
      </c>
      <c r="E6" t="s">
        <v>1396</v>
      </c>
      <c r="F6">
        <v>37</v>
      </c>
      <c r="G6" t="s">
        <v>2068</v>
      </c>
      <c r="H6">
        <v>1</v>
      </c>
      <c r="I6">
        <v>1</v>
      </c>
      <c r="J6">
        <v>1</v>
      </c>
      <c r="L6">
        <v>39</v>
      </c>
      <c r="M6" t="s">
        <v>2085</v>
      </c>
    </row>
    <row r="7" spans="1:13" x14ac:dyDescent="0.25">
      <c r="A7" s="17" t="s">
        <v>1386</v>
      </c>
      <c r="B7" t="str">
        <f>UPPER(LEFT(A7,1))&amp;LOWER(RIGHT(A7,LEN(A7)-1))</f>
        <v xml:space="preserve">Minute </v>
      </c>
      <c r="C7" t="s">
        <v>1759</v>
      </c>
      <c r="D7" t="s">
        <v>1759</v>
      </c>
      <c r="E7" t="s">
        <v>1397</v>
      </c>
      <c r="F7">
        <v>37</v>
      </c>
      <c r="G7" t="s">
        <v>2068</v>
      </c>
      <c r="H7">
        <v>1</v>
      </c>
      <c r="I7">
        <v>1</v>
      </c>
      <c r="J7">
        <v>1</v>
      </c>
      <c r="L7">
        <v>38</v>
      </c>
      <c r="M7" t="s">
        <v>2077</v>
      </c>
    </row>
    <row r="8" spans="1:13" x14ac:dyDescent="0.25">
      <c r="A8" s="17" t="s">
        <v>1385</v>
      </c>
      <c r="B8" t="str">
        <f>UPPER(LEFT(A8,1))&amp;LOWER(RIGHT(A8,LEN(A8)-1))</f>
        <v xml:space="preserve">2 minutes </v>
      </c>
      <c r="C8" t="s">
        <v>1760</v>
      </c>
      <c r="D8" t="s">
        <v>1760</v>
      </c>
      <c r="E8" t="s">
        <v>1398</v>
      </c>
      <c r="F8">
        <v>37</v>
      </c>
      <c r="G8" t="s">
        <v>2068</v>
      </c>
      <c r="H8">
        <v>1</v>
      </c>
      <c r="I8">
        <v>1</v>
      </c>
      <c r="J8">
        <v>1</v>
      </c>
      <c r="L8">
        <v>25</v>
      </c>
      <c r="M8" s="21" t="s">
        <v>2079</v>
      </c>
    </row>
    <row r="9" spans="1:13" x14ac:dyDescent="0.25">
      <c r="A9" s="17" t="s">
        <v>1387</v>
      </c>
      <c r="B9" t="str">
        <f>UPPER(LEFT(A9,1))&amp;LOWER(RIGHT(A9,LEN(A9)-1))</f>
        <v xml:space="preserve">Minutes </v>
      </c>
      <c r="C9" t="s">
        <v>1761</v>
      </c>
      <c r="D9" t="s">
        <v>1761</v>
      </c>
      <c r="E9" t="s">
        <v>1399</v>
      </c>
      <c r="F9">
        <v>37</v>
      </c>
      <c r="G9" t="s">
        <v>2068</v>
      </c>
      <c r="H9">
        <v>1</v>
      </c>
      <c r="I9">
        <v>1</v>
      </c>
      <c r="J9">
        <v>1</v>
      </c>
      <c r="L9">
        <v>27</v>
      </c>
      <c r="M9" s="21" t="s">
        <v>2074</v>
      </c>
    </row>
    <row r="10" spans="1:13" x14ac:dyDescent="0.25">
      <c r="A10" s="17" t="s">
        <v>1388</v>
      </c>
      <c r="B10" t="str">
        <f>UPPER(LEFT(A10,1))&amp;LOWER(RIGHT(A10,LEN(A10)-1))</f>
        <v xml:space="preserve">Second </v>
      </c>
      <c r="C10" t="s">
        <v>1762</v>
      </c>
      <c r="D10" t="s">
        <v>1762</v>
      </c>
      <c r="E10" t="s">
        <v>1400</v>
      </c>
      <c r="F10">
        <v>37</v>
      </c>
      <c r="G10" t="s">
        <v>2068</v>
      </c>
      <c r="H10">
        <v>1</v>
      </c>
      <c r="I10">
        <v>1</v>
      </c>
      <c r="J10">
        <v>1</v>
      </c>
      <c r="L10">
        <v>32</v>
      </c>
      <c r="M10" s="21" t="s">
        <v>1281</v>
      </c>
    </row>
    <row r="11" spans="1:13" x14ac:dyDescent="0.25">
      <c r="A11" s="17" t="s">
        <v>1389</v>
      </c>
      <c r="B11" t="str">
        <f>UPPER(LEFT(A11,1))&amp;LOWER(RIGHT(A11,LEN(A11)-1))</f>
        <v xml:space="preserve">2 seconds </v>
      </c>
      <c r="C11" t="s">
        <v>1622</v>
      </c>
      <c r="D11" t="s">
        <v>1622</v>
      </c>
      <c r="E11" t="s">
        <v>1401</v>
      </c>
      <c r="F11">
        <v>37</v>
      </c>
      <c r="G11" t="s">
        <v>2068</v>
      </c>
      <c r="H11">
        <v>1</v>
      </c>
      <c r="I11">
        <v>1</v>
      </c>
      <c r="J11">
        <v>1</v>
      </c>
      <c r="L11">
        <v>29</v>
      </c>
      <c r="M11" s="26" t="s">
        <v>2072</v>
      </c>
    </row>
    <row r="12" spans="1:13" x14ac:dyDescent="0.25">
      <c r="A12" s="17" t="s">
        <v>1390</v>
      </c>
      <c r="B12" t="str">
        <f>UPPER(LEFT(A12,1))&amp;LOWER(RIGHT(A12,LEN(A12)-1))</f>
        <v xml:space="preserve">Seconds </v>
      </c>
      <c r="C12" t="s">
        <v>1763</v>
      </c>
      <c r="D12" t="s">
        <v>1906</v>
      </c>
      <c r="E12" t="s">
        <v>1402</v>
      </c>
      <c r="F12">
        <v>37</v>
      </c>
      <c r="G12" t="s">
        <v>2068</v>
      </c>
      <c r="H12">
        <v>1</v>
      </c>
      <c r="I12">
        <v>1</v>
      </c>
      <c r="J12">
        <v>1</v>
      </c>
      <c r="L12">
        <v>31</v>
      </c>
      <c r="M12" s="26" t="s">
        <v>1238</v>
      </c>
    </row>
    <row r="13" spans="1:13" x14ac:dyDescent="0.25">
      <c r="A13" s="17" t="s">
        <v>1403</v>
      </c>
      <c r="B13" t="str">
        <f>UPPER(LEFT(A13,1))&amp;LOWER(RIGHT(A13,LEN(A13)-1))</f>
        <v>A.m</v>
      </c>
      <c r="C13" t="s">
        <v>1764</v>
      </c>
      <c r="D13" t="s">
        <v>1907</v>
      </c>
      <c r="E13" t="s">
        <v>1408</v>
      </c>
      <c r="F13">
        <v>37</v>
      </c>
      <c r="G13" t="s">
        <v>2068</v>
      </c>
      <c r="H13">
        <v>1</v>
      </c>
      <c r="I13">
        <v>1</v>
      </c>
      <c r="J13">
        <v>1</v>
      </c>
      <c r="L13">
        <v>26</v>
      </c>
      <c r="M13" s="22" t="s">
        <v>2075</v>
      </c>
    </row>
    <row r="14" spans="1:13" x14ac:dyDescent="0.25">
      <c r="A14" s="17" t="s">
        <v>1404</v>
      </c>
      <c r="B14" t="str">
        <f>UPPER(LEFT(A14,1))&amp;LOWER(RIGHT(A14,LEN(A14)-1))</f>
        <v xml:space="preserve">P.m </v>
      </c>
      <c r="C14" t="s">
        <v>1765</v>
      </c>
      <c r="D14" t="s">
        <v>1908</v>
      </c>
      <c r="E14" t="s">
        <v>1409</v>
      </c>
      <c r="F14">
        <v>37</v>
      </c>
      <c r="G14" t="s">
        <v>2068</v>
      </c>
      <c r="H14">
        <v>1</v>
      </c>
      <c r="I14">
        <v>1</v>
      </c>
      <c r="J14">
        <v>1</v>
      </c>
      <c r="L14">
        <v>33</v>
      </c>
      <c r="M14" s="22" t="s">
        <v>2070</v>
      </c>
    </row>
    <row r="15" spans="1:13" x14ac:dyDescent="0.25">
      <c r="A15" s="17" t="s">
        <v>1416</v>
      </c>
      <c r="B15" t="str">
        <f>UPPER(LEFT(A15,1))&amp;LOWER(RIGHT(A15,LEN(A15)-1))</f>
        <v xml:space="preserve">It's late </v>
      </c>
      <c r="C15" t="s">
        <v>1771</v>
      </c>
      <c r="D15" t="s">
        <v>1771</v>
      </c>
      <c r="E15" t="s">
        <v>1421</v>
      </c>
      <c r="F15">
        <v>37</v>
      </c>
      <c r="G15" t="s">
        <v>2068</v>
      </c>
      <c r="H15">
        <v>1</v>
      </c>
      <c r="I15">
        <v>1</v>
      </c>
      <c r="J15">
        <v>1</v>
      </c>
      <c r="L15">
        <v>35</v>
      </c>
      <c r="M15" s="25" t="s">
        <v>2066</v>
      </c>
    </row>
    <row r="16" spans="1:13" x14ac:dyDescent="0.25">
      <c r="A16" s="17" t="s">
        <v>1417</v>
      </c>
      <c r="B16" t="str">
        <f>UPPER(LEFT(A16,1))&amp;LOWER(RIGHT(A16,LEN(A16)-1))</f>
        <v xml:space="preserve">It's early </v>
      </c>
      <c r="C16" t="s">
        <v>1772</v>
      </c>
      <c r="D16" t="s">
        <v>2049</v>
      </c>
      <c r="E16" t="s">
        <v>1422</v>
      </c>
      <c r="F16">
        <v>37</v>
      </c>
      <c r="G16" t="s">
        <v>2068</v>
      </c>
      <c r="H16">
        <v>1</v>
      </c>
      <c r="I16">
        <v>1</v>
      </c>
      <c r="J16">
        <v>1</v>
      </c>
      <c r="L16">
        <v>36</v>
      </c>
      <c r="M16" s="25" t="s">
        <v>2067</v>
      </c>
    </row>
    <row r="17" spans="1:13" x14ac:dyDescent="0.25">
      <c r="A17" s="17" t="s">
        <v>1382</v>
      </c>
      <c r="B17" t="str">
        <f>UPPER(LEFT(A17,1))&amp;LOWER(RIGHT(A17,LEN(A17)-1))</f>
        <v>What time is it?</v>
      </c>
      <c r="C17" t="s">
        <v>1758</v>
      </c>
      <c r="D17" t="s">
        <v>1957</v>
      </c>
      <c r="E17" t="s">
        <v>1394</v>
      </c>
      <c r="F17">
        <v>37</v>
      </c>
      <c r="G17" t="s">
        <v>2068</v>
      </c>
      <c r="H17">
        <v>2</v>
      </c>
      <c r="I17">
        <v>1</v>
      </c>
      <c r="J17">
        <v>1</v>
      </c>
      <c r="L17">
        <v>34</v>
      </c>
      <c r="M17" s="24" t="s">
        <v>2069</v>
      </c>
    </row>
    <row r="18" spans="1:13" x14ac:dyDescent="0.25">
      <c r="A18" s="17" t="s">
        <v>1423</v>
      </c>
      <c r="B18" t="str">
        <f>UPPER(LEFT(A18,1))&amp;LOWER(RIGHT(A18,LEN(A18)-1))</f>
        <v xml:space="preserve">10 to 1 </v>
      </c>
      <c r="C18" t="s">
        <v>1959</v>
      </c>
      <c r="D18" t="s">
        <v>1913</v>
      </c>
      <c r="E18" t="s">
        <v>1426</v>
      </c>
      <c r="F18">
        <v>37</v>
      </c>
      <c r="G18" t="s">
        <v>2068</v>
      </c>
      <c r="H18">
        <v>2</v>
      </c>
      <c r="I18">
        <v>1</v>
      </c>
      <c r="J18">
        <v>1</v>
      </c>
      <c r="L18">
        <v>40</v>
      </c>
      <c r="M18" s="24" t="s">
        <v>2084</v>
      </c>
    </row>
    <row r="19" spans="1:13" x14ac:dyDescent="0.25">
      <c r="A19" s="17" t="s">
        <v>1424</v>
      </c>
      <c r="B19" t="str">
        <f>UPPER(LEFT(A19,1))&amp;LOWER(RIGHT(A19,LEN(A19)-1))</f>
        <v xml:space="preserve">5 past 6 </v>
      </c>
      <c r="C19" t="s">
        <v>1773</v>
      </c>
      <c r="D19" t="s">
        <v>1914</v>
      </c>
      <c r="E19" t="s">
        <v>1427</v>
      </c>
      <c r="F19">
        <v>37</v>
      </c>
      <c r="G19" t="s">
        <v>2068</v>
      </c>
      <c r="H19">
        <v>2</v>
      </c>
      <c r="I19">
        <v>1</v>
      </c>
      <c r="J19">
        <v>1</v>
      </c>
      <c r="L19">
        <v>28</v>
      </c>
      <c r="M19" s="32" t="s">
        <v>2073</v>
      </c>
    </row>
    <row r="20" spans="1:13" x14ac:dyDescent="0.25">
      <c r="A20" s="17" t="s">
        <v>1425</v>
      </c>
      <c r="B20" t="str">
        <f>UPPER(LEFT(A20,1))&amp;LOWER(RIGHT(A20,LEN(A20)-1))</f>
        <v xml:space="preserve">5 to 6 </v>
      </c>
      <c r="C20" t="s">
        <v>1774</v>
      </c>
      <c r="D20" t="s">
        <v>1915</v>
      </c>
      <c r="E20" t="s">
        <v>1428</v>
      </c>
      <c r="F20">
        <v>37</v>
      </c>
      <c r="G20" t="s">
        <v>2068</v>
      </c>
      <c r="H20">
        <v>2</v>
      </c>
      <c r="I20">
        <v>1</v>
      </c>
      <c r="J20">
        <v>1</v>
      </c>
    </row>
    <row r="21" spans="1:13" x14ac:dyDescent="0.25">
      <c r="A21" s="18">
        <v>0.48958333333333331</v>
      </c>
      <c r="B21" s="16">
        <v>0.48958333333333331</v>
      </c>
      <c r="C21" t="s">
        <v>1775</v>
      </c>
      <c r="D21" t="s">
        <v>1870</v>
      </c>
      <c r="E21" t="s">
        <v>1429</v>
      </c>
      <c r="F21">
        <v>37</v>
      </c>
      <c r="G21" t="s">
        <v>2068</v>
      </c>
      <c r="H21">
        <v>2</v>
      </c>
      <c r="I21">
        <v>1</v>
      </c>
      <c r="J21">
        <v>1</v>
      </c>
    </row>
    <row r="22" spans="1:13" x14ac:dyDescent="0.25">
      <c r="A22" s="18">
        <v>0.10416666666666667</v>
      </c>
      <c r="B22" s="16">
        <v>0.10416666666666667</v>
      </c>
      <c r="C22" t="s">
        <v>1624</v>
      </c>
      <c r="D22" t="s">
        <v>1624</v>
      </c>
      <c r="E22" t="s">
        <v>1430</v>
      </c>
      <c r="F22">
        <v>37</v>
      </c>
      <c r="G22" t="s">
        <v>2068</v>
      </c>
      <c r="H22">
        <v>2</v>
      </c>
      <c r="I22">
        <v>1</v>
      </c>
      <c r="J22">
        <v>1</v>
      </c>
    </row>
    <row r="23" spans="1:13" x14ac:dyDescent="0.25">
      <c r="A23" s="18">
        <v>0.1423611111111111</v>
      </c>
      <c r="B23" s="16">
        <v>0.1423611111111111</v>
      </c>
      <c r="C23" t="s">
        <v>1776</v>
      </c>
      <c r="D23" t="s">
        <v>1916</v>
      </c>
      <c r="E23" t="s">
        <v>1431</v>
      </c>
      <c r="F23">
        <v>37</v>
      </c>
      <c r="G23" t="s">
        <v>2068</v>
      </c>
      <c r="H23">
        <v>2</v>
      </c>
      <c r="I23">
        <v>1</v>
      </c>
      <c r="J23">
        <v>1</v>
      </c>
    </row>
    <row r="24" spans="1:13" x14ac:dyDescent="0.25">
      <c r="A24" s="18">
        <v>0.14930555555555555</v>
      </c>
      <c r="B24" s="16">
        <v>0.14930555555555555</v>
      </c>
      <c r="C24" t="s">
        <v>1777</v>
      </c>
      <c r="D24" t="s">
        <v>1917</v>
      </c>
      <c r="E24" t="s">
        <v>1432</v>
      </c>
      <c r="F24">
        <v>37</v>
      </c>
      <c r="G24" t="s">
        <v>2068</v>
      </c>
      <c r="H24">
        <v>2</v>
      </c>
      <c r="I24">
        <v>1</v>
      </c>
      <c r="J24">
        <v>1</v>
      </c>
    </row>
    <row r="25" spans="1:13" x14ac:dyDescent="0.25">
      <c r="A25" s="18">
        <v>0.13541666666666666</v>
      </c>
      <c r="B25" s="16">
        <v>0.13541666666666666</v>
      </c>
      <c r="C25" t="s">
        <v>1778</v>
      </c>
      <c r="D25" t="s">
        <v>1918</v>
      </c>
      <c r="E25" t="s">
        <v>1433</v>
      </c>
      <c r="F25">
        <v>37</v>
      </c>
      <c r="G25" t="s">
        <v>2068</v>
      </c>
      <c r="H25">
        <v>2</v>
      </c>
      <c r="I25">
        <v>1</v>
      </c>
      <c r="J25">
        <v>1</v>
      </c>
    </row>
    <row r="26" spans="1:13" x14ac:dyDescent="0.25">
      <c r="A26" s="18">
        <v>0.1388888888888889</v>
      </c>
      <c r="B26" s="16">
        <v>0.1388888888888889</v>
      </c>
      <c r="C26" t="s">
        <v>1779</v>
      </c>
      <c r="D26" t="s">
        <v>1919</v>
      </c>
      <c r="E26" t="s">
        <v>1434</v>
      </c>
      <c r="F26">
        <v>37</v>
      </c>
      <c r="G26" t="s">
        <v>2068</v>
      </c>
      <c r="H26">
        <v>2</v>
      </c>
      <c r="I26">
        <v>1</v>
      </c>
      <c r="J26">
        <v>1</v>
      </c>
    </row>
    <row r="27" spans="1:13" x14ac:dyDescent="0.25">
      <c r="A27" s="18">
        <v>0.15277777777777776</v>
      </c>
      <c r="B27" s="16">
        <v>0.15277777777777776</v>
      </c>
      <c r="C27" s="15" t="s">
        <v>1625</v>
      </c>
      <c r="D27" s="15" t="s">
        <v>1847</v>
      </c>
      <c r="E27" t="s">
        <v>1435</v>
      </c>
      <c r="F27">
        <v>37</v>
      </c>
      <c r="G27" t="s">
        <v>2068</v>
      </c>
      <c r="H27">
        <v>2</v>
      </c>
      <c r="I27">
        <v>1</v>
      </c>
      <c r="J27">
        <v>1</v>
      </c>
    </row>
    <row r="28" spans="1:13" x14ac:dyDescent="0.25">
      <c r="A28" s="17" t="s">
        <v>1405</v>
      </c>
      <c r="B28" t="str">
        <f>UPPER(LEFT(A28,1))&amp;LOWER(RIGHT(A28,LEN(A28)-1))</f>
        <v xml:space="preserve">I'll be there in an hour or two </v>
      </c>
      <c r="C28" t="s">
        <v>1766</v>
      </c>
      <c r="D28" t="s">
        <v>1909</v>
      </c>
      <c r="E28" t="s">
        <v>1410</v>
      </c>
      <c r="F28">
        <v>37</v>
      </c>
      <c r="G28" t="s">
        <v>2068</v>
      </c>
      <c r="H28">
        <v>3</v>
      </c>
      <c r="I28">
        <v>1</v>
      </c>
      <c r="J28">
        <v>1</v>
      </c>
    </row>
    <row r="29" spans="1:13" x14ac:dyDescent="0.25">
      <c r="A29" s="17" t="s">
        <v>1406</v>
      </c>
      <c r="B29" t="str">
        <f>UPPER(LEFT(A29,1))&amp;LOWER(RIGHT(A29,LEN(A29)-1))</f>
        <v xml:space="preserve">I waited for yu for half an hour </v>
      </c>
      <c r="C29" t="s">
        <v>1767</v>
      </c>
      <c r="D29" t="s">
        <v>1958</v>
      </c>
      <c r="E29" t="s">
        <v>1411</v>
      </c>
      <c r="F29">
        <v>37</v>
      </c>
      <c r="G29" t="s">
        <v>2068</v>
      </c>
      <c r="H29">
        <v>3</v>
      </c>
      <c r="I29">
        <v>1</v>
      </c>
      <c r="J29">
        <v>1</v>
      </c>
    </row>
    <row r="30" spans="1:13" x14ac:dyDescent="0.25">
      <c r="A30" s="17" t="s">
        <v>1407</v>
      </c>
      <c r="B30" t="str">
        <f>UPPER(LEFT(A30,1))&amp;LOWER(RIGHT(A30,LEN(A30)-1))</f>
        <v xml:space="preserve">My sister is arriving in 3 hours </v>
      </c>
      <c r="C30" t="s">
        <v>1768</v>
      </c>
      <c r="D30" t="s">
        <v>1910</v>
      </c>
      <c r="E30" t="s">
        <v>1412</v>
      </c>
      <c r="F30">
        <v>37</v>
      </c>
      <c r="G30" t="s">
        <v>2068</v>
      </c>
      <c r="H30">
        <v>3</v>
      </c>
      <c r="I30">
        <v>1</v>
      </c>
      <c r="J30">
        <v>1</v>
      </c>
    </row>
    <row r="31" spans="1:13" x14ac:dyDescent="0.25">
      <c r="A31" s="17" t="s">
        <v>1413</v>
      </c>
      <c r="B31" t="str">
        <f>UPPER(LEFT(A31,1))&amp;LOWER(RIGHT(A31,LEN(A31)-1))</f>
        <v>1 minute and i will be with you</v>
      </c>
      <c r="C31" t="s">
        <v>1769</v>
      </c>
      <c r="D31" t="s">
        <v>1769</v>
      </c>
      <c r="E31" t="s">
        <v>1418</v>
      </c>
      <c r="F31">
        <v>37</v>
      </c>
      <c r="G31" t="s">
        <v>2068</v>
      </c>
      <c r="H31">
        <v>3</v>
      </c>
      <c r="I31">
        <v>1</v>
      </c>
      <c r="J31">
        <v>1</v>
      </c>
    </row>
    <row r="32" spans="1:13" x14ac:dyDescent="0.25">
      <c r="A32" s="17" t="s">
        <v>1414</v>
      </c>
      <c r="B32" t="str">
        <f>UPPER(LEFT(A32,1))&amp;LOWER(RIGHT(A32,LEN(A32)-1))</f>
        <v>What time is it in canada time?</v>
      </c>
      <c r="C32" t="s">
        <v>1770</v>
      </c>
      <c r="D32" t="s">
        <v>1911</v>
      </c>
      <c r="E32" t="s">
        <v>1419</v>
      </c>
      <c r="F32">
        <v>37</v>
      </c>
      <c r="G32" t="s">
        <v>2068</v>
      </c>
      <c r="H32">
        <v>3</v>
      </c>
      <c r="I32">
        <v>1</v>
      </c>
      <c r="J32">
        <v>1</v>
      </c>
    </row>
    <row r="33" spans="1:10" x14ac:dyDescent="0.25">
      <c r="A33" s="17" t="s">
        <v>1415</v>
      </c>
      <c r="B33" t="str">
        <f>UPPER(LEFT(A33,1))&amp;LOWER(RIGHT(A33,LEN(A33)-1))</f>
        <v xml:space="preserve">I have a meeting tomorrow at 5 pm </v>
      </c>
      <c r="C33" t="s">
        <v>1623</v>
      </c>
      <c r="D33" t="s">
        <v>1912</v>
      </c>
      <c r="E33" t="s">
        <v>1420</v>
      </c>
      <c r="F33">
        <v>37</v>
      </c>
      <c r="G33" t="s">
        <v>2068</v>
      </c>
      <c r="H33">
        <v>3</v>
      </c>
      <c r="I33">
        <v>1</v>
      </c>
      <c r="J33">
        <v>1</v>
      </c>
    </row>
    <row r="34" spans="1:10" x14ac:dyDescent="0.25">
      <c r="A34" s="17" t="s">
        <v>1179</v>
      </c>
      <c r="B34" t="str">
        <f>UPPER(LEFT(A34,1))&amp;LOWER(RIGHT(A34,LEN(A34)-1))</f>
        <v>Why</v>
      </c>
      <c r="C34" t="s">
        <v>1660</v>
      </c>
      <c r="D34" t="s">
        <v>1992</v>
      </c>
      <c r="E34" t="s">
        <v>1230</v>
      </c>
      <c r="F34">
        <v>30</v>
      </c>
      <c r="G34" t="s">
        <v>2071</v>
      </c>
      <c r="H34">
        <v>1</v>
      </c>
      <c r="I34">
        <v>1</v>
      </c>
      <c r="J34">
        <v>2</v>
      </c>
    </row>
    <row r="35" spans="1:10" x14ac:dyDescent="0.25">
      <c r="A35" s="17" t="s">
        <v>1181</v>
      </c>
      <c r="B35" t="str">
        <f>UPPER(LEFT(A35,1))&amp;LOWER(RIGHT(A35,LEN(A35)-1))</f>
        <v xml:space="preserve">When </v>
      </c>
      <c r="C35" t="s">
        <v>1662</v>
      </c>
      <c r="D35" t="s">
        <v>1993</v>
      </c>
      <c r="E35" t="s">
        <v>1228</v>
      </c>
      <c r="F35">
        <v>30</v>
      </c>
      <c r="G35" t="s">
        <v>2071</v>
      </c>
      <c r="H35">
        <v>1</v>
      </c>
      <c r="I35">
        <v>1</v>
      </c>
      <c r="J35">
        <v>2</v>
      </c>
    </row>
    <row r="36" spans="1:10" x14ac:dyDescent="0.25">
      <c r="A36" s="17" t="s">
        <v>1183</v>
      </c>
      <c r="B36" t="str">
        <f>UPPER(LEFT(A36,1))&amp;LOWER(RIGHT(A36,LEN(A36)-1))</f>
        <v xml:space="preserve">Who </v>
      </c>
      <c r="C36" t="s">
        <v>1664</v>
      </c>
      <c r="D36" t="s">
        <v>1996</v>
      </c>
      <c r="E36" t="s">
        <v>1226</v>
      </c>
      <c r="F36">
        <v>30</v>
      </c>
      <c r="G36" t="s">
        <v>2071</v>
      </c>
      <c r="H36">
        <v>1</v>
      </c>
      <c r="I36">
        <v>1</v>
      </c>
      <c r="J36">
        <v>2</v>
      </c>
    </row>
    <row r="37" spans="1:10" x14ac:dyDescent="0.25">
      <c r="A37" s="17" t="s">
        <v>1185</v>
      </c>
      <c r="B37" t="str">
        <f>UPPER(LEFT(A37,1))&amp;LOWER(RIGHT(A37,LEN(A37)-1))</f>
        <v xml:space="preserve">How </v>
      </c>
      <c r="C37" t="s">
        <v>479</v>
      </c>
      <c r="D37" t="s">
        <v>1998</v>
      </c>
      <c r="E37" t="s">
        <v>1224</v>
      </c>
      <c r="F37">
        <v>30</v>
      </c>
      <c r="G37" t="s">
        <v>2071</v>
      </c>
      <c r="H37">
        <v>1</v>
      </c>
      <c r="I37">
        <v>1</v>
      </c>
      <c r="J37">
        <v>2</v>
      </c>
    </row>
    <row r="38" spans="1:10" x14ac:dyDescent="0.25">
      <c r="A38" s="17" t="s">
        <v>1190</v>
      </c>
      <c r="B38" t="str">
        <f>UPPER(LEFT(A38,1))&amp;LOWER(RIGHT(A38,LEN(A38)-1))</f>
        <v xml:space="preserve">What </v>
      </c>
      <c r="C38" t="s">
        <v>1668</v>
      </c>
      <c r="D38" t="s">
        <v>2003</v>
      </c>
      <c r="E38" t="s">
        <v>1219</v>
      </c>
      <c r="F38">
        <v>30</v>
      </c>
      <c r="G38" t="s">
        <v>2071</v>
      </c>
      <c r="H38">
        <v>1</v>
      </c>
      <c r="I38">
        <v>1</v>
      </c>
      <c r="J38">
        <v>2</v>
      </c>
    </row>
    <row r="39" spans="1:10" x14ac:dyDescent="0.25">
      <c r="A39" s="17" t="s">
        <v>1192</v>
      </c>
      <c r="B39" t="str">
        <f>UPPER(LEFT(A39,1))&amp;LOWER(RIGHT(A39,LEN(A39)-1))</f>
        <v xml:space="preserve">Where </v>
      </c>
      <c r="C39" t="s">
        <v>477</v>
      </c>
      <c r="D39" t="s">
        <v>2005</v>
      </c>
      <c r="E39" t="s">
        <v>1217</v>
      </c>
      <c r="F39">
        <v>30</v>
      </c>
      <c r="G39" t="s">
        <v>2071</v>
      </c>
      <c r="H39">
        <v>1</v>
      </c>
      <c r="I39">
        <v>1</v>
      </c>
      <c r="J39">
        <v>2</v>
      </c>
    </row>
    <row r="40" spans="1:10" x14ac:dyDescent="0.25">
      <c r="A40" s="17" t="s">
        <v>1194</v>
      </c>
      <c r="B40" t="str">
        <f>UPPER(LEFT(A40,1))&amp;LOWER(RIGHT(A40,LEN(A40)-1))</f>
        <v xml:space="preserve">What for </v>
      </c>
      <c r="C40" t="s">
        <v>1671</v>
      </c>
      <c r="D40" t="s">
        <v>2007</v>
      </c>
      <c r="E40" t="s">
        <v>1215</v>
      </c>
      <c r="F40">
        <v>30</v>
      </c>
      <c r="G40" t="s">
        <v>2071</v>
      </c>
      <c r="H40">
        <v>1</v>
      </c>
      <c r="I40">
        <v>1</v>
      </c>
      <c r="J40">
        <v>2</v>
      </c>
    </row>
    <row r="41" spans="1:10" x14ac:dyDescent="0.25">
      <c r="A41" s="17" t="s">
        <v>1196</v>
      </c>
      <c r="B41" t="str">
        <f>UPPER(LEFT(A41,1))&amp;LOWER(RIGHT(A41,LEN(A41)-1))</f>
        <v xml:space="preserve">Since when </v>
      </c>
      <c r="C41" t="s">
        <v>1673</v>
      </c>
      <c r="D41" t="s">
        <v>2009</v>
      </c>
      <c r="E41" t="s">
        <v>1213</v>
      </c>
      <c r="F41">
        <v>30</v>
      </c>
      <c r="G41" t="s">
        <v>2071</v>
      </c>
      <c r="H41">
        <v>1</v>
      </c>
      <c r="I41">
        <v>1</v>
      </c>
      <c r="J41">
        <v>2</v>
      </c>
    </row>
    <row r="42" spans="1:10" x14ac:dyDescent="0.25">
      <c r="A42" s="17" t="s">
        <v>1198</v>
      </c>
      <c r="B42" t="str">
        <f>UPPER(LEFT(A42,1))&amp;LOWER(RIGHT(A42,LEN(A42)-1))</f>
        <v>Why not</v>
      </c>
      <c r="C42" t="s">
        <v>1675</v>
      </c>
      <c r="D42" t="s">
        <v>2011</v>
      </c>
      <c r="E42" t="s">
        <v>1211</v>
      </c>
      <c r="F42">
        <v>30</v>
      </c>
      <c r="G42" t="s">
        <v>2071</v>
      </c>
      <c r="H42">
        <v>1</v>
      </c>
      <c r="I42">
        <v>1</v>
      </c>
      <c r="J42">
        <v>2</v>
      </c>
    </row>
    <row r="43" spans="1:10" x14ac:dyDescent="0.25">
      <c r="A43" s="17" t="s">
        <v>1199</v>
      </c>
      <c r="B43" t="str">
        <f>UPPER(LEFT(A43,1))&amp;LOWER(RIGHT(A43,LEN(A43)-1))</f>
        <v xml:space="preserve">What else </v>
      </c>
      <c r="C43" t="s">
        <v>1676</v>
      </c>
      <c r="D43" t="s">
        <v>2012</v>
      </c>
      <c r="E43" t="s">
        <v>1210</v>
      </c>
      <c r="F43">
        <v>30</v>
      </c>
      <c r="G43" t="s">
        <v>2071</v>
      </c>
      <c r="H43">
        <v>1</v>
      </c>
      <c r="I43">
        <v>1</v>
      </c>
      <c r="J43">
        <v>2</v>
      </c>
    </row>
    <row r="44" spans="1:10" x14ac:dyDescent="0.25">
      <c r="A44" s="17" t="s">
        <v>1201</v>
      </c>
      <c r="B44" t="str">
        <f>UPPER(LEFT(A44,1))&amp;LOWER(RIGHT(A44,LEN(A44)-1))</f>
        <v>How come</v>
      </c>
      <c r="C44" t="s">
        <v>1678</v>
      </c>
      <c r="D44" t="s">
        <v>2014</v>
      </c>
      <c r="E44" t="s">
        <v>1208</v>
      </c>
      <c r="F44">
        <v>30</v>
      </c>
      <c r="G44" t="s">
        <v>2071</v>
      </c>
      <c r="H44">
        <v>1</v>
      </c>
      <c r="I44">
        <v>1</v>
      </c>
      <c r="J44">
        <v>2</v>
      </c>
    </row>
    <row r="45" spans="1:10" x14ac:dyDescent="0.25">
      <c r="A45" s="17" t="s">
        <v>1203</v>
      </c>
      <c r="B45" t="str">
        <f>UPPER(LEFT(A45,1))&amp;LOWER(RIGHT(A45,LEN(A45)-1))</f>
        <v xml:space="preserve">How much </v>
      </c>
      <c r="C45" t="s">
        <v>1680</v>
      </c>
      <c r="D45" t="s">
        <v>2016</v>
      </c>
      <c r="E45" t="s">
        <v>1206</v>
      </c>
      <c r="F45">
        <v>30</v>
      </c>
      <c r="G45" t="s">
        <v>2071</v>
      </c>
      <c r="H45">
        <v>1</v>
      </c>
      <c r="I45">
        <v>1</v>
      </c>
      <c r="J45">
        <v>2</v>
      </c>
    </row>
    <row r="46" spans="1:10" x14ac:dyDescent="0.25">
      <c r="A46" s="17" t="s">
        <v>1180</v>
      </c>
      <c r="B46" t="str">
        <f>UPPER(LEFT(A46,1))&amp;LOWER(RIGHT(A46,LEN(A46)-1))</f>
        <v>Why are you angry</v>
      </c>
      <c r="C46" t="s">
        <v>1661</v>
      </c>
      <c r="D46" t="s">
        <v>1994</v>
      </c>
      <c r="E46" t="s">
        <v>1229</v>
      </c>
      <c r="F46">
        <v>30</v>
      </c>
      <c r="G46" t="s">
        <v>2071</v>
      </c>
      <c r="H46">
        <v>2</v>
      </c>
      <c r="I46">
        <v>1</v>
      </c>
      <c r="J46">
        <v>2</v>
      </c>
    </row>
    <row r="47" spans="1:10" x14ac:dyDescent="0.25">
      <c r="A47" s="17" t="s">
        <v>1182</v>
      </c>
      <c r="B47" t="str">
        <f>UPPER(LEFT(A47,1))&amp;LOWER(RIGHT(A47,LEN(A47)-1))</f>
        <v xml:space="preserve">When are you traveling </v>
      </c>
      <c r="C47" t="s">
        <v>1663</v>
      </c>
      <c r="D47" t="s">
        <v>1995</v>
      </c>
      <c r="E47" t="s">
        <v>1227</v>
      </c>
      <c r="F47">
        <v>30</v>
      </c>
      <c r="G47" t="s">
        <v>2071</v>
      </c>
      <c r="H47">
        <v>2</v>
      </c>
      <c r="I47">
        <v>1</v>
      </c>
      <c r="J47">
        <v>2</v>
      </c>
    </row>
    <row r="48" spans="1:10" x14ac:dyDescent="0.25">
      <c r="A48" s="17" t="s">
        <v>1184</v>
      </c>
      <c r="B48" t="str">
        <f>UPPER(LEFT(A48,1))&amp;LOWER(RIGHT(A48,LEN(A48)-1))</f>
        <v xml:space="preserve">Who is coming to the party </v>
      </c>
      <c r="C48" t="s">
        <v>1665</v>
      </c>
      <c r="D48" t="s">
        <v>1997</v>
      </c>
      <c r="E48" t="s">
        <v>1225</v>
      </c>
      <c r="F48">
        <v>30</v>
      </c>
      <c r="G48" t="s">
        <v>2071</v>
      </c>
      <c r="H48">
        <v>2</v>
      </c>
      <c r="I48">
        <v>1</v>
      </c>
      <c r="J48">
        <v>2</v>
      </c>
    </row>
    <row r="49" spans="1:13" x14ac:dyDescent="0.25">
      <c r="A49" s="17" t="s">
        <v>1186</v>
      </c>
      <c r="B49" t="str">
        <f>UPPER(LEFT(A49,1))&amp;LOWER(RIGHT(A49,LEN(A49)-1))</f>
        <v xml:space="preserve">How are you today </v>
      </c>
      <c r="C49" t="s">
        <v>1597</v>
      </c>
      <c r="D49" t="s">
        <v>1999</v>
      </c>
      <c r="E49" t="s">
        <v>1223</v>
      </c>
      <c r="F49">
        <v>30</v>
      </c>
      <c r="G49" t="s">
        <v>2071</v>
      </c>
      <c r="H49">
        <v>2</v>
      </c>
      <c r="I49">
        <v>1</v>
      </c>
      <c r="J49">
        <v>2</v>
      </c>
    </row>
    <row r="50" spans="1:13" x14ac:dyDescent="0.25">
      <c r="A50" s="17" t="s">
        <v>1188</v>
      </c>
      <c r="B50" t="str">
        <f>UPPER(LEFT(A50,1))&amp;LOWER(RIGHT(A50,LEN(A50)-1))</f>
        <v xml:space="preserve">How is your father </v>
      </c>
      <c r="C50" t="s">
        <v>1666</v>
      </c>
      <c r="D50" t="s">
        <v>2000</v>
      </c>
      <c r="E50" t="s">
        <v>1222</v>
      </c>
      <c r="F50">
        <v>30</v>
      </c>
      <c r="G50" t="s">
        <v>2071</v>
      </c>
      <c r="H50">
        <v>2</v>
      </c>
      <c r="I50">
        <v>1</v>
      </c>
      <c r="J50">
        <v>2</v>
      </c>
    </row>
    <row r="51" spans="1:13" x14ac:dyDescent="0.25">
      <c r="A51" s="17" t="s">
        <v>1187</v>
      </c>
      <c r="B51" t="str">
        <f>UPPER(LEFT(A51,1))&amp;LOWER(RIGHT(A51,LEN(A51)-1))</f>
        <v xml:space="preserve">How is your mother </v>
      </c>
      <c r="C51" t="s">
        <v>1667</v>
      </c>
      <c r="D51" t="s">
        <v>2001</v>
      </c>
      <c r="E51" t="s">
        <v>1221</v>
      </c>
      <c r="F51">
        <v>30</v>
      </c>
      <c r="G51" t="s">
        <v>2071</v>
      </c>
      <c r="H51">
        <v>2</v>
      </c>
      <c r="I51">
        <v>1</v>
      </c>
      <c r="J51">
        <v>2</v>
      </c>
    </row>
    <row r="52" spans="1:13" x14ac:dyDescent="0.25">
      <c r="A52" s="17" t="s">
        <v>1189</v>
      </c>
      <c r="B52" t="str">
        <f>UPPER(LEFT(A52,1))&amp;LOWER(RIGHT(A52,LEN(A52)-1))</f>
        <v xml:space="preserve">How are your children </v>
      </c>
      <c r="C52" t="s">
        <v>1598</v>
      </c>
      <c r="D52" t="s">
        <v>2002</v>
      </c>
      <c r="E52" t="s">
        <v>1220</v>
      </c>
      <c r="F52">
        <v>30</v>
      </c>
      <c r="G52" t="s">
        <v>2071</v>
      </c>
      <c r="H52">
        <v>2</v>
      </c>
      <c r="I52">
        <v>1</v>
      </c>
      <c r="J52">
        <v>2</v>
      </c>
    </row>
    <row r="53" spans="1:13" x14ac:dyDescent="0.25">
      <c r="A53" s="17" t="s">
        <v>1191</v>
      </c>
      <c r="B53" t="str">
        <f>UPPER(LEFT(A53,1))&amp;LOWER(RIGHT(A53,LEN(A53)-1))</f>
        <v xml:space="preserve">What is wrong with you </v>
      </c>
      <c r="C53" t="s">
        <v>1669</v>
      </c>
      <c r="D53" t="s">
        <v>2004</v>
      </c>
      <c r="E53" t="s">
        <v>1218</v>
      </c>
      <c r="F53">
        <v>30</v>
      </c>
      <c r="G53" t="s">
        <v>2071</v>
      </c>
      <c r="H53">
        <v>2</v>
      </c>
      <c r="I53">
        <v>1</v>
      </c>
      <c r="J53">
        <v>2</v>
      </c>
    </row>
    <row r="54" spans="1:13" x14ac:dyDescent="0.25">
      <c r="A54" s="17" t="s">
        <v>1193</v>
      </c>
      <c r="B54" t="str">
        <f>UPPER(LEFT(A54,1))&amp;LOWER(RIGHT(A54,LEN(A54)-1))</f>
        <v>Where are you going</v>
      </c>
      <c r="C54" t="s">
        <v>1670</v>
      </c>
      <c r="D54" t="s">
        <v>2006</v>
      </c>
      <c r="E54" t="s">
        <v>1216</v>
      </c>
      <c r="F54">
        <v>30</v>
      </c>
      <c r="G54" t="s">
        <v>2071</v>
      </c>
      <c r="H54">
        <v>2</v>
      </c>
      <c r="I54">
        <v>1</v>
      </c>
      <c r="J54">
        <v>2</v>
      </c>
    </row>
    <row r="55" spans="1:13" x14ac:dyDescent="0.25">
      <c r="A55" s="17" t="s">
        <v>1195</v>
      </c>
      <c r="B55" t="str">
        <f>UPPER(LEFT(A55,1))&amp;LOWER(RIGHT(A55,LEN(A55)-1))</f>
        <v xml:space="preserve">What are these mugs for </v>
      </c>
      <c r="C55" t="s">
        <v>1672</v>
      </c>
      <c r="D55" t="s">
        <v>2008</v>
      </c>
      <c r="E55" t="s">
        <v>1214</v>
      </c>
      <c r="F55">
        <v>30</v>
      </c>
      <c r="G55" t="s">
        <v>2071</v>
      </c>
      <c r="H55">
        <v>2</v>
      </c>
      <c r="I55">
        <v>1</v>
      </c>
      <c r="J55">
        <v>2</v>
      </c>
    </row>
    <row r="56" spans="1:13" x14ac:dyDescent="0.25">
      <c r="A56" s="17" t="s">
        <v>1197</v>
      </c>
      <c r="B56" t="str">
        <f>UPPER(LEFT(A56,1))&amp;LOWER(RIGHT(A56,LEN(A56)-1))</f>
        <v xml:space="preserve">Since when do you wear black </v>
      </c>
      <c r="C56" t="s">
        <v>1674</v>
      </c>
      <c r="D56" t="s">
        <v>2010</v>
      </c>
      <c r="E56" t="s">
        <v>1212</v>
      </c>
      <c r="F56">
        <v>30</v>
      </c>
      <c r="G56" t="s">
        <v>2071</v>
      </c>
      <c r="H56">
        <v>2</v>
      </c>
      <c r="I56">
        <v>1</v>
      </c>
      <c r="J56">
        <v>2</v>
      </c>
    </row>
    <row r="57" spans="1:13" x14ac:dyDescent="0.25">
      <c r="A57" s="17" t="s">
        <v>1200</v>
      </c>
      <c r="B57" t="str">
        <f>UPPER(LEFT(A57,1))&amp;LOWER(RIGHT(A57,LEN(A57)-1))</f>
        <v xml:space="preserve">What else do you suggest </v>
      </c>
      <c r="C57" t="s">
        <v>1677</v>
      </c>
      <c r="D57" t="s">
        <v>2013</v>
      </c>
      <c r="E57" t="s">
        <v>1209</v>
      </c>
      <c r="F57">
        <v>30</v>
      </c>
      <c r="G57" t="s">
        <v>2071</v>
      </c>
      <c r="H57">
        <v>2</v>
      </c>
      <c r="I57">
        <v>1</v>
      </c>
      <c r="J57">
        <v>2</v>
      </c>
    </row>
    <row r="58" spans="1:13" x14ac:dyDescent="0.25">
      <c r="A58" s="17" t="s">
        <v>1202</v>
      </c>
      <c r="B58" t="str">
        <f>UPPER(LEFT(A58,1))&amp;LOWER(RIGHT(A58,LEN(A58)-1))</f>
        <v xml:space="preserve">How come you are here </v>
      </c>
      <c r="C58" t="s">
        <v>1679</v>
      </c>
      <c r="D58" t="s">
        <v>2015</v>
      </c>
      <c r="E58" t="s">
        <v>1207</v>
      </c>
      <c r="F58">
        <v>30</v>
      </c>
      <c r="G58" t="s">
        <v>2071</v>
      </c>
      <c r="H58">
        <v>2</v>
      </c>
      <c r="I58">
        <v>1</v>
      </c>
      <c r="J58">
        <v>2</v>
      </c>
    </row>
    <row r="59" spans="1:13" x14ac:dyDescent="0.25">
      <c r="A59" s="17" t="s">
        <v>1204</v>
      </c>
      <c r="B59" t="str">
        <f>UPPER(LEFT(A59,1))&amp;LOWER(RIGHT(A59,LEN(A59)-1))</f>
        <v xml:space="preserve">How much does it cost </v>
      </c>
      <c r="C59" t="s">
        <v>1681</v>
      </c>
      <c r="D59" t="s">
        <v>2017</v>
      </c>
      <c r="E59" t="s">
        <v>1205</v>
      </c>
      <c r="F59">
        <v>30</v>
      </c>
      <c r="G59" t="s">
        <v>2071</v>
      </c>
      <c r="H59">
        <v>2</v>
      </c>
      <c r="I59">
        <v>1</v>
      </c>
      <c r="J59">
        <v>2</v>
      </c>
    </row>
    <row r="60" spans="1:13" ht="15.75" x14ac:dyDescent="0.25">
      <c r="A60" s="17" t="s">
        <v>2088</v>
      </c>
      <c r="B60" t="str">
        <f>UPPER(LEFT(A60,1))&amp;LOWER(RIGHT(A60,LEN(A60)-1))</f>
        <v>I love</v>
      </c>
      <c r="C60" t="s">
        <v>2089</v>
      </c>
      <c r="D60" t="s">
        <v>2186</v>
      </c>
      <c r="E60" s="33" t="s">
        <v>2090</v>
      </c>
      <c r="F60">
        <v>39</v>
      </c>
      <c r="G60" t="s">
        <v>2176</v>
      </c>
      <c r="H60">
        <v>1</v>
      </c>
      <c r="I60">
        <v>2</v>
      </c>
      <c r="J60">
        <v>1</v>
      </c>
    </row>
    <row r="61" spans="1:13" ht="15.75" x14ac:dyDescent="0.25">
      <c r="A61" s="17" t="s">
        <v>2091</v>
      </c>
      <c r="B61" t="str">
        <f>UPPER(LEFT(A61,1))&amp;LOWER(RIGHT(A61,LEN(A61)-1))</f>
        <v>You love</v>
      </c>
      <c r="C61" t="s">
        <v>2092</v>
      </c>
      <c r="D61" t="s">
        <v>2187</v>
      </c>
      <c r="E61" s="33" t="s">
        <v>2093</v>
      </c>
      <c r="F61">
        <v>39</v>
      </c>
      <c r="G61" t="s">
        <v>2176</v>
      </c>
      <c r="H61">
        <v>1</v>
      </c>
      <c r="I61">
        <v>2</v>
      </c>
      <c r="J61">
        <v>1</v>
      </c>
      <c r="L61">
        <v>37</v>
      </c>
      <c r="M61" s="23" t="s">
        <v>2068</v>
      </c>
    </row>
    <row r="62" spans="1:13" ht="15.75" x14ac:dyDescent="0.25">
      <c r="A62" s="17" t="s">
        <v>2094</v>
      </c>
      <c r="B62" t="str">
        <f>UPPER(LEFT(A62,1))&amp;LOWER(RIGHT(A62,LEN(A62)-1))</f>
        <v>He loves</v>
      </c>
      <c r="C62" t="s">
        <v>2177</v>
      </c>
      <c r="D62" t="s">
        <v>2095</v>
      </c>
      <c r="E62" s="33" t="s">
        <v>2096</v>
      </c>
      <c r="F62">
        <v>39</v>
      </c>
      <c r="G62" t="s">
        <v>2176</v>
      </c>
      <c r="H62">
        <v>1</v>
      </c>
      <c r="I62">
        <v>2</v>
      </c>
      <c r="J62">
        <v>1</v>
      </c>
      <c r="L62">
        <v>30</v>
      </c>
      <c r="M62" s="23" t="s">
        <v>2071</v>
      </c>
    </row>
    <row r="63" spans="1:13" ht="15.75" x14ac:dyDescent="0.25">
      <c r="A63" s="17" t="s">
        <v>2097</v>
      </c>
      <c r="B63" t="str">
        <f>UPPER(LEFT(A63,1))&amp;LOWER(RIGHT(A63,LEN(A63)-1))</f>
        <v>She loves</v>
      </c>
      <c r="C63" t="s">
        <v>2178</v>
      </c>
      <c r="D63" t="s">
        <v>2098</v>
      </c>
      <c r="E63" s="33" t="s">
        <v>2099</v>
      </c>
      <c r="F63">
        <v>39</v>
      </c>
      <c r="G63" t="s">
        <v>2176</v>
      </c>
      <c r="H63">
        <v>1</v>
      </c>
      <c r="I63">
        <v>2</v>
      </c>
      <c r="J63">
        <v>1</v>
      </c>
      <c r="L63">
        <v>39</v>
      </c>
      <c r="M63" t="s">
        <v>2085</v>
      </c>
    </row>
    <row r="64" spans="1:13" ht="15.75" x14ac:dyDescent="0.25">
      <c r="A64" s="17" t="s">
        <v>2100</v>
      </c>
      <c r="B64" t="str">
        <f>UPPER(LEFT(A64,1))&amp;LOWER(RIGHT(A64,LEN(A64)-1))</f>
        <v>We love</v>
      </c>
      <c r="C64" t="s">
        <v>2179</v>
      </c>
      <c r="D64" t="s">
        <v>2101</v>
      </c>
      <c r="E64" s="33" t="s">
        <v>2102</v>
      </c>
      <c r="F64">
        <v>39</v>
      </c>
      <c r="G64" t="s">
        <v>2176</v>
      </c>
      <c r="H64">
        <v>1</v>
      </c>
      <c r="I64">
        <v>2</v>
      </c>
      <c r="J64">
        <v>1</v>
      </c>
      <c r="L64">
        <v>38</v>
      </c>
      <c r="M64" t="s">
        <v>2077</v>
      </c>
    </row>
    <row r="65" spans="1:13" ht="15.75" x14ac:dyDescent="0.25">
      <c r="A65" s="17" t="s">
        <v>2091</v>
      </c>
      <c r="B65" t="str">
        <f>UPPER(LEFT(A65,1))&amp;LOWER(RIGHT(A65,LEN(A65)-1))</f>
        <v>You love</v>
      </c>
      <c r="C65" t="s">
        <v>2103</v>
      </c>
      <c r="D65" t="s">
        <v>2103</v>
      </c>
      <c r="E65" s="33" t="s">
        <v>2104</v>
      </c>
      <c r="F65">
        <v>39</v>
      </c>
      <c r="G65" t="s">
        <v>2176</v>
      </c>
      <c r="H65">
        <v>1</v>
      </c>
      <c r="I65">
        <v>2</v>
      </c>
      <c r="J65">
        <v>1</v>
      </c>
      <c r="L65">
        <v>25</v>
      </c>
      <c r="M65" s="21" t="s">
        <v>2079</v>
      </c>
    </row>
    <row r="66" spans="1:13" ht="15.75" x14ac:dyDescent="0.25">
      <c r="A66" s="17" t="s">
        <v>2105</v>
      </c>
      <c r="B66" t="str">
        <f>UPPER(LEFT(A66,1))&amp;LOWER(RIGHT(A66,LEN(A66)-1))</f>
        <v>They love</v>
      </c>
      <c r="C66" t="s">
        <v>2106</v>
      </c>
      <c r="D66" t="s">
        <v>2106</v>
      </c>
      <c r="E66" s="33" t="s">
        <v>2107</v>
      </c>
      <c r="F66">
        <v>39</v>
      </c>
      <c r="G66" t="s">
        <v>2176</v>
      </c>
      <c r="H66">
        <v>1</v>
      </c>
      <c r="I66">
        <v>2</v>
      </c>
      <c r="J66">
        <v>1</v>
      </c>
      <c r="L66">
        <v>27</v>
      </c>
      <c r="M66" s="21" t="s">
        <v>2074</v>
      </c>
    </row>
    <row r="67" spans="1:13" ht="15.75" x14ac:dyDescent="0.25">
      <c r="A67" s="17" t="s">
        <v>2108</v>
      </c>
      <c r="B67" t="str">
        <f>UPPER(LEFT(A67,1))&amp;LOWER(RIGHT(A67,LEN(A67)-1))</f>
        <v>I loved</v>
      </c>
      <c r="C67" t="s">
        <v>2109</v>
      </c>
      <c r="D67" t="s">
        <v>2109</v>
      </c>
      <c r="E67" s="33" t="s">
        <v>2110</v>
      </c>
      <c r="F67">
        <v>39</v>
      </c>
      <c r="G67" t="s">
        <v>2176</v>
      </c>
      <c r="H67">
        <v>2</v>
      </c>
      <c r="I67">
        <v>2</v>
      </c>
      <c r="J67">
        <v>1</v>
      </c>
      <c r="L67">
        <v>32</v>
      </c>
      <c r="M67" s="21" t="s">
        <v>1281</v>
      </c>
    </row>
    <row r="68" spans="1:13" ht="15.75" x14ac:dyDescent="0.25">
      <c r="A68" s="17" t="s">
        <v>2111</v>
      </c>
      <c r="B68" t="str">
        <f>UPPER(LEFT(A68,1))&amp;LOWER(RIGHT(A68,LEN(A68)-1))</f>
        <v>You loved</v>
      </c>
      <c r="C68" t="s">
        <v>2112</v>
      </c>
      <c r="D68" t="s">
        <v>2112</v>
      </c>
      <c r="E68" s="33" t="s">
        <v>2113</v>
      </c>
      <c r="F68">
        <v>39</v>
      </c>
      <c r="G68" t="s">
        <v>2176</v>
      </c>
      <c r="H68">
        <v>2</v>
      </c>
      <c r="I68">
        <v>2</v>
      </c>
      <c r="J68">
        <v>1</v>
      </c>
      <c r="L68">
        <v>29</v>
      </c>
      <c r="M68" s="26" t="s">
        <v>2072</v>
      </c>
    </row>
    <row r="69" spans="1:13" ht="15.75" x14ac:dyDescent="0.25">
      <c r="A69" s="17" t="s">
        <v>2114</v>
      </c>
      <c r="B69" t="str">
        <f>UPPER(LEFT(A69,1))&amp;LOWER(RIGHT(A69,LEN(A69)-1))</f>
        <v>He loved</v>
      </c>
      <c r="C69" t="s">
        <v>2115</v>
      </c>
      <c r="D69" t="s">
        <v>2115</v>
      </c>
      <c r="E69" s="33" t="s">
        <v>2116</v>
      </c>
      <c r="F69">
        <v>39</v>
      </c>
      <c r="G69" t="s">
        <v>2176</v>
      </c>
      <c r="H69">
        <v>2</v>
      </c>
      <c r="I69">
        <v>2</v>
      </c>
      <c r="J69">
        <v>1</v>
      </c>
      <c r="L69">
        <v>31</v>
      </c>
      <c r="M69" s="26" t="s">
        <v>1238</v>
      </c>
    </row>
    <row r="70" spans="1:13" ht="15.75" x14ac:dyDescent="0.25">
      <c r="A70" s="17" t="s">
        <v>2117</v>
      </c>
      <c r="B70" t="str">
        <f>UPPER(LEFT(A70,1))&amp;LOWER(RIGHT(A70,LEN(A70)-1))</f>
        <v>She loved</v>
      </c>
      <c r="C70" t="s">
        <v>2118</v>
      </c>
      <c r="D70" t="s">
        <v>2118</v>
      </c>
      <c r="E70" s="33" t="s">
        <v>2119</v>
      </c>
      <c r="F70">
        <v>39</v>
      </c>
      <c r="G70" t="s">
        <v>2176</v>
      </c>
      <c r="H70">
        <v>2</v>
      </c>
      <c r="I70">
        <v>2</v>
      </c>
      <c r="J70">
        <v>1</v>
      </c>
      <c r="L70">
        <v>26</v>
      </c>
      <c r="M70" s="22" t="s">
        <v>2075</v>
      </c>
    </row>
    <row r="71" spans="1:13" ht="15.75" x14ac:dyDescent="0.25">
      <c r="A71" s="17" t="s">
        <v>2120</v>
      </c>
      <c r="B71" t="str">
        <f>UPPER(LEFT(A71,1))&amp;LOWER(RIGHT(A71,LEN(A71)-1))</f>
        <v>We loved</v>
      </c>
      <c r="C71" t="s">
        <v>2121</v>
      </c>
      <c r="D71" t="s">
        <v>2121</v>
      </c>
      <c r="E71" s="33" t="s">
        <v>2122</v>
      </c>
      <c r="F71">
        <v>39</v>
      </c>
      <c r="G71" t="s">
        <v>2176</v>
      </c>
      <c r="H71">
        <v>2</v>
      </c>
      <c r="I71">
        <v>2</v>
      </c>
      <c r="J71">
        <v>1</v>
      </c>
      <c r="L71">
        <v>33</v>
      </c>
      <c r="M71" s="22" t="s">
        <v>2070</v>
      </c>
    </row>
    <row r="72" spans="1:13" ht="15.75" x14ac:dyDescent="0.25">
      <c r="A72" s="17" t="s">
        <v>2111</v>
      </c>
      <c r="B72" t="str">
        <f>UPPER(LEFT(A72,1))&amp;LOWER(RIGHT(A72,LEN(A72)-1))</f>
        <v>You loved</v>
      </c>
      <c r="C72" t="s">
        <v>2123</v>
      </c>
      <c r="D72" t="s">
        <v>2123</v>
      </c>
      <c r="E72" s="33" t="s">
        <v>2124</v>
      </c>
      <c r="F72">
        <v>39</v>
      </c>
      <c r="G72" t="s">
        <v>2176</v>
      </c>
      <c r="H72">
        <v>2</v>
      </c>
      <c r="I72">
        <v>2</v>
      </c>
      <c r="J72">
        <v>1</v>
      </c>
      <c r="L72">
        <v>35</v>
      </c>
      <c r="M72" s="25" t="s">
        <v>2066</v>
      </c>
    </row>
    <row r="73" spans="1:13" ht="15.75" x14ac:dyDescent="0.25">
      <c r="A73" s="17" t="s">
        <v>2125</v>
      </c>
      <c r="B73" t="str">
        <f>UPPER(LEFT(A73,1))&amp;LOWER(RIGHT(A73,LEN(A73)-1))</f>
        <v>They loved</v>
      </c>
      <c r="C73" t="s">
        <v>2126</v>
      </c>
      <c r="D73" t="s">
        <v>2126</v>
      </c>
      <c r="E73" s="33" t="s">
        <v>2127</v>
      </c>
      <c r="F73">
        <v>39</v>
      </c>
      <c r="G73" t="s">
        <v>2176</v>
      </c>
      <c r="H73">
        <v>2</v>
      </c>
      <c r="I73">
        <v>2</v>
      </c>
      <c r="J73">
        <v>1</v>
      </c>
      <c r="L73">
        <v>36</v>
      </c>
      <c r="M73" s="25" t="s">
        <v>2067</v>
      </c>
    </row>
    <row r="74" spans="1:13" ht="15.75" x14ac:dyDescent="0.25">
      <c r="A74" s="17" t="s">
        <v>2128</v>
      </c>
      <c r="B74" t="str">
        <f>UPPER(LEFT(A74,1))&amp;LOWER(RIGHT(A74,LEN(A74)-1))</f>
        <v>I used to love</v>
      </c>
      <c r="C74" t="s">
        <v>2129</v>
      </c>
      <c r="D74" t="s">
        <v>2129</v>
      </c>
      <c r="E74" s="33" t="s">
        <v>2130</v>
      </c>
      <c r="F74">
        <v>39</v>
      </c>
      <c r="G74" t="s">
        <v>2176</v>
      </c>
      <c r="H74">
        <v>3</v>
      </c>
      <c r="I74">
        <v>2</v>
      </c>
      <c r="J74">
        <v>1</v>
      </c>
      <c r="L74">
        <v>34</v>
      </c>
      <c r="M74" s="24" t="s">
        <v>2069</v>
      </c>
    </row>
    <row r="75" spans="1:13" ht="15.75" x14ac:dyDescent="0.25">
      <c r="A75" s="17" t="s">
        <v>2131</v>
      </c>
      <c r="B75" t="str">
        <f>UPPER(LEFT(A75,1))&amp;LOWER(RIGHT(A75,LEN(A75)-1))</f>
        <v>You used to love</v>
      </c>
      <c r="C75" t="s">
        <v>2180</v>
      </c>
      <c r="D75" t="s">
        <v>2180</v>
      </c>
      <c r="E75" s="33" t="s">
        <v>2132</v>
      </c>
      <c r="F75">
        <v>39</v>
      </c>
      <c r="G75" t="s">
        <v>2176</v>
      </c>
      <c r="H75">
        <v>3</v>
      </c>
      <c r="I75">
        <v>2</v>
      </c>
      <c r="J75">
        <v>1</v>
      </c>
      <c r="L75">
        <v>40</v>
      </c>
      <c r="M75" s="24" t="s">
        <v>2084</v>
      </c>
    </row>
    <row r="76" spans="1:13" ht="15.75" x14ac:dyDescent="0.25">
      <c r="A76" s="17" t="s">
        <v>2133</v>
      </c>
      <c r="B76" t="str">
        <f>UPPER(LEFT(A76,1))&amp;LOWER(RIGHT(A76,LEN(A76)-1))</f>
        <v>He used to love</v>
      </c>
      <c r="C76" t="s">
        <v>2134</v>
      </c>
      <c r="D76" t="s">
        <v>2181</v>
      </c>
      <c r="E76" s="33" t="s">
        <v>2135</v>
      </c>
      <c r="F76">
        <v>39</v>
      </c>
      <c r="G76" t="s">
        <v>2176</v>
      </c>
      <c r="H76">
        <v>3</v>
      </c>
      <c r="I76">
        <v>2</v>
      </c>
      <c r="J76">
        <v>1</v>
      </c>
      <c r="L76">
        <v>28</v>
      </c>
      <c r="M76" s="32" t="s">
        <v>2073</v>
      </c>
    </row>
    <row r="77" spans="1:13" ht="15.75" x14ac:dyDescent="0.25">
      <c r="A77" s="17" t="s">
        <v>2136</v>
      </c>
      <c r="B77" t="str">
        <f>UPPER(LEFT(A77,1))&amp;LOWER(RIGHT(A77,LEN(A77)-1))</f>
        <v>She used to love</v>
      </c>
      <c r="C77" t="s">
        <v>2137</v>
      </c>
      <c r="D77" t="s">
        <v>2182</v>
      </c>
      <c r="E77" s="33" t="s">
        <v>2138</v>
      </c>
      <c r="F77">
        <v>39</v>
      </c>
      <c r="G77" t="s">
        <v>2176</v>
      </c>
      <c r="H77">
        <v>3</v>
      </c>
      <c r="I77">
        <v>2</v>
      </c>
      <c r="J77">
        <v>1</v>
      </c>
    </row>
    <row r="78" spans="1:13" ht="15.75" x14ac:dyDescent="0.25">
      <c r="A78" s="17" t="s">
        <v>2139</v>
      </c>
      <c r="B78" t="str">
        <f>UPPER(LEFT(A78,1))&amp;LOWER(RIGHT(A78,LEN(A78)-1))</f>
        <v>We used to love</v>
      </c>
      <c r="C78" t="s">
        <v>2140</v>
      </c>
      <c r="D78" t="s">
        <v>2140</v>
      </c>
      <c r="E78" s="33" t="s">
        <v>2141</v>
      </c>
      <c r="F78">
        <v>39</v>
      </c>
      <c r="G78" t="s">
        <v>2176</v>
      </c>
      <c r="H78">
        <v>3</v>
      </c>
      <c r="I78">
        <v>2</v>
      </c>
      <c r="J78">
        <v>1</v>
      </c>
    </row>
    <row r="79" spans="1:13" ht="15.75" x14ac:dyDescent="0.25">
      <c r="A79" s="17" t="s">
        <v>2131</v>
      </c>
      <c r="B79" t="str">
        <f>UPPER(LEFT(A79,1))&amp;LOWER(RIGHT(A79,LEN(A79)-1))</f>
        <v>You used to love</v>
      </c>
      <c r="C79" t="s">
        <v>2142</v>
      </c>
      <c r="D79" t="s">
        <v>2142</v>
      </c>
      <c r="E79" s="33" t="s">
        <v>2143</v>
      </c>
      <c r="F79">
        <v>39</v>
      </c>
      <c r="G79" t="s">
        <v>2176</v>
      </c>
      <c r="H79">
        <v>3</v>
      </c>
      <c r="I79">
        <v>2</v>
      </c>
      <c r="J79">
        <v>1</v>
      </c>
    </row>
    <row r="80" spans="1:13" ht="15.75" x14ac:dyDescent="0.25">
      <c r="A80" s="17" t="s">
        <v>2144</v>
      </c>
      <c r="B80" t="str">
        <f>UPPER(LEFT(A80,1))&amp;LOWER(RIGHT(A80,LEN(A80)-1))</f>
        <v>They used to love</v>
      </c>
      <c r="C80" t="s">
        <v>2145</v>
      </c>
      <c r="D80" t="s">
        <v>2183</v>
      </c>
      <c r="E80" s="33" t="s">
        <v>2146</v>
      </c>
      <c r="F80">
        <v>39</v>
      </c>
      <c r="G80" t="s">
        <v>2176</v>
      </c>
      <c r="H80">
        <v>3</v>
      </c>
      <c r="I80">
        <v>2</v>
      </c>
      <c r="J80">
        <v>1</v>
      </c>
    </row>
    <row r="81" spans="1:10" ht="15.75" x14ac:dyDescent="0.25">
      <c r="A81" s="17" t="s">
        <v>2147</v>
      </c>
      <c r="B81" t="str">
        <f>UPPER(LEFT(A81,1))&amp;LOWER(RIGHT(A81,LEN(A81)-1))</f>
        <v>I will love</v>
      </c>
      <c r="C81" t="s">
        <v>2148</v>
      </c>
      <c r="D81" t="s">
        <v>2148</v>
      </c>
      <c r="E81" s="33" t="s">
        <v>2149</v>
      </c>
      <c r="F81">
        <v>39</v>
      </c>
      <c r="G81" t="s">
        <v>2176</v>
      </c>
      <c r="H81">
        <v>4</v>
      </c>
      <c r="I81">
        <v>2</v>
      </c>
      <c r="J81">
        <v>1</v>
      </c>
    </row>
    <row r="82" spans="1:10" ht="15.75" x14ac:dyDescent="0.25">
      <c r="A82" s="17" t="s">
        <v>2150</v>
      </c>
      <c r="B82" t="str">
        <f>UPPER(LEFT(A82,1))&amp;LOWER(RIGHT(A82,LEN(A82)-1))</f>
        <v>You will love</v>
      </c>
      <c r="C82" t="s">
        <v>2151</v>
      </c>
      <c r="D82" t="s">
        <v>2151</v>
      </c>
      <c r="E82" s="33" t="s">
        <v>2152</v>
      </c>
      <c r="F82">
        <v>39</v>
      </c>
      <c r="G82" t="s">
        <v>2176</v>
      </c>
      <c r="H82">
        <v>4</v>
      </c>
      <c r="I82">
        <v>2</v>
      </c>
      <c r="J82">
        <v>1</v>
      </c>
    </row>
    <row r="83" spans="1:10" ht="15.75" x14ac:dyDescent="0.25">
      <c r="A83" s="17" t="s">
        <v>2153</v>
      </c>
      <c r="B83" t="str">
        <f>UPPER(LEFT(A83,1))&amp;LOWER(RIGHT(A83,LEN(A83)-1))</f>
        <v>He will love</v>
      </c>
      <c r="C83" t="s">
        <v>2154</v>
      </c>
      <c r="D83" t="s">
        <v>2154</v>
      </c>
      <c r="E83" s="33" t="s">
        <v>2155</v>
      </c>
      <c r="F83">
        <v>39</v>
      </c>
      <c r="G83" t="s">
        <v>2176</v>
      </c>
      <c r="H83">
        <v>4</v>
      </c>
      <c r="I83">
        <v>2</v>
      </c>
      <c r="J83">
        <v>1</v>
      </c>
    </row>
    <row r="84" spans="1:10" ht="15.75" x14ac:dyDescent="0.25">
      <c r="A84" s="17" t="s">
        <v>2156</v>
      </c>
      <c r="B84" t="str">
        <f>UPPER(LEFT(A84,1))&amp;LOWER(RIGHT(A84,LEN(A84)-1))</f>
        <v>She will love</v>
      </c>
      <c r="C84" t="s">
        <v>2157</v>
      </c>
      <c r="D84" t="s">
        <v>2157</v>
      </c>
      <c r="E84" s="33" t="s">
        <v>2158</v>
      </c>
      <c r="F84">
        <v>39</v>
      </c>
      <c r="G84" t="s">
        <v>2176</v>
      </c>
      <c r="H84">
        <v>4</v>
      </c>
      <c r="I84">
        <v>2</v>
      </c>
      <c r="J84">
        <v>1</v>
      </c>
    </row>
    <row r="85" spans="1:10" ht="15.75" x14ac:dyDescent="0.25">
      <c r="A85" s="17" t="s">
        <v>2159</v>
      </c>
      <c r="B85" t="str">
        <f>UPPER(LEFT(A85,1))&amp;LOWER(RIGHT(A85,LEN(A85)-1))</f>
        <v>We will love</v>
      </c>
      <c r="C85" t="s">
        <v>2160</v>
      </c>
      <c r="D85" t="s">
        <v>2160</v>
      </c>
      <c r="E85" s="33" t="s">
        <v>2161</v>
      </c>
      <c r="F85">
        <v>39</v>
      </c>
      <c r="G85" t="s">
        <v>2176</v>
      </c>
      <c r="H85">
        <v>4</v>
      </c>
      <c r="I85">
        <v>2</v>
      </c>
      <c r="J85">
        <v>1</v>
      </c>
    </row>
    <row r="86" spans="1:10" ht="15.75" x14ac:dyDescent="0.25">
      <c r="A86" s="17" t="s">
        <v>2150</v>
      </c>
      <c r="B86" t="str">
        <f>UPPER(LEFT(A86,1))&amp;LOWER(RIGHT(A86,LEN(A86)-1))</f>
        <v>You will love</v>
      </c>
      <c r="C86" t="s">
        <v>2162</v>
      </c>
      <c r="D86" t="s">
        <v>2162</v>
      </c>
      <c r="E86" s="33" t="s">
        <v>2163</v>
      </c>
      <c r="F86">
        <v>39</v>
      </c>
      <c r="G86" t="s">
        <v>2176</v>
      </c>
      <c r="H86">
        <v>4</v>
      </c>
      <c r="I86">
        <v>2</v>
      </c>
      <c r="J86">
        <v>1</v>
      </c>
    </row>
    <row r="87" spans="1:10" ht="15.75" x14ac:dyDescent="0.25">
      <c r="A87" s="17" t="s">
        <v>2164</v>
      </c>
      <c r="B87" t="str">
        <f>UPPER(LEFT(A87,1))&amp;LOWER(RIGHT(A87,LEN(A87)-1))</f>
        <v>They will love</v>
      </c>
      <c r="C87" t="s">
        <v>2165</v>
      </c>
      <c r="D87" t="s">
        <v>2165</v>
      </c>
      <c r="E87" s="33" t="s">
        <v>2166</v>
      </c>
      <c r="F87">
        <v>39</v>
      </c>
      <c r="G87" t="s">
        <v>2176</v>
      </c>
      <c r="H87">
        <v>4</v>
      </c>
      <c r="I87">
        <v>2</v>
      </c>
      <c r="J87">
        <v>1</v>
      </c>
    </row>
    <row r="88" spans="1:10" ht="15.75" x14ac:dyDescent="0.25">
      <c r="A88" s="17" t="s">
        <v>2167</v>
      </c>
      <c r="B88" t="str">
        <f>UPPER(LEFT(A88,1))&amp;LOWER(RIGHT(A88,LEN(A88)-1))</f>
        <v>I used to love you when we were kids</v>
      </c>
      <c r="C88" t="s">
        <v>2168</v>
      </c>
      <c r="D88" t="s">
        <v>2168</v>
      </c>
      <c r="E88" s="33" t="s">
        <v>2169</v>
      </c>
      <c r="F88">
        <v>39</v>
      </c>
      <c r="G88" t="s">
        <v>2176</v>
      </c>
      <c r="H88">
        <v>5</v>
      </c>
      <c r="I88">
        <v>2</v>
      </c>
      <c r="J88">
        <v>1</v>
      </c>
    </row>
    <row r="89" spans="1:10" ht="15.75" x14ac:dyDescent="0.25">
      <c r="A89" s="17" t="s">
        <v>2170</v>
      </c>
      <c r="B89" t="str">
        <f>UPPER(LEFT(A89,1))&amp;LOWER(RIGHT(A89,LEN(A89)-1))</f>
        <v>He says he loves me like before</v>
      </c>
      <c r="C89" t="s">
        <v>2171</v>
      </c>
      <c r="D89" t="s">
        <v>2184</v>
      </c>
      <c r="E89" s="33" t="s">
        <v>2172</v>
      </c>
      <c r="F89">
        <v>39</v>
      </c>
      <c r="G89" t="s">
        <v>2176</v>
      </c>
      <c r="H89">
        <v>5</v>
      </c>
      <c r="I89">
        <v>2</v>
      </c>
      <c r="J89">
        <v>1</v>
      </c>
    </row>
    <row r="90" spans="1:10" ht="15.75" x14ac:dyDescent="0.25">
      <c r="A90" s="17" t="s">
        <v>2173</v>
      </c>
      <c r="B90" t="str">
        <f>UPPER(LEFT(A90,1))&amp;LOWER(RIGHT(A90,LEN(A90)-1))</f>
        <v>I'm sure you'll love byblos when you go</v>
      </c>
      <c r="C90" t="s">
        <v>2174</v>
      </c>
      <c r="D90" t="s">
        <v>2185</v>
      </c>
      <c r="E90" s="33" t="s">
        <v>2175</v>
      </c>
      <c r="F90">
        <v>39</v>
      </c>
      <c r="G90" t="s">
        <v>2176</v>
      </c>
      <c r="H90">
        <v>5</v>
      </c>
      <c r="I90">
        <v>2</v>
      </c>
      <c r="J90">
        <v>1</v>
      </c>
    </row>
    <row r="91" spans="1:10" x14ac:dyDescent="0.25">
      <c r="A91" s="17" t="s">
        <v>1440</v>
      </c>
      <c r="B91" t="str">
        <f>UPPER(LEFT(A91,1))&amp;LOWER(RIGHT(A91,LEN(A91)-1))</f>
        <v>I travel</v>
      </c>
      <c r="C91" t="s">
        <v>1780</v>
      </c>
      <c r="D91" t="s">
        <v>1780</v>
      </c>
      <c r="E91" t="s">
        <v>1436</v>
      </c>
      <c r="F91">
        <v>38</v>
      </c>
      <c r="G91" t="s">
        <v>2077</v>
      </c>
      <c r="H91">
        <v>1</v>
      </c>
      <c r="I91">
        <v>2</v>
      </c>
      <c r="J91">
        <v>2</v>
      </c>
    </row>
    <row r="92" spans="1:10" x14ac:dyDescent="0.25">
      <c r="A92" s="17" t="s">
        <v>1441</v>
      </c>
      <c r="B92" t="str">
        <f>UPPER(LEFT(A92,1))&amp;LOWER(RIGHT(A92,LEN(A92)-1))</f>
        <v>You travel</v>
      </c>
      <c r="C92" t="s">
        <v>1781</v>
      </c>
      <c r="D92" t="s">
        <v>1920</v>
      </c>
      <c r="E92" t="s">
        <v>1437</v>
      </c>
      <c r="F92">
        <v>38</v>
      </c>
      <c r="G92" t="s">
        <v>2077</v>
      </c>
      <c r="H92">
        <v>1</v>
      </c>
      <c r="I92">
        <v>2</v>
      </c>
      <c r="J92">
        <v>2</v>
      </c>
    </row>
    <row r="93" spans="1:10" x14ac:dyDescent="0.25">
      <c r="A93" s="17" t="s">
        <v>1442</v>
      </c>
      <c r="B93" t="str">
        <f>UPPER(LEFT(A93,1))&amp;LOWER(RIGHT(A93,LEN(A93)-1))</f>
        <v>He travels</v>
      </c>
      <c r="C93" t="s">
        <v>1782</v>
      </c>
      <c r="D93" t="s">
        <v>1921</v>
      </c>
      <c r="E93" t="s">
        <v>1438</v>
      </c>
      <c r="F93">
        <v>38</v>
      </c>
      <c r="G93" t="s">
        <v>2077</v>
      </c>
      <c r="H93">
        <v>1</v>
      </c>
      <c r="I93">
        <v>2</v>
      </c>
      <c r="J93">
        <v>2</v>
      </c>
    </row>
    <row r="94" spans="1:10" x14ac:dyDescent="0.25">
      <c r="A94" s="17" t="s">
        <v>1443</v>
      </c>
      <c r="B94" t="str">
        <f>UPPER(LEFT(A94,1))&amp;LOWER(RIGHT(A94,LEN(A94)-1))</f>
        <v>She travels</v>
      </c>
      <c r="C94" t="s">
        <v>1783</v>
      </c>
      <c r="D94" t="s">
        <v>1922</v>
      </c>
      <c r="E94" t="s">
        <v>1439</v>
      </c>
      <c r="F94">
        <v>38</v>
      </c>
      <c r="G94" t="s">
        <v>2077</v>
      </c>
      <c r="H94">
        <v>1</v>
      </c>
      <c r="I94">
        <v>2</v>
      </c>
      <c r="J94">
        <v>2</v>
      </c>
    </row>
    <row r="95" spans="1:10" x14ac:dyDescent="0.25">
      <c r="A95" s="17" t="s">
        <v>1447</v>
      </c>
      <c r="B95" t="str">
        <f>UPPER(LEFT(A95,1))&amp;LOWER(RIGHT(A95,LEN(A95)-1))</f>
        <v>We travel</v>
      </c>
      <c r="C95" t="s">
        <v>1784</v>
      </c>
      <c r="D95" t="s">
        <v>1923</v>
      </c>
      <c r="E95" t="s">
        <v>1444</v>
      </c>
      <c r="F95">
        <v>38</v>
      </c>
      <c r="G95" t="s">
        <v>2077</v>
      </c>
      <c r="H95">
        <v>1</v>
      </c>
      <c r="I95">
        <v>2</v>
      </c>
      <c r="J95">
        <v>2</v>
      </c>
    </row>
    <row r="96" spans="1:10" x14ac:dyDescent="0.25">
      <c r="A96" s="17" t="s">
        <v>1448</v>
      </c>
      <c r="B96" t="str">
        <f>UPPER(LEFT(A96,1))&amp;LOWER(RIGHT(A96,LEN(A96)-1))</f>
        <v>You travel</v>
      </c>
      <c r="C96" t="s">
        <v>1785</v>
      </c>
      <c r="D96" t="s">
        <v>1924</v>
      </c>
      <c r="E96" t="s">
        <v>1445</v>
      </c>
      <c r="F96">
        <v>38</v>
      </c>
      <c r="G96" t="s">
        <v>2077</v>
      </c>
      <c r="H96">
        <v>1</v>
      </c>
      <c r="I96">
        <v>2</v>
      </c>
      <c r="J96">
        <v>2</v>
      </c>
    </row>
    <row r="97" spans="1:10" x14ac:dyDescent="0.25">
      <c r="A97" s="17" t="s">
        <v>1449</v>
      </c>
      <c r="B97" t="str">
        <f>UPPER(LEFT(A97,1))&amp;LOWER(RIGHT(A97,LEN(A97)-1))</f>
        <v>They travel</v>
      </c>
      <c r="C97" t="s">
        <v>1786</v>
      </c>
      <c r="D97" t="s">
        <v>1925</v>
      </c>
      <c r="E97" t="s">
        <v>1446</v>
      </c>
      <c r="F97">
        <v>38</v>
      </c>
      <c r="G97" t="s">
        <v>2077</v>
      </c>
      <c r="H97">
        <v>1</v>
      </c>
      <c r="I97">
        <v>2</v>
      </c>
      <c r="J97">
        <v>2</v>
      </c>
    </row>
    <row r="98" spans="1:10" x14ac:dyDescent="0.25">
      <c r="A98" s="17" t="s">
        <v>1454</v>
      </c>
      <c r="B98" t="str">
        <f>UPPER(LEFT(A98,1))&amp;LOWER(RIGHT(A98,LEN(A98)-1))</f>
        <v>I'm traveling</v>
      </c>
      <c r="C98" t="s">
        <v>1787</v>
      </c>
      <c r="D98" t="s">
        <v>1787</v>
      </c>
      <c r="E98" t="s">
        <v>1450</v>
      </c>
      <c r="F98">
        <v>38</v>
      </c>
      <c r="G98" t="s">
        <v>2077</v>
      </c>
      <c r="H98">
        <v>2</v>
      </c>
      <c r="I98">
        <v>2</v>
      </c>
      <c r="J98">
        <v>2</v>
      </c>
    </row>
    <row r="99" spans="1:10" x14ac:dyDescent="0.25">
      <c r="A99" s="17" t="s">
        <v>1455</v>
      </c>
      <c r="B99" t="str">
        <f>UPPER(LEFT(A99,1))&amp;LOWER(RIGHT(A99,LEN(A99)-1))</f>
        <v>You're traveling</v>
      </c>
      <c r="C99" t="s">
        <v>1788</v>
      </c>
      <c r="D99" t="s">
        <v>1926</v>
      </c>
      <c r="E99" t="s">
        <v>1451</v>
      </c>
      <c r="F99">
        <v>38</v>
      </c>
      <c r="G99" t="s">
        <v>2077</v>
      </c>
      <c r="H99">
        <v>2</v>
      </c>
      <c r="I99">
        <v>2</v>
      </c>
      <c r="J99">
        <v>2</v>
      </c>
    </row>
    <row r="100" spans="1:10" x14ac:dyDescent="0.25">
      <c r="A100" s="17" t="s">
        <v>1456</v>
      </c>
      <c r="B100" t="str">
        <f>UPPER(LEFT(A100,1))&amp;LOWER(RIGHT(A100,LEN(A100)-1))</f>
        <v>He's traveling</v>
      </c>
      <c r="C100" t="s">
        <v>1789</v>
      </c>
      <c r="D100" t="s">
        <v>1927</v>
      </c>
      <c r="E100" t="s">
        <v>1452</v>
      </c>
      <c r="F100">
        <v>38</v>
      </c>
      <c r="G100" t="s">
        <v>2077</v>
      </c>
      <c r="H100">
        <v>2</v>
      </c>
      <c r="I100">
        <v>2</v>
      </c>
      <c r="J100">
        <v>2</v>
      </c>
    </row>
    <row r="101" spans="1:10" x14ac:dyDescent="0.25">
      <c r="A101" s="17" t="s">
        <v>1457</v>
      </c>
      <c r="B101" t="str">
        <f>UPPER(LEFT(A101,1))&amp;LOWER(RIGHT(A101,LEN(A101)-1))</f>
        <v>She's traveling</v>
      </c>
      <c r="C101" t="s">
        <v>1790</v>
      </c>
      <c r="D101" t="s">
        <v>1928</v>
      </c>
      <c r="E101" t="s">
        <v>1453</v>
      </c>
      <c r="F101">
        <v>38</v>
      </c>
      <c r="G101" t="s">
        <v>2077</v>
      </c>
      <c r="H101">
        <v>2</v>
      </c>
      <c r="I101">
        <v>2</v>
      </c>
      <c r="J101">
        <v>2</v>
      </c>
    </row>
    <row r="102" spans="1:10" x14ac:dyDescent="0.25">
      <c r="A102" s="17" t="s">
        <v>1461</v>
      </c>
      <c r="B102" t="str">
        <f>UPPER(LEFT(A102,1))&amp;LOWER(RIGHT(A102,LEN(A102)-1))</f>
        <v>We're traveling</v>
      </c>
      <c r="C102" t="s">
        <v>1791</v>
      </c>
      <c r="D102" t="s">
        <v>1929</v>
      </c>
      <c r="E102" t="s">
        <v>1458</v>
      </c>
      <c r="F102">
        <v>38</v>
      </c>
      <c r="G102" t="s">
        <v>2077</v>
      </c>
      <c r="H102">
        <v>2</v>
      </c>
      <c r="I102">
        <v>2</v>
      </c>
      <c r="J102">
        <v>2</v>
      </c>
    </row>
    <row r="103" spans="1:10" x14ac:dyDescent="0.25">
      <c r="A103" s="17" t="s">
        <v>1462</v>
      </c>
      <c r="B103" t="str">
        <f>UPPER(LEFT(A103,1))&amp;LOWER(RIGHT(A103,LEN(A103)-1))</f>
        <v>You're traveling</v>
      </c>
      <c r="C103" t="s">
        <v>1792</v>
      </c>
      <c r="D103" t="s">
        <v>1930</v>
      </c>
      <c r="E103" t="s">
        <v>1459</v>
      </c>
      <c r="F103">
        <v>38</v>
      </c>
      <c r="G103" t="s">
        <v>2077</v>
      </c>
      <c r="H103">
        <v>2</v>
      </c>
      <c r="I103">
        <v>2</v>
      </c>
      <c r="J103">
        <v>2</v>
      </c>
    </row>
    <row r="104" spans="1:10" x14ac:dyDescent="0.25">
      <c r="A104" s="17" t="s">
        <v>1463</v>
      </c>
      <c r="B104" t="str">
        <f>UPPER(LEFT(A104,1))&amp;LOWER(RIGHT(A104,LEN(A104)-1))</f>
        <v>They're traveling</v>
      </c>
      <c r="C104" t="s">
        <v>1793</v>
      </c>
      <c r="D104" t="s">
        <v>1931</v>
      </c>
      <c r="E104" t="s">
        <v>1460</v>
      </c>
      <c r="F104">
        <v>38</v>
      </c>
      <c r="G104" t="s">
        <v>2077</v>
      </c>
      <c r="H104">
        <v>2</v>
      </c>
      <c r="I104">
        <v>2</v>
      </c>
      <c r="J104">
        <v>2</v>
      </c>
    </row>
    <row r="105" spans="1:10" x14ac:dyDescent="0.25">
      <c r="A105" s="17" t="s">
        <v>1464</v>
      </c>
      <c r="B105" t="str">
        <f>UPPER(LEFT(A105,1))&amp;LOWER(RIGHT(A105,LEN(A105)-1))</f>
        <v>I traveled</v>
      </c>
      <c r="C105" t="s">
        <v>1794</v>
      </c>
      <c r="D105" t="s">
        <v>1932</v>
      </c>
      <c r="E105" t="s">
        <v>1465</v>
      </c>
      <c r="F105">
        <v>38</v>
      </c>
      <c r="G105" t="s">
        <v>2077</v>
      </c>
      <c r="H105">
        <v>3</v>
      </c>
      <c r="I105">
        <v>2</v>
      </c>
      <c r="J105">
        <v>2</v>
      </c>
    </row>
    <row r="106" spans="1:10" x14ac:dyDescent="0.25">
      <c r="A106" s="17" t="s">
        <v>1466</v>
      </c>
      <c r="B106" t="str">
        <f>UPPER(LEFT(A106,1))&amp;LOWER(RIGHT(A106,LEN(A106)-1))</f>
        <v>You traveled</v>
      </c>
      <c r="C106" t="s">
        <v>1795</v>
      </c>
      <c r="D106" t="s">
        <v>1933</v>
      </c>
      <c r="E106" t="s">
        <v>1467</v>
      </c>
      <c r="F106">
        <v>38</v>
      </c>
      <c r="G106" t="s">
        <v>2077</v>
      </c>
      <c r="H106">
        <v>3</v>
      </c>
      <c r="I106">
        <v>2</v>
      </c>
      <c r="J106">
        <v>2</v>
      </c>
    </row>
    <row r="107" spans="1:10" x14ac:dyDescent="0.25">
      <c r="A107" s="17" t="s">
        <v>1468</v>
      </c>
      <c r="B107" t="str">
        <f>UPPER(LEFT(A107,1))&amp;LOWER(RIGHT(A107,LEN(A107)-1))</f>
        <v>He traveled</v>
      </c>
      <c r="C107" t="s">
        <v>1796</v>
      </c>
      <c r="D107" t="s">
        <v>1934</v>
      </c>
      <c r="E107" t="s">
        <v>1469</v>
      </c>
      <c r="F107">
        <v>38</v>
      </c>
      <c r="G107" t="s">
        <v>2077</v>
      </c>
      <c r="H107">
        <v>3</v>
      </c>
      <c r="I107">
        <v>2</v>
      </c>
      <c r="J107">
        <v>2</v>
      </c>
    </row>
    <row r="108" spans="1:10" x14ac:dyDescent="0.25">
      <c r="A108" s="17" t="s">
        <v>1470</v>
      </c>
      <c r="B108" t="str">
        <f>UPPER(LEFT(A108,1))&amp;LOWER(RIGHT(A108,LEN(A108)-1))</f>
        <v>She traveled</v>
      </c>
      <c r="C108" t="s">
        <v>1797</v>
      </c>
      <c r="D108" t="s">
        <v>1935</v>
      </c>
      <c r="E108" t="s">
        <v>1471</v>
      </c>
      <c r="F108">
        <v>38</v>
      </c>
      <c r="G108" t="s">
        <v>2077</v>
      </c>
      <c r="H108">
        <v>3</v>
      </c>
      <c r="I108">
        <v>2</v>
      </c>
      <c r="J108">
        <v>2</v>
      </c>
    </row>
    <row r="109" spans="1:10" x14ac:dyDescent="0.25">
      <c r="A109" s="17" t="s">
        <v>1472</v>
      </c>
      <c r="B109" t="str">
        <f>UPPER(LEFT(A109,1))&amp;LOWER(RIGHT(A109,LEN(A109)-1))</f>
        <v>We traveled</v>
      </c>
      <c r="C109" t="s">
        <v>1798</v>
      </c>
      <c r="D109" t="s">
        <v>1936</v>
      </c>
      <c r="E109" t="s">
        <v>1473</v>
      </c>
      <c r="F109">
        <v>38</v>
      </c>
      <c r="G109" t="s">
        <v>2077</v>
      </c>
      <c r="H109">
        <v>3</v>
      </c>
      <c r="I109">
        <v>2</v>
      </c>
      <c r="J109">
        <v>2</v>
      </c>
    </row>
    <row r="110" spans="1:10" x14ac:dyDescent="0.25">
      <c r="A110" s="17" t="s">
        <v>1466</v>
      </c>
      <c r="B110" t="str">
        <f>UPPER(LEFT(A110,1))&amp;LOWER(RIGHT(A110,LEN(A110)-1))</f>
        <v>You traveled</v>
      </c>
      <c r="C110" t="s">
        <v>1799</v>
      </c>
      <c r="D110" t="s">
        <v>1937</v>
      </c>
      <c r="E110" t="s">
        <v>1474</v>
      </c>
      <c r="F110">
        <v>38</v>
      </c>
      <c r="G110" t="s">
        <v>2077</v>
      </c>
      <c r="H110">
        <v>3</v>
      </c>
      <c r="I110">
        <v>2</v>
      </c>
      <c r="J110">
        <v>2</v>
      </c>
    </row>
    <row r="111" spans="1:10" x14ac:dyDescent="0.25">
      <c r="A111" s="17" t="s">
        <v>1475</v>
      </c>
      <c r="B111" t="str">
        <f>UPPER(LEFT(A111,1))&amp;LOWER(RIGHT(A111,LEN(A111)-1))</f>
        <v>They traveled</v>
      </c>
      <c r="C111" t="s">
        <v>1800</v>
      </c>
      <c r="D111" t="s">
        <v>1938</v>
      </c>
      <c r="E111" t="s">
        <v>1476</v>
      </c>
      <c r="F111">
        <v>38</v>
      </c>
      <c r="G111" t="s">
        <v>2077</v>
      </c>
      <c r="H111">
        <v>3</v>
      </c>
      <c r="I111">
        <v>2</v>
      </c>
      <c r="J111">
        <v>2</v>
      </c>
    </row>
    <row r="112" spans="1:10" x14ac:dyDescent="0.25">
      <c r="A112" s="17" t="s">
        <v>1477</v>
      </c>
      <c r="B112" t="str">
        <f>UPPER(LEFT(A112,1))&amp;LOWER(RIGHT(A112,LEN(A112)-1))</f>
        <v>I used to travel</v>
      </c>
      <c r="C112" t="s">
        <v>1801</v>
      </c>
      <c r="D112" t="s">
        <v>1939</v>
      </c>
      <c r="E112" t="s">
        <v>1478</v>
      </c>
      <c r="F112">
        <v>38</v>
      </c>
      <c r="G112" t="s">
        <v>2077</v>
      </c>
      <c r="H112">
        <v>4</v>
      </c>
      <c r="I112">
        <v>2</v>
      </c>
      <c r="J112">
        <v>2</v>
      </c>
    </row>
    <row r="113" spans="1:10" x14ac:dyDescent="0.25">
      <c r="A113" s="17" t="s">
        <v>1479</v>
      </c>
      <c r="B113" t="str">
        <f>UPPER(LEFT(A113,1))&amp;LOWER(RIGHT(A113,LEN(A113)-1))</f>
        <v>You used to travel</v>
      </c>
      <c r="C113" t="s">
        <v>1802</v>
      </c>
      <c r="D113" t="s">
        <v>1940</v>
      </c>
      <c r="E113" t="s">
        <v>1480</v>
      </c>
      <c r="F113">
        <v>38</v>
      </c>
      <c r="G113" t="s">
        <v>2077</v>
      </c>
      <c r="H113">
        <v>4</v>
      </c>
      <c r="I113">
        <v>2</v>
      </c>
      <c r="J113">
        <v>2</v>
      </c>
    </row>
    <row r="114" spans="1:10" x14ac:dyDescent="0.25">
      <c r="A114" s="17" t="s">
        <v>1481</v>
      </c>
      <c r="B114" t="str">
        <f>UPPER(LEFT(A114,1))&amp;LOWER(RIGHT(A114,LEN(A114)-1))</f>
        <v>He used to travel</v>
      </c>
      <c r="C114" t="s">
        <v>1803</v>
      </c>
      <c r="D114" t="s">
        <v>1941</v>
      </c>
      <c r="E114" t="s">
        <v>1482</v>
      </c>
      <c r="F114">
        <v>38</v>
      </c>
      <c r="G114" t="s">
        <v>2077</v>
      </c>
      <c r="H114">
        <v>4</v>
      </c>
      <c r="I114">
        <v>2</v>
      </c>
      <c r="J114">
        <v>2</v>
      </c>
    </row>
    <row r="115" spans="1:10" x14ac:dyDescent="0.25">
      <c r="A115" s="17" t="s">
        <v>1483</v>
      </c>
      <c r="B115" t="str">
        <f>UPPER(LEFT(A115,1))&amp;LOWER(RIGHT(A115,LEN(A115)-1))</f>
        <v>She used to travel</v>
      </c>
      <c r="C115" t="s">
        <v>1804</v>
      </c>
      <c r="D115" t="s">
        <v>1942</v>
      </c>
      <c r="E115" t="s">
        <v>1484</v>
      </c>
      <c r="F115">
        <v>38</v>
      </c>
      <c r="G115" t="s">
        <v>2077</v>
      </c>
      <c r="H115">
        <v>4</v>
      </c>
      <c r="I115">
        <v>2</v>
      </c>
      <c r="J115">
        <v>2</v>
      </c>
    </row>
    <row r="116" spans="1:10" x14ac:dyDescent="0.25">
      <c r="A116" s="17" t="s">
        <v>1485</v>
      </c>
      <c r="B116" t="str">
        <f>UPPER(LEFT(A116,1))&amp;LOWER(RIGHT(A116,LEN(A116)-1))</f>
        <v>We used to travel</v>
      </c>
      <c r="C116" t="s">
        <v>1805</v>
      </c>
      <c r="D116" t="s">
        <v>1943</v>
      </c>
      <c r="E116" t="s">
        <v>1486</v>
      </c>
      <c r="F116">
        <v>38</v>
      </c>
      <c r="G116" t="s">
        <v>2077</v>
      </c>
      <c r="H116">
        <v>4</v>
      </c>
      <c r="I116">
        <v>2</v>
      </c>
      <c r="J116">
        <v>2</v>
      </c>
    </row>
    <row r="117" spans="1:10" x14ac:dyDescent="0.25">
      <c r="A117" s="17" t="s">
        <v>1479</v>
      </c>
      <c r="B117" t="str">
        <f>UPPER(LEFT(A117,1))&amp;LOWER(RIGHT(A117,LEN(A117)-1))</f>
        <v>You used to travel</v>
      </c>
      <c r="C117" t="s">
        <v>1806</v>
      </c>
      <c r="D117" t="s">
        <v>1944</v>
      </c>
      <c r="E117" t="s">
        <v>1487</v>
      </c>
      <c r="F117">
        <v>38</v>
      </c>
      <c r="G117" t="s">
        <v>2077</v>
      </c>
      <c r="H117">
        <v>4</v>
      </c>
      <c r="I117">
        <v>2</v>
      </c>
      <c r="J117">
        <v>2</v>
      </c>
    </row>
    <row r="118" spans="1:10" x14ac:dyDescent="0.25">
      <c r="A118" s="17" t="s">
        <v>1488</v>
      </c>
      <c r="B118" t="str">
        <f>UPPER(LEFT(A118,1))&amp;LOWER(RIGHT(A118,LEN(A118)-1))</f>
        <v>They used to travel</v>
      </c>
      <c r="C118" t="s">
        <v>1807</v>
      </c>
      <c r="D118" t="s">
        <v>1954</v>
      </c>
      <c r="E118" t="s">
        <v>1489</v>
      </c>
      <c r="F118">
        <v>38</v>
      </c>
      <c r="G118" t="s">
        <v>2077</v>
      </c>
      <c r="H118">
        <v>4</v>
      </c>
      <c r="I118">
        <v>2</v>
      </c>
      <c r="J118">
        <v>2</v>
      </c>
    </row>
    <row r="119" spans="1:10" x14ac:dyDescent="0.25">
      <c r="A119" s="17" t="s">
        <v>1490</v>
      </c>
      <c r="B119" t="str">
        <f>UPPER(LEFT(A119,1))&amp;LOWER(RIGHT(A119,LEN(A119)-1))</f>
        <v>I'll travel</v>
      </c>
      <c r="C119" t="s">
        <v>1808</v>
      </c>
      <c r="D119" t="s">
        <v>1828</v>
      </c>
      <c r="E119" t="s">
        <v>1491</v>
      </c>
      <c r="F119">
        <v>38</v>
      </c>
      <c r="G119" t="s">
        <v>2077</v>
      </c>
      <c r="H119">
        <v>5</v>
      </c>
      <c r="I119">
        <v>2</v>
      </c>
      <c r="J119">
        <v>2</v>
      </c>
    </row>
    <row r="120" spans="1:10" x14ac:dyDescent="0.25">
      <c r="A120" s="17" t="s">
        <v>1492</v>
      </c>
      <c r="B120" t="str">
        <f>UPPER(LEFT(A120,1))&amp;LOWER(RIGHT(A120,LEN(A120)-1))</f>
        <v>You'll travel</v>
      </c>
      <c r="C120" t="s">
        <v>1809</v>
      </c>
      <c r="D120" t="s">
        <v>1945</v>
      </c>
      <c r="E120" t="s">
        <v>1493</v>
      </c>
      <c r="F120">
        <v>38</v>
      </c>
      <c r="G120" t="s">
        <v>2077</v>
      </c>
      <c r="H120">
        <v>5</v>
      </c>
      <c r="I120">
        <v>2</v>
      </c>
      <c r="J120">
        <v>2</v>
      </c>
    </row>
    <row r="121" spans="1:10" x14ac:dyDescent="0.25">
      <c r="A121" s="17" t="s">
        <v>1494</v>
      </c>
      <c r="B121" t="str">
        <f>UPPER(LEFT(A121,1))&amp;LOWER(RIGHT(A121,LEN(A121)-1))</f>
        <v>He'll travel</v>
      </c>
      <c r="C121" t="s">
        <v>1810</v>
      </c>
      <c r="D121" t="s">
        <v>1946</v>
      </c>
      <c r="E121" t="s">
        <v>1495</v>
      </c>
      <c r="F121">
        <v>38</v>
      </c>
      <c r="G121" t="s">
        <v>2077</v>
      </c>
      <c r="H121">
        <v>5</v>
      </c>
      <c r="I121">
        <v>2</v>
      </c>
      <c r="J121">
        <v>2</v>
      </c>
    </row>
    <row r="122" spans="1:10" x14ac:dyDescent="0.25">
      <c r="A122" s="17" t="s">
        <v>1496</v>
      </c>
      <c r="B122" t="str">
        <f>UPPER(LEFT(A122,1))&amp;LOWER(RIGHT(A122,LEN(A122)-1))</f>
        <v>She'll travel</v>
      </c>
      <c r="C122" t="s">
        <v>1811</v>
      </c>
      <c r="D122" t="s">
        <v>1947</v>
      </c>
      <c r="E122" t="s">
        <v>1497</v>
      </c>
      <c r="F122">
        <v>38</v>
      </c>
      <c r="G122" t="s">
        <v>2077</v>
      </c>
      <c r="H122">
        <v>5</v>
      </c>
      <c r="I122">
        <v>2</v>
      </c>
      <c r="J122">
        <v>2</v>
      </c>
    </row>
    <row r="123" spans="1:10" x14ac:dyDescent="0.25">
      <c r="A123" s="17" t="s">
        <v>1498</v>
      </c>
      <c r="B123" t="str">
        <f>UPPER(LEFT(A123,1))&amp;LOWER(RIGHT(A123,LEN(A123)-1))</f>
        <v>We'll travel</v>
      </c>
      <c r="C123" t="s">
        <v>1812</v>
      </c>
      <c r="D123" t="s">
        <v>1948</v>
      </c>
      <c r="E123" t="s">
        <v>1499</v>
      </c>
      <c r="F123">
        <v>38</v>
      </c>
      <c r="G123" t="s">
        <v>2077</v>
      </c>
      <c r="H123">
        <v>5</v>
      </c>
      <c r="I123">
        <v>2</v>
      </c>
      <c r="J123">
        <v>2</v>
      </c>
    </row>
    <row r="124" spans="1:10" x14ac:dyDescent="0.25">
      <c r="A124" s="17" t="s">
        <v>1500</v>
      </c>
      <c r="B124" t="str">
        <f>UPPER(LEFT(A124,1))&amp;LOWER(RIGHT(A124,LEN(A124)-1))</f>
        <v>You'll tavel</v>
      </c>
      <c r="C124" t="s">
        <v>1813</v>
      </c>
      <c r="D124" t="s">
        <v>1949</v>
      </c>
      <c r="E124" t="s">
        <v>1501</v>
      </c>
      <c r="F124">
        <v>38</v>
      </c>
      <c r="G124" t="s">
        <v>2077</v>
      </c>
      <c r="H124">
        <v>5</v>
      </c>
      <c r="I124">
        <v>2</v>
      </c>
      <c r="J124">
        <v>2</v>
      </c>
    </row>
    <row r="125" spans="1:10" x14ac:dyDescent="0.25">
      <c r="A125" s="17" t="s">
        <v>1502</v>
      </c>
      <c r="B125" t="str">
        <f>UPPER(LEFT(A125,1))&amp;LOWER(RIGHT(A125,LEN(A125)-1))</f>
        <v>They'll travel</v>
      </c>
      <c r="C125" t="s">
        <v>1814</v>
      </c>
      <c r="D125" t="s">
        <v>1955</v>
      </c>
      <c r="E125" t="s">
        <v>1503</v>
      </c>
      <c r="F125">
        <v>38</v>
      </c>
      <c r="G125" t="s">
        <v>2077</v>
      </c>
      <c r="H125">
        <v>5</v>
      </c>
      <c r="I125">
        <v>2</v>
      </c>
      <c r="J125">
        <v>2</v>
      </c>
    </row>
    <row r="126" spans="1:10" x14ac:dyDescent="0.25">
      <c r="A126" s="17" t="s">
        <v>1504</v>
      </c>
      <c r="B126" t="str">
        <f>UPPER(LEFT(A126,1))&amp;LOWER(RIGHT(A126,LEN(A126)-1))</f>
        <v>I'm traveling to paris today</v>
      </c>
      <c r="C126" t="s">
        <v>1815</v>
      </c>
      <c r="D126" t="s">
        <v>1950</v>
      </c>
      <c r="E126" t="s">
        <v>1505</v>
      </c>
      <c r="F126">
        <v>38</v>
      </c>
      <c r="G126" t="s">
        <v>2077</v>
      </c>
      <c r="H126">
        <v>6</v>
      </c>
      <c r="I126">
        <v>2</v>
      </c>
      <c r="J126">
        <v>2</v>
      </c>
    </row>
    <row r="127" spans="1:10" x14ac:dyDescent="0.25">
      <c r="A127" s="17" t="s">
        <v>1506</v>
      </c>
      <c r="B127" t="str">
        <f>UPPER(LEFT(A127,1))&amp;LOWER(RIGHT(A127,LEN(A127)-1))</f>
        <v>I travel every summer</v>
      </c>
      <c r="C127" t="s">
        <v>1816</v>
      </c>
      <c r="D127" t="s">
        <v>1951</v>
      </c>
      <c r="E127" t="s">
        <v>1507</v>
      </c>
      <c r="F127">
        <v>38</v>
      </c>
      <c r="G127" t="s">
        <v>2077</v>
      </c>
      <c r="H127">
        <v>6</v>
      </c>
      <c r="I127">
        <v>2</v>
      </c>
      <c r="J127">
        <v>2</v>
      </c>
    </row>
    <row r="128" spans="1:10" x14ac:dyDescent="0.25">
      <c r="A128" s="17" t="s">
        <v>1508</v>
      </c>
      <c r="B128" t="str">
        <f>UPPER(LEFT(A128,1))&amp;LOWER(RIGHT(A128,LEN(A128)-1))</f>
        <v>My brother and father, traveled last month, to brezil</v>
      </c>
      <c r="C128" t="s">
        <v>1817</v>
      </c>
      <c r="D128" t="s">
        <v>2050</v>
      </c>
      <c r="E128" t="s">
        <v>1509</v>
      </c>
      <c r="F128">
        <v>38</v>
      </c>
      <c r="G128" t="s">
        <v>2077</v>
      </c>
      <c r="H128">
        <v>6</v>
      </c>
      <c r="I128">
        <v>2</v>
      </c>
      <c r="J128">
        <v>2</v>
      </c>
    </row>
    <row r="129" spans="1:10" x14ac:dyDescent="0.25">
      <c r="A129" s="17" t="s">
        <v>1510</v>
      </c>
      <c r="B129" t="str">
        <f>UPPER(LEFT(A129,1))&amp;LOWER(RIGHT(A129,LEN(A129)-1))</f>
        <v>We used to travel every year</v>
      </c>
      <c r="C129" t="s">
        <v>1818</v>
      </c>
      <c r="D129" t="s">
        <v>1952</v>
      </c>
      <c r="E129" t="s">
        <v>1511</v>
      </c>
      <c r="F129">
        <v>38</v>
      </c>
      <c r="G129" t="s">
        <v>2077</v>
      </c>
      <c r="H129">
        <v>6</v>
      </c>
      <c r="I129">
        <v>2</v>
      </c>
      <c r="J129">
        <v>2</v>
      </c>
    </row>
    <row r="130" spans="1:10" x14ac:dyDescent="0.25">
      <c r="A130" s="17" t="s">
        <v>1512</v>
      </c>
      <c r="B130" t="str">
        <f>UPPER(LEFT(A130,1))&amp;LOWER(RIGHT(A130,LEN(A130)-1))</f>
        <v>When will you travel?</v>
      </c>
      <c r="C130" t="s">
        <v>1819</v>
      </c>
      <c r="D130" t="s">
        <v>1829</v>
      </c>
      <c r="E130" t="s">
        <v>1513</v>
      </c>
      <c r="F130">
        <v>38</v>
      </c>
      <c r="G130" t="s">
        <v>2077</v>
      </c>
      <c r="H130">
        <v>6</v>
      </c>
      <c r="I130">
        <v>2</v>
      </c>
      <c r="J130">
        <v>2</v>
      </c>
    </row>
    <row r="131" spans="1:10" x14ac:dyDescent="0.25">
      <c r="A131" s="17" t="s">
        <v>950</v>
      </c>
      <c r="B131" t="str">
        <f>UPPER(LEFT(A131,1))&amp;LOWER(RIGHT(A131,LEN(A131)-1))</f>
        <v>Home</v>
      </c>
      <c r="C131" t="s">
        <v>88</v>
      </c>
      <c r="D131" t="s">
        <v>88</v>
      </c>
      <c r="E131" t="s">
        <v>951</v>
      </c>
      <c r="F131">
        <v>25</v>
      </c>
      <c r="G131" t="s">
        <v>2076</v>
      </c>
      <c r="H131">
        <v>1</v>
      </c>
      <c r="I131">
        <v>3</v>
      </c>
      <c r="J131">
        <v>1</v>
      </c>
    </row>
    <row r="132" spans="1:10" x14ac:dyDescent="0.25">
      <c r="A132" s="17" t="s">
        <v>952</v>
      </c>
      <c r="B132" t="str">
        <f>UPPER(LEFT(A132,1))&amp;LOWER(RIGHT(A132,LEN(A132)-1))</f>
        <v>Building</v>
      </c>
      <c r="C132" t="s">
        <v>1539</v>
      </c>
      <c r="D132" t="s">
        <v>1539</v>
      </c>
      <c r="E132" t="s">
        <v>953</v>
      </c>
      <c r="F132">
        <v>25</v>
      </c>
      <c r="G132" t="s">
        <v>2076</v>
      </c>
      <c r="H132">
        <v>1</v>
      </c>
      <c r="I132">
        <v>3</v>
      </c>
      <c r="J132">
        <v>1</v>
      </c>
    </row>
    <row r="133" spans="1:10" x14ac:dyDescent="0.25">
      <c r="A133" s="17" t="s">
        <v>954</v>
      </c>
      <c r="B133" t="str">
        <f>UPPER(LEFT(A133,1))&amp;LOWER(RIGHT(A133,LEN(A133)-1))</f>
        <v>Floor</v>
      </c>
      <c r="C133" t="s">
        <v>1540</v>
      </c>
      <c r="D133" t="s">
        <v>1540</v>
      </c>
      <c r="E133" t="s">
        <v>955</v>
      </c>
      <c r="F133">
        <v>25</v>
      </c>
      <c r="G133" t="s">
        <v>2076</v>
      </c>
      <c r="H133">
        <v>1</v>
      </c>
      <c r="I133">
        <v>3</v>
      </c>
      <c r="J133">
        <v>1</v>
      </c>
    </row>
    <row r="134" spans="1:10" x14ac:dyDescent="0.25">
      <c r="A134" s="17" t="s">
        <v>956</v>
      </c>
      <c r="B134" t="str">
        <f>UPPER(LEFT(A134,1))&amp;LOWER(RIGHT(A134,LEN(A134)-1))</f>
        <v>Bedroom</v>
      </c>
      <c r="C134" t="s">
        <v>1541</v>
      </c>
      <c r="D134" t="s">
        <v>1541</v>
      </c>
      <c r="E134" t="s">
        <v>957</v>
      </c>
      <c r="F134">
        <v>25</v>
      </c>
      <c r="G134" t="s">
        <v>2076</v>
      </c>
      <c r="H134">
        <v>1</v>
      </c>
      <c r="I134">
        <v>3</v>
      </c>
      <c r="J134">
        <v>1</v>
      </c>
    </row>
    <row r="135" spans="1:10" x14ac:dyDescent="0.25">
      <c r="A135" s="17" t="s">
        <v>958</v>
      </c>
      <c r="B135" t="str">
        <f>UPPER(LEFT(A135,1))&amp;LOWER(RIGHT(A135,LEN(A135)-1))</f>
        <v>Living room</v>
      </c>
      <c r="C135" t="s">
        <v>1542</v>
      </c>
      <c r="D135" t="s">
        <v>2057</v>
      </c>
      <c r="E135" t="s">
        <v>959</v>
      </c>
      <c r="F135">
        <v>25</v>
      </c>
      <c r="G135" t="s">
        <v>2076</v>
      </c>
      <c r="H135">
        <v>1</v>
      </c>
      <c r="I135">
        <v>3</v>
      </c>
      <c r="J135">
        <v>1</v>
      </c>
    </row>
    <row r="136" spans="1:10" x14ac:dyDescent="0.25">
      <c r="A136" s="17" t="s">
        <v>960</v>
      </c>
      <c r="B136" t="str">
        <f>UPPER(LEFT(A136,1))&amp;LOWER(RIGHT(A136,LEN(A136)-1))</f>
        <v>Kitchen</v>
      </c>
      <c r="C136" t="s">
        <v>1543</v>
      </c>
      <c r="D136" t="s">
        <v>1543</v>
      </c>
      <c r="E136" t="s">
        <v>961</v>
      </c>
      <c r="F136">
        <v>25</v>
      </c>
      <c r="G136" t="s">
        <v>2076</v>
      </c>
      <c r="H136">
        <v>1</v>
      </c>
      <c r="I136">
        <v>3</v>
      </c>
      <c r="J136">
        <v>1</v>
      </c>
    </row>
    <row r="137" spans="1:10" x14ac:dyDescent="0.25">
      <c r="A137" s="17" t="s">
        <v>492</v>
      </c>
      <c r="B137" t="str">
        <f>UPPER(LEFT(A137,1))&amp;LOWER(RIGHT(A137,LEN(A137)-1))</f>
        <v>Bathroom</v>
      </c>
      <c r="C137" t="s">
        <v>1545</v>
      </c>
      <c r="D137" t="s">
        <v>1821</v>
      </c>
      <c r="E137" t="s">
        <v>962</v>
      </c>
      <c r="F137">
        <v>25</v>
      </c>
      <c r="G137" t="s">
        <v>2076</v>
      </c>
      <c r="H137">
        <v>1</v>
      </c>
      <c r="I137">
        <v>3</v>
      </c>
      <c r="J137">
        <v>1</v>
      </c>
    </row>
    <row r="138" spans="1:10" x14ac:dyDescent="0.25">
      <c r="A138" s="17" t="s">
        <v>963</v>
      </c>
      <c r="B138" t="str">
        <f>UPPER(LEFT(A138,1))&amp;LOWER(RIGHT(A138,LEN(A138)-1))</f>
        <v>Bed</v>
      </c>
      <c r="C138" t="s">
        <v>489</v>
      </c>
      <c r="D138" t="s">
        <v>489</v>
      </c>
      <c r="E138" t="s">
        <v>964</v>
      </c>
      <c r="F138">
        <v>25</v>
      </c>
      <c r="G138" t="s">
        <v>2076</v>
      </c>
      <c r="H138">
        <v>1</v>
      </c>
      <c r="I138">
        <v>3</v>
      </c>
      <c r="J138">
        <v>1</v>
      </c>
    </row>
    <row r="139" spans="1:10" x14ac:dyDescent="0.25">
      <c r="A139" s="17" t="s">
        <v>965</v>
      </c>
      <c r="B139" t="str">
        <f>UPPER(LEFT(A139,1))&amp;LOWER(RIGHT(A139,LEN(A139)-1))</f>
        <v>Closet</v>
      </c>
      <c r="C139" t="s">
        <v>1546</v>
      </c>
      <c r="D139" t="s">
        <v>2058</v>
      </c>
      <c r="E139" t="s">
        <v>966</v>
      </c>
      <c r="F139">
        <v>25</v>
      </c>
      <c r="G139" t="s">
        <v>2076</v>
      </c>
      <c r="H139">
        <v>1</v>
      </c>
      <c r="I139">
        <v>3</v>
      </c>
      <c r="J139">
        <v>1</v>
      </c>
    </row>
    <row r="140" spans="1:10" x14ac:dyDescent="0.25">
      <c r="A140" s="17" t="s">
        <v>968</v>
      </c>
      <c r="B140" t="str">
        <f>UPPER(LEFT(A140,1))&amp;LOWER(RIGHT(A140,LEN(A140)-1))</f>
        <v>Clothes</v>
      </c>
      <c r="C140" t="s">
        <v>1547</v>
      </c>
      <c r="D140" t="s">
        <v>1547</v>
      </c>
      <c r="E140" t="s">
        <v>967</v>
      </c>
      <c r="F140">
        <v>25</v>
      </c>
      <c r="G140" t="s">
        <v>2076</v>
      </c>
      <c r="H140">
        <v>1</v>
      </c>
      <c r="I140">
        <v>3</v>
      </c>
      <c r="J140">
        <v>1</v>
      </c>
    </row>
    <row r="141" spans="1:10" x14ac:dyDescent="0.25">
      <c r="A141" s="17" t="s">
        <v>969</v>
      </c>
      <c r="B141" t="str">
        <f>UPPER(LEFT(A141,1))&amp;LOWER(RIGHT(A141,LEN(A141)-1))</f>
        <v>Towel</v>
      </c>
      <c r="C141" t="s">
        <v>1548</v>
      </c>
      <c r="D141" t="s">
        <v>1851</v>
      </c>
      <c r="E141" t="s">
        <v>970</v>
      </c>
      <c r="F141">
        <v>25</v>
      </c>
      <c r="G141" t="s">
        <v>2076</v>
      </c>
      <c r="H141">
        <v>1</v>
      </c>
      <c r="I141">
        <v>3</v>
      </c>
      <c r="J141">
        <v>1</v>
      </c>
    </row>
    <row r="142" spans="1:10" x14ac:dyDescent="0.25">
      <c r="A142" s="17" t="s">
        <v>971</v>
      </c>
      <c r="B142" t="str">
        <f>UPPER(LEFT(A142,1))&amp;LOWER(RIGHT(A142,LEN(A142)-1))</f>
        <v>Soap</v>
      </c>
      <c r="C142" t="s">
        <v>1549</v>
      </c>
      <c r="D142" t="s">
        <v>1549</v>
      </c>
      <c r="E142" t="s">
        <v>972</v>
      </c>
      <c r="F142">
        <v>25</v>
      </c>
      <c r="G142" t="s">
        <v>2076</v>
      </c>
      <c r="H142">
        <v>1</v>
      </c>
      <c r="I142">
        <v>3</v>
      </c>
      <c r="J142">
        <v>1</v>
      </c>
    </row>
    <row r="143" spans="1:10" x14ac:dyDescent="0.25">
      <c r="A143" s="17" t="s">
        <v>997</v>
      </c>
      <c r="B143" t="str">
        <f>UPPER(LEFT(A143,1))&amp;LOWER(RIGHT(A143,LEN(A143)-1))</f>
        <v>Oven/bakery</v>
      </c>
      <c r="C143" t="s">
        <v>1520</v>
      </c>
      <c r="D143" t="s">
        <v>1520</v>
      </c>
      <c r="E143" t="s">
        <v>2083</v>
      </c>
      <c r="F143">
        <v>25</v>
      </c>
      <c r="G143" t="s">
        <v>2076</v>
      </c>
      <c r="H143">
        <v>1</v>
      </c>
      <c r="I143">
        <v>3</v>
      </c>
      <c r="J143">
        <v>1</v>
      </c>
    </row>
    <row r="144" spans="1:10" x14ac:dyDescent="0.25">
      <c r="A144" s="17" t="s">
        <v>977</v>
      </c>
      <c r="B144" t="str">
        <f>UPPER(LEFT(A144,1))&amp;LOWER(RIGHT(A144,LEN(A144)-1))</f>
        <v>Sink</v>
      </c>
      <c r="C144" t="s">
        <v>1523</v>
      </c>
      <c r="D144" t="s">
        <v>1523</v>
      </c>
      <c r="E144" t="s">
        <v>978</v>
      </c>
      <c r="F144">
        <v>25</v>
      </c>
      <c r="G144" t="s">
        <v>2076</v>
      </c>
      <c r="H144">
        <v>1</v>
      </c>
      <c r="I144">
        <v>3</v>
      </c>
      <c r="J144">
        <v>1</v>
      </c>
    </row>
    <row r="145" spans="1:10" x14ac:dyDescent="0.25">
      <c r="A145" s="17" t="s">
        <v>981</v>
      </c>
      <c r="B145" t="str">
        <f>UPPER(LEFT(A145,1))&amp;LOWER(RIGHT(A145,LEN(A145)-1))</f>
        <v>Dishe</v>
      </c>
      <c r="C145" t="s">
        <v>1525</v>
      </c>
      <c r="D145" t="s">
        <v>1873</v>
      </c>
      <c r="E145" t="s">
        <v>982</v>
      </c>
      <c r="F145">
        <v>25</v>
      </c>
      <c r="G145" t="s">
        <v>2076</v>
      </c>
      <c r="H145">
        <v>1</v>
      </c>
      <c r="I145">
        <v>3</v>
      </c>
      <c r="J145">
        <v>1</v>
      </c>
    </row>
    <row r="146" spans="1:10" x14ac:dyDescent="0.25">
      <c r="A146" s="17" t="s">
        <v>983</v>
      </c>
      <c r="B146" t="str">
        <f>UPPER(LEFT(A146,1))&amp;LOWER(RIGHT(A146,LEN(A146)-1))</f>
        <v>Fork</v>
      </c>
      <c r="C146" t="s">
        <v>1526</v>
      </c>
      <c r="D146" t="s">
        <v>1853</v>
      </c>
      <c r="E146" t="s">
        <v>984</v>
      </c>
      <c r="F146">
        <v>25</v>
      </c>
      <c r="G146" t="s">
        <v>2076</v>
      </c>
      <c r="H146">
        <v>1</v>
      </c>
      <c r="I146">
        <v>3</v>
      </c>
      <c r="J146">
        <v>1</v>
      </c>
    </row>
    <row r="147" spans="1:10" x14ac:dyDescent="0.25">
      <c r="A147" s="17" t="s">
        <v>985</v>
      </c>
      <c r="B147" t="str">
        <f>UPPER(LEFT(A147,1))&amp;LOWER(RIGHT(A147,LEN(A147)-1))</f>
        <v>Knife</v>
      </c>
      <c r="C147" t="s">
        <v>1527</v>
      </c>
      <c r="D147" t="s">
        <v>1960</v>
      </c>
      <c r="E147" t="s">
        <v>986</v>
      </c>
      <c r="F147">
        <v>25</v>
      </c>
      <c r="G147" t="s">
        <v>2076</v>
      </c>
      <c r="H147">
        <v>1</v>
      </c>
      <c r="I147">
        <v>3</v>
      </c>
      <c r="J147">
        <v>1</v>
      </c>
    </row>
    <row r="148" spans="1:10" x14ac:dyDescent="0.25">
      <c r="A148" s="17" t="s">
        <v>987</v>
      </c>
      <c r="B148" t="str">
        <f>UPPER(LEFT(A148,1))&amp;LOWER(RIGHT(A148,LEN(A148)-1))</f>
        <v>Spoon</v>
      </c>
      <c r="C148" t="s">
        <v>1528</v>
      </c>
      <c r="D148" t="s">
        <v>1832</v>
      </c>
      <c r="E148" t="s">
        <v>988</v>
      </c>
      <c r="F148">
        <v>25</v>
      </c>
      <c r="G148" t="s">
        <v>2076</v>
      </c>
      <c r="H148">
        <v>1</v>
      </c>
      <c r="I148">
        <v>3</v>
      </c>
      <c r="J148">
        <v>1</v>
      </c>
    </row>
    <row r="149" spans="1:10" x14ac:dyDescent="0.25">
      <c r="A149" s="17" t="s">
        <v>989</v>
      </c>
      <c r="B149" t="str">
        <f>UPPER(LEFT(A149,1))&amp;LOWER(RIGHT(A149,LEN(A149)-1))</f>
        <v>Cup</v>
      </c>
      <c r="C149" t="s">
        <v>1529</v>
      </c>
      <c r="D149" t="s">
        <v>1529</v>
      </c>
      <c r="E149" t="s">
        <v>990</v>
      </c>
      <c r="F149">
        <v>25</v>
      </c>
      <c r="G149" t="s">
        <v>2076</v>
      </c>
      <c r="H149">
        <v>1</v>
      </c>
      <c r="I149">
        <v>3</v>
      </c>
      <c r="J149">
        <v>1</v>
      </c>
    </row>
    <row r="150" spans="1:10" x14ac:dyDescent="0.25">
      <c r="A150" s="17" t="s">
        <v>991</v>
      </c>
      <c r="B150" t="str">
        <f>UPPER(LEFT(A150,1))&amp;LOWER(RIGHT(A150,LEN(A150)-1))</f>
        <v>Couches</v>
      </c>
      <c r="C150" t="s">
        <v>1530</v>
      </c>
      <c r="D150" t="s">
        <v>1530</v>
      </c>
      <c r="E150" t="s">
        <v>992</v>
      </c>
      <c r="F150">
        <v>25</v>
      </c>
      <c r="G150" t="s">
        <v>2076</v>
      </c>
      <c r="H150">
        <v>1</v>
      </c>
      <c r="I150">
        <v>3</v>
      </c>
      <c r="J150">
        <v>1</v>
      </c>
    </row>
    <row r="151" spans="1:10" x14ac:dyDescent="0.25">
      <c r="A151" s="17" t="s">
        <v>993</v>
      </c>
      <c r="B151" t="str">
        <f>UPPER(LEFT(A151,1))&amp;LOWER(RIGHT(A151,LEN(A151)-1))</f>
        <v>Table(s)</v>
      </c>
      <c r="C151" t="s">
        <v>1551</v>
      </c>
      <c r="D151" t="s">
        <v>1551</v>
      </c>
      <c r="E151" t="s">
        <v>995</v>
      </c>
      <c r="F151">
        <v>25</v>
      </c>
      <c r="G151" t="s">
        <v>2076</v>
      </c>
      <c r="H151">
        <v>1</v>
      </c>
      <c r="I151">
        <v>3</v>
      </c>
      <c r="J151">
        <v>1</v>
      </c>
    </row>
    <row r="152" spans="1:10" x14ac:dyDescent="0.25">
      <c r="A152" s="17" t="s">
        <v>994</v>
      </c>
      <c r="B152" t="str">
        <f>UPPER(LEFT(A152,1))&amp;LOWER(RIGHT(A152,LEN(A152)-1))</f>
        <v>Chair(s)</v>
      </c>
      <c r="C152" t="s">
        <v>1552</v>
      </c>
      <c r="D152" t="s">
        <v>1552</v>
      </c>
      <c r="E152" t="s">
        <v>996</v>
      </c>
      <c r="F152">
        <v>25</v>
      </c>
      <c r="G152" t="s">
        <v>2076</v>
      </c>
      <c r="H152">
        <v>1</v>
      </c>
      <c r="I152">
        <v>3</v>
      </c>
      <c r="J152">
        <v>1</v>
      </c>
    </row>
    <row r="153" spans="1:10" x14ac:dyDescent="0.25">
      <c r="A153" s="17" t="s">
        <v>949</v>
      </c>
      <c r="B153" t="str">
        <f>UPPER(LEFT(A153,1))&amp;LOWER(RIGHT(A153,LEN(A153)-1))</f>
        <v>24th february</v>
      </c>
      <c r="C153" t="s">
        <v>1538</v>
      </c>
      <c r="D153" t="s">
        <v>1848</v>
      </c>
      <c r="E153" t="s">
        <v>1830</v>
      </c>
      <c r="F153">
        <v>25</v>
      </c>
      <c r="G153" t="s">
        <v>2076</v>
      </c>
      <c r="H153">
        <v>2</v>
      </c>
      <c r="I153">
        <v>3</v>
      </c>
      <c r="J153">
        <v>1</v>
      </c>
    </row>
    <row r="154" spans="1:10" x14ac:dyDescent="0.25">
      <c r="A154" s="17" t="s">
        <v>1514</v>
      </c>
      <c r="B154" t="str">
        <f>UPPER(LEFT(A154,1))&amp;LOWER(RIGHT(A154,LEN(A154)-1))</f>
        <v>On which floor do you live?</v>
      </c>
      <c r="C154" t="s">
        <v>1515</v>
      </c>
      <c r="D154" t="s">
        <v>1849</v>
      </c>
      <c r="E154" t="s">
        <v>1516</v>
      </c>
      <c r="F154">
        <v>25</v>
      </c>
      <c r="G154" t="s">
        <v>2076</v>
      </c>
      <c r="H154">
        <v>2</v>
      </c>
      <c r="I154">
        <v>3</v>
      </c>
      <c r="J154">
        <v>1</v>
      </c>
    </row>
    <row r="155" spans="1:10" x14ac:dyDescent="0.25">
      <c r="A155" s="17" t="s">
        <v>1517</v>
      </c>
      <c r="B155" t="str">
        <f>UPPER(LEFT(A155,1))&amp;LOWER(RIGHT(A155,LEN(A155)-1))</f>
        <v>What are you cooking</v>
      </c>
      <c r="C155" t="s">
        <v>1544</v>
      </c>
      <c r="D155" t="s">
        <v>1850</v>
      </c>
      <c r="E155" t="s">
        <v>1518</v>
      </c>
      <c r="F155">
        <v>25</v>
      </c>
      <c r="G155" t="s">
        <v>2076</v>
      </c>
      <c r="H155">
        <v>2</v>
      </c>
      <c r="I155">
        <v>3</v>
      </c>
      <c r="J155">
        <v>1</v>
      </c>
    </row>
    <row r="156" spans="1:10" x14ac:dyDescent="0.25">
      <c r="A156" s="17" t="s">
        <v>1521</v>
      </c>
      <c r="B156" t="str">
        <f>UPPER(LEFT(A156,1))&amp;LOWER(RIGHT(A156,LEN(A156)-1))</f>
        <v>In the morning i wash my face</v>
      </c>
      <c r="C156" t="s">
        <v>973</v>
      </c>
      <c r="D156" t="s">
        <v>1822</v>
      </c>
      <c r="E156" t="s">
        <v>974</v>
      </c>
      <c r="F156">
        <v>25</v>
      </c>
      <c r="G156" t="s">
        <v>2076</v>
      </c>
      <c r="H156">
        <v>2</v>
      </c>
      <c r="I156">
        <v>3</v>
      </c>
      <c r="J156">
        <v>1</v>
      </c>
    </row>
    <row r="157" spans="1:10" x14ac:dyDescent="0.25">
      <c r="A157" s="17" t="s">
        <v>1522</v>
      </c>
      <c r="B157" t="str">
        <f>UPPER(LEFT(A157,1))&amp;LOWER(RIGHT(A157,LEN(A157)-1))</f>
        <v>How many times a day do you brush your teeth?</v>
      </c>
      <c r="C157" t="s">
        <v>1550</v>
      </c>
      <c r="D157" t="s">
        <v>1872</v>
      </c>
      <c r="E157" t="s">
        <v>1236</v>
      </c>
      <c r="F157">
        <v>25</v>
      </c>
      <c r="G157" t="s">
        <v>2076</v>
      </c>
      <c r="H157">
        <v>2</v>
      </c>
      <c r="I157">
        <v>3</v>
      </c>
      <c r="J157">
        <v>1</v>
      </c>
    </row>
    <row r="158" spans="1:10" x14ac:dyDescent="0.25">
      <c r="A158" s="17" t="s">
        <v>1519</v>
      </c>
      <c r="B158" t="str">
        <f>UPPER(LEFT(A158,1))&amp;LOWER(RIGHT(A158,LEN(A158)-1))</f>
        <v>In the morning we go the bakery to buy manakeesh</v>
      </c>
      <c r="C158" t="s">
        <v>975</v>
      </c>
      <c r="D158" t="s">
        <v>1852</v>
      </c>
      <c r="E158" t="s">
        <v>976</v>
      </c>
      <c r="F158">
        <v>25</v>
      </c>
      <c r="G158" t="s">
        <v>2076</v>
      </c>
      <c r="H158">
        <v>2</v>
      </c>
      <c r="I158">
        <v>3</v>
      </c>
      <c r="J158">
        <v>1</v>
      </c>
    </row>
    <row r="159" spans="1:10" x14ac:dyDescent="0.25">
      <c r="A159" s="17" t="s">
        <v>979</v>
      </c>
      <c r="B159" t="str">
        <f>UPPER(LEFT(A159,1))&amp;LOWER(RIGHT(A159,LEN(A159)-1))</f>
        <v>Im waching the dishes</v>
      </c>
      <c r="C159" t="s">
        <v>1524</v>
      </c>
      <c r="D159" t="s">
        <v>1831</v>
      </c>
      <c r="E159" t="s">
        <v>980</v>
      </c>
      <c r="F159">
        <v>25</v>
      </c>
      <c r="G159" t="s">
        <v>2076</v>
      </c>
      <c r="H159">
        <v>2</v>
      </c>
      <c r="I159">
        <v>3</v>
      </c>
      <c r="J159">
        <v>1</v>
      </c>
    </row>
    <row r="160" spans="1:10" x14ac:dyDescent="0.25">
      <c r="A160" s="17" t="s">
        <v>998</v>
      </c>
      <c r="B160" t="str">
        <f>UPPER(LEFT(A160,1))&amp;LOWER(RIGHT(A160,LEN(A160)-1))</f>
        <v>I would like to</v>
      </c>
      <c r="C160" t="s">
        <v>1587</v>
      </c>
      <c r="D160" t="s">
        <v>1587</v>
      </c>
      <c r="E160" t="s">
        <v>1058</v>
      </c>
      <c r="F160">
        <v>27</v>
      </c>
      <c r="G160" t="s">
        <v>2074</v>
      </c>
      <c r="H160">
        <v>1</v>
      </c>
      <c r="I160">
        <v>3</v>
      </c>
      <c r="J160">
        <v>2</v>
      </c>
    </row>
    <row r="161" spans="1:10" x14ac:dyDescent="0.25">
      <c r="A161" s="17" t="s">
        <v>1003</v>
      </c>
      <c r="B161" t="str">
        <f>UPPER(LEFT(A161,1))&amp;LOWER(RIGHT(A161,LEN(A161)-1))</f>
        <v>Street</v>
      </c>
      <c r="C161" t="s">
        <v>1004</v>
      </c>
      <c r="D161" t="s">
        <v>1858</v>
      </c>
      <c r="E161" t="s">
        <v>1061</v>
      </c>
      <c r="F161">
        <v>27</v>
      </c>
      <c r="G161" t="s">
        <v>2074</v>
      </c>
      <c r="H161">
        <v>1</v>
      </c>
      <c r="I161">
        <v>3</v>
      </c>
      <c r="J161">
        <v>2</v>
      </c>
    </row>
    <row r="162" spans="1:10" x14ac:dyDescent="0.25">
      <c r="A162" s="17" t="s">
        <v>1005</v>
      </c>
      <c r="B162" t="str">
        <f>UPPER(LEFT(A162,1))&amp;LOWER(RIGHT(A162,LEN(A162)-1))</f>
        <v>Floor</v>
      </c>
      <c r="C162" t="s">
        <v>1006</v>
      </c>
      <c r="D162" t="s">
        <v>1006</v>
      </c>
      <c r="E162" t="s">
        <v>1062</v>
      </c>
      <c r="F162">
        <v>27</v>
      </c>
      <c r="G162" t="s">
        <v>2074</v>
      </c>
      <c r="H162">
        <v>1</v>
      </c>
      <c r="I162">
        <v>3</v>
      </c>
      <c r="J162">
        <v>2</v>
      </c>
    </row>
    <row r="163" spans="1:10" x14ac:dyDescent="0.25">
      <c r="A163" s="17" t="s">
        <v>1008</v>
      </c>
      <c r="B163" t="str">
        <f>UPPER(LEFT(A163,1))&amp;LOWER(RIGHT(A163,LEN(A163)-1))</f>
        <v>Face to</v>
      </c>
      <c r="C163" t="s">
        <v>1009</v>
      </c>
      <c r="D163" t="s">
        <v>1009</v>
      </c>
      <c r="E163" t="s">
        <v>1064</v>
      </c>
      <c r="F163">
        <v>27</v>
      </c>
      <c r="G163" t="s">
        <v>2074</v>
      </c>
      <c r="H163">
        <v>1</v>
      </c>
      <c r="I163">
        <v>3</v>
      </c>
      <c r="J163">
        <v>2</v>
      </c>
    </row>
    <row r="164" spans="1:10" x14ac:dyDescent="0.25">
      <c r="A164" s="17" t="s">
        <v>1010</v>
      </c>
      <c r="B164" t="str">
        <f>UPPER(LEFT(A164,1))&amp;LOWER(RIGHT(A164,LEN(A164)-1))</f>
        <v>Near</v>
      </c>
      <c r="C164" t="s">
        <v>1630</v>
      </c>
      <c r="D164" t="s">
        <v>1011</v>
      </c>
      <c r="E164" t="s">
        <v>1065</v>
      </c>
      <c r="F164">
        <v>27</v>
      </c>
      <c r="G164" t="s">
        <v>2074</v>
      </c>
      <c r="H164">
        <v>1</v>
      </c>
      <c r="I164">
        <v>3</v>
      </c>
      <c r="J164">
        <v>2</v>
      </c>
    </row>
    <row r="165" spans="1:10" x14ac:dyDescent="0.25">
      <c r="A165" s="17" t="s">
        <v>1012</v>
      </c>
      <c r="B165" t="str">
        <f>UPPER(LEFT(A165,1))&amp;LOWER(RIGHT(A165,LEN(A165)-1))</f>
        <v>Ask about</v>
      </c>
      <c r="C165" t="s">
        <v>1013</v>
      </c>
      <c r="D165" t="s">
        <v>1013</v>
      </c>
      <c r="E165" t="s">
        <v>1066</v>
      </c>
      <c r="F165">
        <v>27</v>
      </c>
      <c r="G165" t="s">
        <v>2074</v>
      </c>
      <c r="H165">
        <v>1</v>
      </c>
      <c r="I165">
        <v>3</v>
      </c>
      <c r="J165">
        <v>2</v>
      </c>
    </row>
    <row r="166" spans="1:10" x14ac:dyDescent="0.25">
      <c r="A166" s="17" t="s">
        <v>1014</v>
      </c>
      <c r="B166" t="str">
        <f>UPPER(LEFT(A166,1))&amp;LOWER(RIGHT(A166,LEN(A166)-1))</f>
        <v xml:space="preserve">Chicken </v>
      </c>
      <c r="C166" t="s">
        <v>1017</v>
      </c>
      <c r="D166" t="s">
        <v>1017</v>
      </c>
      <c r="E166" t="s">
        <v>1067</v>
      </c>
      <c r="F166">
        <v>27</v>
      </c>
      <c r="G166" t="s">
        <v>2074</v>
      </c>
      <c r="H166">
        <v>1</v>
      </c>
      <c r="I166">
        <v>3</v>
      </c>
      <c r="J166">
        <v>2</v>
      </c>
    </row>
    <row r="167" spans="1:10" x14ac:dyDescent="0.25">
      <c r="A167" s="17" t="s">
        <v>1015</v>
      </c>
      <c r="B167" t="str">
        <f>UPPER(LEFT(A167,1))&amp;LOWER(RIGHT(A167,LEN(A167)-1))</f>
        <v xml:space="preserve">Garlic </v>
      </c>
      <c r="C167" t="s">
        <v>1018</v>
      </c>
      <c r="D167" t="s">
        <v>1018</v>
      </c>
      <c r="E167" t="s">
        <v>1068</v>
      </c>
      <c r="F167">
        <v>27</v>
      </c>
      <c r="G167" t="s">
        <v>2074</v>
      </c>
      <c r="H167">
        <v>1</v>
      </c>
      <c r="I167">
        <v>3</v>
      </c>
      <c r="J167">
        <v>2</v>
      </c>
    </row>
    <row r="168" spans="1:10" x14ac:dyDescent="0.25">
      <c r="A168" s="17" t="s">
        <v>1016</v>
      </c>
      <c r="B168" t="str">
        <f>UPPER(LEFT(A168,1))&amp;LOWER(RIGHT(A168,LEN(A168)-1))</f>
        <v xml:space="preserve">Pickles </v>
      </c>
      <c r="C168" t="s">
        <v>1019</v>
      </c>
      <c r="D168" t="s">
        <v>1969</v>
      </c>
      <c r="E168" t="s">
        <v>1069</v>
      </c>
      <c r="F168">
        <v>27</v>
      </c>
      <c r="G168" t="s">
        <v>2074</v>
      </c>
      <c r="H168">
        <v>1</v>
      </c>
      <c r="I168">
        <v>3</v>
      </c>
      <c r="J168">
        <v>2</v>
      </c>
    </row>
    <row r="169" spans="1:10" x14ac:dyDescent="0.25">
      <c r="A169" s="17" t="s">
        <v>1020</v>
      </c>
      <c r="B169" t="str">
        <f>UPPER(LEFT(A169,1))&amp;LOWER(RIGHT(A169,LEN(A169)-1))</f>
        <v>With</v>
      </c>
      <c r="C169" t="s">
        <v>1021</v>
      </c>
      <c r="D169" t="s">
        <v>1021</v>
      </c>
      <c r="E169" t="s">
        <v>1070</v>
      </c>
      <c r="F169">
        <v>27</v>
      </c>
      <c r="G169" t="s">
        <v>2074</v>
      </c>
      <c r="H169">
        <v>1</v>
      </c>
      <c r="I169">
        <v>3</v>
      </c>
      <c r="J169">
        <v>2</v>
      </c>
    </row>
    <row r="170" spans="1:10" x14ac:dyDescent="0.25">
      <c r="A170" s="17" t="s">
        <v>1022</v>
      </c>
      <c r="B170" t="str">
        <f>UPPER(LEFT(A170,1))&amp;LOWER(RIGHT(A170,LEN(A170)-1))</f>
        <v xml:space="preserve">Without </v>
      </c>
      <c r="C170" t="s">
        <v>1023</v>
      </c>
      <c r="D170" t="s">
        <v>1023</v>
      </c>
      <c r="E170" t="s">
        <v>1071</v>
      </c>
      <c r="F170">
        <v>27</v>
      </c>
      <c r="G170" t="s">
        <v>2074</v>
      </c>
      <c r="H170">
        <v>1</v>
      </c>
      <c r="I170">
        <v>3</v>
      </c>
      <c r="J170">
        <v>2</v>
      </c>
    </row>
    <row r="171" spans="1:10" x14ac:dyDescent="0.25">
      <c r="A171" s="17" t="s">
        <v>1025</v>
      </c>
      <c r="B171" t="str">
        <f>UPPER(LEFT(A171,1))&amp;LOWER(RIGHT(A171,LEN(A171)-1))</f>
        <v>Extra</v>
      </c>
      <c r="C171" t="s">
        <v>1026</v>
      </c>
      <c r="D171" t="s">
        <v>1026</v>
      </c>
      <c r="E171" t="s">
        <v>1073</v>
      </c>
      <c r="F171">
        <v>27</v>
      </c>
      <c r="G171" t="s">
        <v>2074</v>
      </c>
      <c r="H171">
        <v>1</v>
      </c>
      <c r="I171">
        <v>3</v>
      </c>
      <c r="J171">
        <v>2</v>
      </c>
    </row>
    <row r="172" spans="1:10" x14ac:dyDescent="0.25">
      <c r="A172" s="17" t="s">
        <v>1027</v>
      </c>
      <c r="B172" t="str">
        <f>UPPER(LEFT(A172,1))&amp;LOWER(RIGHT(A172,LEN(A172)-1))</f>
        <v>Cheese</v>
      </c>
      <c r="C172" t="s">
        <v>1028</v>
      </c>
      <c r="D172" t="s">
        <v>1028</v>
      </c>
      <c r="E172" t="s">
        <v>1074</v>
      </c>
      <c r="F172">
        <v>27</v>
      </c>
      <c r="G172" t="s">
        <v>2074</v>
      </c>
      <c r="H172">
        <v>1</v>
      </c>
      <c r="I172">
        <v>3</v>
      </c>
      <c r="J172">
        <v>2</v>
      </c>
    </row>
    <row r="173" spans="1:10" x14ac:dyDescent="0.25">
      <c r="A173" s="17" t="s">
        <v>1031</v>
      </c>
      <c r="B173" t="str">
        <f>UPPER(LEFT(A173,1))&amp;LOWER(RIGHT(A173,LEN(A173)-1))</f>
        <v>Vegeterian</v>
      </c>
      <c r="C173" t="s">
        <v>1588</v>
      </c>
      <c r="D173" t="s">
        <v>1588</v>
      </c>
      <c r="E173" t="s">
        <v>1076</v>
      </c>
      <c r="F173">
        <v>27</v>
      </c>
      <c r="G173" t="s">
        <v>2074</v>
      </c>
      <c r="H173">
        <v>1</v>
      </c>
      <c r="I173">
        <v>3</v>
      </c>
      <c r="J173">
        <v>2</v>
      </c>
    </row>
    <row r="174" spans="1:10" x14ac:dyDescent="0.25">
      <c r="A174" s="17" t="s">
        <v>1033</v>
      </c>
      <c r="B174" t="str">
        <f>UPPER(LEFT(A174,1))&amp;LOWER(RIGHT(A174,LEN(A174)-1))</f>
        <v>Ingredients</v>
      </c>
      <c r="C174" t="s">
        <v>1590</v>
      </c>
      <c r="D174" t="s">
        <v>1590</v>
      </c>
      <c r="E174" t="s">
        <v>1077</v>
      </c>
      <c r="F174">
        <v>27</v>
      </c>
      <c r="G174" t="s">
        <v>2074</v>
      </c>
      <c r="H174">
        <v>1</v>
      </c>
      <c r="I174">
        <v>3</v>
      </c>
      <c r="J174">
        <v>2</v>
      </c>
    </row>
    <row r="175" spans="1:10" x14ac:dyDescent="0.25">
      <c r="A175" s="17" t="s">
        <v>1035</v>
      </c>
      <c r="B175" t="str">
        <f>UPPER(LEFT(A175,1))&amp;LOWER(RIGHT(A175,LEN(A175)-1))</f>
        <v>Mushrooms</v>
      </c>
      <c r="C175" t="s">
        <v>1036</v>
      </c>
      <c r="D175" t="s">
        <v>1036</v>
      </c>
      <c r="E175" t="s">
        <v>1078</v>
      </c>
      <c r="F175">
        <v>27</v>
      </c>
      <c r="G175" t="s">
        <v>2074</v>
      </c>
      <c r="H175">
        <v>1</v>
      </c>
      <c r="I175">
        <v>3</v>
      </c>
      <c r="J175">
        <v>2</v>
      </c>
    </row>
    <row r="176" spans="1:10" x14ac:dyDescent="0.25">
      <c r="A176" s="17" t="s">
        <v>1037</v>
      </c>
      <c r="B176" t="str">
        <f>UPPER(LEFT(A176,1))&amp;LOWER(RIGHT(A176,LEN(A176)-1))</f>
        <v xml:space="preserve">To add </v>
      </c>
      <c r="C176" t="s">
        <v>1591</v>
      </c>
      <c r="D176" t="s">
        <v>1591</v>
      </c>
      <c r="E176" t="s">
        <v>1079</v>
      </c>
      <c r="F176">
        <v>27</v>
      </c>
      <c r="G176" t="s">
        <v>2074</v>
      </c>
      <c r="H176">
        <v>1</v>
      </c>
      <c r="I176">
        <v>3</v>
      </c>
      <c r="J176">
        <v>2</v>
      </c>
    </row>
    <row r="177" spans="1:10" x14ac:dyDescent="0.25">
      <c r="A177" s="17" t="s">
        <v>1038</v>
      </c>
      <c r="B177" t="str">
        <f>UPPER(LEFT(A177,1))&amp;LOWER(RIGHT(A177,LEN(A177)-1))</f>
        <v>To remove</v>
      </c>
      <c r="C177" t="s">
        <v>1039</v>
      </c>
      <c r="D177" t="s">
        <v>1860</v>
      </c>
      <c r="E177" t="s">
        <v>1080</v>
      </c>
      <c r="F177">
        <v>27</v>
      </c>
      <c r="G177" t="s">
        <v>2074</v>
      </c>
      <c r="H177">
        <v>1</v>
      </c>
      <c r="I177">
        <v>3</v>
      </c>
      <c r="J177">
        <v>2</v>
      </c>
    </row>
    <row r="178" spans="1:10" x14ac:dyDescent="0.25">
      <c r="A178" s="17" t="s">
        <v>1041</v>
      </c>
      <c r="B178" t="str">
        <f>UPPER(LEFT(A178,1))&amp;LOWER(RIGHT(A178,LEN(A178)-1))</f>
        <v xml:space="preserve">Mustard </v>
      </c>
      <c r="C178" t="s">
        <v>1042</v>
      </c>
      <c r="D178" t="s">
        <v>1042</v>
      </c>
      <c r="E178" t="s">
        <v>1081</v>
      </c>
      <c r="F178">
        <v>27</v>
      </c>
      <c r="G178" t="s">
        <v>2074</v>
      </c>
      <c r="H178">
        <v>1</v>
      </c>
      <c r="I178">
        <v>3</v>
      </c>
      <c r="J178">
        <v>2</v>
      </c>
    </row>
    <row r="179" spans="1:10" x14ac:dyDescent="0.25">
      <c r="A179" s="17" t="s">
        <v>1044</v>
      </c>
      <c r="B179" t="str">
        <f>UPPER(LEFT(A179,1))&amp;LOWER(RIGHT(A179,LEN(A179)-1))</f>
        <v>Dressing</v>
      </c>
      <c r="C179" t="s">
        <v>1045</v>
      </c>
      <c r="D179" t="s">
        <v>1045</v>
      </c>
      <c r="E179" t="s">
        <v>1082</v>
      </c>
      <c r="F179">
        <v>27</v>
      </c>
      <c r="G179" t="s">
        <v>2074</v>
      </c>
      <c r="H179">
        <v>1</v>
      </c>
      <c r="I179">
        <v>3</v>
      </c>
      <c r="J179">
        <v>2</v>
      </c>
    </row>
    <row r="180" spans="1:10" x14ac:dyDescent="0.25">
      <c r="A180" s="17" t="s">
        <v>1048</v>
      </c>
      <c r="B180" t="str">
        <f>UPPER(LEFT(A180,1))&amp;LOWER(RIGHT(A180,LEN(A180)-1))</f>
        <v xml:space="preserve">Light </v>
      </c>
      <c r="C180" t="s">
        <v>1049</v>
      </c>
      <c r="D180" t="s">
        <v>1972</v>
      </c>
      <c r="E180" t="s">
        <v>1084</v>
      </c>
      <c r="F180">
        <v>27</v>
      </c>
      <c r="G180" t="s">
        <v>2074</v>
      </c>
      <c r="H180">
        <v>1</v>
      </c>
      <c r="I180">
        <v>3</v>
      </c>
      <c r="J180">
        <v>2</v>
      </c>
    </row>
    <row r="181" spans="1:10" x14ac:dyDescent="0.25">
      <c r="A181" s="17" t="s">
        <v>1055</v>
      </c>
      <c r="B181" t="str">
        <f>UPPER(LEFT(A181,1))&amp;LOWER(RIGHT(A181,LEN(A181)-1))</f>
        <v>Cost</v>
      </c>
      <c r="C181" t="s">
        <v>1056</v>
      </c>
      <c r="D181" t="s">
        <v>1824</v>
      </c>
      <c r="E181" t="s">
        <v>1145</v>
      </c>
      <c r="F181">
        <v>27</v>
      </c>
      <c r="G181" t="s">
        <v>2074</v>
      </c>
      <c r="H181">
        <v>1</v>
      </c>
      <c r="I181">
        <v>3</v>
      </c>
      <c r="J181">
        <v>2</v>
      </c>
    </row>
    <row r="182" spans="1:10" x14ac:dyDescent="0.25">
      <c r="A182" s="17" t="s">
        <v>999</v>
      </c>
      <c r="B182" t="str">
        <f>UPPER(LEFT(A182,1))&amp;LOWER(RIGHT(A182,LEN(A182)-1))</f>
        <v>I would like to order some food</v>
      </c>
      <c r="C182" t="s">
        <v>1000</v>
      </c>
      <c r="D182" t="s">
        <v>1967</v>
      </c>
      <c r="E182" t="s">
        <v>1059</v>
      </c>
      <c r="F182">
        <v>27</v>
      </c>
      <c r="G182" t="s">
        <v>2074</v>
      </c>
      <c r="H182">
        <v>2</v>
      </c>
      <c r="I182">
        <v>3</v>
      </c>
      <c r="J182">
        <v>2</v>
      </c>
    </row>
    <row r="183" spans="1:10" x14ac:dyDescent="0.25">
      <c r="A183" s="17" t="s">
        <v>1001</v>
      </c>
      <c r="B183" t="str">
        <f>UPPER(LEFT(A183,1))&amp;LOWER(RIGHT(A183,LEN(A183)-1))</f>
        <v>To where do you want us to deliver</v>
      </c>
      <c r="C183" t="s">
        <v>1002</v>
      </c>
      <c r="D183" t="s">
        <v>1002</v>
      </c>
      <c r="E183" t="s">
        <v>1060</v>
      </c>
      <c r="F183">
        <v>27</v>
      </c>
      <c r="G183" t="s">
        <v>2074</v>
      </c>
      <c r="H183">
        <v>2</v>
      </c>
      <c r="I183">
        <v>3</v>
      </c>
      <c r="J183">
        <v>2</v>
      </c>
    </row>
    <row r="184" spans="1:10" x14ac:dyDescent="0.25">
      <c r="A184" s="17" t="s">
        <v>1007</v>
      </c>
      <c r="B184" t="str">
        <f>UPPER(LEFT(A184,1))&amp;LOWER(RIGHT(A184,LEN(A184)-1))</f>
        <v>I live in st lourde's street, in the fifth floor</v>
      </c>
      <c r="C184" t="s">
        <v>1629</v>
      </c>
      <c r="D184" t="s">
        <v>1968</v>
      </c>
      <c r="E184" t="s">
        <v>1063</v>
      </c>
      <c r="F184">
        <v>27</v>
      </c>
      <c r="G184" t="s">
        <v>2074</v>
      </c>
      <c r="H184">
        <v>2</v>
      </c>
      <c r="I184">
        <v>3</v>
      </c>
      <c r="J184">
        <v>2</v>
      </c>
    </row>
    <row r="185" spans="1:10" x14ac:dyDescent="0.25">
      <c r="A185" s="17" t="s">
        <v>1024</v>
      </c>
      <c r="B185" t="str">
        <f>UPPER(LEFT(A185,1))&amp;LOWER(RIGHT(A185,LEN(A185)-1))</f>
        <v xml:space="preserve">I want a chicken sandwich without garlic, with pickels, extra hommous </v>
      </c>
      <c r="C185" t="s">
        <v>1631</v>
      </c>
      <c r="D185" t="s">
        <v>1970</v>
      </c>
      <c r="E185" t="s">
        <v>1072</v>
      </c>
      <c r="F185">
        <v>27</v>
      </c>
      <c r="G185" t="s">
        <v>2074</v>
      </c>
      <c r="H185">
        <v>2</v>
      </c>
      <c r="I185">
        <v>3</v>
      </c>
      <c r="J185">
        <v>2</v>
      </c>
    </row>
    <row r="186" spans="1:10" x14ac:dyDescent="0.25">
      <c r="A186" s="17" t="s">
        <v>1029</v>
      </c>
      <c r="B186" t="str">
        <f>UPPER(LEFT(A186,1))&amp;LOWER(RIGHT(A186,LEN(A186)-1))</f>
        <v>I want to order three pizza pepperoni, extra cheese</v>
      </c>
      <c r="C186" t="s">
        <v>1030</v>
      </c>
      <c r="D186" t="s">
        <v>1030</v>
      </c>
      <c r="E186" t="s">
        <v>1075</v>
      </c>
      <c r="F186">
        <v>27</v>
      </c>
      <c r="G186" t="s">
        <v>2074</v>
      </c>
      <c r="H186">
        <v>2</v>
      </c>
      <c r="I186">
        <v>3</v>
      </c>
      <c r="J186">
        <v>2</v>
      </c>
    </row>
    <row r="187" spans="1:10" x14ac:dyDescent="0.25">
      <c r="A187" s="17" t="s">
        <v>1032</v>
      </c>
      <c r="B187" t="str">
        <f>UPPER(LEFT(A187,1))&amp;LOWER(RIGHT(A187,LEN(A187)-1))</f>
        <v>Do you have vegeterian pizza</v>
      </c>
      <c r="C187" t="s">
        <v>1589</v>
      </c>
      <c r="D187" t="s">
        <v>1840</v>
      </c>
      <c r="E187" t="s">
        <v>1235</v>
      </c>
      <c r="F187">
        <v>27</v>
      </c>
      <c r="G187" t="s">
        <v>2074</v>
      </c>
      <c r="H187">
        <v>2</v>
      </c>
      <c r="I187">
        <v>3</v>
      </c>
      <c r="J187">
        <v>2</v>
      </c>
    </row>
    <row r="188" spans="1:10" x14ac:dyDescent="0.25">
      <c r="A188" s="17" t="s">
        <v>1034</v>
      </c>
      <c r="B188" t="str">
        <f>UPPER(LEFT(A188,1))&amp;LOWER(RIGHT(A188,LEN(A188)-1))</f>
        <v>What do you put inside the pizza</v>
      </c>
      <c r="C188" t="s">
        <v>1632</v>
      </c>
      <c r="D188" t="s">
        <v>1859</v>
      </c>
      <c r="E188" t="s">
        <v>1234</v>
      </c>
      <c r="F188">
        <v>27</v>
      </c>
      <c r="G188" t="s">
        <v>2074</v>
      </c>
      <c r="H188">
        <v>2</v>
      </c>
      <c r="I188">
        <v>3</v>
      </c>
      <c r="J188">
        <v>2</v>
      </c>
    </row>
    <row r="189" spans="1:10" x14ac:dyDescent="0.25">
      <c r="A189" s="17" t="s">
        <v>1040</v>
      </c>
      <c r="B189" t="str">
        <f>UPPER(LEFT(A189,1))&amp;LOWER(RIGHT(A189,LEN(A189)-1))</f>
        <v>Can you remove to mushrooms</v>
      </c>
      <c r="C189" t="s">
        <v>1633</v>
      </c>
      <c r="D189" t="s">
        <v>1877</v>
      </c>
      <c r="E189" t="s">
        <v>1233</v>
      </c>
      <c r="F189">
        <v>27</v>
      </c>
      <c r="G189" t="s">
        <v>2074</v>
      </c>
      <c r="H189">
        <v>2</v>
      </c>
      <c r="I189">
        <v>3</v>
      </c>
      <c r="J189">
        <v>2</v>
      </c>
    </row>
    <row r="190" spans="1:10" x14ac:dyDescent="0.25">
      <c r="A190" s="17" t="s">
        <v>1043</v>
      </c>
      <c r="B190" t="str">
        <f>UPPER(LEFT(A190,1))&amp;LOWER(RIGHT(A190,LEN(A190)-1))</f>
        <v>Can you add mustard</v>
      </c>
      <c r="C190" t="s">
        <v>1634</v>
      </c>
      <c r="D190" t="s">
        <v>1971</v>
      </c>
      <c r="E190" t="s">
        <v>1232</v>
      </c>
      <c r="F190">
        <v>27</v>
      </c>
      <c r="G190" t="s">
        <v>2074</v>
      </c>
      <c r="H190">
        <v>2</v>
      </c>
      <c r="I190">
        <v>3</v>
      </c>
      <c r="J190">
        <v>2</v>
      </c>
    </row>
    <row r="191" spans="1:10" x14ac:dyDescent="0.25">
      <c r="A191" s="17" t="s">
        <v>1046</v>
      </c>
      <c r="B191" t="str">
        <f>UPPER(LEFT(A191,1))&amp;LOWER(RIGHT(A191,LEN(A191)-1))</f>
        <v>I want to change the dressing</v>
      </c>
      <c r="C191" t="s">
        <v>1047</v>
      </c>
      <c r="D191" t="s">
        <v>1047</v>
      </c>
      <c r="E191" t="s">
        <v>1083</v>
      </c>
      <c r="F191">
        <v>27</v>
      </c>
      <c r="G191" t="s">
        <v>2074</v>
      </c>
      <c r="H191">
        <v>2</v>
      </c>
      <c r="I191">
        <v>3</v>
      </c>
      <c r="J191">
        <v>2</v>
      </c>
    </row>
    <row r="192" spans="1:10" x14ac:dyDescent="0.25">
      <c r="A192" s="17" t="s">
        <v>1050</v>
      </c>
      <c r="B192" t="str">
        <f>UPPER(LEFT(A192,1))&amp;LOWER(RIGHT(A192,LEN(A192)-1))</f>
        <v>What do you have as something light</v>
      </c>
      <c r="C192" t="s">
        <v>1592</v>
      </c>
      <c r="D192" t="s">
        <v>2051</v>
      </c>
      <c r="E192" t="s">
        <v>1085</v>
      </c>
      <c r="F192">
        <v>27</v>
      </c>
      <c r="G192" t="s">
        <v>2074</v>
      </c>
      <c r="H192">
        <v>2</v>
      </c>
      <c r="I192">
        <v>3</v>
      </c>
      <c r="J192">
        <v>2</v>
      </c>
    </row>
    <row r="193" spans="1:10" x14ac:dyDescent="0.25">
      <c r="A193" s="17" t="s">
        <v>1051</v>
      </c>
      <c r="B193" t="str">
        <f>UPPER(LEFT(A193,1))&amp;LOWER(RIGHT(A193,LEN(A193)-1))</f>
        <v>Dish of the day</v>
      </c>
      <c r="C193" t="s">
        <v>1593</v>
      </c>
      <c r="D193" t="s">
        <v>1593</v>
      </c>
      <c r="E193" t="s">
        <v>1086</v>
      </c>
      <c r="F193">
        <v>27</v>
      </c>
      <c r="G193" t="s">
        <v>2074</v>
      </c>
      <c r="H193">
        <v>2</v>
      </c>
      <c r="I193">
        <v>3</v>
      </c>
      <c r="J193">
        <v>2</v>
      </c>
    </row>
    <row r="194" spans="1:10" x14ac:dyDescent="0.25">
      <c r="A194" s="17" t="s">
        <v>1052</v>
      </c>
      <c r="B194" t="str">
        <f>UPPER(LEFT(A194,1))&amp;LOWER(RIGHT(A194,LEN(A194)-1))</f>
        <v>What is the dish of the day</v>
      </c>
      <c r="C194" t="s">
        <v>1594</v>
      </c>
      <c r="D194" t="s">
        <v>1861</v>
      </c>
      <c r="E194" t="s">
        <v>1087</v>
      </c>
      <c r="F194">
        <v>27</v>
      </c>
      <c r="G194" t="s">
        <v>2074</v>
      </c>
      <c r="H194">
        <v>2</v>
      </c>
      <c r="I194">
        <v>3</v>
      </c>
      <c r="J194">
        <v>2</v>
      </c>
    </row>
    <row r="195" spans="1:10" x14ac:dyDescent="0.25">
      <c r="A195" s="17" t="s">
        <v>1053</v>
      </c>
      <c r="B195" t="str">
        <f>UPPER(LEFT(A195,1))&amp;LOWER(RIGHT(A195,LEN(A195)-1))</f>
        <v>How much time the food will need to arrive</v>
      </c>
      <c r="C195" t="s">
        <v>1054</v>
      </c>
      <c r="D195" t="s">
        <v>1878</v>
      </c>
      <c r="E195" t="s">
        <v>1144</v>
      </c>
      <c r="F195">
        <v>27</v>
      </c>
      <c r="G195" t="s">
        <v>2074</v>
      </c>
      <c r="H195">
        <v>2</v>
      </c>
      <c r="I195">
        <v>3</v>
      </c>
      <c r="J195">
        <v>2</v>
      </c>
    </row>
    <row r="196" spans="1:10" x14ac:dyDescent="0.25">
      <c r="A196" s="17" t="s">
        <v>1057</v>
      </c>
      <c r="B196" t="str">
        <f>UPPER(LEFT(A196,1))&amp;LOWER(RIGHT(A196,LEN(A196)-1))</f>
        <v>How much will the food cost</v>
      </c>
      <c r="C196" t="s">
        <v>1635</v>
      </c>
      <c r="D196" t="s">
        <v>1879</v>
      </c>
      <c r="E196" t="s">
        <v>1088</v>
      </c>
      <c r="F196">
        <v>27</v>
      </c>
      <c r="G196" t="s">
        <v>2074</v>
      </c>
      <c r="H196">
        <v>2</v>
      </c>
      <c r="I196">
        <v>3</v>
      </c>
      <c r="J196">
        <v>2</v>
      </c>
    </row>
    <row r="197" spans="1:10" x14ac:dyDescent="0.25">
      <c r="A197" s="17" t="s">
        <v>1281</v>
      </c>
      <c r="B197" t="str">
        <f>UPPER(LEFT(A197,1))&amp;LOWER(RIGHT(A197,LEN(A197)-1))</f>
        <v>Winter</v>
      </c>
      <c r="C197" t="s">
        <v>1703</v>
      </c>
      <c r="D197" t="s">
        <v>1887</v>
      </c>
      <c r="E197" t="s">
        <v>1329</v>
      </c>
      <c r="F197">
        <v>32</v>
      </c>
      <c r="G197" t="s">
        <v>1281</v>
      </c>
      <c r="H197">
        <v>1</v>
      </c>
      <c r="I197">
        <v>3</v>
      </c>
      <c r="J197">
        <v>3</v>
      </c>
    </row>
    <row r="198" spans="1:10" x14ac:dyDescent="0.25">
      <c r="A198" s="17" t="s">
        <v>1282</v>
      </c>
      <c r="B198" t="str">
        <f>UPPER(LEFT(A198,1))&amp;LOWER(RIGHT(A198,LEN(A198)-1))</f>
        <v>Cold</v>
      </c>
      <c r="C198" t="s">
        <v>1704</v>
      </c>
      <c r="D198" t="s">
        <v>1844</v>
      </c>
      <c r="E198" t="s">
        <v>1328</v>
      </c>
      <c r="F198">
        <v>32</v>
      </c>
      <c r="G198" t="s">
        <v>1281</v>
      </c>
      <c r="H198">
        <v>1</v>
      </c>
      <c r="I198">
        <v>3</v>
      </c>
      <c r="J198">
        <v>3</v>
      </c>
    </row>
    <row r="199" spans="1:10" x14ac:dyDescent="0.25">
      <c r="A199" s="17" t="s">
        <v>1284</v>
      </c>
      <c r="B199" t="str">
        <f>UPPER(LEFT(A199,1))&amp;LOWER(RIGHT(A199,LEN(A199)-1))</f>
        <v xml:space="preserve">Storm </v>
      </c>
      <c r="C199" t="s">
        <v>1706</v>
      </c>
      <c r="D199" t="s">
        <v>1888</v>
      </c>
      <c r="E199" t="s">
        <v>1326</v>
      </c>
      <c r="F199">
        <v>32</v>
      </c>
      <c r="G199" t="s">
        <v>1281</v>
      </c>
      <c r="H199">
        <v>1</v>
      </c>
      <c r="I199">
        <v>3</v>
      </c>
      <c r="J199">
        <v>3</v>
      </c>
    </row>
    <row r="200" spans="1:10" x14ac:dyDescent="0.25">
      <c r="A200" s="17" t="s">
        <v>1286</v>
      </c>
      <c r="B200" t="str">
        <f>UPPER(LEFT(A200,1))&amp;LOWER(RIGHT(A200,LEN(A200)-1))</f>
        <v>Snow</v>
      </c>
      <c r="C200" t="s">
        <v>1708</v>
      </c>
      <c r="D200" t="s">
        <v>1889</v>
      </c>
      <c r="E200" t="s">
        <v>1324</v>
      </c>
      <c r="F200">
        <v>32</v>
      </c>
      <c r="G200" t="s">
        <v>1281</v>
      </c>
      <c r="H200">
        <v>1</v>
      </c>
      <c r="I200">
        <v>3</v>
      </c>
      <c r="J200">
        <v>3</v>
      </c>
    </row>
    <row r="201" spans="1:10" x14ac:dyDescent="0.25">
      <c r="A201" s="17" t="s">
        <v>12</v>
      </c>
      <c r="B201" t="str">
        <f>UPPER(LEFT(A201,1))&amp;LOWER(RIGHT(A201,LEN(A201)-1))</f>
        <v xml:space="preserve">Road </v>
      </c>
      <c r="C201" t="s">
        <v>1711</v>
      </c>
      <c r="D201" t="s">
        <v>78</v>
      </c>
      <c r="E201" t="s">
        <v>1321</v>
      </c>
      <c r="F201">
        <v>32</v>
      </c>
      <c r="G201" t="s">
        <v>1281</v>
      </c>
      <c r="H201">
        <v>1</v>
      </c>
      <c r="I201">
        <v>3</v>
      </c>
      <c r="J201">
        <v>3</v>
      </c>
    </row>
    <row r="202" spans="1:10" x14ac:dyDescent="0.25">
      <c r="A202" s="17" t="s">
        <v>1291</v>
      </c>
      <c r="B202" t="str">
        <f>UPPER(LEFT(A202,1))&amp;LOWER(RIGHT(A202,LEN(A202)-1))</f>
        <v xml:space="preserve">Electrical heater </v>
      </c>
      <c r="C202" t="s">
        <v>1713</v>
      </c>
      <c r="D202" t="s">
        <v>1713</v>
      </c>
      <c r="E202" t="s">
        <v>1318</v>
      </c>
      <c r="F202">
        <v>32</v>
      </c>
      <c r="G202" t="s">
        <v>1281</v>
      </c>
      <c r="H202">
        <v>1</v>
      </c>
      <c r="I202">
        <v>3</v>
      </c>
      <c r="J202">
        <v>3</v>
      </c>
    </row>
    <row r="203" spans="1:10" x14ac:dyDescent="0.25">
      <c r="A203" s="17" t="s">
        <v>1292</v>
      </c>
      <c r="B203" t="str">
        <f>UPPER(LEFT(A203,1))&amp;LOWER(RIGHT(A203,LEN(A203)-1))</f>
        <v xml:space="preserve">Chimney </v>
      </c>
      <c r="C203" t="s">
        <v>1714</v>
      </c>
      <c r="D203" t="s">
        <v>2060</v>
      </c>
      <c r="E203" t="s">
        <v>1317</v>
      </c>
      <c r="F203">
        <v>32</v>
      </c>
      <c r="G203" t="s">
        <v>1281</v>
      </c>
      <c r="H203">
        <v>1</v>
      </c>
      <c r="I203">
        <v>3</v>
      </c>
      <c r="J203">
        <v>3</v>
      </c>
    </row>
    <row r="204" spans="1:10" x14ac:dyDescent="0.25">
      <c r="A204" s="17" t="s">
        <v>1293</v>
      </c>
      <c r="B204" t="str">
        <f>UPPER(LEFT(A204,1))&amp;LOWER(RIGHT(A204,LEN(A204)-1))</f>
        <v xml:space="preserve">Coal </v>
      </c>
      <c r="C204" t="s">
        <v>1715</v>
      </c>
      <c r="D204" t="s">
        <v>1603</v>
      </c>
      <c r="E204" t="s">
        <v>1316</v>
      </c>
      <c r="F204">
        <v>32</v>
      </c>
      <c r="G204" t="s">
        <v>1281</v>
      </c>
      <c r="H204">
        <v>1</v>
      </c>
      <c r="I204">
        <v>3</v>
      </c>
      <c r="J204">
        <v>3</v>
      </c>
    </row>
    <row r="205" spans="1:10" x14ac:dyDescent="0.25">
      <c r="A205" s="17" t="s">
        <v>1294</v>
      </c>
      <c r="B205" t="str">
        <f>UPPER(LEFT(A205,1))&amp;LOWER(RIGHT(A205,LEN(A205)-1))</f>
        <v xml:space="preserve">Winter food </v>
      </c>
      <c r="C205" t="s">
        <v>1604</v>
      </c>
      <c r="D205" t="s">
        <v>1891</v>
      </c>
      <c r="E205" t="s">
        <v>1315</v>
      </c>
      <c r="F205">
        <v>32</v>
      </c>
      <c r="G205" t="s">
        <v>1281</v>
      </c>
      <c r="H205">
        <v>1</v>
      </c>
      <c r="I205">
        <v>3</v>
      </c>
      <c r="J205">
        <v>3</v>
      </c>
    </row>
    <row r="206" spans="1:10" x14ac:dyDescent="0.25">
      <c r="A206" s="17" t="s">
        <v>1295</v>
      </c>
      <c r="B206" t="str">
        <f>UPPER(LEFT(A206,1))&amp;LOWER(RIGHT(A206,LEN(A206)-1))</f>
        <v xml:space="preserve">Chestnut </v>
      </c>
      <c r="C206" t="s">
        <v>1716</v>
      </c>
      <c r="D206" t="s">
        <v>1716</v>
      </c>
      <c r="E206" t="s">
        <v>1314</v>
      </c>
      <c r="F206">
        <v>32</v>
      </c>
      <c r="G206" t="s">
        <v>1281</v>
      </c>
      <c r="H206">
        <v>1</v>
      </c>
      <c r="I206">
        <v>3</v>
      </c>
      <c r="J206">
        <v>3</v>
      </c>
    </row>
    <row r="207" spans="1:10" x14ac:dyDescent="0.25">
      <c r="A207" s="17" t="s">
        <v>1296</v>
      </c>
      <c r="B207" t="str">
        <f>UPPER(LEFT(A207,1))&amp;LOWER(RIGHT(A207,LEN(A207)-1))</f>
        <v xml:space="preserve">Grilled potatoe </v>
      </c>
      <c r="C207" t="s">
        <v>1717</v>
      </c>
      <c r="D207" t="s">
        <v>1864</v>
      </c>
      <c r="E207" t="s">
        <v>1313</v>
      </c>
      <c r="F207">
        <v>32</v>
      </c>
      <c r="G207" t="s">
        <v>1281</v>
      </c>
      <c r="H207">
        <v>1</v>
      </c>
      <c r="I207">
        <v>3</v>
      </c>
      <c r="J207">
        <v>3</v>
      </c>
    </row>
    <row r="208" spans="1:10" x14ac:dyDescent="0.25">
      <c r="A208" s="17" t="s">
        <v>1297</v>
      </c>
      <c r="B208" t="str">
        <f>UPPER(LEFT(A208,1))&amp;LOWER(RIGHT(A208,LEN(A208)-1))</f>
        <v xml:space="preserve">Soup </v>
      </c>
      <c r="C208" t="s">
        <v>1718</v>
      </c>
      <c r="D208" t="s">
        <v>1865</v>
      </c>
      <c r="E208" t="s">
        <v>1312</v>
      </c>
      <c r="F208">
        <v>32</v>
      </c>
      <c r="G208" t="s">
        <v>1281</v>
      </c>
      <c r="H208">
        <v>1</v>
      </c>
      <c r="I208">
        <v>3</v>
      </c>
      <c r="J208">
        <v>3</v>
      </c>
    </row>
    <row r="209" spans="1:10" x14ac:dyDescent="0.25">
      <c r="A209" s="17" t="s">
        <v>1298</v>
      </c>
      <c r="B209" t="str">
        <f>UPPER(LEFT(A209,1))&amp;LOWER(RIGHT(A209,LEN(A209)-1))</f>
        <v xml:space="preserve">Scarf </v>
      </c>
      <c r="C209" t="s">
        <v>1719</v>
      </c>
      <c r="D209" t="s">
        <v>1866</v>
      </c>
      <c r="E209" t="s">
        <v>1311</v>
      </c>
      <c r="F209">
        <v>32</v>
      </c>
      <c r="G209" t="s">
        <v>1281</v>
      </c>
      <c r="H209">
        <v>1</v>
      </c>
      <c r="I209">
        <v>3</v>
      </c>
      <c r="J209">
        <v>3</v>
      </c>
    </row>
    <row r="210" spans="1:10" x14ac:dyDescent="0.25">
      <c r="A210" s="17" t="s">
        <v>1299</v>
      </c>
      <c r="B210" t="str">
        <f>UPPER(LEFT(A210,1))&amp;LOWER(RIGHT(A210,LEN(A210)-1))</f>
        <v xml:space="preserve">Gloves </v>
      </c>
      <c r="C210" t="s">
        <v>1720</v>
      </c>
      <c r="D210" t="s">
        <v>1720</v>
      </c>
      <c r="E210" t="s">
        <v>1309</v>
      </c>
      <c r="F210">
        <v>32</v>
      </c>
      <c r="G210" t="s">
        <v>1281</v>
      </c>
      <c r="H210">
        <v>1</v>
      </c>
      <c r="I210">
        <v>3</v>
      </c>
      <c r="J210">
        <v>3</v>
      </c>
    </row>
    <row r="211" spans="1:10" x14ac:dyDescent="0.25">
      <c r="A211" s="17" t="s">
        <v>1300</v>
      </c>
      <c r="B211" t="str">
        <f>UPPER(LEFT(A211,1))&amp;LOWER(RIGHT(A211,LEN(A211)-1))</f>
        <v xml:space="preserve">Hat </v>
      </c>
      <c r="C211" t="s">
        <v>1721</v>
      </c>
      <c r="D211" t="s">
        <v>1721</v>
      </c>
      <c r="E211" t="s">
        <v>1308</v>
      </c>
      <c r="F211">
        <v>32</v>
      </c>
      <c r="G211" t="s">
        <v>1281</v>
      </c>
      <c r="H211">
        <v>1</v>
      </c>
      <c r="I211">
        <v>3</v>
      </c>
      <c r="J211">
        <v>3</v>
      </c>
    </row>
    <row r="212" spans="1:10" x14ac:dyDescent="0.25">
      <c r="A212" s="17" t="s">
        <v>1301</v>
      </c>
      <c r="B212" t="str">
        <f>UPPER(LEFT(A212,1))&amp;LOWER(RIGHT(A212,LEN(A212)-1))</f>
        <v xml:space="preserve">Coat </v>
      </c>
      <c r="C212" t="s">
        <v>1722</v>
      </c>
      <c r="D212" t="s">
        <v>1722</v>
      </c>
      <c r="E212" t="s">
        <v>1310</v>
      </c>
      <c r="F212">
        <v>32</v>
      </c>
      <c r="G212" t="s">
        <v>1281</v>
      </c>
      <c r="H212">
        <v>1</v>
      </c>
      <c r="I212">
        <v>3</v>
      </c>
      <c r="J212">
        <v>3</v>
      </c>
    </row>
    <row r="213" spans="1:10" x14ac:dyDescent="0.25">
      <c r="A213" s="17" t="s">
        <v>1283</v>
      </c>
      <c r="B213" t="str">
        <f>UPPER(LEFT(A213,1))&amp;LOWER(RIGHT(A213,LEN(A213)-1))</f>
        <v xml:space="preserve">Today, it's really cold </v>
      </c>
      <c r="C213" t="s">
        <v>1705</v>
      </c>
      <c r="D213" t="s">
        <v>1966</v>
      </c>
      <c r="E213" t="s">
        <v>1327</v>
      </c>
      <c r="F213">
        <v>32</v>
      </c>
      <c r="G213" t="s">
        <v>1281</v>
      </c>
      <c r="H213">
        <v>2</v>
      </c>
      <c r="I213">
        <v>3</v>
      </c>
      <c r="J213">
        <v>3</v>
      </c>
    </row>
    <row r="214" spans="1:10" x14ac:dyDescent="0.25">
      <c r="A214" s="17" t="s">
        <v>1285</v>
      </c>
      <c r="B214" t="str">
        <f>UPPER(LEFT(A214,1))&amp;LOWER(RIGHT(A214,LEN(A214)-1))</f>
        <v xml:space="preserve">There is a storm coming soon </v>
      </c>
      <c r="C214" t="s">
        <v>1707</v>
      </c>
      <c r="D214" t="s">
        <v>2052</v>
      </c>
      <c r="E214" t="s">
        <v>1325</v>
      </c>
      <c r="F214">
        <v>32</v>
      </c>
      <c r="G214" t="s">
        <v>1281</v>
      </c>
      <c r="H214">
        <v>2</v>
      </c>
      <c r="I214">
        <v>3</v>
      </c>
      <c r="J214">
        <v>3</v>
      </c>
    </row>
    <row r="215" spans="1:10" x14ac:dyDescent="0.25">
      <c r="A215" s="17" t="s">
        <v>1287</v>
      </c>
      <c r="B215" t="str">
        <f>UPPER(LEFT(A215,1))&amp;LOWER(RIGHT(A215,LEN(A215)-1))</f>
        <v xml:space="preserve">It snowed yesterday </v>
      </c>
      <c r="C215" t="s">
        <v>1709</v>
      </c>
      <c r="D215" t="s">
        <v>2021</v>
      </c>
      <c r="E215" t="s">
        <v>1323</v>
      </c>
      <c r="F215">
        <v>32</v>
      </c>
      <c r="G215" t="s">
        <v>1281</v>
      </c>
      <c r="H215">
        <v>2</v>
      </c>
      <c r="I215">
        <v>3</v>
      </c>
      <c r="J215">
        <v>3</v>
      </c>
    </row>
    <row r="216" spans="1:10" x14ac:dyDescent="0.25">
      <c r="A216" s="17" t="s">
        <v>1288</v>
      </c>
      <c r="B216" t="str">
        <f>UPPER(LEFT(A216,1))&amp;LOWER(RIGHT(A216,LEN(A216)-1))</f>
        <v xml:space="preserve">The road was blocked </v>
      </c>
      <c r="C216" t="s">
        <v>1710</v>
      </c>
      <c r="D216" t="s">
        <v>1890</v>
      </c>
      <c r="E216" t="s">
        <v>1322</v>
      </c>
      <c r="F216">
        <v>32</v>
      </c>
      <c r="G216" t="s">
        <v>1281</v>
      </c>
      <c r="H216">
        <v>2</v>
      </c>
      <c r="I216">
        <v>3</v>
      </c>
      <c r="J216">
        <v>3</v>
      </c>
    </row>
    <row r="217" spans="1:10" x14ac:dyDescent="0.25">
      <c r="A217" s="17" t="s">
        <v>1289</v>
      </c>
      <c r="B217" t="str">
        <f>UPPER(LEFT(A217,1))&amp;LOWER(RIGHT(A217,LEN(A217)-1))</f>
        <v xml:space="preserve">It's too cold, i can't go out, not to catch a cold </v>
      </c>
      <c r="C217" t="s">
        <v>1712</v>
      </c>
      <c r="D217" t="s">
        <v>2022</v>
      </c>
      <c r="E217" t="s">
        <v>1320</v>
      </c>
      <c r="F217">
        <v>32</v>
      </c>
      <c r="G217" t="s">
        <v>1281</v>
      </c>
      <c r="H217">
        <v>2</v>
      </c>
      <c r="I217">
        <v>3</v>
      </c>
      <c r="J217">
        <v>3</v>
      </c>
    </row>
    <row r="218" spans="1:10" x14ac:dyDescent="0.25">
      <c r="A218" s="17" t="s">
        <v>1290</v>
      </c>
      <c r="B218" t="str">
        <f>UPPER(LEFT(A218,1))&amp;LOWER(RIGHT(A218,LEN(A218)-1))</f>
        <v>Heating machines</v>
      </c>
      <c r="C218" t="s">
        <v>1602</v>
      </c>
      <c r="D218" t="s">
        <v>2023</v>
      </c>
      <c r="E218" t="s">
        <v>1319</v>
      </c>
      <c r="F218">
        <v>32</v>
      </c>
      <c r="G218" t="s">
        <v>1281</v>
      </c>
      <c r="H218">
        <v>2</v>
      </c>
      <c r="I218">
        <v>3</v>
      </c>
      <c r="J218">
        <v>3</v>
      </c>
    </row>
    <row r="219" spans="1:10" x14ac:dyDescent="0.25">
      <c r="A219" s="17" t="s">
        <v>1302</v>
      </c>
      <c r="B219" t="str">
        <f>UPPER(LEFT(A219,1))&amp;LOWER(RIGHT(A219,LEN(A219)-1))</f>
        <v xml:space="preserve">I am going to the snow </v>
      </c>
      <c r="C219" t="s">
        <v>1723</v>
      </c>
      <c r="D219" t="s">
        <v>2062</v>
      </c>
      <c r="E219" t="s">
        <v>1307</v>
      </c>
      <c r="F219">
        <v>32</v>
      </c>
      <c r="G219" t="s">
        <v>1281</v>
      </c>
      <c r="H219">
        <v>2</v>
      </c>
      <c r="I219">
        <v>3</v>
      </c>
      <c r="J219">
        <v>3</v>
      </c>
    </row>
    <row r="220" spans="1:10" x14ac:dyDescent="0.25">
      <c r="A220" s="17" t="s">
        <v>1303</v>
      </c>
      <c r="B220" t="str">
        <f>UPPER(LEFT(A220,1))&amp;LOWER(RIGHT(A220,LEN(A220)-1))</f>
        <v xml:space="preserve">I am goig skiing </v>
      </c>
      <c r="C220" t="s">
        <v>1724</v>
      </c>
      <c r="D220" t="s">
        <v>2063</v>
      </c>
      <c r="E220" t="s">
        <v>1306</v>
      </c>
      <c r="F220">
        <v>32</v>
      </c>
      <c r="G220" t="s">
        <v>1281</v>
      </c>
      <c r="H220">
        <v>2</v>
      </c>
      <c r="I220">
        <v>3</v>
      </c>
      <c r="J220">
        <v>3</v>
      </c>
    </row>
    <row r="221" spans="1:10" x14ac:dyDescent="0.25">
      <c r="A221" s="17" t="s">
        <v>1304</v>
      </c>
      <c r="B221" t="str">
        <f>UPPER(LEFT(A221,1))&amp;LOWER(RIGHT(A221,LEN(A221)-1))</f>
        <v xml:space="preserve">Keep warm </v>
      </c>
      <c r="C221" t="s">
        <v>1725</v>
      </c>
      <c r="D221" t="s">
        <v>2061</v>
      </c>
      <c r="E221" t="s">
        <v>1305</v>
      </c>
      <c r="F221">
        <v>32</v>
      </c>
      <c r="G221" t="s">
        <v>1281</v>
      </c>
      <c r="H221">
        <v>2</v>
      </c>
      <c r="I221">
        <v>3</v>
      </c>
      <c r="J221">
        <v>3</v>
      </c>
    </row>
    <row r="222" spans="1:10" x14ac:dyDescent="0.25">
      <c r="A222" s="17" t="s">
        <v>1150</v>
      </c>
      <c r="B222" t="str">
        <f>UPPER(LEFT(A222,1))&amp;LOWER(RIGHT(A222,LEN(A222)-1))</f>
        <v xml:space="preserve">Pencil </v>
      </c>
      <c r="C222" t="s">
        <v>1647</v>
      </c>
      <c r="D222" t="s">
        <v>1647</v>
      </c>
      <c r="E222" t="s">
        <v>1174</v>
      </c>
      <c r="F222">
        <v>29</v>
      </c>
      <c r="G222" t="s">
        <v>2072</v>
      </c>
      <c r="H222">
        <v>1</v>
      </c>
      <c r="I222">
        <v>4</v>
      </c>
      <c r="J222">
        <v>1</v>
      </c>
    </row>
    <row r="223" spans="1:10" x14ac:dyDescent="0.25">
      <c r="A223" s="17" t="s">
        <v>1151</v>
      </c>
      <c r="B223" t="str">
        <f>UPPER(LEFT(A223,1))&amp;LOWER(RIGHT(A223,LEN(A223)-1))</f>
        <v xml:space="preserve">Pen </v>
      </c>
      <c r="C223" t="s">
        <v>1648</v>
      </c>
      <c r="D223" t="s">
        <v>1648</v>
      </c>
      <c r="E223" t="s">
        <v>1173</v>
      </c>
      <c r="F223">
        <v>29</v>
      </c>
      <c r="G223" t="s">
        <v>2072</v>
      </c>
      <c r="H223">
        <v>1</v>
      </c>
      <c r="I223">
        <v>4</v>
      </c>
      <c r="J223">
        <v>1</v>
      </c>
    </row>
    <row r="224" spans="1:10" x14ac:dyDescent="0.25">
      <c r="A224" s="17" t="s">
        <v>1152</v>
      </c>
      <c r="B224" t="str">
        <f>UPPER(LEFT(A224,1))&amp;LOWER(RIGHT(A224,LEN(A224)-1))</f>
        <v>Paper</v>
      </c>
      <c r="C224" t="s">
        <v>1649</v>
      </c>
      <c r="D224" t="s">
        <v>1649</v>
      </c>
      <c r="E224" t="s">
        <v>1172</v>
      </c>
      <c r="F224">
        <v>29</v>
      </c>
      <c r="G224" t="s">
        <v>2072</v>
      </c>
      <c r="H224">
        <v>1</v>
      </c>
      <c r="I224">
        <v>4</v>
      </c>
      <c r="J224">
        <v>1</v>
      </c>
    </row>
    <row r="225" spans="1:10" x14ac:dyDescent="0.25">
      <c r="A225" s="17" t="s">
        <v>1153</v>
      </c>
      <c r="B225" t="str">
        <f>UPPER(LEFT(A225,1))&amp;LOWER(RIGHT(A225,LEN(A225)-1))</f>
        <v xml:space="preserve">I write </v>
      </c>
      <c r="C225" t="s">
        <v>1650</v>
      </c>
      <c r="D225" t="s">
        <v>1650</v>
      </c>
      <c r="E225" t="s">
        <v>1171</v>
      </c>
      <c r="F225">
        <v>29</v>
      </c>
      <c r="G225" t="s">
        <v>2072</v>
      </c>
      <c r="H225">
        <v>1</v>
      </c>
      <c r="I225">
        <v>4</v>
      </c>
      <c r="J225">
        <v>1</v>
      </c>
    </row>
    <row r="226" spans="1:10" x14ac:dyDescent="0.25">
      <c r="A226" s="17" t="s">
        <v>1155</v>
      </c>
      <c r="B226" t="str">
        <f>UPPER(LEFT(A226,1))&amp;LOWER(RIGHT(A226,LEN(A226)-1))</f>
        <v xml:space="preserve">Book </v>
      </c>
      <c r="C226" t="s">
        <v>1652</v>
      </c>
      <c r="D226" t="s">
        <v>1652</v>
      </c>
      <c r="E226" t="s">
        <v>1169</v>
      </c>
      <c r="F226">
        <v>29</v>
      </c>
      <c r="G226" t="s">
        <v>2072</v>
      </c>
      <c r="H226">
        <v>1</v>
      </c>
      <c r="I226">
        <v>4</v>
      </c>
      <c r="J226">
        <v>1</v>
      </c>
    </row>
    <row r="227" spans="1:10" x14ac:dyDescent="0.25">
      <c r="A227" s="17" t="s">
        <v>1156</v>
      </c>
      <c r="B227" t="str">
        <f>UPPER(LEFT(A227,1))&amp;LOWER(RIGHT(A227,LEN(A227)-1))</f>
        <v xml:space="preserve">Notebook </v>
      </c>
      <c r="C227" t="s">
        <v>1653</v>
      </c>
      <c r="D227" t="s">
        <v>1653</v>
      </c>
      <c r="E227" t="s">
        <v>1168</v>
      </c>
      <c r="F227">
        <v>29</v>
      </c>
      <c r="G227" t="s">
        <v>2072</v>
      </c>
      <c r="H227">
        <v>1</v>
      </c>
      <c r="I227">
        <v>4</v>
      </c>
      <c r="J227">
        <v>1</v>
      </c>
    </row>
    <row r="228" spans="1:10" x14ac:dyDescent="0.25">
      <c r="A228" s="17" t="s">
        <v>1157</v>
      </c>
      <c r="B228" t="str">
        <f>UPPER(LEFT(A228,1))&amp;LOWER(RIGHT(A228,LEN(A228)-1))</f>
        <v xml:space="preserve">Ruler </v>
      </c>
      <c r="C228" t="s">
        <v>1654</v>
      </c>
      <c r="D228" t="s">
        <v>1654</v>
      </c>
      <c r="E228" t="s">
        <v>1167</v>
      </c>
      <c r="F228">
        <v>29</v>
      </c>
      <c r="G228" t="s">
        <v>2072</v>
      </c>
      <c r="H228">
        <v>1</v>
      </c>
      <c r="I228">
        <v>4</v>
      </c>
      <c r="J228">
        <v>1</v>
      </c>
    </row>
    <row r="229" spans="1:10" x14ac:dyDescent="0.25">
      <c r="A229" s="17" t="s">
        <v>1158</v>
      </c>
      <c r="B229" t="str">
        <f>UPPER(LEFT(A229,1))&amp;LOWER(RIGHT(A229,LEN(A229)-1))</f>
        <v xml:space="preserve">Board </v>
      </c>
      <c r="C229" t="s">
        <v>1655</v>
      </c>
      <c r="D229" t="s">
        <v>1826</v>
      </c>
      <c r="E229" t="s">
        <v>1166</v>
      </c>
      <c r="F229">
        <v>29</v>
      </c>
      <c r="G229" t="s">
        <v>2072</v>
      </c>
      <c r="H229">
        <v>1</v>
      </c>
      <c r="I229">
        <v>4</v>
      </c>
      <c r="J229">
        <v>1</v>
      </c>
    </row>
    <row r="230" spans="1:10" x14ac:dyDescent="0.25">
      <c r="A230" s="17" t="s">
        <v>1160</v>
      </c>
      <c r="B230" t="str">
        <f>UPPER(LEFT(A230,1))&amp;LOWER(RIGHT(A230,LEN(A230)-1))</f>
        <v xml:space="preserve">Teacher (man) </v>
      </c>
      <c r="C230" t="s">
        <v>1657</v>
      </c>
      <c r="D230" t="s">
        <v>1881</v>
      </c>
      <c r="E230" t="s">
        <v>1164</v>
      </c>
      <c r="F230">
        <v>29</v>
      </c>
      <c r="G230" t="s">
        <v>2072</v>
      </c>
      <c r="H230">
        <v>1</v>
      </c>
      <c r="I230">
        <v>4</v>
      </c>
      <c r="J230">
        <v>1</v>
      </c>
    </row>
    <row r="231" spans="1:10" x14ac:dyDescent="0.25">
      <c r="A231" s="17" t="s">
        <v>1161</v>
      </c>
      <c r="B231" t="str">
        <f>UPPER(LEFT(A231,1))&amp;LOWER(RIGHT(A231,LEN(A231)-1))</f>
        <v xml:space="preserve">Teacher (woman) </v>
      </c>
      <c r="C231" t="s">
        <v>1658</v>
      </c>
      <c r="D231" t="s">
        <v>1843</v>
      </c>
      <c r="E231" t="s">
        <v>1163</v>
      </c>
      <c r="F231">
        <v>29</v>
      </c>
      <c r="G231" t="s">
        <v>2072</v>
      </c>
      <c r="H231">
        <v>1</v>
      </c>
      <c r="I231">
        <v>4</v>
      </c>
      <c r="J231">
        <v>1</v>
      </c>
    </row>
    <row r="232" spans="1:10" x14ac:dyDescent="0.25">
      <c r="A232" s="17" t="s">
        <v>1147</v>
      </c>
      <c r="B232" t="str">
        <f>UPPER(LEFT(A232,1))&amp;LOWER(RIGHT(A232,LEN(A232)-1))</f>
        <v>I am a student</v>
      </c>
      <c r="C232" t="s">
        <v>1643</v>
      </c>
      <c r="D232" t="s">
        <v>1987</v>
      </c>
      <c r="E232" t="s">
        <v>1176</v>
      </c>
      <c r="F232">
        <v>29</v>
      </c>
      <c r="G232" t="s">
        <v>2072</v>
      </c>
      <c r="H232">
        <v>2</v>
      </c>
      <c r="I232">
        <v>4</v>
      </c>
      <c r="J232">
        <v>1</v>
      </c>
    </row>
    <row r="233" spans="1:10" x14ac:dyDescent="0.25">
      <c r="A233" s="17" t="s">
        <v>1146</v>
      </c>
      <c r="B233" t="str">
        <f>UPPER(LEFT(A233,1))&amp;LOWER(RIGHT(A233,LEN(A233)-1))</f>
        <v xml:space="preserve">I study arabic </v>
      </c>
      <c r="C233" t="s">
        <v>1644</v>
      </c>
      <c r="D233" t="s">
        <v>1841</v>
      </c>
      <c r="E233" t="s">
        <v>1175</v>
      </c>
      <c r="F233">
        <v>29</v>
      </c>
      <c r="G233" t="s">
        <v>2072</v>
      </c>
      <c r="H233">
        <v>2</v>
      </c>
      <c r="I233">
        <v>4</v>
      </c>
      <c r="J233">
        <v>1</v>
      </c>
    </row>
    <row r="234" spans="1:10" x14ac:dyDescent="0.25">
      <c r="A234" s="17" t="s">
        <v>1148</v>
      </c>
      <c r="B234" t="str">
        <f>UPPER(LEFT(A234,1))&amp;LOWER(RIGHT(A234,LEN(A234)-1))</f>
        <v xml:space="preserve">I study in the lebanese univeristy </v>
      </c>
      <c r="C234" t="s">
        <v>1645</v>
      </c>
      <c r="D234" t="s">
        <v>1988</v>
      </c>
      <c r="E234" t="s">
        <v>1177</v>
      </c>
      <c r="F234">
        <v>29</v>
      </c>
      <c r="G234" t="s">
        <v>2072</v>
      </c>
      <c r="H234">
        <v>2</v>
      </c>
      <c r="I234">
        <v>4</v>
      </c>
      <c r="J234">
        <v>1</v>
      </c>
    </row>
    <row r="235" spans="1:10" x14ac:dyDescent="0.25">
      <c r="A235" s="17" t="s">
        <v>1149</v>
      </c>
      <c r="B235" t="str">
        <f>UPPER(LEFT(A235,1))&amp;LOWER(RIGHT(A235,LEN(A235)-1))</f>
        <v xml:space="preserve">I am a student,  and study arabic in the lebanese univeristy  </v>
      </c>
      <c r="C235" t="s">
        <v>1646</v>
      </c>
      <c r="D235" t="s">
        <v>1989</v>
      </c>
      <c r="E235" t="s">
        <v>1178</v>
      </c>
      <c r="F235">
        <v>29</v>
      </c>
      <c r="G235" t="s">
        <v>2072</v>
      </c>
      <c r="H235">
        <v>2</v>
      </c>
      <c r="I235">
        <v>4</v>
      </c>
      <c r="J235">
        <v>1</v>
      </c>
    </row>
    <row r="236" spans="1:10" x14ac:dyDescent="0.25">
      <c r="A236" s="17" t="s">
        <v>1154</v>
      </c>
      <c r="B236" t="str">
        <f>UPPER(LEFT(A236,1))&amp;LOWER(RIGHT(A236,LEN(A236)-1))</f>
        <v>I write with the pen on the paper</v>
      </c>
      <c r="C236" t="s">
        <v>1651</v>
      </c>
      <c r="D236" t="s">
        <v>1842</v>
      </c>
      <c r="E236" t="s">
        <v>1170</v>
      </c>
      <c r="F236">
        <v>29</v>
      </c>
      <c r="G236" t="s">
        <v>2072</v>
      </c>
      <c r="H236">
        <v>2</v>
      </c>
      <c r="I236">
        <v>4</v>
      </c>
      <c r="J236">
        <v>1</v>
      </c>
    </row>
    <row r="237" spans="1:10" x14ac:dyDescent="0.25">
      <c r="A237" s="17" t="s">
        <v>1159</v>
      </c>
      <c r="B237" t="str">
        <f>UPPER(LEFT(A237,1))&amp;LOWER(RIGHT(A237,LEN(A237)-1))</f>
        <v>May i go to the bathroom</v>
      </c>
      <c r="C237" t="s">
        <v>1656</v>
      </c>
      <c r="D237" t="s">
        <v>1990</v>
      </c>
      <c r="E237" t="s">
        <v>1165</v>
      </c>
      <c r="F237">
        <v>29</v>
      </c>
      <c r="G237" t="s">
        <v>2072</v>
      </c>
      <c r="H237">
        <v>2</v>
      </c>
      <c r="I237">
        <v>4</v>
      </c>
      <c r="J237">
        <v>1</v>
      </c>
    </row>
    <row r="238" spans="1:10" x14ac:dyDescent="0.25">
      <c r="A238" s="17" t="s">
        <v>1162</v>
      </c>
      <c r="B238" t="str">
        <f>UPPER(LEFT(A238,1))&amp;LOWER(RIGHT(A238,LEN(A238)-1))</f>
        <v xml:space="preserve">Can you lend me your pen </v>
      </c>
      <c r="C238" t="s">
        <v>1659</v>
      </c>
      <c r="D238" t="s">
        <v>1991</v>
      </c>
      <c r="E238" t="s">
        <v>1231</v>
      </c>
      <c r="F238">
        <v>29</v>
      </c>
      <c r="G238" t="s">
        <v>2072</v>
      </c>
      <c r="H238">
        <v>2</v>
      </c>
      <c r="I238">
        <v>4</v>
      </c>
      <c r="J238">
        <v>1</v>
      </c>
    </row>
    <row r="239" spans="1:10" x14ac:dyDescent="0.25">
      <c r="A239" s="17" t="s">
        <v>1237</v>
      </c>
      <c r="B239" t="str">
        <f>UPPER(LEFT(A239,1))&amp;LOWER(RIGHT(A239,LEN(A239)-1))</f>
        <v xml:space="preserve">Job </v>
      </c>
      <c r="C239" t="s">
        <v>1682</v>
      </c>
      <c r="D239" t="s">
        <v>2018</v>
      </c>
      <c r="E239" t="s">
        <v>1280</v>
      </c>
      <c r="F239">
        <v>31</v>
      </c>
      <c r="G239" t="s">
        <v>1238</v>
      </c>
      <c r="H239">
        <v>1</v>
      </c>
      <c r="I239">
        <v>4</v>
      </c>
      <c r="J239">
        <v>2</v>
      </c>
    </row>
    <row r="240" spans="1:10" x14ac:dyDescent="0.25">
      <c r="A240" s="17" t="s">
        <v>1238</v>
      </c>
      <c r="B240" t="str">
        <f>UPPER(LEFT(A240,1))&amp;LOWER(RIGHT(A240,LEN(A240)-1))</f>
        <v>Jobs</v>
      </c>
      <c r="C240" t="s">
        <v>1683</v>
      </c>
      <c r="D240" t="s">
        <v>1862</v>
      </c>
      <c r="E240" t="s">
        <v>1279</v>
      </c>
      <c r="F240">
        <v>31</v>
      </c>
      <c r="G240" t="s">
        <v>1238</v>
      </c>
      <c r="H240">
        <v>1</v>
      </c>
      <c r="I240">
        <v>4</v>
      </c>
      <c r="J240">
        <v>2</v>
      </c>
    </row>
    <row r="241" spans="1:10" x14ac:dyDescent="0.25">
      <c r="A241" s="17" t="s">
        <v>1239</v>
      </c>
      <c r="B241" t="str">
        <f>UPPER(LEFT(A241,1))&amp;LOWER(RIGHT(A241,LEN(A241)-1))</f>
        <v xml:space="preserve">Show maker </v>
      </c>
      <c r="C241" t="s">
        <v>1684</v>
      </c>
      <c r="D241" t="s">
        <v>1882</v>
      </c>
      <c r="E241" t="s">
        <v>1278</v>
      </c>
      <c r="F241">
        <v>31</v>
      </c>
      <c r="G241" t="s">
        <v>1238</v>
      </c>
      <c r="H241">
        <v>1</v>
      </c>
      <c r="I241">
        <v>4</v>
      </c>
      <c r="J241">
        <v>2</v>
      </c>
    </row>
    <row r="242" spans="1:10" x14ac:dyDescent="0.25">
      <c r="A242" s="17" t="s">
        <v>1240</v>
      </c>
      <c r="B242" t="str">
        <f>UPPER(LEFT(A242,1))&amp;LOWER(RIGHT(A242,LEN(A242)-1))</f>
        <v xml:space="preserve">Blacksmith </v>
      </c>
      <c r="C242" t="s">
        <v>1685</v>
      </c>
      <c r="D242" t="s">
        <v>1599</v>
      </c>
      <c r="E242" t="s">
        <v>1277</v>
      </c>
      <c r="F242">
        <v>31</v>
      </c>
      <c r="G242" t="s">
        <v>1238</v>
      </c>
      <c r="H242">
        <v>1</v>
      </c>
      <c r="I242">
        <v>4</v>
      </c>
      <c r="J242">
        <v>2</v>
      </c>
    </row>
    <row r="243" spans="1:10" x14ac:dyDescent="0.25">
      <c r="A243" s="17" t="s">
        <v>1241</v>
      </c>
      <c r="B243" t="str">
        <f>UPPER(LEFT(A243,1))&amp;LOWER(RIGHT(A243,LEN(A243)-1))</f>
        <v xml:space="preserve">Carpenter </v>
      </c>
      <c r="C243" t="s">
        <v>1686</v>
      </c>
      <c r="D243" t="s">
        <v>1686</v>
      </c>
      <c r="E243" t="s">
        <v>1276</v>
      </c>
      <c r="F243">
        <v>31</v>
      </c>
      <c r="G243" t="s">
        <v>1238</v>
      </c>
      <c r="H243">
        <v>1</v>
      </c>
      <c r="I243">
        <v>4</v>
      </c>
      <c r="J243">
        <v>2</v>
      </c>
    </row>
    <row r="244" spans="1:10" x14ac:dyDescent="0.25">
      <c r="A244" s="17" t="s">
        <v>1242</v>
      </c>
      <c r="B244" t="str">
        <f>UPPER(LEFT(A244,1))&amp;LOWER(RIGHT(A244,LEN(A244)-1))</f>
        <v xml:space="preserve">Mechanic </v>
      </c>
      <c r="C244" t="s">
        <v>1687</v>
      </c>
      <c r="D244" t="s">
        <v>2019</v>
      </c>
      <c r="E244" t="s">
        <v>1275</v>
      </c>
      <c r="F244">
        <v>31</v>
      </c>
      <c r="G244" t="s">
        <v>1238</v>
      </c>
      <c r="H244">
        <v>1</v>
      </c>
      <c r="I244">
        <v>4</v>
      </c>
      <c r="J244">
        <v>2</v>
      </c>
    </row>
    <row r="245" spans="1:10" x14ac:dyDescent="0.25">
      <c r="A245" s="17" t="s">
        <v>1243</v>
      </c>
      <c r="B245" t="str">
        <f>UPPER(LEFT(A245,1))&amp;LOWER(RIGHT(A245,LEN(A245)-1))</f>
        <v xml:space="preserve">Grocery store </v>
      </c>
      <c r="C245" t="s">
        <v>1688</v>
      </c>
      <c r="D245" t="s">
        <v>1688</v>
      </c>
      <c r="E245" t="s">
        <v>1274</v>
      </c>
      <c r="F245">
        <v>31</v>
      </c>
      <c r="G245" t="s">
        <v>1238</v>
      </c>
      <c r="H245">
        <v>1</v>
      </c>
      <c r="I245">
        <v>4</v>
      </c>
      <c r="J245">
        <v>2</v>
      </c>
    </row>
    <row r="246" spans="1:10" x14ac:dyDescent="0.25">
      <c r="A246" s="17" t="s">
        <v>1244</v>
      </c>
      <c r="B246" t="str">
        <f>UPPER(LEFT(A246,1))&amp;LOWER(RIGHT(A246,LEN(A246)-1))</f>
        <v xml:space="preserve">Grocery owner </v>
      </c>
      <c r="C246" t="s">
        <v>1689</v>
      </c>
      <c r="D246" t="s">
        <v>1689</v>
      </c>
      <c r="E246" t="s">
        <v>1273</v>
      </c>
      <c r="F246">
        <v>31</v>
      </c>
      <c r="G246" t="s">
        <v>1238</v>
      </c>
      <c r="H246">
        <v>1</v>
      </c>
      <c r="I246">
        <v>4</v>
      </c>
      <c r="J246">
        <v>2</v>
      </c>
    </row>
    <row r="247" spans="1:10" x14ac:dyDescent="0.25">
      <c r="A247" s="17" t="s">
        <v>1245</v>
      </c>
      <c r="B247" t="str">
        <f>UPPER(LEFT(A247,1))&amp;LOWER(RIGHT(A247,LEN(A247)-1))</f>
        <v xml:space="preserve">Vegetables </v>
      </c>
      <c r="C247" t="s">
        <v>1600</v>
      </c>
      <c r="D247" t="s">
        <v>1600</v>
      </c>
      <c r="E247" t="s">
        <v>1272</v>
      </c>
      <c r="F247">
        <v>31</v>
      </c>
      <c r="G247" t="s">
        <v>1238</v>
      </c>
      <c r="H247">
        <v>1</v>
      </c>
      <c r="I247">
        <v>4</v>
      </c>
      <c r="J247">
        <v>2</v>
      </c>
    </row>
    <row r="248" spans="1:10" x14ac:dyDescent="0.25">
      <c r="A248" s="17" t="s">
        <v>1246</v>
      </c>
      <c r="B248" t="str">
        <f>UPPER(LEFT(A248,1))&amp;LOWER(RIGHT(A248,LEN(A248)-1))</f>
        <v xml:space="preserve">Vegetebale store owner </v>
      </c>
      <c r="C248" t="s">
        <v>1690</v>
      </c>
      <c r="D248" t="s">
        <v>1883</v>
      </c>
      <c r="E248" t="s">
        <v>1271</v>
      </c>
      <c r="F248">
        <v>31</v>
      </c>
      <c r="G248" t="s">
        <v>1238</v>
      </c>
      <c r="H248">
        <v>1</v>
      </c>
      <c r="I248">
        <v>4</v>
      </c>
      <c r="J248">
        <v>2</v>
      </c>
    </row>
    <row r="249" spans="1:10" x14ac:dyDescent="0.25">
      <c r="A249" s="17" t="s">
        <v>1247</v>
      </c>
      <c r="B249" t="str">
        <f>UPPER(LEFT(A249,1))&amp;LOWER(RIGHT(A249,LEN(A249)-1))</f>
        <v xml:space="preserve">Garden </v>
      </c>
      <c r="C249" t="s">
        <v>1691</v>
      </c>
      <c r="D249" t="s">
        <v>1884</v>
      </c>
      <c r="E249" t="s">
        <v>1270</v>
      </c>
      <c r="F249">
        <v>31</v>
      </c>
      <c r="G249" t="s">
        <v>1238</v>
      </c>
      <c r="H249">
        <v>1</v>
      </c>
      <c r="I249">
        <v>4</v>
      </c>
      <c r="J249">
        <v>2</v>
      </c>
    </row>
    <row r="250" spans="1:10" x14ac:dyDescent="0.25">
      <c r="A250" s="17" t="s">
        <v>1248</v>
      </c>
      <c r="B250" t="str">
        <f>UPPER(LEFT(A250,1))&amp;LOWER(RIGHT(A250,LEN(A250)-1))</f>
        <v xml:space="preserve">Gardner </v>
      </c>
      <c r="C250" t="s">
        <v>1692</v>
      </c>
      <c r="D250" t="s">
        <v>1692</v>
      </c>
      <c r="E250" t="s">
        <v>1269</v>
      </c>
      <c r="F250">
        <v>31</v>
      </c>
      <c r="G250" t="s">
        <v>1238</v>
      </c>
      <c r="H250">
        <v>1</v>
      </c>
      <c r="I250">
        <v>4</v>
      </c>
      <c r="J250">
        <v>2</v>
      </c>
    </row>
    <row r="251" spans="1:10" x14ac:dyDescent="0.25">
      <c r="A251" s="17" t="s">
        <v>1249</v>
      </c>
      <c r="B251" t="str">
        <f>UPPER(LEFT(A251,1))&amp;LOWER(RIGHT(A251,LEN(A251)-1))</f>
        <v xml:space="preserve">Bread </v>
      </c>
      <c r="C251" t="s">
        <v>1693</v>
      </c>
      <c r="D251" t="s">
        <v>1885</v>
      </c>
      <c r="E251" t="s">
        <v>1268</v>
      </c>
      <c r="F251">
        <v>31</v>
      </c>
      <c r="G251" t="s">
        <v>1238</v>
      </c>
      <c r="H251">
        <v>1</v>
      </c>
      <c r="I251">
        <v>4</v>
      </c>
      <c r="J251">
        <v>2</v>
      </c>
    </row>
    <row r="252" spans="1:10" x14ac:dyDescent="0.25">
      <c r="A252" s="17" t="s">
        <v>1250</v>
      </c>
      <c r="B252" t="str">
        <f>UPPER(LEFT(A252,1))&amp;LOWER(RIGHT(A252,LEN(A252)-1))</f>
        <v>Bread maker/ baker</v>
      </c>
      <c r="C252" t="s">
        <v>1694</v>
      </c>
      <c r="D252" t="s">
        <v>2020</v>
      </c>
      <c r="E252" t="s">
        <v>1267</v>
      </c>
      <c r="F252">
        <v>31</v>
      </c>
      <c r="G252" t="s">
        <v>1238</v>
      </c>
      <c r="H252">
        <v>1</v>
      </c>
      <c r="I252">
        <v>4</v>
      </c>
      <c r="J252">
        <v>2</v>
      </c>
    </row>
    <row r="253" spans="1:10" x14ac:dyDescent="0.25">
      <c r="A253" s="17" t="s">
        <v>1251</v>
      </c>
      <c r="B253" t="str">
        <f>UPPER(LEFT(A253,1))&amp;LOWER(RIGHT(A253,LEN(A253)-1))</f>
        <v xml:space="preserve">Hairdresser </v>
      </c>
      <c r="C253" t="s">
        <v>1695</v>
      </c>
      <c r="D253" t="s">
        <v>1601</v>
      </c>
      <c r="E253" t="s">
        <v>1266</v>
      </c>
      <c r="F253">
        <v>31</v>
      </c>
      <c r="G253" t="s">
        <v>1238</v>
      </c>
      <c r="H253">
        <v>1</v>
      </c>
      <c r="I253">
        <v>4</v>
      </c>
      <c r="J253">
        <v>2</v>
      </c>
    </row>
    <row r="254" spans="1:10" x14ac:dyDescent="0.25">
      <c r="A254" s="17" t="s">
        <v>1252</v>
      </c>
      <c r="B254" t="str">
        <f>UPPER(LEFT(A254,1))&amp;LOWER(RIGHT(A254,LEN(A254)-1))</f>
        <v xml:space="preserve">Fortune teller </v>
      </c>
      <c r="C254" t="s">
        <v>1696</v>
      </c>
      <c r="D254" t="s">
        <v>1696</v>
      </c>
      <c r="E254" t="s">
        <v>1265</v>
      </c>
      <c r="F254">
        <v>31</v>
      </c>
      <c r="G254" t="s">
        <v>1238</v>
      </c>
      <c r="H254">
        <v>1</v>
      </c>
      <c r="I254">
        <v>4</v>
      </c>
      <c r="J254">
        <v>2</v>
      </c>
    </row>
    <row r="255" spans="1:10" x14ac:dyDescent="0.25">
      <c r="A255" s="17" t="s">
        <v>1253</v>
      </c>
      <c r="B255" t="str">
        <f>UPPER(LEFT(A255,1))&amp;LOWER(RIGHT(A255,LEN(A255)-1))</f>
        <v xml:space="preserve">Wall painter </v>
      </c>
      <c r="C255" t="s">
        <v>1697</v>
      </c>
      <c r="D255" t="s">
        <v>1863</v>
      </c>
      <c r="E255" t="s">
        <v>1264</v>
      </c>
      <c r="F255">
        <v>31</v>
      </c>
      <c r="G255" t="s">
        <v>1238</v>
      </c>
      <c r="H255">
        <v>1</v>
      </c>
      <c r="I255">
        <v>4</v>
      </c>
      <c r="J255">
        <v>2</v>
      </c>
    </row>
    <row r="256" spans="1:10" x14ac:dyDescent="0.25">
      <c r="A256" s="17" t="s">
        <v>1254</v>
      </c>
      <c r="B256" t="str">
        <f>UPPER(LEFT(A256,1))&amp;LOWER(RIGHT(A256,LEN(A256)-1))</f>
        <v xml:space="preserve">Tiles </v>
      </c>
      <c r="C256" t="s">
        <v>1698</v>
      </c>
      <c r="D256" t="s">
        <v>1698</v>
      </c>
      <c r="E256" t="s">
        <v>1263</v>
      </c>
      <c r="F256">
        <v>31</v>
      </c>
      <c r="G256" t="s">
        <v>1238</v>
      </c>
      <c r="H256">
        <v>1</v>
      </c>
      <c r="I256">
        <v>4</v>
      </c>
      <c r="J256">
        <v>2</v>
      </c>
    </row>
    <row r="257" spans="1:10" x14ac:dyDescent="0.25">
      <c r="A257" s="17" t="s">
        <v>1255</v>
      </c>
      <c r="B257" t="str">
        <f>UPPER(LEFT(A257,1))&amp;LOWER(RIGHT(A257,LEN(A257)-1))</f>
        <v xml:space="preserve">Tile worker </v>
      </c>
      <c r="C257" t="s">
        <v>1699</v>
      </c>
      <c r="D257" t="s">
        <v>1699</v>
      </c>
      <c r="E257" t="s">
        <v>1262</v>
      </c>
      <c r="F257">
        <v>31</v>
      </c>
      <c r="G257" t="s">
        <v>1238</v>
      </c>
      <c r="H257">
        <v>1</v>
      </c>
      <c r="I257">
        <v>4</v>
      </c>
      <c r="J257">
        <v>2</v>
      </c>
    </row>
    <row r="258" spans="1:10" x14ac:dyDescent="0.25">
      <c r="A258" s="17" t="s">
        <v>1256</v>
      </c>
      <c r="B258" t="str">
        <f>UPPER(LEFT(A258,1))&amp;LOWER(RIGHT(A258,LEN(A258)-1))</f>
        <v xml:space="preserve">Electrician </v>
      </c>
      <c r="C258" t="s">
        <v>1700</v>
      </c>
      <c r="D258" t="s">
        <v>1886</v>
      </c>
      <c r="E258" t="s">
        <v>1261</v>
      </c>
      <c r="F258">
        <v>31</v>
      </c>
      <c r="G258" t="s">
        <v>1238</v>
      </c>
      <c r="H258">
        <v>1</v>
      </c>
      <c r="I258">
        <v>4</v>
      </c>
      <c r="J258">
        <v>2</v>
      </c>
    </row>
    <row r="259" spans="1:10" x14ac:dyDescent="0.25">
      <c r="A259" s="17" t="s">
        <v>1257</v>
      </c>
      <c r="B259" t="str">
        <f>UPPER(LEFT(A259,1))&amp;LOWER(RIGHT(A259,LEN(A259)-1))</f>
        <v xml:space="preserve">Doorman </v>
      </c>
      <c r="C259" t="s">
        <v>1701</v>
      </c>
      <c r="D259" t="s">
        <v>1701</v>
      </c>
      <c r="E259" t="s">
        <v>1260</v>
      </c>
      <c r="F259">
        <v>31</v>
      </c>
      <c r="G259" t="s">
        <v>1238</v>
      </c>
      <c r="H259">
        <v>1</v>
      </c>
      <c r="I259">
        <v>4</v>
      </c>
      <c r="J259">
        <v>2</v>
      </c>
    </row>
    <row r="260" spans="1:10" x14ac:dyDescent="0.25">
      <c r="A260" s="17" t="s">
        <v>1258</v>
      </c>
      <c r="B260" t="str">
        <f>UPPER(LEFT(A260,1))&amp;LOWER(RIGHT(A260,LEN(A260)-1))</f>
        <v xml:space="preserve">Tailor </v>
      </c>
      <c r="C260" t="s">
        <v>1702</v>
      </c>
      <c r="D260" t="s">
        <v>1702</v>
      </c>
      <c r="E260" t="s">
        <v>1259</v>
      </c>
      <c r="F260">
        <v>31</v>
      </c>
      <c r="G260" t="s">
        <v>1238</v>
      </c>
      <c r="H260">
        <v>1</v>
      </c>
      <c r="I260">
        <v>4</v>
      </c>
      <c r="J260">
        <v>2</v>
      </c>
    </row>
    <row r="261" spans="1:10" x14ac:dyDescent="0.25">
      <c r="A261" s="17" t="s">
        <v>873</v>
      </c>
      <c r="B261" t="str">
        <f>UPPER(LEFT(A261,1))&amp;LOWER(RIGHT(A261,LEN(A261)-1))</f>
        <v>Body</v>
      </c>
      <c r="C261" t="s">
        <v>874</v>
      </c>
      <c r="D261" t="s">
        <v>874</v>
      </c>
      <c r="E261" t="s">
        <v>875</v>
      </c>
      <c r="F261">
        <v>26</v>
      </c>
      <c r="G261" t="s">
        <v>2075</v>
      </c>
      <c r="H261">
        <v>1</v>
      </c>
      <c r="I261">
        <v>5</v>
      </c>
      <c r="J261">
        <v>1</v>
      </c>
    </row>
    <row r="262" spans="1:10" x14ac:dyDescent="0.25">
      <c r="A262" s="17" t="s">
        <v>878</v>
      </c>
      <c r="B262" t="str">
        <f>UPPER(LEFT(A262,1))&amp;LOWER(RIGHT(A262,LEN(A262)-1))</f>
        <v>Face</v>
      </c>
      <c r="C262" t="s">
        <v>1553</v>
      </c>
      <c r="D262" t="s">
        <v>1553</v>
      </c>
      <c r="E262" t="s">
        <v>879</v>
      </c>
      <c r="F262">
        <v>26</v>
      </c>
      <c r="G262" t="s">
        <v>2075</v>
      </c>
      <c r="H262">
        <v>1</v>
      </c>
      <c r="I262">
        <v>5</v>
      </c>
      <c r="J262">
        <v>1</v>
      </c>
    </row>
    <row r="263" spans="1:10" x14ac:dyDescent="0.25">
      <c r="A263" s="17" t="s">
        <v>880</v>
      </c>
      <c r="B263" t="str">
        <f>UPPER(LEFT(A263,1))&amp;LOWER(RIGHT(A263,LEN(A263)-1))</f>
        <v>Eyebrows</v>
      </c>
      <c r="C263" t="s">
        <v>1554</v>
      </c>
      <c r="D263" t="s">
        <v>1961</v>
      </c>
      <c r="E263" t="s">
        <v>881</v>
      </c>
      <c r="F263">
        <v>26</v>
      </c>
      <c r="G263" t="s">
        <v>2075</v>
      </c>
      <c r="H263">
        <v>1</v>
      </c>
      <c r="I263">
        <v>5</v>
      </c>
      <c r="J263">
        <v>1</v>
      </c>
    </row>
    <row r="264" spans="1:10" x14ac:dyDescent="0.25">
      <c r="A264" s="17" t="s">
        <v>882</v>
      </c>
      <c r="B264" t="str">
        <f>UPPER(LEFT(A264,1))&amp;LOWER(RIGHT(A264,LEN(A264)-1))</f>
        <v>Nose</v>
      </c>
      <c r="C264" t="s">
        <v>1555</v>
      </c>
      <c r="D264" t="s">
        <v>1555</v>
      </c>
      <c r="E264" t="s">
        <v>883</v>
      </c>
      <c r="F264">
        <v>26</v>
      </c>
      <c r="G264" t="s">
        <v>2075</v>
      </c>
      <c r="H264">
        <v>1</v>
      </c>
      <c r="I264">
        <v>5</v>
      </c>
      <c r="J264">
        <v>1</v>
      </c>
    </row>
    <row r="265" spans="1:10" x14ac:dyDescent="0.25">
      <c r="A265" s="17" t="s">
        <v>884</v>
      </c>
      <c r="B265" t="str">
        <f>UPPER(LEFT(A265,1))&amp;LOWER(RIGHT(A265,LEN(A265)-1))</f>
        <v>Eye</v>
      </c>
      <c r="C265" t="s">
        <v>1556</v>
      </c>
      <c r="D265" t="s">
        <v>1834</v>
      </c>
      <c r="E265" t="s">
        <v>885</v>
      </c>
      <c r="F265">
        <v>26</v>
      </c>
      <c r="G265" t="s">
        <v>2075</v>
      </c>
      <c r="H265">
        <v>1</v>
      </c>
      <c r="I265">
        <v>5</v>
      </c>
      <c r="J265">
        <v>1</v>
      </c>
    </row>
    <row r="266" spans="1:10" x14ac:dyDescent="0.25">
      <c r="A266" s="17" t="s">
        <v>886</v>
      </c>
      <c r="B266" t="str">
        <f>UPPER(LEFT(A266,1))&amp;LOWER(RIGHT(A266,LEN(A266)-1))</f>
        <v>Eyes</v>
      </c>
      <c r="C266" t="s">
        <v>1557</v>
      </c>
      <c r="D266" t="s">
        <v>1835</v>
      </c>
      <c r="E266" t="s">
        <v>887</v>
      </c>
      <c r="F266">
        <v>26</v>
      </c>
      <c r="G266" t="s">
        <v>2075</v>
      </c>
      <c r="H266">
        <v>1</v>
      </c>
      <c r="I266">
        <v>5</v>
      </c>
      <c r="J266">
        <v>1</v>
      </c>
    </row>
    <row r="267" spans="1:10" x14ac:dyDescent="0.25">
      <c r="A267" s="17" t="s">
        <v>888</v>
      </c>
      <c r="B267" t="str">
        <f>UPPER(LEFT(A267,1))&amp;LOWER(RIGHT(A267,LEN(A267)-1))</f>
        <v>Eyelashes</v>
      </c>
      <c r="C267" t="s">
        <v>1558</v>
      </c>
      <c r="D267" t="s">
        <v>1854</v>
      </c>
      <c r="E267" t="s">
        <v>889</v>
      </c>
      <c r="F267">
        <v>26</v>
      </c>
      <c r="G267" t="s">
        <v>2075</v>
      </c>
      <c r="H267">
        <v>1</v>
      </c>
      <c r="I267">
        <v>5</v>
      </c>
      <c r="J267">
        <v>1</v>
      </c>
    </row>
    <row r="268" spans="1:10" x14ac:dyDescent="0.25">
      <c r="A268" s="17" t="s">
        <v>890</v>
      </c>
      <c r="B268" t="str">
        <f>UPPER(LEFT(A268,1))&amp;LOWER(RIGHT(A268,LEN(A268)-1))</f>
        <v>Mouth</v>
      </c>
      <c r="C268" t="s">
        <v>1559</v>
      </c>
      <c r="D268" t="s">
        <v>1559</v>
      </c>
      <c r="E268" t="s">
        <v>891</v>
      </c>
      <c r="F268">
        <v>26</v>
      </c>
      <c r="G268" t="s">
        <v>2075</v>
      </c>
      <c r="H268">
        <v>1</v>
      </c>
      <c r="I268">
        <v>5</v>
      </c>
      <c r="J268">
        <v>1</v>
      </c>
    </row>
    <row r="269" spans="1:10" x14ac:dyDescent="0.25">
      <c r="A269" s="17" t="s">
        <v>892</v>
      </c>
      <c r="B269" t="str">
        <f>UPPER(LEFT(A269,1))&amp;LOWER(RIGHT(A269,LEN(A269)-1))</f>
        <v>Cheek</v>
      </c>
      <c r="C269" t="s">
        <v>1560</v>
      </c>
      <c r="D269" t="s">
        <v>1560</v>
      </c>
      <c r="E269" t="s">
        <v>893</v>
      </c>
      <c r="F269">
        <v>26</v>
      </c>
      <c r="G269" t="s">
        <v>2075</v>
      </c>
      <c r="H269">
        <v>1</v>
      </c>
      <c r="I269">
        <v>5</v>
      </c>
      <c r="J269">
        <v>1</v>
      </c>
    </row>
    <row r="270" spans="1:10" x14ac:dyDescent="0.25">
      <c r="A270" s="17" t="s">
        <v>894</v>
      </c>
      <c r="B270" t="str">
        <f>UPPER(LEFT(A270,1))&amp;LOWER(RIGHT(A270,LEN(A270)-1))</f>
        <v>Cheeks</v>
      </c>
      <c r="C270" t="s">
        <v>1561</v>
      </c>
      <c r="D270" t="s">
        <v>1561</v>
      </c>
      <c r="E270" t="s">
        <v>895</v>
      </c>
      <c r="F270">
        <v>26</v>
      </c>
      <c r="G270" t="s">
        <v>2075</v>
      </c>
      <c r="H270">
        <v>1</v>
      </c>
      <c r="I270">
        <v>5</v>
      </c>
      <c r="J270">
        <v>1</v>
      </c>
    </row>
    <row r="271" spans="1:10" x14ac:dyDescent="0.25">
      <c r="A271" s="17" t="s">
        <v>896</v>
      </c>
      <c r="B271" t="str">
        <f>UPPER(LEFT(A271,1))&amp;LOWER(RIGHT(A271,LEN(A271)-1))</f>
        <v>Hair</v>
      </c>
      <c r="C271" t="s">
        <v>1562</v>
      </c>
      <c r="D271" t="s">
        <v>1855</v>
      </c>
      <c r="E271" t="s">
        <v>897</v>
      </c>
      <c r="F271">
        <v>26</v>
      </c>
      <c r="G271" t="s">
        <v>2075</v>
      </c>
      <c r="H271">
        <v>1</v>
      </c>
      <c r="I271">
        <v>5</v>
      </c>
      <c r="J271">
        <v>1</v>
      </c>
    </row>
    <row r="272" spans="1:10" x14ac:dyDescent="0.25">
      <c r="A272" s="17" t="s">
        <v>898</v>
      </c>
      <c r="B272" t="str">
        <f>UPPER(LEFT(A272,1))&amp;LOWER(RIGHT(A272,LEN(A272)-1))</f>
        <v>Neck</v>
      </c>
      <c r="C272" t="s">
        <v>1563</v>
      </c>
      <c r="D272" t="s">
        <v>1563</v>
      </c>
      <c r="E272" t="s">
        <v>899</v>
      </c>
      <c r="F272">
        <v>26</v>
      </c>
      <c r="G272" t="s">
        <v>2075</v>
      </c>
      <c r="H272">
        <v>1</v>
      </c>
      <c r="I272">
        <v>5</v>
      </c>
      <c r="J272">
        <v>1</v>
      </c>
    </row>
    <row r="273" spans="1:10" x14ac:dyDescent="0.25">
      <c r="A273" s="17" t="s">
        <v>900</v>
      </c>
      <c r="B273" t="str">
        <f>UPPER(LEFT(A273,1))&amp;LOWER(RIGHT(A273,LEN(A273)-1))</f>
        <v>Chest/breast</v>
      </c>
      <c r="C273" t="s">
        <v>1564</v>
      </c>
      <c r="D273" t="s">
        <v>1564</v>
      </c>
      <c r="E273" t="s">
        <v>901</v>
      </c>
      <c r="F273">
        <v>26</v>
      </c>
      <c r="G273" t="s">
        <v>2075</v>
      </c>
      <c r="H273">
        <v>1</v>
      </c>
      <c r="I273">
        <v>5</v>
      </c>
      <c r="J273">
        <v>1</v>
      </c>
    </row>
    <row r="274" spans="1:10" x14ac:dyDescent="0.25">
      <c r="A274" s="17" t="s">
        <v>902</v>
      </c>
      <c r="B274" t="str">
        <f>UPPER(LEFT(A274,1))&amp;LOWER(RIGHT(A274,LEN(A274)-1))</f>
        <v>Shoulders</v>
      </c>
      <c r="C274" t="s">
        <v>1565</v>
      </c>
      <c r="D274" t="s">
        <v>1565</v>
      </c>
      <c r="E274" t="s">
        <v>903</v>
      </c>
      <c r="F274">
        <v>26</v>
      </c>
      <c r="G274" t="s">
        <v>2075</v>
      </c>
      <c r="H274">
        <v>1</v>
      </c>
      <c r="I274">
        <v>5</v>
      </c>
      <c r="J274">
        <v>1</v>
      </c>
    </row>
    <row r="275" spans="1:10" x14ac:dyDescent="0.25">
      <c r="A275" s="17" t="s">
        <v>904</v>
      </c>
      <c r="B275" t="str">
        <f>UPPER(LEFT(A275,1))&amp;LOWER(RIGHT(A275,LEN(A275)-1))</f>
        <v>Arm</v>
      </c>
      <c r="C275" t="s">
        <v>1566</v>
      </c>
      <c r="D275" s="15" t="s">
        <v>1964</v>
      </c>
      <c r="E275" t="s">
        <v>905</v>
      </c>
      <c r="F275">
        <v>26</v>
      </c>
      <c r="G275" t="s">
        <v>2075</v>
      </c>
      <c r="H275">
        <v>1</v>
      </c>
      <c r="I275">
        <v>5</v>
      </c>
      <c r="J275">
        <v>1</v>
      </c>
    </row>
    <row r="276" spans="1:10" x14ac:dyDescent="0.25">
      <c r="A276" s="17" t="s">
        <v>906</v>
      </c>
      <c r="B276" t="str">
        <f>UPPER(LEFT(A276,1))&amp;LOWER(RIGHT(A276,LEN(A276)-1))</f>
        <v>Stomach</v>
      </c>
      <c r="C276" t="s">
        <v>1567</v>
      </c>
      <c r="D276" t="s">
        <v>1836</v>
      </c>
      <c r="E276" t="s">
        <v>907</v>
      </c>
      <c r="F276">
        <v>26</v>
      </c>
      <c r="G276" t="s">
        <v>2075</v>
      </c>
      <c r="H276">
        <v>1</v>
      </c>
      <c r="I276">
        <v>5</v>
      </c>
      <c r="J276">
        <v>1</v>
      </c>
    </row>
    <row r="277" spans="1:10" x14ac:dyDescent="0.25">
      <c r="A277" s="17" t="s">
        <v>908</v>
      </c>
      <c r="B277" t="str">
        <f>UPPER(LEFT(A277,1))&amp;LOWER(RIGHT(A277,LEN(A277)-1))</f>
        <v>Belly</v>
      </c>
      <c r="C277" t="s">
        <v>1568</v>
      </c>
      <c r="D277" t="s">
        <v>1568</v>
      </c>
      <c r="E277" t="s">
        <v>909</v>
      </c>
      <c r="F277">
        <v>26</v>
      </c>
      <c r="G277" t="s">
        <v>2075</v>
      </c>
      <c r="H277">
        <v>1</v>
      </c>
      <c r="I277">
        <v>5</v>
      </c>
      <c r="J277">
        <v>1</v>
      </c>
    </row>
    <row r="278" spans="1:10" x14ac:dyDescent="0.25">
      <c r="A278" s="17" t="s">
        <v>910</v>
      </c>
      <c r="B278" t="str">
        <f>UPPER(LEFT(A278,1))&amp;LOWER(RIGHT(A278,LEN(A278)-1))</f>
        <v>Hips</v>
      </c>
      <c r="C278" t="s">
        <v>1569</v>
      </c>
      <c r="D278" t="s">
        <v>1569</v>
      </c>
      <c r="E278" t="s">
        <v>911</v>
      </c>
      <c r="F278">
        <v>26</v>
      </c>
      <c r="G278" t="s">
        <v>2075</v>
      </c>
      <c r="H278">
        <v>1</v>
      </c>
      <c r="I278">
        <v>5</v>
      </c>
      <c r="J278">
        <v>1</v>
      </c>
    </row>
    <row r="279" spans="1:10" x14ac:dyDescent="0.25">
      <c r="A279" s="17" t="s">
        <v>912</v>
      </c>
      <c r="B279" t="str">
        <f>UPPER(LEFT(A279,1))&amp;LOWER(RIGHT(A279,LEN(A279)-1))</f>
        <v>Waist</v>
      </c>
      <c r="C279" t="s">
        <v>1570</v>
      </c>
      <c r="D279" t="s">
        <v>1874</v>
      </c>
      <c r="E279" t="s">
        <v>913</v>
      </c>
      <c r="F279">
        <v>26</v>
      </c>
      <c r="G279" t="s">
        <v>2075</v>
      </c>
      <c r="H279">
        <v>1</v>
      </c>
      <c r="I279">
        <v>5</v>
      </c>
      <c r="J279">
        <v>1</v>
      </c>
    </row>
    <row r="280" spans="1:10" x14ac:dyDescent="0.25">
      <c r="A280" s="17" t="s">
        <v>914</v>
      </c>
      <c r="B280" t="str">
        <f>UPPER(LEFT(A280,1))&amp;LOWER(RIGHT(A280,LEN(A280)-1))</f>
        <v>Leg</v>
      </c>
      <c r="C280" t="s">
        <v>1571</v>
      </c>
      <c r="D280" t="s">
        <v>2059</v>
      </c>
      <c r="E280" t="s">
        <v>915</v>
      </c>
      <c r="F280">
        <v>26</v>
      </c>
      <c r="G280" t="s">
        <v>2075</v>
      </c>
      <c r="H280">
        <v>1</v>
      </c>
      <c r="I280">
        <v>5</v>
      </c>
      <c r="J280">
        <v>1</v>
      </c>
    </row>
    <row r="281" spans="1:10" x14ac:dyDescent="0.25">
      <c r="A281" s="17" t="s">
        <v>916</v>
      </c>
      <c r="B281" t="str">
        <f>UPPER(LEFT(A281,1))&amp;LOWER(RIGHT(A281,LEN(A281)-1))</f>
        <v>Legs</v>
      </c>
      <c r="C281" t="s">
        <v>1572</v>
      </c>
      <c r="D281" s="15" t="s">
        <v>1871</v>
      </c>
      <c r="E281" t="s">
        <v>917</v>
      </c>
      <c r="F281">
        <v>26</v>
      </c>
      <c r="G281" t="s">
        <v>2075</v>
      </c>
      <c r="H281">
        <v>1</v>
      </c>
      <c r="I281">
        <v>5</v>
      </c>
      <c r="J281">
        <v>1</v>
      </c>
    </row>
    <row r="282" spans="1:10" x14ac:dyDescent="0.25">
      <c r="A282" s="17" t="s">
        <v>918</v>
      </c>
      <c r="B282" t="str">
        <f>UPPER(LEFT(A282,1))&amp;LOWER(RIGHT(A282,LEN(A282)-1))</f>
        <v>Knee</v>
      </c>
      <c r="C282" t="s">
        <v>1573</v>
      </c>
      <c r="D282" t="s">
        <v>1573</v>
      </c>
      <c r="E282" t="s">
        <v>919</v>
      </c>
      <c r="F282">
        <v>26</v>
      </c>
      <c r="G282" t="s">
        <v>2075</v>
      </c>
      <c r="H282">
        <v>1</v>
      </c>
      <c r="I282">
        <v>5</v>
      </c>
      <c r="J282">
        <v>1</v>
      </c>
    </row>
    <row r="283" spans="1:10" x14ac:dyDescent="0.25">
      <c r="A283" s="17" t="s">
        <v>920</v>
      </c>
      <c r="B283" t="str">
        <f>UPPER(LEFT(A283,1))&amp;LOWER(RIGHT(A283,LEN(A283)-1))</f>
        <v>Fingers</v>
      </c>
      <c r="C283" t="s">
        <v>1574</v>
      </c>
      <c r="D283" s="15" t="s">
        <v>1837</v>
      </c>
      <c r="E283" t="s">
        <v>921</v>
      </c>
      <c r="F283">
        <v>26</v>
      </c>
      <c r="G283" t="s">
        <v>2075</v>
      </c>
      <c r="H283">
        <v>1</v>
      </c>
      <c r="I283">
        <v>5</v>
      </c>
      <c r="J283">
        <v>1</v>
      </c>
    </row>
    <row r="284" spans="1:10" x14ac:dyDescent="0.25">
      <c r="A284" s="17" t="s">
        <v>922</v>
      </c>
      <c r="B284" t="str">
        <f>UPPER(LEFT(A284,1))&amp;LOWER(RIGHT(A284,LEN(A284)-1))</f>
        <v>Toes</v>
      </c>
      <c r="C284" t="s">
        <v>1575</v>
      </c>
      <c r="D284" s="15" t="s">
        <v>1838</v>
      </c>
      <c r="E284" t="s">
        <v>923</v>
      </c>
      <c r="F284">
        <v>26</v>
      </c>
      <c r="G284" t="s">
        <v>2075</v>
      </c>
      <c r="H284">
        <v>1</v>
      </c>
      <c r="I284">
        <v>5</v>
      </c>
      <c r="J284">
        <v>1</v>
      </c>
    </row>
    <row r="285" spans="1:10" x14ac:dyDescent="0.25">
      <c r="A285" s="17" t="s">
        <v>924</v>
      </c>
      <c r="B285" t="str">
        <f>UPPER(LEFT(A285,1))&amp;LOWER(RIGHT(A285,LEN(A285)-1))</f>
        <v>Head</v>
      </c>
      <c r="C285" t="s">
        <v>1576</v>
      </c>
      <c r="D285" t="s">
        <v>1576</v>
      </c>
      <c r="E285" t="s">
        <v>925</v>
      </c>
      <c r="F285">
        <v>26</v>
      </c>
      <c r="G285" t="s">
        <v>2075</v>
      </c>
      <c r="H285">
        <v>1</v>
      </c>
      <c r="I285">
        <v>5</v>
      </c>
      <c r="J285">
        <v>1</v>
      </c>
    </row>
    <row r="286" spans="1:10" x14ac:dyDescent="0.25">
      <c r="A286" s="17" t="s">
        <v>928</v>
      </c>
      <c r="B286" t="str">
        <f>UPPER(LEFT(A286,1))&amp;LOWER(RIGHT(A286,LEN(A286)-1))</f>
        <v>Ear</v>
      </c>
      <c r="C286" t="s">
        <v>1578</v>
      </c>
      <c r="D286" t="s">
        <v>1578</v>
      </c>
      <c r="E286" t="s">
        <v>929</v>
      </c>
      <c r="F286">
        <v>26</v>
      </c>
      <c r="G286" t="s">
        <v>2075</v>
      </c>
      <c r="H286">
        <v>1</v>
      </c>
      <c r="I286">
        <v>5</v>
      </c>
      <c r="J286">
        <v>1</v>
      </c>
    </row>
    <row r="287" spans="1:10" x14ac:dyDescent="0.25">
      <c r="A287" s="17" t="s">
        <v>930</v>
      </c>
      <c r="B287" t="str">
        <f>UPPER(LEFT(A287,1))&amp;LOWER(RIGHT(A287,LEN(A287)-1))</f>
        <v>Ears</v>
      </c>
      <c r="C287" t="s">
        <v>1579</v>
      </c>
      <c r="D287" t="s">
        <v>1579</v>
      </c>
      <c r="E287" t="s">
        <v>931</v>
      </c>
      <c r="F287">
        <v>26</v>
      </c>
      <c r="G287" t="s">
        <v>2075</v>
      </c>
      <c r="H287">
        <v>1</v>
      </c>
      <c r="I287">
        <v>5</v>
      </c>
      <c r="J287">
        <v>1</v>
      </c>
    </row>
    <row r="288" spans="1:10" x14ac:dyDescent="0.25">
      <c r="A288" s="17" t="s">
        <v>932</v>
      </c>
      <c r="B288" t="str">
        <f>UPPER(LEFT(A288,1))&amp;LOWER(RIGHT(A288,LEN(A288)-1))</f>
        <v>Mole</v>
      </c>
      <c r="C288" t="s">
        <v>1580</v>
      </c>
      <c r="D288" t="s">
        <v>1856</v>
      </c>
      <c r="E288" t="s">
        <v>933</v>
      </c>
      <c r="F288">
        <v>26</v>
      </c>
      <c r="G288" t="s">
        <v>2075</v>
      </c>
      <c r="H288">
        <v>1</v>
      </c>
      <c r="I288">
        <v>5</v>
      </c>
      <c r="J288">
        <v>1</v>
      </c>
    </row>
    <row r="289" spans="1:10" x14ac:dyDescent="0.25">
      <c r="A289" s="17" t="s">
        <v>934</v>
      </c>
      <c r="B289" t="str">
        <f>UPPER(LEFT(A289,1))&amp;LOWER(RIGHT(A289,LEN(A289)-1))</f>
        <v>Tooth</v>
      </c>
      <c r="C289" t="s">
        <v>1581</v>
      </c>
      <c r="D289" t="s">
        <v>1875</v>
      </c>
      <c r="E289" t="s">
        <v>935</v>
      </c>
      <c r="F289">
        <v>26</v>
      </c>
      <c r="G289" t="s">
        <v>2075</v>
      </c>
      <c r="H289">
        <v>1</v>
      </c>
      <c r="I289">
        <v>5</v>
      </c>
      <c r="J289">
        <v>1</v>
      </c>
    </row>
    <row r="290" spans="1:10" x14ac:dyDescent="0.25">
      <c r="A290" s="17" t="s">
        <v>936</v>
      </c>
      <c r="B290" t="str">
        <f>UPPER(LEFT(A290,1))&amp;LOWER(RIGHT(A290,LEN(A290)-1))</f>
        <v>Teeth</v>
      </c>
      <c r="C290" t="s">
        <v>1582</v>
      </c>
      <c r="D290" t="s">
        <v>1582</v>
      </c>
      <c r="E290" t="s">
        <v>937</v>
      </c>
      <c r="F290">
        <v>26</v>
      </c>
      <c r="G290" t="s">
        <v>2075</v>
      </c>
      <c r="H290">
        <v>1</v>
      </c>
      <c r="I290">
        <v>5</v>
      </c>
      <c r="J290">
        <v>1</v>
      </c>
    </row>
    <row r="291" spans="1:10" x14ac:dyDescent="0.25">
      <c r="A291" s="17" t="s">
        <v>941</v>
      </c>
      <c r="B291" t="str">
        <f>UPPER(LEFT(A291,1))&amp;LOWER(RIGHT(A291,LEN(A291)-1))</f>
        <v>Tongue</v>
      </c>
      <c r="C291" t="s">
        <v>1583</v>
      </c>
      <c r="D291" t="s">
        <v>1583</v>
      </c>
      <c r="E291" t="s">
        <v>938</v>
      </c>
      <c r="F291">
        <v>26</v>
      </c>
      <c r="G291" t="s">
        <v>2075</v>
      </c>
      <c r="H291">
        <v>1</v>
      </c>
      <c r="I291">
        <v>5</v>
      </c>
      <c r="J291">
        <v>1</v>
      </c>
    </row>
    <row r="292" spans="1:10" x14ac:dyDescent="0.25">
      <c r="A292" s="17" t="s">
        <v>939</v>
      </c>
      <c r="B292" t="str">
        <f>UPPER(LEFT(A292,1))&amp;LOWER(RIGHT(A292,LEN(A292)-1))</f>
        <v>Lip</v>
      </c>
      <c r="C292" t="s">
        <v>1584</v>
      </c>
      <c r="D292" t="s">
        <v>1876</v>
      </c>
      <c r="E292" t="s">
        <v>940</v>
      </c>
      <c r="F292">
        <v>26</v>
      </c>
      <c r="G292" t="s">
        <v>2075</v>
      </c>
      <c r="H292">
        <v>1</v>
      </c>
      <c r="I292">
        <v>5</v>
      </c>
      <c r="J292">
        <v>1</v>
      </c>
    </row>
    <row r="293" spans="1:10" x14ac:dyDescent="0.25">
      <c r="A293" s="17" t="s">
        <v>942</v>
      </c>
      <c r="B293" t="str">
        <f>UPPER(LEFT(A293,1))&amp;LOWER(RIGHT(A293,LEN(A293)-1))</f>
        <v>Lips</v>
      </c>
      <c r="C293" t="s">
        <v>1585</v>
      </c>
      <c r="D293" t="s">
        <v>1857</v>
      </c>
      <c r="E293" t="s">
        <v>943</v>
      </c>
      <c r="F293">
        <v>26</v>
      </c>
      <c r="G293" t="s">
        <v>2075</v>
      </c>
      <c r="H293">
        <v>1</v>
      </c>
      <c r="I293">
        <v>5</v>
      </c>
      <c r="J293">
        <v>1</v>
      </c>
    </row>
    <row r="294" spans="1:10" x14ac:dyDescent="0.25">
      <c r="A294" s="17" t="s">
        <v>1531</v>
      </c>
      <c r="B294" t="str">
        <f>UPPER(LEFT(A294,1))&amp;LOWER(RIGHT(A294,LEN(A294)-1))</f>
        <v>My body hurts</v>
      </c>
      <c r="C294" t="s">
        <v>876</v>
      </c>
      <c r="D294" t="s">
        <v>1833</v>
      </c>
      <c r="E294" t="s">
        <v>877</v>
      </c>
      <c r="F294">
        <v>26</v>
      </c>
      <c r="G294" t="s">
        <v>2075</v>
      </c>
      <c r="H294">
        <v>2</v>
      </c>
      <c r="I294">
        <v>5</v>
      </c>
      <c r="J294">
        <v>1</v>
      </c>
    </row>
    <row r="295" spans="1:10" x14ac:dyDescent="0.25">
      <c r="A295" s="17" t="s">
        <v>1532</v>
      </c>
      <c r="B295" t="str">
        <f>UPPER(LEFT(A295,1))&amp;LOWER(RIGHT(A295,LEN(A295)-1))</f>
        <v>This girl has long hair</v>
      </c>
      <c r="C295" t="s">
        <v>1627</v>
      </c>
      <c r="D295" t="s">
        <v>1962</v>
      </c>
      <c r="E295" t="s">
        <v>1534</v>
      </c>
      <c r="F295">
        <v>26</v>
      </c>
      <c r="G295" t="s">
        <v>2075</v>
      </c>
      <c r="H295">
        <v>2</v>
      </c>
      <c r="I295">
        <v>5</v>
      </c>
      <c r="J295">
        <v>1</v>
      </c>
    </row>
    <row r="296" spans="1:10" x14ac:dyDescent="0.25">
      <c r="A296" s="17" t="s">
        <v>1533</v>
      </c>
      <c r="B296" t="str">
        <f>UPPER(LEFT(A296,1))&amp;LOWER(RIGHT(A296,LEN(A296)-1))</f>
        <v>This boy has long hair</v>
      </c>
      <c r="C296" t="s">
        <v>1628</v>
      </c>
      <c r="D296" t="s">
        <v>1963</v>
      </c>
      <c r="E296" t="s">
        <v>1535</v>
      </c>
      <c r="F296">
        <v>26</v>
      </c>
      <c r="G296" t="s">
        <v>2075</v>
      </c>
      <c r="H296">
        <v>2</v>
      </c>
      <c r="I296">
        <v>5</v>
      </c>
      <c r="J296">
        <v>1</v>
      </c>
    </row>
    <row r="297" spans="1:10" x14ac:dyDescent="0.25">
      <c r="A297" s="17" t="s">
        <v>926</v>
      </c>
      <c r="B297" t="str">
        <f>UPPER(LEFT(A297,1))&amp;LOWER(RIGHT(A297,LEN(A297)-1))</f>
        <v>I have a headache</v>
      </c>
      <c r="C297" t="s">
        <v>1577</v>
      </c>
      <c r="D297" t="s">
        <v>1839</v>
      </c>
      <c r="E297" t="s">
        <v>927</v>
      </c>
      <c r="F297">
        <v>26</v>
      </c>
      <c r="G297" t="s">
        <v>2075</v>
      </c>
      <c r="H297">
        <v>2</v>
      </c>
      <c r="I297">
        <v>5</v>
      </c>
      <c r="J297">
        <v>1</v>
      </c>
    </row>
    <row r="298" spans="1:10" x14ac:dyDescent="0.25">
      <c r="A298" s="17" t="s">
        <v>944</v>
      </c>
      <c r="B298" t="str">
        <f>UPPER(LEFT(A298,1))&amp;LOWER(RIGHT(A298,LEN(A298)-1))</f>
        <v>This girl is so skinny</v>
      </c>
      <c r="C298" t="s">
        <v>1586</v>
      </c>
      <c r="D298" t="s">
        <v>1965</v>
      </c>
      <c r="E298" t="s">
        <v>945</v>
      </c>
      <c r="F298">
        <v>26</v>
      </c>
      <c r="G298" t="s">
        <v>2075</v>
      </c>
      <c r="H298">
        <v>2</v>
      </c>
      <c r="I298">
        <v>5</v>
      </c>
      <c r="J298">
        <v>1</v>
      </c>
    </row>
    <row r="299" spans="1:10" x14ac:dyDescent="0.25">
      <c r="A299" s="17" t="s">
        <v>946</v>
      </c>
      <c r="B299" t="str">
        <f>UPPER(LEFT(A299,1))&amp;LOWER(RIGHT(A299,LEN(A299)-1))</f>
        <v>This boy is fat</v>
      </c>
      <c r="C299" t="s">
        <v>947</v>
      </c>
      <c r="D299" t="s">
        <v>1823</v>
      </c>
      <c r="E299" t="s">
        <v>948</v>
      </c>
      <c r="F299">
        <v>26</v>
      </c>
      <c r="G299" t="s">
        <v>2075</v>
      </c>
      <c r="H299">
        <v>2</v>
      </c>
      <c r="I299">
        <v>5</v>
      </c>
      <c r="J299">
        <v>1</v>
      </c>
    </row>
    <row r="300" spans="1:10" x14ac:dyDescent="0.25">
      <c r="A300" s="17" t="s">
        <v>1333</v>
      </c>
      <c r="B300" t="str">
        <f>UPPER(LEFT(A300,1))&amp;LOWER(RIGHT(A300,LEN(A300)-1))</f>
        <v xml:space="preserve">Advice </v>
      </c>
      <c r="C300" t="s">
        <v>1729</v>
      </c>
      <c r="D300" t="s">
        <v>1827</v>
      </c>
      <c r="E300" t="s">
        <v>1356</v>
      </c>
      <c r="F300">
        <v>33</v>
      </c>
      <c r="G300" t="s">
        <v>2070</v>
      </c>
      <c r="H300">
        <v>1</v>
      </c>
      <c r="I300">
        <v>5</v>
      </c>
      <c r="J300">
        <v>2</v>
      </c>
    </row>
    <row r="301" spans="1:10" x14ac:dyDescent="0.25">
      <c r="A301" s="17" t="s">
        <v>1339</v>
      </c>
      <c r="B301" t="str">
        <f>UPPER(LEFT(A301,1))&amp;LOWER(RIGHT(A301,LEN(A301)-1))</f>
        <v xml:space="preserve">Cause </v>
      </c>
      <c r="C301" t="s">
        <v>1606</v>
      </c>
      <c r="D301" t="s">
        <v>2027</v>
      </c>
      <c r="E301" t="s">
        <v>1364</v>
      </c>
      <c r="F301">
        <v>33</v>
      </c>
      <c r="G301" t="s">
        <v>2070</v>
      </c>
      <c r="H301">
        <v>1</v>
      </c>
      <c r="I301">
        <v>5</v>
      </c>
      <c r="J301">
        <v>2</v>
      </c>
    </row>
    <row r="302" spans="1:10" x14ac:dyDescent="0.25">
      <c r="A302" s="17" t="s">
        <v>1347</v>
      </c>
      <c r="B302" t="str">
        <f>UPPER(LEFT(A302,1))&amp;LOWER(RIGHT(A302,LEN(A302)-1))</f>
        <v xml:space="preserve">Hereditary </v>
      </c>
      <c r="C302" t="s">
        <v>1739</v>
      </c>
      <c r="D302" t="s">
        <v>1897</v>
      </c>
      <c r="E302" t="s">
        <v>1371</v>
      </c>
      <c r="F302">
        <v>33</v>
      </c>
      <c r="G302" t="s">
        <v>2070</v>
      </c>
      <c r="H302">
        <v>1</v>
      </c>
      <c r="I302">
        <v>5</v>
      </c>
      <c r="J302">
        <v>2</v>
      </c>
    </row>
    <row r="303" spans="1:10" x14ac:dyDescent="0.25">
      <c r="A303" s="17" t="s">
        <v>1353</v>
      </c>
      <c r="B303" t="str">
        <f>UPPER(LEFT(A303,1))&amp;LOWER(RIGHT(A303,LEN(A303)-1))</f>
        <v xml:space="preserve">Medicine </v>
      </c>
      <c r="C303" t="s">
        <v>1742</v>
      </c>
      <c r="D303" t="s">
        <v>1742</v>
      </c>
      <c r="E303" t="s">
        <v>1375</v>
      </c>
      <c r="F303">
        <v>33</v>
      </c>
      <c r="G303" t="s">
        <v>2070</v>
      </c>
      <c r="H303">
        <v>1</v>
      </c>
      <c r="I303">
        <v>5</v>
      </c>
      <c r="J303">
        <v>2</v>
      </c>
    </row>
    <row r="304" spans="1:10" x14ac:dyDescent="0.25">
      <c r="A304" s="17" t="s">
        <v>1352</v>
      </c>
      <c r="B304" t="str">
        <f>UPPER(LEFT(A304,1))&amp;LOWER(RIGHT(A304,LEN(A304)-1))</f>
        <v xml:space="preserve">Medicines </v>
      </c>
      <c r="C304" s="15" t="s">
        <v>1608</v>
      </c>
      <c r="D304" s="15" t="s">
        <v>1899</v>
      </c>
      <c r="E304" t="s">
        <v>1376</v>
      </c>
      <c r="F304">
        <v>33</v>
      </c>
      <c r="G304" t="s">
        <v>2070</v>
      </c>
      <c r="H304">
        <v>1</v>
      </c>
      <c r="I304">
        <v>5</v>
      </c>
      <c r="J304">
        <v>2</v>
      </c>
    </row>
    <row r="305" spans="1:10" x14ac:dyDescent="0.25">
      <c r="A305" s="17" t="s">
        <v>1330</v>
      </c>
      <c r="B305" t="str">
        <f>UPPER(LEFT(A305,1))&amp;LOWER(RIGHT(A305,LEN(A305)-1))</f>
        <v>I'm sick</v>
      </c>
      <c r="C305" t="s">
        <v>1726</v>
      </c>
      <c r="D305" t="s">
        <v>1892</v>
      </c>
      <c r="E305" t="s">
        <v>1536</v>
      </c>
      <c r="F305">
        <v>33</v>
      </c>
      <c r="G305" t="s">
        <v>2070</v>
      </c>
      <c r="H305">
        <v>2</v>
      </c>
      <c r="I305">
        <v>5</v>
      </c>
      <c r="J305">
        <v>2</v>
      </c>
    </row>
    <row r="306" spans="1:10" x14ac:dyDescent="0.25">
      <c r="A306" s="17" t="s">
        <v>1331</v>
      </c>
      <c r="B306" t="str">
        <f>UPPER(LEFT(A306,1))&amp;LOWER(RIGHT(A306,LEN(A306)-1))</f>
        <v xml:space="preserve">I'm feeling tired </v>
      </c>
      <c r="C306" t="s">
        <v>1727</v>
      </c>
      <c r="D306" t="s">
        <v>1893</v>
      </c>
      <c r="E306" t="s">
        <v>1355</v>
      </c>
      <c r="F306">
        <v>33</v>
      </c>
      <c r="G306" t="s">
        <v>2070</v>
      </c>
      <c r="H306">
        <v>2</v>
      </c>
      <c r="I306">
        <v>5</v>
      </c>
      <c r="J306">
        <v>2</v>
      </c>
    </row>
    <row r="307" spans="1:10" x14ac:dyDescent="0.25">
      <c r="A307" s="17" t="s">
        <v>1332</v>
      </c>
      <c r="B307" t="str">
        <f>UPPER(LEFT(A307,1))&amp;LOWER(RIGHT(A307,LEN(A307)-1))</f>
        <v xml:space="preserve">I want to see a doctor </v>
      </c>
      <c r="C307" t="s">
        <v>1728</v>
      </c>
      <c r="D307" t="s">
        <v>1894</v>
      </c>
      <c r="E307" t="s">
        <v>1357</v>
      </c>
      <c r="F307">
        <v>33</v>
      </c>
      <c r="G307" t="s">
        <v>2070</v>
      </c>
      <c r="H307">
        <v>2</v>
      </c>
      <c r="I307">
        <v>5</v>
      </c>
      <c r="J307">
        <v>2</v>
      </c>
    </row>
    <row r="308" spans="1:10" x14ac:dyDescent="0.25">
      <c r="A308" s="17" t="s">
        <v>1334</v>
      </c>
      <c r="B308" t="str">
        <f>UPPER(LEFT(A308,1))&amp;LOWER(RIGHT(A308,LEN(A308)-1))</f>
        <v>Can you advice a good doctor</v>
      </c>
      <c r="C308" t="s">
        <v>1730</v>
      </c>
      <c r="D308" t="s">
        <v>2024</v>
      </c>
      <c r="E308" t="s">
        <v>1358</v>
      </c>
      <c r="F308">
        <v>33</v>
      </c>
      <c r="G308" t="s">
        <v>2070</v>
      </c>
      <c r="H308">
        <v>2</v>
      </c>
      <c r="I308">
        <v>5</v>
      </c>
      <c r="J308">
        <v>2</v>
      </c>
    </row>
    <row r="309" spans="1:10" x14ac:dyDescent="0.25">
      <c r="A309" s="17" t="s">
        <v>1335</v>
      </c>
      <c r="B309" t="str">
        <f>UPPER(LEFT(A309,1))&amp;LOWER(RIGHT(A309,LEN(A309)-1))</f>
        <v xml:space="preserve">I feel pain in my stomach </v>
      </c>
      <c r="C309" t="s">
        <v>1731</v>
      </c>
      <c r="D309" t="s">
        <v>1895</v>
      </c>
      <c r="E309" t="s">
        <v>1359</v>
      </c>
      <c r="F309">
        <v>33</v>
      </c>
      <c r="G309" t="s">
        <v>2070</v>
      </c>
      <c r="H309">
        <v>2</v>
      </c>
      <c r="I309">
        <v>5</v>
      </c>
      <c r="J309">
        <v>2</v>
      </c>
    </row>
    <row r="310" spans="1:10" x14ac:dyDescent="0.25">
      <c r="A310" s="17" t="s">
        <v>1336</v>
      </c>
      <c r="B310" t="str">
        <f>UPPER(LEFT(A310,1))&amp;LOWER(RIGHT(A310,LEN(A310)-1))</f>
        <v xml:space="preserve">I have  a headache </v>
      </c>
      <c r="C310" t="s">
        <v>1605</v>
      </c>
      <c r="D310" t="s">
        <v>1839</v>
      </c>
      <c r="E310" t="s">
        <v>1360</v>
      </c>
      <c r="F310">
        <v>33</v>
      </c>
      <c r="G310" t="s">
        <v>2070</v>
      </c>
      <c r="H310">
        <v>2</v>
      </c>
      <c r="I310">
        <v>5</v>
      </c>
      <c r="J310">
        <v>2</v>
      </c>
    </row>
    <row r="311" spans="1:10" x14ac:dyDescent="0.25">
      <c r="A311" s="17" t="s">
        <v>1337</v>
      </c>
      <c r="B311" t="str">
        <f>UPPER(LEFT(A311,1))&amp;LOWER(RIGHT(A311,LEN(A311)-1))</f>
        <v xml:space="preserve">My arm hearts </v>
      </c>
      <c r="C311" t="s">
        <v>1732</v>
      </c>
      <c r="D311" t="s">
        <v>2025</v>
      </c>
      <c r="E311" t="s">
        <v>1361</v>
      </c>
      <c r="F311">
        <v>33</v>
      </c>
      <c r="G311" t="s">
        <v>2070</v>
      </c>
      <c r="H311">
        <v>2</v>
      </c>
      <c r="I311">
        <v>5</v>
      </c>
      <c r="J311">
        <v>2</v>
      </c>
    </row>
    <row r="312" spans="1:10" x14ac:dyDescent="0.25">
      <c r="A312" s="17" t="s">
        <v>1626</v>
      </c>
      <c r="B312" t="str">
        <f>UPPER(LEFT(A312,1))&amp;LOWER(RIGHT(A312,LEN(A312)-1))</f>
        <v xml:space="preserve">Doctor, is it something serious (dangerous) </v>
      </c>
      <c r="C312" t="s">
        <v>1733</v>
      </c>
      <c r="D312" t="s">
        <v>2053</v>
      </c>
      <c r="E312" t="s">
        <v>1362</v>
      </c>
      <c r="F312">
        <v>33</v>
      </c>
      <c r="G312" t="s">
        <v>2070</v>
      </c>
      <c r="H312">
        <v>2</v>
      </c>
      <c r="I312">
        <v>5</v>
      </c>
      <c r="J312">
        <v>2</v>
      </c>
    </row>
    <row r="313" spans="1:10" x14ac:dyDescent="0.25">
      <c r="A313" s="17" t="s">
        <v>1338</v>
      </c>
      <c r="B313" t="str">
        <f>UPPER(LEFT(A313,1))&amp;LOWER(RIGHT(A313,LEN(A313)-1))</f>
        <v>What's causing me this pain?</v>
      </c>
      <c r="C313" t="s">
        <v>1734</v>
      </c>
      <c r="D313" t="s">
        <v>2026</v>
      </c>
      <c r="E313" t="s">
        <v>1363</v>
      </c>
      <c r="F313">
        <v>33</v>
      </c>
      <c r="G313" t="s">
        <v>2070</v>
      </c>
      <c r="H313">
        <v>2</v>
      </c>
      <c r="I313">
        <v>5</v>
      </c>
      <c r="J313">
        <v>2</v>
      </c>
    </row>
    <row r="314" spans="1:10" x14ac:dyDescent="0.25">
      <c r="A314" s="17" t="s">
        <v>1340</v>
      </c>
      <c r="B314" t="str">
        <f>UPPER(LEFT(A314,1))&amp;LOWER(RIGHT(A314,LEN(A314)-1))</f>
        <v xml:space="preserve">Is their a solution/ treatment </v>
      </c>
      <c r="C314" t="s">
        <v>1735</v>
      </c>
      <c r="D314" t="s">
        <v>2054</v>
      </c>
      <c r="E314" t="s">
        <v>1365</v>
      </c>
      <c r="F314">
        <v>33</v>
      </c>
      <c r="G314" t="s">
        <v>2070</v>
      </c>
      <c r="H314">
        <v>2</v>
      </c>
      <c r="I314">
        <v>5</v>
      </c>
      <c r="J314">
        <v>2</v>
      </c>
    </row>
    <row r="315" spans="1:10" x14ac:dyDescent="0.25">
      <c r="A315" s="17" t="s">
        <v>1341</v>
      </c>
      <c r="B315" t="str">
        <f>UPPER(LEFT(A315,1))&amp;LOWER(RIGHT(A315,LEN(A315)-1))</f>
        <v>Shoud i do more exams?</v>
      </c>
      <c r="C315" t="s">
        <v>1736</v>
      </c>
      <c r="D315" t="s">
        <v>2028</v>
      </c>
      <c r="E315" t="s">
        <v>1366</v>
      </c>
      <c r="F315">
        <v>33</v>
      </c>
      <c r="G315" t="s">
        <v>2070</v>
      </c>
      <c r="H315">
        <v>2</v>
      </c>
      <c r="I315">
        <v>5</v>
      </c>
      <c r="J315">
        <v>2</v>
      </c>
    </row>
    <row r="316" spans="1:10" x14ac:dyDescent="0.25">
      <c r="A316" s="17" t="s">
        <v>1342</v>
      </c>
      <c r="B316" t="str">
        <f>UPPER(LEFT(A316,1))&amp;LOWER(RIGHT(A316,LEN(A316)-1))</f>
        <v>Do you think i should do an operation?</v>
      </c>
      <c r="C316" t="s">
        <v>1343</v>
      </c>
      <c r="D316" t="s">
        <v>1953</v>
      </c>
      <c r="E316" t="s">
        <v>1367</v>
      </c>
      <c r="F316">
        <v>33</v>
      </c>
      <c r="G316" t="s">
        <v>2070</v>
      </c>
      <c r="H316">
        <v>2</v>
      </c>
      <c r="I316">
        <v>5</v>
      </c>
      <c r="J316">
        <v>2</v>
      </c>
    </row>
    <row r="317" spans="1:10" x14ac:dyDescent="0.25">
      <c r="A317" s="17" t="s">
        <v>1344</v>
      </c>
      <c r="B317" t="str">
        <f>UPPER(LEFT(A317,1))&amp;LOWER(RIGHT(A317,LEN(A317)-1))</f>
        <v xml:space="preserve">Tell me what are you feeling </v>
      </c>
      <c r="C317" t="s">
        <v>1737</v>
      </c>
      <c r="D317" t="s">
        <v>1896</v>
      </c>
      <c r="E317" t="s">
        <v>1368</v>
      </c>
      <c r="F317">
        <v>33</v>
      </c>
      <c r="G317" t="s">
        <v>2070</v>
      </c>
      <c r="H317">
        <v>2</v>
      </c>
      <c r="I317">
        <v>5</v>
      </c>
      <c r="J317">
        <v>2</v>
      </c>
    </row>
    <row r="318" spans="1:10" x14ac:dyDescent="0.25">
      <c r="A318" s="17" t="s">
        <v>1345</v>
      </c>
      <c r="B318" t="str">
        <f>UPPER(LEFT(A318,1))&amp;LOWER(RIGHT(A318,LEN(A318)-1))</f>
        <v>Where do you feel pain?</v>
      </c>
      <c r="C318" t="s">
        <v>1607</v>
      </c>
      <c r="D318" t="s">
        <v>2029</v>
      </c>
      <c r="E318" t="s">
        <v>1369</v>
      </c>
      <c r="F318">
        <v>33</v>
      </c>
      <c r="G318" t="s">
        <v>2070</v>
      </c>
      <c r="H318">
        <v>2</v>
      </c>
      <c r="I318">
        <v>5</v>
      </c>
      <c r="J318">
        <v>2</v>
      </c>
    </row>
    <row r="319" spans="1:10" x14ac:dyDescent="0.25">
      <c r="A319" s="17" t="s">
        <v>1346</v>
      </c>
      <c r="B319" t="str">
        <f>UPPER(LEFT(A319,1))&amp;LOWER(RIGHT(A319,LEN(A319)-1))</f>
        <v>For how long has it been hearting</v>
      </c>
      <c r="C319" t="s">
        <v>1738</v>
      </c>
      <c r="D319" t="s">
        <v>2030</v>
      </c>
      <c r="E319" t="s">
        <v>1370</v>
      </c>
      <c r="F319">
        <v>33</v>
      </c>
      <c r="G319" t="s">
        <v>2070</v>
      </c>
      <c r="H319">
        <v>2</v>
      </c>
      <c r="I319">
        <v>5</v>
      </c>
      <c r="J319">
        <v>2</v>
      </c>
    </row>
    <row r="320" spans="1:10" x14ac:dyDescent="0.25">
      <c r="A320" s="17" t="s">
        <v>1348</v>
      </c>
      <c r="B320" t="str">
        <f>UPPER(LEFT(A320,1))&amp;LOWER(RIGHT(A320,LEN(A320)-1))</f>
        <v>Is it something common in your family</v>
      </c>
      <c r="C320" t="s">
        <v>1740</v>
      </c>
      <c r="D320" t="s">
        <v>2055</v>
      </c>
      <c r="E320" t="s">
        <v>1372</v>
      </c>
      <c r="F320">
        <v>33</v>
      </c>
      <c r="G320" t="s">
        <v>2070</v>
      </c>
      <c r="H320">
        <v>2</v>
      </c>
      <c r="I320">
        <v>5</v>
      </c>
      <c r="J320">
        <v>2</v>
      </c>
    </row>
    <row r="321" spans="1:10" x14ac:dyDescent="0.25">
      <c r="A321" s="17" t="s">
        <v>1350</v>
      </c>
      <c r="B321" t="str">
        <f>UPPER(LEFT(A321,1))&amp;LOWER(RIGHT(A321,LEN(A321)-1))</f>
        <v xml:space="preserve">Do you have any chronic disease? </v>
      </c>
      <c r="C321" t="s">
        <v>1349</v>
      </c>
      <c r="D321" t="s">
        <v>1898</v>
      </c>
      <c r="E321" t="s">
        <v>1373</v>
      </c>
      <c r="F321">
        <v>33</v>
      </c>
      <c r="G321" t="s">
        <v>2070</v>
      </c>
      <c r="H321">
        <v>2</v>
      </c>
      <c r="I321">
        <v>5</v>
      </c>
      <c r="J321">
        <v>2</v>
      </c>
    </row>
    <row r="322" spans="1:10" x14ac:dyDescent="0.25">
      <c r="A322" s="17" t="s">
        <v>1351</v>
      </c>
      <c r="B322" t="str">
        <f>UPPER(LEFT(A322,1))&amp;LOWER(RIGHT(A322,LEN(A322)-1))</f>
        <v>Do you have any kind of allergies?</v>
      </c>
      <c r="C322" t="s">
        <v>1741</v>
      </c>
      <c r="D322" t="s">
        <v>1867</v>
      </c>
      <c r="E322" t="s">
        <v>1374</v>
      </c>
      <c r="F322">
        <v>33</v>
      </c>
      <c r="G322" t="s">
        <v>2070</v>
      </c>
      <c r="H322">
        <v>2</v>
      </c>
      <c r="I322">
        <v>5</v>
      </c>
      <c r="J322">
        <v>2</v>
      </c>
    </row>
    <row r="323" spans="1:10" x14ac:dyDescent="0.25">
      <c r="A323" s="17" t="s">
        <v>1354</v>
      </c>
      <c r="B323" t="str">
        <f>UPPER(LEFT(A323,1))&amp;LOWER(RIGHT(A323,LEN(A323)-1))</f>
        <v xml:space="preserve">Take the medicine three times per day </v>
      </c>
      <c r="C323" t="s">
        <v>1743</v>
      </c>
      <c r="D323" t="s">
        <v>1900</v>
      </c>
      <c r="E323" t="s">
        <v>1377</v>
      </c>
      <c r="F323">
        <v>33</v>
      </c>
      <c r="G323" t="s">
        <v>2070</v>
      </c>
      <c r="H323">
        <v>2</v>
      </c>
      <c r="I323">
        <v>5</v>
      </c>
      <c r="J323">
        <v>2</v>
      </c>
    </row>
    <row r="324" spans="1:10" x14ac:dyDescent="0.25">
      <c r="A324" s="17" t="s">
        <v>735</v>
      </c>
      <c r="B324" t="str">
        <f>UPPER(LEFT(A324,1))&amp;LOWER(RIGHT(A324,LEN(A324)-1))</f>
        <v>Politics</v>
      </c>
      <c r="C324" t="s">
        <v>736</v>
      </c>
      <c r="D324" t="s">
        <v>2041</v>
      </c>
      <c r="E324" t="s">
        <v>737</v>
      </c>
      <c r="F324">
        <v>35</v>
      </c>
      <c r="G324" t="s">
        <v>2066</v>
      </c>
      <c r="H324">
        <v>1</v>
      </c>
      <c r="I324">
        <v>6</v>
      </c>
      <c r="J324">
        <v>1</v>
      </c>
    </row>
    <row r="325" spans="1:10" x14ac:dyDescent="0.25">
      <c r="A325" s="17" t="s">
        <v>740</v>
      </c>
      <c r="B325" t="str">
        <f>UPPER(LEFT(A325,1))&amp;LOWER(RIGHT(A325,LEN(A325)-1))</f>
        <v>Country</v>
      </c>
      <c r="C325" t="s">
        <v>739</v>
      </c>
      <c r="D325" t="s">
        <v>739</v>
      </c>
      <c r="E325" t="s">
        <v>738</v>
      </c>
      <c r="F325">
        <v>35</v>
      </c>
      <c r="G325" t="s">
        <v>2066</v>
      </c>
      <c r="H325">
        <v>1</v>
      </c>
      <c r="I325">
        <v>6</v>
      </c>
      <c r="J325">
        <v>1</v>
      </c>
    </row>
    <row r="326" spans="1:10" x14ac:dyDescent="0.25">
      <c r="A326" s="17" t="s">
        <v>741</v>
      </c>
      <c r="B326" t="str">
        <f>UPPER(LEFT(A326,1))&amp;LOWER(RIGHT(A326,LEN(A326)-1))</f>
        <v>Capital</v>
      </c>
      <c r="C326" t="s">
        <v>742</v>
      </c>
      <c r="D326" t="s">
        <v>2064</v>
      </c>
      <c r="E326" t="s">
        <v>743</v>
      </c>
      <c r="F326">
        <v>35</v>
      </c>
      <c r="G326" t="s">
        <v>2066</v>
      </c>
      <c r="H326">
        <v>1</v>
      </c>
      <c r="I326">
        <v>6</v>
      </c>
      <c r="J326">
        <v>1</v>
      </c>
    </row>
    <row r="327" spans="1:10" x14ac:dyDescent="0.25">
      <c r="A327" s="17" t="s">
        <v>745</v>
      </c>
      <c r="B327" t="str">
        <f>UPPER(LEFT(A327,1))&amp;LOWER(RIGHT(A327,LEN(A327)-1))</f>
        <v>State</v>
      </c>
      <c r="C327" t="s">
        <v>746</v>
      </c>
      <c r="D327" t="s">
        <v>2042</v>
      </c>
      <c r="E327" t="s">
        <v>1138</v>
      </c>
      <c r="F327">
        <v>35</v>
      </c>
      <c r="G327" t="s">
        <v>2066</v>
      </c>
      <c r="H327">
        <v>1</v>
      </c>
      <c r="I327">
        <v>6</v>
      </c>
      <c r="J327">
        <v>1</v>
      </c>
    </row>
    <row r="328" spans="1:10" x14ac:dyDescent="0.25">
      <c r="A328" s="17" t="s">
        <v>747</v>
      </c>
      <c r="B328" t="str">
        <f>UPPER(LEFT(A328,1))&amp;LOWER(RIGHT(A328,LEN(A328)-1))</f>
        <v>President</v>
      </c>
      <c r="C328" t="s">
        <v>748</v>
      </c>
      <c r="D328" t="s">
        <v>2043</v>
      </c>
      <c r="E328" t="s">
        <v>749</v>
      </c>
      <c r="F328">
        <v>35</v>
      </c>
      <c r="G328" t="s">
        <v>2066</v>
      </c>
      <c r="H328">
        <v>1</v>
      </c>
      <c r="I328">
        <v>6</v>
      </c>
      <c r="J328">
        <v>1</v>
      </c>
    </row>
    <row r="329" spans="1:10" x14ac:dyDescent="0.25">
      <c r="A329" s="17" t="s">
        <v>750</v>
      </c>
      <c r="B329" t="str">
        <f>UPPER(LEFT(A329,1))&amp;LOWER(RIGHT(A329,LEN(A329)-1))</f>
        <v>King</v>
      </c>
      <c r="C329" t="s">
        <v>751</v>
      </c>
      <c r="D329" t="s">
        <v>751</v>
      </c>
      <c r="E329" t="s">
        <v>752</v>
      </c>
      <c r="F329">
        <v>35</v>
      </c>
      <c r="G329" t="s">
        <v>2066</v>
      </c>
      <c r="H329">
        <v>1</v>
      </c>
      <c r="I329">
        <v>6</v>
      </c>
      <c r="J329">
        <v>1</v>
      </c>
    </row>
    <row r="330" spans="1:10" x14ac:dyDescent="0.25">
      <c r="A330" s="17" t="s">
        <v>753</v>
      </c>
      <c r="B330" t="str">
        <f>UPPER(LEFT(A330,1))&amp;LOWER(RIGHT(A330,LEN(A330)-1))</f>
        <v>Queen</v>
      </c>
      <c r="C330" t="s">
        <v>754</v>
      </c>
      <c r="D330" t="s">
        <v>754</v>
      </c>
      <c r="E330" t="s">
        <v>755</v>
      </c>
      <c r="F330">
        <v>35</v>
      </c>
      <c r="G330" t="s">
        <v>2066</v>
      </c>
      <c r="H330">
        <v>1</v>
      </c>
      <c r="I330">
        <v>6</v>
      </c>
      <c r="J330">
        <v>1</v>
      </c>
    </row>
    <row r="331" spans="1:10" x14ac:dyDescent="0.25">
      <c r="A331" s="17" t="s">
        <v>756</v>
      </c>
      <c r="B331" t="str">
        <f>UPPER(LEFT(A331,1))&amp;LOWER(RIGHT(A331,LEN(A331)-1))</f>
        <v>Republic</v>
      </c>
      <c r="C331" t="s">
        <v>757</v>
      </c>
      <c r="D331" t="s">
        <v>757</v>
      </c>
      <c r="E331" t="s">
        <v>1139</v>
      </c>
      <c r="F331">
        <v>35</v>
      </c>
      <c r="G331" t="s">
        <v>2066</v>
      </c>
      <c r="H331">
        <v>1</v>
      </c>
      <c r="I331">
        <v>6</v>
      </c>
      <c r="J331">
        <v>1</v>
      </c>
    </row>
    <row r="332" spans="1:10" x14ac:dyDescent="0.25">
      <c r="A332" s="17" t="s">
        <v>758</v>
      </c>
      <c r="B332" t="str">
        <f>UPPER(LEFT(A332,1))&amp;LOWER(RIGHT(A332,LEN(A332)-1))</f>
        <v>Kingdom</v>
      </c>
      <c r="C332" t="s">
        <v>759</v>
      </c>
      <c r="D332" t="s">
        <v>759</v>
      </c>
      <c r="E332" t="s">
        <v>760</v>
      </c>
      <c r="F332">
        <v>35</v>
      </c>
      <c r="G332" t="s">
        <v>2066</v>
      </c>
      <c r="H332">
        <v>1</v>
      </c>
      <c r="I332">
        <v>6</v>
      </c>
      <c r="J332">
        <v>1</v>
      </c>
    </row>
    <row r="333" spans="1:10" x14ac:dyDescent="0.25">
      <c r="A333" s="17" t="s">
        <v>762</v>
      </c>
      <c r="B333" t="str">
        <f>UPPER(LEFT(A333,1))&amp;LOWER(RIGHT(A333,LEN(A333)-1))</f>
        <v>Parliament</v>
      </c>
      <c r="C333" t="s">
        <v>763</v>
      </c>
      <c r="D333" t="s">
        <v>763</v>
      </c>
      <c r="E333" t="s">
        <v>764</v>
      </c>
      <c r="F333">
        <v>35</v>
      </c>
      <c r="G333" t="s">
        <v>2066</v>
      </c>
      <c r="H333">
        <v>1</v>
      </c>
      <c r="I333">
        <v>6</v>
      </c>
      <c r="J333">
        <v>1</v>
      </c>
    </row>
    <row r="334" spans="1:10" x14ac:dyDescent="0.25">
      <c r="A334" s="17" t="s">
        <v>765</v>
      </c>
      <c r="B334" t="str">
        <f>UPPER(LEFT(A334,1))&amp;LOWER(RIGHT(A334,LEN(A334)-1))</f>
        <v>Ministry</v>
      </c>
      <c r="C334" t="s">
        <v>768</v>
      </c>
      <c r="D334" t="s">
        <v>768</v>
      </c>
      <c r="E334" t="s">
        <v>771</v>
      </c>
      <c r="F334">
        <v>35</v>
      </c>
      <c r="G334" t="s">
        <v>2066</v>
      </c>
      <c r="H334">
        <v>1</v>
      </c>
      <c r="I334">
        <v>6</v>
      </c>
      <c r="J334">
        <v>1</v>
      </c>
    </row>
    <row r="335" spans="1:10" x14ac:dyDescent="0.25">
      <c r="A335" s="17" t="s">
        <v>766</v>
      </c>
      <c r="B335" t="str">
        <f>UPPER(LEFT(A335,1))&amp;LOWER(RIGHT(A335,LEN(A335)-1))</f>
        <v>Minister</v>
      </c>
      <c r="C335" t="s">
        <v>769</v>
      </c>
      <c r="D335" t="s">
        <v>2045</v>
      </c>
      <c r="E335" t="s">
        <v>772</v>
      </c>
      <c r="F335">
        <v>35</v>
      </c>
      <c r="G335" t="s">
        <v>2066</v>
      </c>
      <c r="H335">
        <v>1</v>
      </c>
      <c r="I335">
        <v>6</v>
      </c>
      <c r="J335">
        <v>1</v>
      </c>
    </row>
    <row r="336" spans="1:10" x14ac:dyDescent="0.25">
      <c r="A336" s="17" t="s">
        <v>767</v>
      </c>
      <c r="B336" t="str">
        <f>UPPER(LEFT(A336,1))&amp;LOWER(RIGHT(A336,LEN(A336)-1))</f>
        <v>Ministers</v>
      </c>
      <c r="C336" t="s">
        <v>770</v>
      </c>
      <c r="D336" t="s">
        <v>770</v>
      </c>
      <c r="E336" t="s">
        <v>773</v>
      </c>
      <c r="F336">
        <v>35</v>
      </c>
      <c r="G336" t="s">
        <v>2066</v>
      </c>
      <c r="H336">
        <v>1</v>
      </c>
      <c r="I336">
        <v>6</v>
      </c>
      <c r="J336">
        <v>1</v>
      </c>
    </row>
    <row r="337" spans="1:10" x14ac:dyDescent="0.25">
      <c r="A337" s="17" t="s">
        <v>774</v>
      </c>
      <c r="B337" t="str">
        <f>UPPER(LEFT(A337,1))&amp;LOWER(RIGHT(A337,LEN(A337)-1))</f>
        <v>Representative</v>
      </c>
      <c r="C337" t="s">
        <v>776</v>
      </c>
      <c r="D337" t="s">
        <v>776</v>
      </c>
      <c r="E337" t="s">
        <v>778</v>
      </c>
      <c r="F337">
        <v>35</v>
      </c>
      <c r="G337" t="s">
        <v>2066</v>
      </c>
      <c r="H337">
        <v>1</v>
      </c>
      <c r="I337">
        <v>6</v>
      </c>
      <c r="J337">
        <v>1</v>
      </c>
    </row>
    <row r="338" spans="1:10" x14ac:dyDescent="0.25">
      <c r="A338" s="17" t="s">
        <v>775</v>
      </c>
      <c r="B338" t="str">
        <f>UPPER(LEFT(A338,1))&amp;LOWER(RIGHT(A338,LEN(A338)-1))</f>
        <v>Representatives</v>
      </c>
      <c r="C338" t="s">
        <v>777</v>
      </c>
      <c r="D338" t="s">
        <v>777</v>
      </c>
      <c r="E338" t="s">
        <v>779</v>
      </c>
      <c r="F338">
        <v>35</v>
      </c>
      <c r="G338" t="s">
        <v>2066</v>
      </c>
      <c r="H338">
        <v>1</v>
      </c>
      <c r="I338">
        <v>6</v>
      </c>
      <c r="J338">
        <v>1</v>
      </c>
    </row>
    <row r="339" spans="1:10" x14ac:dyDescent="0.25">
      <c r="A339" s="17" t="s">
        <v>780</v>
      </c>
      <c r="B339" t="str">
        <f>UPPER(LEFT(A339,1))&amp;LOWER(RIGHT(A339,LEN(A339)-1))</f>
        <v>Nation</v>
      </c>
      <c r="C339" t="s">
        <v>781</v>
      </c>
      <c r="D339" t="s">
        <v>781</v>
      </c>
      <c r="E339" t="s">
        <v>784</v>
      </c>
      <c r="F339">
        <v>35</v>
      </c>
      <c r="G339" t="s">
        <v>2066</v>
      </c>
      <c r="H339">
        <v>1</v>
      </c>
      <c r="I339">
        <v>6</v>
      </c>
      <c r="J339">
        <v>1</v>
      </c>
    </row>
    <row r="340" spans="1:10" x14ac:dyDescent="0.25">
      <c r="A340" s="17" t="s">
        <v>785</v>
      </c>
      <c r="B340" t="str">
        <f>UPPER(LEFT(A340,1))&amp;LOWER(RIGHT(A340,LEN(A340)-1))</f>
        <v>Party</v>
      </c>
      <c r="C340" t="s">
        <v>1747</v>
      </c>
      <c r="D340" t="s">
        <v>787</v>
      </c>
      <c r="E340" t="s">
        <v>789</v>
      </c>
      <c r="F340">
        <v>35</v>
      </c>
      <c r="G340" t="s">
        <v>2066</v>
      </c>
      <c r="H340">
        <v>1</v>
      </c>
      <c r="I340">
        <v>6</v>
      </c>
      <c r="J340">
        <v>1</v>
      </c>
    </row>
    <row r="341" spans="1:10" x14ac:dyDescent="0.25">
      <c r="A341" s="17" t="s">
        <v>786</v>
      </c>
      <c r="B341" t="str">
        <f>UPPER(LEFT(A341,1))&amp;LOWER(RIGHT(A341,LEN(A341)-1))</f>
        <v>Parties</v>
      </c>
      <c r="C341" t="s">
        <v>1748</v>
      </c>
      <c r="D341" t="s">
        <v>788</v>
      </c>
      <c r="E341" t="s">
        <v>790</v>
      </c>
      <c r="F341">
        <v>35</v>
      </c>
      <c r="G341" t="s">
        <v>2066</v>
      </c>
      <c r="H341">
        <v>1</v>
      </c>
      <c r="I341">
        <v>6</v>
      </c>
      <c r="J341">
        <v>1</v>
      </c>
    </row>
    <row r="342" spans="1:10" x14ac:dyDescent="0.25">
      <c r="A342" s="17" t="s">
        <v>791</v>
      </c>
      <c r="B342" t="str">
        <f>UPPER(LEFT(A342,1))&amp;LOWER(RIGHT(A342,LEN(A342)-1))</f>
        <v>Elections</v>
      </c>
      <c r="C342" t="s">
        <v>792</v>
      </c>
      <c r="D342" t="s">
        <v>792</v>
      </c>
      <c r="E342" t="s">
        <v>1142</v>
      </c>
      <c r="F342">
        <v>35</v>
      </c>
      <c r="G342" t="s">
        <v>2066</v>
      </c>
      <c r="H342">
        <v>1</v>
      </c>
      <c r="I342">
        <v>6</v>
      </c>
      <c r="J342">
        <v>1</v>
      </c>
    </row>
    <row r="343" spans="1:10" x14ac:dyDescent="0.25">
      <c r="A343" s="17" t="s">
        <v>793</v>
      </c>
      <c r="B343" t="str">
        <f>UPPER(LEFT(A343,1))&amp;LOWER(RIGHT(A343,LEN(A343)-1))</f>
        <v>Revolution</v>
      </c>
      <c r="C343" t="s">
        <v>794</v>
      </c>
      <c r="D343" t="s">
        <v>794</v>
      </c>
      <c r="E343" t="s">
        <v>795</v>
      </c>
      <c r="F343">
        <v>35</v>
      </c>
      <c r="G343" t="s">
        <v>2066</v>
      </c>
      <c r="H343">
        <v>1</v>
      </c>
      <c r="I343">
        <v>6</v>
      </c>
      <c r="J343">
        <v>1</v>
      </c>
    </row>
    <row r="344" spans="1:10" x14ac:dyDescent="0.25">
      <c r="A344" s="17" t="s">
        <v>744</v>
      </c>
      <c r="B344" t="str">
        <f>UPPER(LEFT(A344,1))&amp;LOWER(RIGHT(A344,LEN(A344)-1))</f>
        <v>The capital of lebanon is beirut</v>
      </c>
      <c r="C344" t="s">
        <v>1744</v>
      </c>
      <c r="D344" t="s">
        <v>2065</v>
      </c>
      <c r="E344" t="s">
        <v>1137</v>
      </c>
      <c r="F344">
        <v>35</v>
      </c>
      <c r="G344" t="s">
        <v>2066</v>
      </c>
      <c r="H344">
        <v>2</v>
      </c>
      <c r="I344">
        <v>6</v>
      </c>
      <c r="J344">
        <v>1</v>
      </c>
    </row>
    <row r="345" spans="1:10" x14ac:dyDescent="0.25">
      <c r="A345" s="17" t="s">
        <v>761</v>
      </c>
      <c r="B345" t="str">
        <f>UPPER(LEFT(A345,1))&amp;LOWER(RIGHT(A345,LEN(A345)-1))</f>
        <v>Republic of lebanon</v>
      </c>
      <c r="C345" t="s">
        <v>1745</v>
      </c>
      <c r="D345" t="s">
        <v>2044</v>
      </c>
      <c r="E345" t="s">
        <v>1140</v>
      </c>
      <c r="F345">
        <v>35</v>
      </c>
      <c r="G345" t="s">
        <v>2066</v>
      </c>
      <c r="H345">
        <v>2</v>
      </c>
      <c r="I345">
        <v>6</v>
      </c>
      <c r="J345">
        <v>1</v>
      </c>
    </row>
    <row r="346" spans="1:10" x14ac:dyDescent="0.25">
      <c r="A346" s="17" t="s">
        <v>782</v>
      </c>
      <c r="B346" t="str">
        <f>UPPER(LEFT(A346,1))&amp;LOWER(RIGHT(A346,LEN(A346)-1))</f>
        <v>United nations</v>
      </c>
      <c r="C346" t="s">
        <v>1746</v>
      </c>
      <c r="D346" t="s">
        <v>783</v>
      </c>
      <c r="E346" t="s">
        <v>1141</v>
      </c>
      <c r="F346">
        <v>35</v>
      </c>
      <c r="G346" t="s">
        <v>2066</v>
      </c>
      <c r="H346">
        <v>2</v>
      </c>
      <c r="I346">
        <v>6</v>
      </c>
      <c r="J346">
        <v>1</v>
      </c>
    </row>
    <row r="347" spans="1:10" x14ac:dyDescent="0.25">
      <c r="A347" s="17" t="s">
        <v>796</v>
      </c>
      <c r="B347" t="str">
        <f>UPPER(LEFT(A347,1))&amp;LOWER(RIGHT(A347,LEN(A347)-1))</f>
        <v>Today, the representatives met at the patliament to elect a president</v>
      </c>
      <c r="C347" t="s">
        <v>797</v>
      </c>
      <c r="D347" t="s">
        <v>797</v>
      </c>
      <c r="E347" t="s">
        <v>798</v>
      </c>
      <c r="F347">
        <v>35</v>
      </c>
      <c r="G347" t="s">
        <v>2066</v>
      </c>
      <c r="H347">
        <v>2</v>
      </c>
      <c r="I347">
        <v>6</v>
      </c>
      <c r="J347">
        <v>1</v>
      </c>
    </row>
    <row r="348" spans="1:10" x14ac:dyDescent="0.25">
      <c r="A348" s="17" t="s">
        <v>799</v>
      </c>
      <c r="B348" t="str">
        <f>UPPER(LEFT(A348,1))&amp;LOWER(RIGHT(A348,LEN(A348)-1))</f>
        <v>There are two main political parties in the united states</v>
      </c>
      <c r="C348" t="s">
        <v>1749</v>
      </c>
      <c r="D348" t="s">
        <v>2056</v>
      </c>
      <c r="E348" t="s">
        <v>1143</v>
      </c>
      <c r="F348">
        <v>35</v>
      </c>
      <c r="G348" t="s">
        <v>2066</v>
      </c>
      <c r="H348">
        <v>2</v>
      </c>
      <c r="I348">
        <v>6</v>
      </c>
      <c r="J348">
        <v>1</v>
      </c>
    </row>
    <row r="349" spans="1:10" x14ac:dyDescent="0.25">
      <c r="A349" s="17" t="s">
        <v>814</v>
      </c>
      <c r="B349" t="str">
        <f>UPPER(LEFT(A349,1))&amp;LOWER(RIGHT(A349,LEN(A349)-1))</f>
        <v>Municipality/ies</v>
      </c>
      <c r="C349" t="s">
        <v>1751</v>
      </c>
      <c r="D349" t="s">
        <v>2046</v>
      </c>
      <c r="E349" t="s">
        <v>801</v>
      </c>
      <c r="F349">
        <v>36</v>
      </c>
      <c r="G349" t="s">
        <v>2067</v>
      </c>
      <c r="H349">
        <v>1</v>
      </c>
      <c r="I349">
        <v>6</v>
      </c>
      <c r="J349">
        <v>2</v>
      </c>
    </row>
    <row r="350" spans="1:10" x14ac:dyDescent="0.25">
      <c r="A350" s="17" t="s">
        <v>803</v>
      </c>
      <c r="B350" t="str">
        <f>UPPER(LEFT(A350,1))&amp;LOWER(RIGHT(A350,LEN(A350)-1))</f>
        <v>Peace</v>
      </c>
      <c r="C350" t="s">
        <v>1616</v>
      </c>
      <c r="D350" t="s">
        <v>1616</v>
      </c>
      <c r="E350" t="s">
        <v>806</v>
      </c>
      <c r="F350">
        <v>36</v>
      </c>
      <c r="G350" t="s">
        <v>2067</v>
      </c>
      <c r="H350">
        <v>1</v>
      </c>
      <c r="I350">
        <v>6</v>
      </c>
      <c r="J350">
        <v>2</v>
      </c>
    </row>
    <row r="351" spans="1:10" x14ac:dyDescent="0.25">
      <c r="A351" s="17" t="s">
        <v>810</v>
      </c>
      <c r="B351" t="str">
        <f>UPPER(LEFT(A351,1))&amp;LOWER(RIGHT(A351,LEN(A351)-1))</f>
        <v>Peaceful</v>
      </c>
      <c r="C351" t="s">
        <v>1617</v>
      </c>
      <c r="D351" t="s">
        <v>1617</v>
      </c>
      <c r="E351" t="s">
        <v>807</v>
      </c>
      <c r="F351">
        <v>36</v>
      </c>
      <c r="G351" t="s">
        <v>2067</v>
      </c>
      <c r="H351">
        <v>1</v>
      </c>
      <c r="I351">
        <v>6</v>
      </c>
      <c r="J351">
        <v>2</v>
      </c>
    </row>
    <row r="352" spans="1:10" x14ac:dyDescent="0.25">
      <c r="A352" s="17" t="s">
        <v>804</v>
      </c>
      <c r="B352" t="str">
        <f>UPPER(LEFT(A352,1))&amp;LOWER(RIGHT(A352,LEN(A352)-1))</f>
        <v>Protest</v>
      </c>
      <c r="C352" t="s">
        <v>1618</v>
      </c>
      <c r="D352" t="s">
        <v>1618</v>
      </c>
      <c r="E352" t="s">
        <v>808</v>
      </c>
      <c r="F352">
        <v>36</v>
      </c>
      <c r="G352" t="s">
        <v>2067</v>
      </c>
      <c r="H352">
        <v>1</v>
      </c>
      <c r="I352">
        <v>6</v>
      </c>
      <c r="J352">
        <v>2</v>
      </c>
    </row>
    <row r="353" spans="1:10" x14ac:dyDescent="0.25">
      <c r="A353" s="17" t="s">
        <v>805</v>
      </c>
      <c r="B353" t="str">
        <f>UPPER(LEFT(A353,1))&amp;LOWER(RIGHT(A353,LEN(A353)-1))</f>
        <v>Protests</v>
      </c>
      <c r="C353" t="s">
        <v>1619</v>
      </c>
      <c r="D353" t="s">
        <v>1619</v>
      </c>
      <c r="E353" t="s">
        <v>809</v>
      </c>
      <c r="F353">
        <v>36</v>
      </c>
      <c r="G353" t="s">
        <v>2067</v>
      </c>
      <c r="H353">
        <v>1</v>
      </c>
      <c r="I353">
        <v>6</v>
      </c>
      <c r="J353">
        <v>2</v>
      </c>
    </row>
    <row r="354" spans="1:10" x14ac:dyDescent="0.25">
      <c r="A354" s="17" t="s">
        <v>818</v>
      </c>
      <c r="B354" t="str">
        <f>UPPER(LEFT(A354,1))&amp;LOWER(RIGHT(A354,LEN(A354)-1))</f>
        <v>Martyr</v>
      </c>
      <c r="C354" t="s">
        <v>819</v>
      </c>
      <c r="D354" t="s">
        <v>819</v>
      </c>
      <c r="E354" t="s">
        <v>821</v>
      </c>
      <c r="F354">
        <v>36</v>
      </c>
      <c r="G354" t="s">
        <v>2067</v>
      </c>
      <c r="H354">
        <v>1</v>
      </c>
      <c r="I354">
        <v>6</v>
      </c>
      <c r="J354">
        <v>2</v>
      </c>
    </row>
    <row r="355" spans="1:10" x14ac:dyDescent="0.25">
      <c r="A355" s="17" t="s">
        <v>813</v>
      </c>
      <c r="B355" t="str">
        <f>UPPER(LEFT(A355,1))&amp;LOWER(RIGHT(A355,LEN(A355)-1))</f>
        <v>There is a garbage crisis in lebanon, and the government did not find a solution yet.</v>
      </c>
      <c r="C355" t="s">
        <v>1750</v>
      </c>
      <c r="D355" t="s">
        <v>1902</v>
      </c>
      <c r="E355" t="s">
        <v>800</v>
      </c>
      <c r="F355">
        <v>36</v>
      </c>
      <c r="G355" t="s">
        <v>2067</v>
      </c>
      <c r="H355">
        <v>2</v>
      </c>
      <c r="I355">
        <v>6</v>
      </c>
      <c r="J355">
        <v>2</v>
      </c>
    </row>
    <row r="356" spans="1:10" x14ac:dyDescent="0.25">
      <c r="A356" s="17" t="s">
        <v>815</v>
      </c>
      <c r="B356" t="str">
        <f>UPPER(LEFT(A356,1))&amp;LOWER(RIGHT(A356,LEN(A356)-1))</f>
        <v>Every municipality is responsible for waste sorting</v>
      </c>
      <c r="C356" t="s">
        <v>1752</v>
      </c>
      <c r="D356" t="s">
        <v>1846</v>
      </c>
      <c r="E356" t="s">
        <v>802</v>
      </c>
      <c r="F356">
        <v>36</v>
      </c>
      <c r="G356" t="s">
        <v>2067</v>
      </c>
      <c r="H356">
        <v>2</v>
      </c>
      <c r="I356">
        <v>6</v>
      </c>
      <c r="J356">
        <v>2</v>
      </c>
    </row>
    <row r="357" spans="1:10" x14ac:dyDescent="0.25">
      <c r="A357" s="17" t="s">
        <v>816</v>
      </c>
      <c r="B357" t="str">
        <f>UPPER(LEFT(A357,1))&amp;LOWER(RIGHT(A357,LEN(A357)-1))</f>
        <v>There are ongoing peacful protests in the lebanese capital demanding the resignation of the minister of the environment</v>
      </c>
      <c r="C357" t="s">
        <v>1753</v>
      </c>
      <c r="D357" t="s">
        <v>2047</v>
      </c>
      <c r="E357" t="s">
        <v>811</v>
      </c>
      <c r="F357">
        <v>36</v>
      </c>
      <c r="G357" t="s">
        <v>2067</v>
      </c>
      <c r="H357">
        <v>2</v>
      </c>
      <c r="I357">
        <v>6</v>
      </c>
      <c r="J357">
        <v>2</v>
      </c>
    </row>
    <row r="358" spans="1:10" x14ac:dyDescent="0.25">
      <c r="A358" s="17" t="s">
        <v>817</v>
      </c>
      <c r="B358" t="str">
        <f>UPPER(LEFT(A358,1))&amp;LOWER(RIGHT(A358,LEN(A358)-1))</f>
        <v>Today, fifty people were killed as a result of an explosion</v>
      </c>
      <c r="C358" t="s">
        <v>1754</v>
      </c>
      <c r="D358" t="s">
        <v>1903</v>
      </c>
      <c r="E358" t="s">
        <v>812</v>
      </c>
      <c r="F358">
        <v>36</v>
      </c>
      <c r="G358" t="s">
        <v>2067</v>
      </c>
      <c r="H358">
        <v>2</v>
      </c>
      <c r="I358">
        <v>6</v>
      </c>
      <c r="J358">
        <v>2</v>
      </c>
    </row>
    <row r="359" spans="1:10" x14ac:dyDescent="0.25">
      <c r="A359" s="17" t="s">
        <v>822</v>
      </c>
      <c r="B359" t="str">
        <f>UPPER(LEFT(A359,1))&amp;LOWER(RIGHT(A359,LEN(A359)-1))</f>
        <v>In 2013, the parliament ammended the constitution to be able to extend their term</v>
      </c>
      <c r="C359" t="s">
        <v>1755</v>
      </c>
      <c r="D359" t="s">
        <v>1904</v>
      </c>
      <c r="E359" t="s">
        <v>820</v>
      </c>
      <c r="F359">
        <v>36</v>
      </c>
      <c r="G359" t="s">
        <v>2067</v>
      </c>
      <c r="H359">
        <v>2</v>
      </c>
      <c r="I359">
        <v>6</v>
      </c>
      <c r="J359">
        <v>2</v>
      </c>
    </row>
    <row r="360" spans="1:10" x14ac:dyDescent="0.25">
      <c r="A360" s="17" t="s">
        <v>823</v>
      </c>
      <c r="B360" t="str">
        <f>UPPER(LEFT(A360,1))&amp;LOWER(RIGHT(A360,LEN(A360)-1))</f>
        <v>Good luck</v>
      </c>
      <c r="C360" t="s">
        <v>1609</v>
      </c>
      <c r="D360" t="s">
        <v>2031</v>
      </c>
      <c r="E360" t="s">
        <v>824</v>
      </c>
      <c r="F360">
        <v>34</v>
      </c>
      <c r="G360" t="s">
        <v>2069</v>
      </c>
      <c r="H360">
        <v>2</v>
      </c>
      <c r="I360">
        <v>7</v>
      </c>
      <c r="J360">
        <v>1</v>
      </c>
    </row>
    <row r="361" spans="1:10" x14ac:dyDescent="0.25">
      <c r="A361" s="17" t="s">
        <v>825</v>
      </c>
      <c r="B361" t="str">
        <f>UPPER(LEFT(A361,1))&amp;LOWER(RIGHT(A361,LEN(A361)-1))</f>
        <v>Go with peace</v>
      </c>
      <c r="C361" t="s">
        <v>1610</v>
      </c>
      <c r="D361" t="s">
        <v>2032</v>
      </c>
      <c r="E361" t="s">
        <v>826</v>
      </c>
      <c r="F361">
        <v>34</v>
      </c>
      <c r="G361" t="s">
        <v>2069</v>
      </c>
      <c r="H361">
        <v>2</v>
      </c>
      <c r="I361">
        <v>7</v>
      </c>
      <c r="J361">
        <v>1</v>
      </c>
    </row>
    <row r="362" spans="1:10" x14ac:dyDescent="0.25">
      <c r="A362" s="17" t="s">
        <v>827</v>
      </c>
      <c r="B362" t="str">
        <f>UPPER(LEFT(A362,1))&amp;LOWER(RIGHT(A362,LEN(A362)-1))</f>
        <v>Stay</v>
      </c>
      <c r="C362" t="s">
        <v>1611</v>
      </c>
      <c r="D362" t="s">
        <v>2033</v>
      </c>
      <c r="E362" t="s">
        <v>828</v>
      </c>
      <c r="F362">
        <v>34</v>
      </c>
      <c r="G362" t="s">
        <v>2069</v>
      </c>
      <c r="H362">
        <v>2</v>
      </c>
      <c r="I362">
        <v>7</v>
      </c>
      <c r="J362">
        <v>1</v>
      </c>
    </row>
    <row r="363" spans="1:10" x14ac:dyDescent="0.25">
      <c r="A363" s="17" t="s">
        <v>829</v>
      </c>
      <c r="B363" t="str">
        <f>UPPER(LEFT(A363,1))&amp;LOWER(RIGHT(A363,LEN(A363)-1))</f>
        <v>Stay a little more</v>
      </c>
      <c r="C363" t="s">
        <v>1612</v>
      </c>
      <c r="D363" t="s">
        <v>2034</v>
      </c>
      <c r="E363" t="s">
        <v>830</v>
      </c>
      <c r="F363">
        <v>34</v>
      </c>
      <c r="G363" t="s">
        <v>2069</v>
      </c>
      <c r="H363">
        <v>2</v>
      </c>
      <c r="I363">
        <v>7</v>
      </c>
      <c r="J363">
        <v>1</v>
      </c>
    </row>
    <row r="364" spans="1:10" x14ac:dyDescent="0.25">
      <c r="A364" s="17" t="s">
        <v>831</v>
      </c>
      <c r="B364" t="str">
        <f>UPPER(LEFT(A364,1))&amp;LOWER(RIGHT(A364,LEN(A364)-1))</f>
        <v>God is with you</v>
      </c>
      <c r="C364" t="s">
        <v>832</v>
      </c>
      <c r="D364" t="s">
        <v>1845</v>
      </c>
      <c r="E364" t="s">
        <v>833</v>
      </c>
      <c r="F364">
        <v>34</v>
      </c>
      <c r="G364" t="s">
        <v>2069</v>
      </c>
      <c r="H364">
        <v>2</v>
      </c>
      <c r="I364">
        <v>7</v>
      </c>
      <c r="J364">
        <v>1</v>
      </c>
    </row>
    <row r="365" spans="1:10" x14ac:dyDescent="0.25">
      <c r="A365" s="17" t="s">
        <v>834</v>
      </c>
      <c r="B365" t="str">
        <f>UPPER(LEFT(A365,1))&amp;LOWER(RIGHT(A365,LEN(A365)-1))</f>
        <v>Drop by soon</v>
      </c>
      <c r="C365" t="s">
        <v>1613</v>
      </c>
      <c r="D365" t="s">
        <v>2035</v>
      </c>
      <c r="E365" t="s">
        <v>835</v>
      </c>
      <c r="F365">
        <v>34</v>
      </c>
      <c r="G365" t="s">
        <v>2069</v>
      </c>
      <c r="H365">
        <v>2</v>
      </c>
      <c r="I365">
        <v>7</v>
      </c>
      <c r="J365">
        <v>1</v>
      </c>
    </row>
    <row r="366" spans="1:10" x14ac:dyDescent="0.25">
      <c r="A366" s="17" t="s">
        <v>836</v>
      </c>
      <c r="B366" t="str">
        <f>UPPER(LEFT(A366,1))&amp;LOWER(RIGHT(A366,LEN(A366)-1))</f>
        <v>Drop by</v>
      </c>
      <c r="C366" t="s">
        <v>837</v>
      </c>
      <c r="D366" t="s">
        <v>837</v>
      </c>
      <c r="E366" t="s">
        <v>838</v>
      </c>
      <c r="F366">
        <v>34</v>
      </c>
      <c r="G366" t="s">
        <v>2069</v>
      </c>
      <c r="H366">
        <v>2</v>
      </c>
      <c r="I366">
        <v>7</v>
      </c>
      <c r="J366">
        <v>1</v>
      </c>
    </row>
    <row r="367" spans="1:10" x14ac:dyDescent="0.25">
      <c r="A367" s="17" t="s">
        <v>839</v>
      </c>
      <c r="B367" t="str">
        <f>UPPER(LEFT(A367,1))&amp;LOWER(RIGHT(A367,LEN(A367)-1))</f>
        <v>Come back again</v>
      </c>
      <c r="C367" t="s">
        <v>1614</v>
      </c>
      <c r="D367" t="s">
        <v>2036</v>
      </c>
      <c r="E367" t="s">
        <v>840</v>
      </c>
      <c r="F367">
        <v>34</v>
      </c>
      <c r="G367" t="s">
        <v>2069</v>
      </c>
      <c r="H367">
        <v>2</v>
      </c>
      <c r="I367">
        <v>7</v>
      </c>
      <c r="J367">
        <v>1</v>
      </c>
    </row>
    <row r="368" spans="1:10" x14ac:dyDescent="0.25">
      <c r="A368" s="17" t="s">
        <v>841</v>
      </c>
      <c r="B368" t="str">
        <f>UPPER(LEFT(A368,1))&amp;LOWER(RIGHT(A368,LEN(A368)-1))</f>
        <v xml:space="preserve">Where are you going? </v>
      </c>
      <c r="C368" t="s">
        <v>842</v>
      </c>
      <c r="D368" t="s">
        <v>842</v>
      </c>
      <c r="E368" t="s">
        <v>843</v>
      </c>
      <c r="F368">
        <v>34</v>
      </c>
      <c r="G368" t="s">
        <v>2069</v>
      </c>
      <c r="H368">
        <v>2</v>
      </c>
      <c r="I368">
        <v>7</v>
      </c>
      <c r="J368">
        <v>1</v>
      </c>
    </row>
    <row r="369" spans="1:10" x14ac:dyDescent="0.25">
      <c r="A369" s="17" t="s">
        <v>845</v>
      </c>
      <c r="B369" t="str">
        <f>UPPER(LEFT(A369,1))&amp;LOWER(RIGHT(A369,LEN(A369)-1))</f>
        <v>Come again: (for men, woman and groups)</v>
      </c>
      <c r="C369" t="s">
        <v>846</v>
      </c>
      <c r="D369" t="s">
        <v>2037</v>
      </c>
      <c r="E369" t="s">
        <v>844</v>
      </c>
      <c r="F369">
        <v>34</v>
      </c>
      <c r="G369" t="s">
        <v>2069</v>
      </c>
      <c r="H369">
        <v>2</v>
      </c>
      <c r="I369">
        <v>7</v>
      </c>
      <c r="J369">
        <v>1</v>
      </c>
    </row>
    <row r="370" spans="1:10" x14ac:dyDescent="0.25">
      <c r="A370" s="17" t="s">
        <v>847</v>
      </c>
      <c r="B370" t="str">
        <f>UPPER(LEFT(A370,1))&amp;LOWER(RIGHT(A370,LEN(A370)-1))</f>
        <v>Good night</v>
      </c>
      <c r="C370" t="s">
        <v>1615</v>
      </c>
      <c r="D370" t="s">
        <v>1901</v>
      </c>
      <c r="E370" t="s">
        <v>848</v>
      </c>
      <c r="F370">
        <v>34</v>
      </c>
      <c r="G370" t="s">
        <v>2069</v>
      </c>
      <c r="H370">
        <v>2</v>
      </c>
      <c r="I370">
        <v>7</v>
      </c>
      <c r="J370">
        <v>1</v>
      </c>
    </row>
    <row r="371" spans="1:10" x14ac:dyDescent="0.25">
      <c r="A371" s="17" t="s">
        <v>849</v>
      </c>
      <c r="B371" t="str">
        <f>UPPER(LEFT(A371,1))&amp;LOWER(RIGHT(A371,LEN(A371)-1))</f>
        <v>Good night for you too</v>
      </c>
      <c r="C371" t="s">
        <v>850</v>
      </c>
      <c r="D371" t="s">
        <v>850</v>
      </c>
      <c r="E371" t="s">
        <v>851</v>
      </c>
      <c r="F371">
        <v>34</v>
      </c>
      <c r="G371" t="s">
        <v>2069</v>
      </c>
      <c r="H371">
        <v>2</v>
      </c>
      <c r="I371">
        <v>7</v>
      </c>
      <c r="J371">
        <v>1</v>
      </c>
    </row>
    <row r="372" spans="1:10" x14ac:dyDescent="0.25">
      <c r="A372" s="17" t="s">
        <v>854</v>
      </c>
      <c r="B372" t="str">
        <f>UPPER(LEFT(A372,1))&amp;LOWER(RIGHT(A372,LEN(A372)-1))</f>
        <v>Say hi</v>
      </c>
      <c r="C372" t="s">
        <v>852</v>
      </c>
      <c r="D372" t="s">
        <v>852</v>
      </c>
      <c r="E372" t="s">
        <v>853</v>
      </c>
      <c r="F372">
        <v>34</v>
      </c>
      <c r="G372" t="s">
        <v>2069</v>
      </c>
      <c r="H372">
        <v>2</v>
      </c>
      <c r="I372">
        <v>7</v>
      </c>
      <c r="J372">
        <v>1</v>
      </c>
    </row>
    <row r="373" spans="1:10" x14ac:dyDescent="0.25">
      <c r="A373" s="17" t="s">
        <v>855</v>
      </c>
      <c r="B373" t="str">
        <f>UPPER(LEFT(A373,1))&amp;LOWER(RIGHT(A373,LEN(A373)-1))</f>
        <v>Done!</v>
      </c>
      <c r="C373" t="s">
        <v>856</v>
      </c>
      <c r="D373" t="s">
        <v>856</v>
      </c>
      <c r="E373" t="s">
        <v>857</v>
      </c>
      <c r="F373">
        <v>34</v>
      </c>
      <c r="G373" t="s">
        <v>2069</v>
      </c>
      <c r="H373">
        <v>2</v>
      </c>
      <c r="I373">
        <v>7</v>
      </c>
      <c r="J373">
        <v>1</v>
      </c>
    </row>
    <row r="374" spans="1:10" x14ac:dyDescent="0.25">
      <c r="A374" s="17" t="s">
        <v>858</v>
      </c>
      <c r="B374" t="str">
        <f>UPPER(LEFT(A374,1))&amp;LOWER(RIGHT(A374,LEN(A374)-1))</f>
        <v>Ok, i have to go</v>
      </c>
      <c r="C374" t="s">
        <v>859</v>
      </c>
      <c r="D374" t="s">
        <v>1868</v>
      </c>
      <c r="E374" t="s">
        <v>860</v>
      </c>
      <c r="F374">
        <v>34</v>
      </c>
      <c r="G374" t="s">
        <v>2069</v>
      </c>
      <c r="H374">
        <v>2</v>
      </c>
      <c r="I374">
        <v>7</v>
      </c>
      <c r="J374">
        <v>1</v>
      </c>
    </row>
    <row r="375" spans="1:10" x14ac:dyDescent="0.25">
      <c r="A375" s="17" t="s">
        <v>861</v>
      </c>
      <c r="B375" t="str">
        <f>UPPER(LEFT(A375,1))&amp;LOWER(RIGHT(A375,LEN(A375)-1))</f>
        <v>Ok we saw you  (we have to leave)</v>
      </c>
      <c r="C375" t="s">
        <v>862</v>
      </c>
      <c r="D375" t="s">
        <v>2038</v>
      </c>
      <c r="E375" t="s">
        <v>863</v>
      </c>
      <c r="F375">
        <v>34</v>
      </c>
      <c r="G375" t="s">
        <v>2069</v>
      </c>
      <c r="H375">
        <v>2</v>
      </c>
      <c r="I375">
        <v>7</v>
      </c>
      <c r="J375">
        <v>1</v>
      </c>
    </row>
    <row r="376" spans="1:10" x14ac:dyDescent="0.25">
      <c r="A376" s="17" t="s">
        <v>864</v>
      </c>
      <c r="B376" t="str">
        <f>UPPER(LEFT(A376,1))&amp;LOWER(RIGHT(A376,LEN(A376)-1))</f>
        <v>Do you want somenthing?</v>
      </c>
      <c r="C376" t="s">
        <v>865</v>
      </c>
      <c r="D376" t="s">
        <v>1869</v>
      </c>
      <c r="E376" t="s">
        <v>866</v>
      </c>
      <c r="F376">
        <v>34</v>
      </c>
      <c r="G376" t="s">
        <v>2069</v>
      </c>
      <c r="H376">
        <v>2</v>
      </c>
      <c r="I376">
        <v>7</v>
      </c>
      <c r="J376">
        <v>1</v>
      </c>
    </row>
    <row r="377" spans="1:10" x14ac:dyDescent="0.25">
      <c r="A377" s="17" t="s">
        <v>867</v>
      </c>
      <c r="B377" t="str">
        <f>UPPER(LEFT(A377,1))&amp;LOWER(RIGHT(A377,LEN(A377)-1))</f>
        <v>We're happy we saw you</v>
      </c>
      <c r="C377" t="s">
        <v>868</v>
      </c>
      <c r="D377" t="s">
        <v>2039</v>
      </c>
      <c r="E377" t="s">
        <v>869</v>
      </c>
      <c r="F377">
        <v>34</v>
      </c>
      <c r="G377" t="s">
        <v>2069</v>
      </c>
      <c r="H377">
        <v>2</v>
      </c>
      <c r="I377">
        <v>7</v>
      </c>
      <c r="J377">
        <v>1</v>
      </c>
    </row>
    <row r="378" spans="1:10" x14ac:dyDescent="0.25">
      <c r="A378" s="17" t="s">
        <v>870</v>
      </c>
      <c r="B378" t="str">
        <f>UPPER(LEFT(A378,1))&amp;LOWER(RIGHT(A378,LEN(A378)-1))</f>
        <v>We will come back again</v>
      </c>
      <c r="C378" t="s">
        <v>871</v>
      </c>
      <c r="D378" t="s">
        <v>2040</v>
      </c>
      <c r="E378" t="s">
        <v>872</v>
      </c>
      <c r="F378">
        <v>34</v>
      </c>
      <c r="G378" t="s">
        <v>2069</v>
      </c>
      <c r="H378">
        <v>2</v>
      </c>
      <c r="I378">
        <v>7</v>
      </c>
      <c r="J378">
        <v>1</v>
      </c>
    </row>
    <row r="379" spans="1:10" ht="15.75" x14ac:dyDescent="0.25">
      <c r="A379" s="17" t="s">
        <v>2188</v>
      </c>
      <c r="B379" t="str">
        <f>UPPER(LEFT(A379,1))&amp;LOWER(RIGHT(A379,LEN(A379)-1))</f>
        <v>Please</v>
      </c>
      <c r="C379" t="s">
        <v>2189</v>
      </c>
      <c r="D379" t="s">
        <v>2189</v>
      </c>
      <c r="E379" s="33" t="s">
        <v>2190</v>
      </c>
      <c r="F379">
        <v>40</v>
      </c>
      <c r="G379" t="s">
        <v>2084</v>
      </c>
      <c r="H379">
        <v>1</v>
      </c>
      <c r="I379">
        <v>7</v>
      </c>
      <c r="J379">
        <v>2</v>
      </c>
    </row>
    <row r="380" spans="1:10" ht="15.75" x14ac:dyDescent="0.25">
      <c r="A380" s="17" t="s">
        <v>2188</v>
      </c>
      <c r="B380" t="str">
        <f>UPPER(LEFT(A380,1))&amp;LOWER(RIGHT(A380,LEN(A380)-1))</f>
        <v>Please</v>
      </c>
      <c r="C380" t="s">
        <v>2191</v>
      </c>
      <c r="D380" t="s">
        <v>2191</v>
      </c>
      <c r="E380" s="33" t="s">
        <v>2192</v>
      </c>
      <c r="F380">
        <v>40</v>
      </c>
      <c r="G380" t="s">
        <v>2084</v>
      </c>
      <c r="H380">
        <v>1</v>
      </c>
      <c r="I380">
        <v>7</v>
      </c>
      <c r="J380">
        <v>2</v>
      </c>
    </row>
    <row r="381" spans="1:10" ht="15.75" x14ac:dyDescent="0.25">
      <c r="A381" s="17" t="s">
        <v>2188</v>
      </c>
      <c r="B381" t="str">
        <f>UPPER(LEFT(A381,1))&amp;LOWER(RIGHT(A381,LEN(A381)-1))</f>
        <v>Please</v>
      </c>
      <c r="C381" t="s">
        <v>2198</v>
      </c>
      <c r="D381" t="s">
        <v>2269</v>
      </c>
      <c r="E381" s="33" t="s">
        <v>2199</v>
      </c>
      <c r="F381">
        <v>40</v>
      </c>
      <c r="G381" t="s">
        <v>2084</v>
      </c>
      <c r="H381">
        <v>1</v>
      </c>
      <c r="I381">
        <v>7</v>
      </c>
      <c r="J381">
        <v>2</v>
      </c>
    </row>
    <row r="382" spans="1:10" ht="15.75" x14ac:dyDescent="0.25">
      <c r="A382" s="17" t="s">
        <v>2188</v>
      </c>
      <c r="B382" t="str">
        <f>UPPER(LEFT(A382,1))&amp;LOWER(RIGHT(A382,LEN(A382)-1))</f>
        <v>Please</v>
      </c>
      <c r="C382" t="s">
        <v>2224</v>
      </c>
      <c r="D382" t="s">
        <v>2224</v>
      </c>
      <c r="E382" s="33" t="s">
        <v>2225</v>
      </c>
      <c r="F382">
        <v>40</v>
      </c>
      <c r="G382" t="s">
        <v>2084</v>
      </c>
      <c r="H382">
        <v>1</v>
      </c>
      <c r="I382">
        <v>7</v>
      </c>
      <c r="J382">
        <v>2</v>
      </c>
    </row>
    <row r="383" spans="1:10" ht="15.75" x14ac:dyDescent="0.25">
      <c r="A383" s="17" t="s">
        <v>2188</v>
      </c>
      <c r="B383" t="str">
        <f>UPPER(LEFT(A383,1))&amp;LOWER(RIGHT(A383,LEN(A383)-1))</f>
        <v>Please</v>
      </c>
      <c r="C383" t="s">
        <v>2230</v>
      </c>
      <c r="D383" t="s">
        <v>2275</v>
      </c>
      <c r="E383" s="33" t="s">
        <v>2231</v>
      </c>
      <c r="F383">
        <v>40</v>
      </c>
      <c r="G383" t="s">
        <v>2084</v>
      </c>
      <c r="H383">
        <v>1</v>
      </c>
      <c r="I383">
        <v>7</v>
      </c>
      <c r="J383">
        <v>2</v>
      </c>
    </row>
    <row r="384" spans="1:10" ht="15.75" x14ac:dyDescent="0.25">
      <c r="A384" s="17" t="s">
        <v>2193</v>
      </c>
      <c r="B384" t="str">
        <f>UPPER(LEFT(A384,1))&amp;LOWER(RIGHT(A384,LEN(A384)-1))</f>
        <v xml:space="preserve">Excuse me </v>
      </c>
      <c r="C384" t="s">
        <v>460</v>
      </c>
      <c r="D384" t="s">
        <v>460</v>
      </c>
      <c r="E384" s="33" t="s">
        <v>2194</v>
      </c>
      <c r="F384">
        <v>40</v>
      </c>
      <c r="G384" t="s">
        <v>2084</v>
      </c>
      <c r="H384">
        <v>2</v>
      </c>
      <c r="I384">
        <v>7</v>
      </c>
      <c r="J384">
        <v>2</v>
      </c>
    </row>
    <row r="385" spans="1:10" ht="15.75" x14ac:dyDescent="0.25">
      <c r="A385" s="17" t="s">
        <v>2193</v>
      </c>
      <c r="B385" t="str">
        <f>UPPER(LEFT(A385,1))&amp;LOWER(RIGHT(A385,LEN(A385)-1))</f>
        <v xml:space="preserve">Excuse me </v>
      </c>
      <c r="C385" t="s">
        <v>2195</v>
      </c>
      <c r="D385" t="s">
        <v>2195</v>
      </c>
      <c r="E385" s="33" t="s">
        <v>2196</v>
      </c>
      <c r="F385">
        <v>40</v>
      </c>
      <c r="G385" t="s">
        <v>2084</v>
      </c>
      <c r="H385">
        <v>2</v>
      </c>
      <c r="I385">
        <v>7</v>
      </c>
      <c r="J385">
        <v>2</v>
      </c>
    </row>
    <row r="386" spans="1:10" ht="15.75" x14ac:dyDescent="0.25">
      <c r="A386" s="17" t="s">
        <v>2193</v>
      </c>
      <c r="B386" t="str">
        <f>UPPER(LEFT(A386,1))&amp;LOWER(RIGHT(A386,LEN(A386)-1))</f>
        <v xml:space="preserve">Excuse me </v>
      </c>
      <c r="C386" t="s">
        <v>2268</v>
      </c>
      <c r="D386" t="s">
        <v>2268</v>
      </c>
      <c r="E386" s="33" t="s">
        <v>2197</v>
      </c>
      <c r="F386">
        <v>40</v>
      </c>
      <c r="G386" t="s">
        <v>2084</v>
      </c>
      <c r="H386">
        <v>2</v>
      </c>
      <c r="I386">
        <v>7</v>
      </c>
      <c r="J386">
        <v>2</v>
      </c>
    </row>
    <row r="387" spans="1:10" ht="15.75" x14ac:dyDescent="0.25">
      <c r="A387" s="17" t="s">
        <v>2193</v>
      </c>
      <c r="B387" t="str">
        <f>UPPER(LEFT(A387,1))&amp;LOWER(RIGHT(A387,LEN(A387)-1))</f>
        <v xml:space="preserve">Excuse me </v>
      </c>
      <c r="C387" t="s">
        <v>2226</v>
      </c>
      <c r="D387" t="s">
        <v>2273</v>
      </c>
      <c r="E387" s="33" t="s">
        <v>2227</v>
      </c>
      <c r="F387">
        <v>40</v>
      </c>
      <c r="G387" t="s">
        <v>2084</v>
      </c>
      <c r="H387">
        <v>2</v>
      </c>
      <c r="I387">
        <v>7</v>
      </c>
      <c r="J387">
        <v>2</v>
      </c>
    </row>
    <row r="388" spans="1:10" ht="15.75" x14ac:dyDescent="0.25">
      <c r="A388" s="17" t="s">
        <v>2193</v>
      </c>
      <c r="B388" t="str">
        <f>UPPER(LEFT(A388,1))&amp;LOWER(RIGHT(A388,LEN(A388)-1))</f>
        <v xml:space="preserve">Excuse me </v>
      </c>
      <c r="C388" t="s">
        <v>2228</v>
      </c>
      <c r="D388" t="s">
        <v>2274</v>
      </c>
      <c r="E388" s="33" t="s">
        <v>2229</v>
      </c>
      <c r="F388">
        <v>40</v>
      </c>
      <c r="G388" t="s">
        <v>2084</v>
      </c>
      <c r="H388">
        <v>2</v>
      </c>
      <c r="I388">
        <v>7</v>
      </c>
      <c r="J388">
        <v>2</v>
      </c>
    </row>
    <row r="389" spans="1:10" ht="15.75" x14ac:dyDescent="0.25">
      <c r="A389" s="17" t="s">
        <v>2215</v>
      </c>
      <c r="B389" t="str">
        <f>UPPER(LEFT(A389,1))&amp;LOWER(RIGHT(A389,LEN(A389)-1))</f>
        <v xml:space="preserve">You're welcome </v>
      </c>
      <c r="C389" t="s">
        <v>2216</v>
      </c>
      <c r="D389" t="s">
        <v>2216</v>
      </c>
      <c r="E389" s="33" t="s">
        <v>2217</v>
      </c>
      <c r="F389">
        <v>40</v>
      </c>
      <c r="G389" t="s">
        <v>2084</v>
      </c>
      <c r="H389">
        <v>3</v>
      </c>
      <c r="I389">
        <v>7</v>
      </c>
      <c r="J389">
        <v>2</v>
      </c>
    </row>
    <row r="390" spans="1:10" ht="15.75" x14ac:dyDescent="0.25">
      <c r="A390" s="17" t="s">
        <v>2215</v>
      </c>
      <c r="B390" t="str">
        <f>UPPER(LEFT(A390,1))&amp;LOWER(RIGHT(A390,LEN(A390)-1))</f>
        <v xml:space="preserve">You're welcome </v>
      </c>
      <c r="C390" t="s">
        <v>2218</v>
      </c>
      <c r="D390" t="s">
        <v>2218</v>
      </c>
      <c r="E390" s="33" t="s">
        <v>2219</v>
      </c>
      <c r="F390">
        <v>40</v>
      </c>
      <c r="G390" t="s">
        <v>2084</v>
      </c>
      <c r="H390">
        <v>3</v>
      </c>
      <c r="I390">
        <v>7</v>
      </c>
      <c r="J390">
        <v>2</v>
      </c>
    </row>
    <row r="391" spans="1:10" ht="15.75" x14ac:dyDescent="0.25">
      <c r="A391" s="17" t="s">
        <v>2215</v>
      </c>
      <c r="B391" t="str">
        <f>UPPER(LEFT(A391,1))&amp;LOWER(RIGHT(A391,LEN(A391)-1))</f>
        <v xml:space="preserve">You're welcome </v>
      </c>
      <c r="C391" t="s">
        <v>2220</v>
      </c>
      <c r="D391" t="s">
        <v>2220</v>
      </c>
      <c r="E391" s="33" t="s">
        <v>2221</v>
      </c>
      <c r="F391">
        <v>40</v>
      </c>
      <c r="G391" t="s">
        <v>2084</v>
      </c>
      <c r="H391">
        <v>3</v>
      </c>
      <c r="I391">
        <v>7</v>
      </c>
      <c r="J391">
        <v>2</v>
      </c>
    </row>
    <row r="392" spans="1:10" ht="15.75" x14ac:dyDescent="0.25">
      <c r="A392" s="17" t="s">
        <v>2215</v>
      </c>
      <c r="B392" t="str">
        <f>UPPER(LEFT(A392,1))&amp;LOWER(RIGHT(A392,LEN(A392)-1))</f>
        <v xml:space="preserve">You're welcome </v>
      </c>
      <c r="C392" t="s">
        <v>2222</v>
      </c>
      <c r="D392" t="s">
        <v>2272</v>
      </c>
      <c r="E392" s="33" t="s">
        <v>2223</v>
      </c>
      <c r="F392">
        <v>40</v>
      </c>
      <c r="G392" t="s">
        <v>2084</v>
      </c>
      <c r="H392">
        <v>3</v>
      </c>
      <c r="I392">
        <v>7</v>
      </c>
      <c r="J392">
        <v>2</v>
      </c>
    </row>
    <row r="393" spans="1:10" ht="15.75" x14ac:dyDescent="0.25">
      <c r="A393" s="17" t="s">
        <v>2215</v>
      </c>
      <c r="B393" t="str">
        <f>UPPER(LEFT(A393,1))&amp;LOWER(RIGHT(A393,LEN(A393)-1))</f>
        <v xml:space="preserve">You're welcome </v>
      </c>
      <c r="C393" t="s">
        <v>2235</v>
      </c>
      <c r="D393" t="s">
        <v>2277</v>
      </c>
      <c r="E393" s="33" t="s">
        <v>2236</v>
      </c>
      <c r="F393">
        <v>40</v>
      </c>
      <c r="G393" t="s">
        <v>2084</v>
      </c>
      <c r="H393">
        <v>3</v>
      </c>
      <c r="I393">
        <v>7</v>
      </c>
      <c r="J393">
        <v>2</v>
      </c>
    </row>
    <row r="394" spans="1:10" ht="15.75" x14ac:dyDescent="0.25">
      <c r="A394" s="17" t="s">
        <v>2232</v>
      </c>
      <c r="B394" t="str">
        <f>UPPER(LEFT(A394,1))&amp;LOWER(RIGHT(A394,LEN(A394)-1))</f>
        <v xml:space="preserve">Don't mention it </v>
      </c>
      <c r="C394" t="s">
        <v>2233</v>
      </c>
      <c r="D394" t="s">
        <v>2276</v>
      </c>
      <c r="E394" s="33" t="s">
        <v>2234</v>
      </c>
      <c r="F394">
        <v>40</v>
      </c>
      <c r="G394" t="s">
        <v>2084</v>
      </c>
      <c r="H394">
        <v>4</v>
      </c>
      <c r="I394">
        <v>7</v>
      </c>
      <c r="J394">
        <v>2</v>
      </c>
    </row>
    <row r="395" spans="1:10" ht="15.75" x14ac:dyDescent="0.25">
      <c r="A395" s="17" t="s">
        <v>2212</v>
      </c>
      <c r="B395" t="str">
        <f>UPPER(LEFT(A395,1))&amp;LOWER(RIGHT(A395,LEN(A395)-1))</f>
        <v>Don't mention it</v>
      </c>
      <c r="C395" t="s">
        <v>2213</v>
      </c>
      <c r="D395" t="s">
        <v>2213</v>
      </c>
      <c r="E395" s="33" t="s">
        <v>2214</v>
      </c>
      <c r="F395">
        <v>40</v>
      </c>
      <c r="G395" t="s">
        <v>2084</v>
      </c>
      <c r="H395">
        <v>4</v>
      </c>
      <c r="I395">
        <v>7</v>
      </c>
      <c r="J395">
        <v>2</v>
      </c>
    </row>
    <row r="396" spans="1:10" ht="15.75" x14ac:dyDescent="0.25">
      <c r="A396" s="17" t="s">
        <v>2251</v>
      </c>
      <c r="B396" t="str">
        <f>UPPER(LEFT(A396,1))&amp;LOWER(RIGHT(A396,LEN(A396)-1))</f>
        <v>Thank you</v>
      </c>
      <c r="C396" t="s">
        <v>2252</v>
      </c>
      <c r="D396" t="s">
        <v>2283</v>
      </c>
      <c r="E396" s="33" t="s">
        <v>2253</v>
      </c>
      <c r="F396">
        <v>40</v>
      </c>
      <c r="G396" t="s">
        <v>2084</v>
      </c>
      <c r="H396">
        <v>5</v>
      </c>
      <c r="I396">
        <v>7</v>
      </c>
      <c r="J396">
        <v>2</v>
      </c>
    </row>
    <row r="397" spans="1:10" ht="15.75" x14ac:dyDescent="0.25">
      <c r="A397" s="17" t="s">
        <v>2251</v>
      </c>
      <c r="B397" t="str">
        <f>UPPER(LEFT(A397,1))&amp;LOWER(RIGHT(A397,LEN(A397)-1))</f>
        <v>Thank you</v>
      </c>
      <c r="C397" t="s">
        <v>2254</v>
      </c>
      <c r="D397" t="s">
        <v>2254</v>
      </c>
      <c r="E397" s="33" t="s">
        <v>2255</v>
      </c>
      <c r="F397">
        <v>40</v>
      </c>
      <c r="G397" t="s">
        <v>2084</v>
      </c>
      <c r="H397">
        <v>5</v>
      </c>
      <c r="I397">
        <v>7</v>
      </c>
      <c r="J397">
        <v>2</v>
      </c>
    </row>
    <row r="398" spans="1:10" ht="15.75" x14ac:dyDescent="0.25">
      <c r="A398" s="17" t="s">
        <v>2251</v>
      </c>
      <c r="B398" t="str">
        <f>UPPER(LEFT(A398,1))&amp;LOWER(RIGHT(A398,LEN(A398)-1))</f>
        <v>Thank you</v>
      </c>
      <c r="C398" t="s">
        <v>2239</v>
      </c>
      <c r="D398" t="s">
        <v>2239</v>
      </c>
      <c r="E398" s="33" t="s">
        <v>2240</v>
      </c>
      <c r="F398">
        <v>40</v>
      </c>
      <c r="G398" t="s">
        <v>2084</v>
      </c>
      <c r="H398">
        <v>5</v>
      </c>
      <c r="I398">
        <v>7</v>
      </c>
      <c r="J398">
        <v>2</v>
      </c>
    </row>
    <row r="399" spans="1:10" ht="15.75" x14ac:dyDescent="0.25">
      <c r="A399" s="17" t="s">
        <v>2251</v>
      </c>
      <c r="B399" t="str">
        <f>UPPER(LEFT(A399,1))&amp;LOWER(RIGHT(A399,LEN(A399)-1))</f>
        <v>Thank you</v>
      </c>
      <c r="C399" t="s">
        <v>2241</v>
      </c>
      <c r="D399" t="s">
        <v>2241</v>
      </c>
      <c r="E399" s="33" t="s">
        <v>2242</v>
      </c>
      <c r="F399">
        <v>40</v>
      </c>
      <c r="G399" t="s">
        <v>2084</v>
      </c>
      <c r="H399">
        <v>5</v>
      </c>
      <c r="I399">
        <v>7</v>
      </c>
      <c r="J399">
        <v>2</v>
      </c>
    </row>
    <row r="400" spans="1:10" ht="15.75" x14ac:dyDescent="0.25">
      <c r="A400" s="17" t="s">
        <v>2251</v>
      </c>
      <c r="B400" t="str">
        <f>UPPER(LEFT(A400,1))&amp;LOWER(RIGHT(A400,LEN(A400)-1))</f>
        <v>Thank you</v>
      </c>
      <c r="C400" t="s">
        <v>2256</v>
      </c>
      <c r="D400" t="s">
        <v>2284</v>
      </c>
      <c r="E400" s="33" t="s">
        <v>2257</v>
      </c>
      <c r="F400">
        <v>40</v>
      </c>
      <c r="G400" t="s">
        <v>2084</v>
      </c>
      <c r="H400">
        <v>5.5</v>
      </c>
      <c r="I400">
        <v>7</v>
      </c>
      <c r="J400">
        <v>2</v>
      </c>
    </row>
    <row r="401" spans="1:10" ht="15.75" x14ac:dyDescent="0.25">
      <c r="A401" s="17" t="s">
        <v>2251</v>
      </c>
      <c r="B401" t="str">
        <f>UPPER(LEFT(A401,1))&amp;LOWER(RIGHT(A401,LEN(A401)-1))</f>
        <v>Thank you</v>
      </c>
      <c r="C401" t="s">
        <v>2258</v>
      </c>
      <c r="D401" t="s">
        <v>2285</v>
      </c>
      <c r="E401" s="33" t="s">
        <v>2259</v>
      </c>
      <c r="F401">
        <v>40</v>
      </c>
      <c r="G401" t="s">
        <v>2084</v>
      </c>
      <c r="H401">
        <v>5.5</v>
      </c>
      <c r="I401">
        <v>7</v>
      </c>
      <c r="J401">
        <v>2</v>
      </c>
    </row>
    <row r="402" spans="1:10" ht="15.75" x14ac:dyDescent="0.25">
      <c r="A402" s="17" t="s">
        <v>2251</v>
      </c>
      <c r="B402" t="str">
        <f>UPPER(LEFT(A402,1))&amp;LOWER(RIGHT(A402,LEN(A402)-1))</f>
        <v>Thank you</v>
      </c>
      <c r="C402" t="s">
        <v>2260</v>
      </c>
      <c r="D402" t="s">
        <v>2286</v>
      </c>
      <c r="E402" s="33" t="s">
        <v>2261</v>
      </c>
      <c r="F402">
        <v>40</v>
      </c>
      <c r="G402" t="s">
        <v>2084</v>
      </c>
      <c r="H402">
        <v>5.5</v>
      </c>
      <c r="I402">
        <v>7</v>
      </c>
      <c r="J402">
        <v>2</v>
      </c>
    </row>
    <row r="403" spans="1:10" ht="15.75" x14ac:dyDescent="0.25">
      <c r="A403" s="17" t="s">
        <v>2251</v>
      </c>
      <c r="B403" t="str">
        <f>UPPER(LEFT(A403,1))&amp;LOWER(RIGHT(A403,LEN(A403)-1))</f>
        <v>Thank you</v>
      </c>
      <c r="C403" t="s">
        <v>2262</v>
      </c>
      <c r="D403" t="s">
        <v>2287</v>
      </c>
      <c r="E403" s="33" t="s">
        <v>2263</v>
      </c>
      <c r="F403">
        <v>40</v>
      </c>
      <c r="G403" t="s">
        <v>2084</v>
      </c>
      <c r="H403">
        <v>5.5</v>
      </c>
      <c r="I403">
        <v>7</v>
      </c>
      <c r="J403">
        <v>2</v>
      </c>
    </row>
    <row r="404" spans="1:10" ht="15.75" x14ac:dyDescent="0.25">
      <c r="A404" s="17" t="s">
        <v>2295</v>
      </c>
      <c r="B404" t="str">
        <f>UPPER(LEFT(A404,1))&amp;LOWER(RIGHT(A404,LEN(A404)-1))</f>
        <v xml:space="preserve">Salutation/ may you be well </v>
      </c>
      <c r="C404" t="s">
        <v>2243</v>
      </c>
      <c r="D404" t="s">
        <v>2279</v>
      </c>
      <c r="E404" s="33" t="s">
        <v>2244</v>
      </c>
      <c r="F404">
        <v>40</v>
      </c>
      <c r="G404" t="s">
        <v>2084</v>
      </c>
      <c r="H404">
        <v>7</v>
      </c>
      <c r="I404">
        <v>7</v>
      </c>
      <c r="J404">
        <v>2</v>
      </c>
    </row>
    <row r="405" spans="1:10" ht="15.75" x14ac:dyDescent="0.25">
      <c r="A405" s="17" t="s">
        <v>2295</v>
      </c>
      <c r="B405" t="str">
        <f>UPPER(LEFT(A405,1))&amp;LOWER(RIGHT(A405,LEN(A405)-1))</f>
        <v xml:space="preserve">Salutation/ may you be well </v>
      </c>
      <c r="C405" t="s">
        <v>2245</v>
      </c>
      <c r="D405" t="s">
        <v>2280</v>
      </c>
      <c r="E405" s="33" t="s">
        <v>2246</v>
      </c>
      <c r="F405">
        <v>40</v>
      </c>
      <c r="G405" t="s">
        <v>2084</v>
      </c>
      <c r="H405">
        <v>7</v>
      </c>
      <c r="I405">
        <v>7</v>
      </c>
      <c r="J405">
        <v>2</v>
      </c>
    </row>
    <row r="406" spans="1:10" ht="15.75" x14ac:dyDescent="0.25">
      <c r="A406" s="17" t="s">
        <v>2295</v>
      </c>
      <c r="B406" t="str">
        <f>UPPER(LEFT(A406,1))&amp;LOWER(RIGHT(A406,LEN(A406)-1))</f>
        <v xml:space="preserve">Salutation/ may you be well </v>
      </c>
      <c r="C406" t="s">
        <v>2247</v>
      </c>
      <c r="D406" t="s">
        <v>2281</v>
      </c>
      <c r="E406" s="33" t="s">
        <v>2248</v>
      </c>
      <c r="F406">
        <v>40</v>
      </c>
      <c r="G406" t="s">
        <v>2084</v>
      </c>
      <c r="H406">
        <v>7</v>
      </c>
      <c r="I406">
        <v>7</v>
      </c>
      <c r="J406">
        <v>2</v>
      </c>
    </row>
    <row r="407" spans="1:10" ht="15.75" x14ac:dyDescent="0.25">
      <c r="A407" s="17" t="s">
        <v>2295</v>
      </c>
      <c r="B407" t="str">
        <f>UPPER(LEFT(A407,1))&amp;LOWER(RIGHT(A407,LEN(A407)-1))</f>
        <v xml:space="preserve">Salutation/ may you be well </v>
      </c>
      <c r="C407" t="s">
        <v>2249</v>
      </c>
      <c r="D407" t="s">
        <v>2282</v>
      </c>
      <c r="E407" s="33" t="s">
        <v>2250</v>
      </c>
      <c r="F407">
        <v>40</v>
      </c>
      <c r="G407" t="s">
        <v>2084</v>
      </c>
      <c r="H407">
        <v>7</v>
      </c>
      <c r="I407">
        <v>7</v>
      </c>
      <c r="J407">
        <v>2</v>
      </c>
    </row>
    <row r="408" spans="1:10" ht="15.75" x14ac:dyDescent="0.25">
      <c r="A408" s="17" t="s">
        <v>2295</v>
      </c>
      <c r="B408" t="str">
        <f>UPPER(LEFT(A408,1))&amp;LOWER(RIGHT(A408,LEN(A408)-1))</f>
        <v xml:space="preserve">Salutation/ may you be well </v>
      </c>
      <c r="C408" t="s">
        <v>2264</v>
      </c>
      <c r="D408" t="s">
        <v>2288</v>
      </c>
      <c r="E408" s="33" t="s">
        <v>2265</v>
      </c>
      <c r="F408">
        <v>40</v>
      </c>
      <c r="G408" t="s">
        <v>2084</v>
      </c>
      <c r="H408">
        <v>7</v>
      </c>
      <c r="I408">
        <v>7</v>
      </c>
      <c r="J408">
        <v>2</v>
      </c>
    </row>
    <row r="409" spans="1:10" ht="15.75" x14ac:dyDescent="0.25">
      <c r="A409" s="17" t="s">
        <v>2295</v>
      </c>
      <c r="B409" t="str">
        <f>UPPER(LEFT(A409,1))&amp;LOWER(RIGHT(A409,LEN(A409)-1))</f>
        <v xml:space="preserve">Salutation/ may you be well </v>
      </c>
      <c r="C409" t="s">
        <v>2266</v>
      </c>
      <c r="D409" t="s">
        <v>2289</v>
      </c>
      <c r="E409" s="33" t="s">
        <v>2267</v>
      </c>
      <c r="F409">
        <v>40</v>
      </c>
      <c r="G409" t="s">
        <v>2084</v>
      </c>
      <c r="H409">
        <v>7</v>
      </c>
      <c r="I409">
        <v>7</v>
      </c>
      <c r="J409">
        <v>2</v>
      </c>
    </row>
    <row r="410" spans="1:10" ht="15.75" x14ac:dyDescent="0.25">
      <c r="A410" s="17" t="s">
        <v>2294</v>
      </c>
      <c r="B410" t="str">
        <f>UPPER(LEFT(A410,1))&amp;LOWER(RIGHT(A410,LEN(A410)-1))</f>
        <v>Your wish is my command</v>
      </c>
      <c r="C410" t="s">
        <v>2237</v>
      </c>
      <c r="D410" t="s">
        <v>2278</v>
      </c>
      <c r="E410" s="33" t="s">
        <v>2238</v>
      </c>
      <c r="F410">
        <v>40</v>
      </c>
      <c r="G410" t="s">
        <v>2084</v>
      </c>
      <c r="H410">
        <v>8</v>
      </c>
      <c r="I410">
        <v>7</v>
      </c>
      <c r="J410">
        <v>2</v>
      </c>
    </row>
    <row r="411" spans="1:10" ht="15.75" x14ac:dyDescent="0.25">
      <c r="A411" s="17" t="s">
        <v>2200</v>
      </c>
      <c r="B411" t="str">
        <f>UPPER(LEFT(A411,1))&amp;LOWER(RIGHT(A411,LEN(A411)-1))</f>
        <v>Is it ok?</v>
      </c>
      <c r="C411" t="s">
        <v>2201</v>
      </c>
      <c r="D411" t="s">
        <v>2201</v>
      </c>
      <c r="E411" s="33" t="s">
        <v>2202</v>
      </c>
      <c r="F411">
        <v>40</v>
      </c>
      <c r="G411" t="s">
        <v>2084</v>
      </c>
      <c r="H411">
        <v>9</v>
      </c>
      <c r="I411">
        <v>7</v>
      </c>
      <c r="J411">
        <v>2</v>
      </c>
    </row>
    <row r="412" spans="1:10" ht="15.75" x14ac:dyDescent="0.25">
      <c r="A412" s="17" t="s">
        <v>2203</v>
      </c>
      <c r="B412" t="str">
        <f>UPPER(LEFT(A412,1))&amp;LOWER(RIGHT(A412,LEN(A412)-1))</f>
        <v>Do you have a problem?</v>
      </c>
      <c r="C412" t="s">
        <v>2204</v>
      </c>
      <c r="D412" t="s">
        <v>2270</v>
      </c>
      <c r="E412" s="33" t="s">
        <v>2205</v>
      </c>
      <c r="F412">
        <v>40</v>
      </c>
      <c r="G412" t="s">
        <v>2084</v>
      </c>
      <c r="H412">
        <v>9</v>
      </c>
      <c r="I412">
        <v>7</v>
      </c>
      <c r="J412">
        <v>2</v>
      </c>
    </row>
    <row r="413" spans="1:10" ht="15.75" x14ac:dyDescent="0.25">
      <c r="A413" s="17" t="s">
        <v>2206</v>
      </c>
      <c r="B413" t="str">
        <f>UPPER(LEFT(A413,1))&amp;LOWER(RIGHT(A413,LEN(A413)-1))</f>
        <v xml:space="preserve">No problem </v>
      </c>
      <c r="C413" t="s">
        <v>2207</v>
      </c>
      <c r="D413" t="s">
        <v>2271</v>
      </c>
      <c r="E413" s="33" t="s">
        <v>2208</v>
      </c>
      <c r="F413">
        <v>40</v>
      </c>
      <c r="G413" t="s">
        <v>2084</v>
      </c>
      <c r="H413">
        <v>9</v>
      </c>
      <c r="I413">
        <v>7</v>
      </c>
      <c r="J413">
        <v>2</v>
      </c>
    </row>
    <row r="414" spans="1:10" ht="15.75" x14ac:dyDescent="0.25">
      <c r="A414" s="17" t="s">
        <v>2209</v>
      </c>
      <c r="B414" t="str">
        <f>UPPER(LEFT(A414,1))&amp;LOWER(RIGHT(A414,LEN(A414)-1))</f>
        <v xml:space="preserve">It doesn't matter </v>
      </c>
      <c r="C414" t="s">
        <v>2210</v>
      </c>
      <c r="D414" t="s">
        <v>2210</v>
      </c>
      <c r="E414" s="33" t="s">
        <v>2211</v>
      </c>
      <c r="F414">
        <v>40</v>
      </c>
      <c r="G414" t="s">
        <v>2084</v>
      </c>
      <c r="H414">
        <v>9</v>
      </c>
      <c r="I414">
        <v>7</v>
      </c>
      <c r="J414">
        <v>2</v>
      </c>
    </row>
    <row r="415" spans="1:10" x14ac:dyDescent="0.25">
      <c r="A415" s="17" t="s">
        <v>1090</v>
      </c>
      <c r="B415" t="str">
        <f>UPPER(LEFT(A415,1))&amp;LOWER(RIGHT(A415,LEN(A415)-1))</f>
        <v>Team</v>
      </c>
      <c r="C415" t="s">
        <v>1091</v>
      </c>
      <c r="D415" t="s">
        <v>1973</v>
      </c>
      <c r="E415" t="s">
        <v>1120</v>
      </c>
      <c r="F415">
        <v>28</v>
      </c>
      <c r="G415" t="s">
        <v>2073</v>
      </c>
      <c r="H415">
        <v>1</v>
      </c>
      <c r="I415">
        <v>8</v>
      </c>
      <c r="J415">
        <v>1</v>
      </c>
    </row>
    <row r="416" spans="1:10" x14ac:dyDescent="0.25">
      <c r="A416" s="17" t="s">
        <v>1094</v>
      </c>
      <c r="B416" t="str">
        <f>UPPER(LEFT(A416,1))&amp;LOWER(RIGHT(A416,LEN(A416)-1))</f>
        <v>Player/s</v>
      </c>
      <c r="C416" t="s">
        <v>1095</v>
      </c>
      <c r="D416" t="s">
        <v>1975</v>
      </c>
      <c r="E416" t="s">
        <v>1122</v>
      </c>
      <c r="F416">
        <v>28</v>
      </c>
      <c r="G416" t="s">
        <v>2073</v>
      </c>
      <c r="H416">
        <v>1</v>
      </c>
      <c r="I416">
        <v>8</v>
      </c>
      <c r="J416">
        <v>1</v>
      </c>
    </row>
    <row r="417" spans="1:10" x14ac:dyDescent="0.25">
      <c r="A417" s="17" t="s">
        <v>1102</v>
      </c>
      <c r="B417" t="str">
        <f>UPPER(LEFT(A417,1))&amp;LOWER(RIGHT(A417,LEN(A417)-1))</f>
        <v xml:space="preserve">I'am with </v>
      </c>
      <c r="C417" t="s">
        <v>1103</v>
      </c>
      <c r="D417" t="s">
        <v>1103</v>
      </c>
      <c r="E417" t="s">
        <v>1127</v>
      </c>
      <c r="F417">
        <v>28</v>
      </c>
      <c r="G417" t="s">
        <v>2073</v>
      </c>
      <c r="H417">
        <v>1</v>
      </c>
      <c r="I417">
        <v>8</v>
      </c>
      <c r="J417">
        <v>1</v>
      </c>
    </row>
    <row r="418" spans="1:10" x14ac:dyDescent="0.25">
      <c r="A418" s="17" t="s">
        <v>1104</v>
      </c>
      <c r="B418" t="str">
        <f>UPPER(LEFT(A418,1))&amp;LOWER(RIGHT(A418,LEN(A418)-1))</f>
        <v xml:space="preserve">I'am against </v>
      </c>
      <c r="C418" t="s">
        <v>1105</v>
      </c>
      <c r="D418" t="s">
        <v>1105</v>
      </c>
      <c r="E418" t="s">
        <v>1128</v>
      </c>
      <c r="F418">
        <v>28</v>
      </c>
      <c r="G418" t="s">
        <v>2073</v>
      </c>
      <c r="H418">
        <v>1</v>
      </c>
      <c r="I418">
        <v>8</v>
      </c>
      <c r="J418">
        <v>1</v>
      </c>
    </row>
    <row r="419" spans="1:10" x14ac:dyDescent="0.25">
      <c r="A419" s="17" t="s">
        <v>1106</v>
      </c>
      <c r="B419" t="str">
        <f>UPPER(LEFT(A419,1))&amp;LOWER(RIGHT(A419,LEN(A419)-1))</f>
        <v xml:space="preserve">Gain </v>
      </c>
      <c r="C419" t="s">
        <v>1639</v>
      </c>
      <c r="D419" t="s">
        <v>1107</v>
      </c>
      <c r="E419" t="s">
        <v>1129</v>
      </c>
      <c r="F419">
        <v>28</v>
      </c>
      <c r="G419" t="s">
        <v>2073</v>
      </c>
      <c r="H419">
        <v>1</v>
      </c>
      <c r="I419">
        <v>8</v>
      </c>
      <c r="J419">
        <v>1</v>
      </c>
    </row>
    <row r="420" spans="1:10" x14ac:dyDescent="0.25">
      <c r="A420" s="17" t="s">
        <v>1109</v>
      </c>
      <c r="B420" t="str">
        <f>UPPER(LEFT(A420,1))&amp;LOWER(RIGHT(A420,LEN(A420)-1))</f>
        <v>Loss</v>
      </c>
      <c r="C420" t="s">
        <v>1595</v>
      </c>
      <c r="D420" t="s">
        <v>1595</v>
      </c>
      <c r="E420" t="s">
        <v>1131</v>
      </c>
      <c r="F420">
        <v>28</v>
      </c>
      <c r="G420" t="s">
        <v>2073</v>
      </c>
      <c r="H420">
        <v>1</v>
      </c>
      <c r="I420">
        <v>8</v>
      </c>
      <c r="J420">
        <v>1</v>
      </c>
    </row>
    <row r="421" spans="1:10" x14ac:dyDescent="0.25">
      <c r="A421" s="17" t="s">
        <v>1112</v>
      </c>
      <c r="B421" t="str">
        <f>UPPER(LEFT(A421,1))&amp;LOWER(RIGHT(A421,LEN(A421)-1))</f>
        <v>Spanish team</v>
      </c>
      <c r="C421" t="s">
        <v>1113</v>
      </c>
      <c r="D421" t="s">
        <v>1982</v>
      </c>
      <c r="E421" t="s">
        <v>1132</v>
      </c>
      <c r="F421">
        <v>28</v>
      </c>
      <c r="G421" t="s">
        <v>2073</v>
      </c>
      <c r="H421">
        <v>1</v>
      </c>
      <c r="I421">
        <v>8</v>
      </c>
      <c r="J421">
        <v>1</v>
      </c>
    </row>
    <row r="422" spans="1:10" x14ac:dyDescent="0.25">
      <c r="A422" s="17" t="s">
        <v>1114</v>
      </c>
      <c r="B422" t="str">
        <f>UPPER(LEFT(A422,1))&amp;LOWER(RIGHT(A422,LEN(A422)-1))</f>
        <v>Brazilian team</v>
      </c>
      <c r="C422" t="s">
        <v>1641</v>
      </c>
      <c r="D422" t="s">
        <v>1983</v>
      </c>
      <c r="E422" t="s">
        <v>1133</v>
      </c>
      <c r="F422">
        <v>28</v>
      </c>
      <c r="G422" t="s">
        <v>2073</v>
      </c>
      <c r="H422">
        <v>1</v>
      </c>
      <c r="I422">
        <v>8</v>
      </c>
      <c r="J422">
        <v>1</v>
      </c>
    </row>
    <row r="423" spans="1:10" x14ac:dyDescent="0.25">
      <c r="A423" s="17" t="s">
        <v>1115</v>
      </c>
      <c r="B423" t="str">
        <f>UPPER(LEFT(A423,1))&amp;LOWER(RIGHT(A423,LEN(A423)-1))</f>
        <v>Italian team</v>
      </c>
      <c r="C423" t="s">
        <v>1116</v>
      </c>
      <c r="D423" t="s">
        <v>1984</v>
      </c>
      <c r="E423" t="s">
        <v>1134</v>
      </c>
      <c r="F423">
        <v>28</v>
      </c>
      <c r="G423" t="s">
        <v>2073</v>
      </c>
      <c r="H423">
        <v>1</v>
      </c>
      <c r="I423">
        <v>8</v>
      </c>
      <c r="J423">
        <v>1</v>
      </c>
    </row>
    <row r="424" spans="1:10" x14ac:dyDescent="0.25">
      <c r="A424" s="17" t="s">
        <v>1117</v>
      </c>
      <c r="B424" t="str">
        <f>UPPER(LEFT(A424,1))&amp;LOWER(RIGHT(A424,LEN(A424)-1))</f>
        <v>Germanic team</v>
      </c>
      <c r="C424" t="s">
        <v>1642</v>
      </c>
      <c r="D424" t="s">
        <v>1985</v>
      </c>
      <c r="E424" t="s">
        <v>1135</v>
      </c>
      <c r="F424">
        <v>28</v>
      </c>
      <c r="G424" t="s">
        <v>2073</v>
      </c>
      <c r="H424">
        <v>1</v>
      </c>
      <c r="I424">
        <v>8</v>
      </c>
      <c r="J424">
        <v>1</v>
      </c>
    </row>
    <row r="425" spans="1:10" x14ac:dyDescent="0.25">
      <c r="A425" s="17" t="s">
        <v>1118</v>
      </c>
      <c r="B425" t="str">
        <f>UPPER(LEFT(A425,1))&amp;LOWER(RIGHT(A425,LEN(A425)-1))</f>
        <v>French team</v>
      </c>
      <c r="C425" t="s">
        <v>1596</v>
      </c>
      <c r="D425" t="s">
        <v>1986</v>
      </c>
      <c r="E425" t="s">
        <v>1136</v>
      </c>
      <c r="F425">
        <v>28</v>
      </c>
      <c r="G425" t="s">
        <v>2073</v>
      </c>
      <c r="H425">
        <v>1</v>
      </c>
      <c r="I425">
        <v>8</v>
      </c>
      <c r="J425">
        <v>1</v>
      </c>
    </row>
    <row r="426" spans="1:10" x14ac:dyDescent="0.25">
      <c r="A426" s="17" t="s">
        <v>1089</v>
      </c>
      <c r="B426" t="str">
        <f>UPPER(LEFT(A426,1))&amp;LOWER(RIGHT(A426,LEN(A426)-1))</f>
        <v>Mondial</v>
      </c>
      <c r="C426" t="s">
        <v>1636</v>
      </c>
      <c r="D426" t="s">
        <v>1880</v>
      </c>
      <c r="E426" t="s">
        <v>1119</v>
      </c>
      <c r="F426">
        <v>28</v>
      </c>
      <c r="G426" t="s">
        <v>2073</v>
      </c>
      <c r="H426">
        <v>2</v>
      </c>
      <c r="I426">
        <v>8</v>
      </c>
      <c r="J426">
        <v>1</v>
      </c>
    </row>
    <row r="427" spans="1:10" x14ac:dyDescent="0.25">
      <c r="A427" s="17" t="s">
        <v>1092</v>
      </c>
      <c r="B427" t="str">
        <f>UPPER(LEFT(A427,1))&amp;LOWER(RIGHT(A427,LEN(A427)-1))</f>
        <v>What team do you support</v>
      </c>
      <c r="C427" t="s">
        <v>1093</v>
      </c>
      <c r="D427" t="s">
        <v>1974</v>
      </c>
      <c r="E427" t="s">
        <v>1121</v>
      </c>
      <c r="F427">
        <v>28</v>
      </c>
      <c r="G427" t="s">
        <v>2073</v>
      </c>
      <c r="H427">
        <v>2</v>
      </c>
      <c r="I427">
        <v>8</v>
      </c>
      <c r="J427">
        <v>1</v>
      </c>
    </row>
    <row r="428" spans="1:10" x14ac:dyDescent="0.25">
      <c r="A428" s="17" t="s">
        <v>1096</v>
      </c>
      <c r="B428" t="str">
        <f>UPPER(LEFT(A428,1))&amp;LOWER(RIGHT(A428,LEN(A428)-1))</f>
        <v>This year, the world cup is in brezil</v>
      </c>
      <c r="C428" t="s">
        <v>1637</v>
      </c>
      <c r="D428" t="s">
        <v>1976</v>
      </c>
      <c r="E428" t="s">
        <v>1123</v>
      </c>
      <c r="F428">
        <v>28</v>
      </c>
      <c r="G428" t="s">
        <v>2073</v>
      </c>
      <c r="H428">
        <v>2</v>
      </c>
      <c r="I428">
        <v>8</v>
      </c>
      <c r="J428">
        <v>1</v>
      </c>
    </row>
    <row r="429" spans="1:10" x14ac:dyDescent="0.25">
      <c r="A429" s="17" t="s">
        <v>1097</v>
      </c>
      <c r="B429" t="str">
        <f>UPPER(LEFT(A429,1))&amp;LOWER(RIGHT(A429,LEN(A429)-1))</f>
        <v>Four years ago, it was in south africa</v>
      </c>
      <c r="C429" t="s">
        <v>1638</v>
      </c>
      <c r="D429" t="s">
        <v>1977</v>
      </c>
      <c r="E429" t="s">
        <v>1124</v>
      </c>
      <c r="F429">
        <v>28</v>
      </c>
      <c r="G429" t="s">
        <v>2073</v>
      </c>
      <c r="H429">
        <v>2</v>
      </c>
      <c r="I429">
        <v>8</v>
      </c>
      <c r="J429">
        <v>1</v>
      </c>
    </row>
    <row r="430" spans="1:10" x14ac:dyDescent="0.25">
      <c r="A430" s="17" t="s">
        <v>1098</v>
      </c>
      <c r="B430" t="str">
        <f>UPPER(LEFT(A430,1))&amp;LOWER(RIGHT(A430,LEN(A430)-1))</f>
        <v>She is with the spanish team</v>
      </c>
      <c r="C430" t="s">
        <v>1099</v>
      </c>
      <c r="D430" t="s">
        <v>1978</v>
      </c>
      <c r="E430" t="s">
        <v>1125</v>
      </c>
      <c r="F430">
        <v>28</v>
      </c>
      <c r="G430" t="s">
        <v>2073</v>
      </c>
      <c r="H430">
        <v>2</v>
      </c>
      <c r="I430">
        <v>8</v>
      </c>
      <c r="J430">
        <v>1</v>
      </c>
    </row>
    <row r="431" spans="1:10" x14ac:dyDescent="0.25">
      <c r="A431" s="17" t="s">
        <v>1100</v>
      </c>
      <c r="B431" t="str">
        <f>UPPER(LEFT(A431,1))&amp;LOWER(RIGHT(A431,LEN(A431)-1))</f>
        <v>This year i don't support any team</v>
      </c>
      <c r="C431" t="s">
        <v>1101</v>
      </c>
      <c r="D431" t="s">
        <v>1979</v>
      </c>
      <c r="E431" t="s">
        <v>1126</v>
      </c>
      <c r="F431">
        <v>28</v>
      </c>
      <c r="G431" t="s">
        <v>2073</v>
      </c>
      <c r="H431">
        <v>2</v>
      </c>
      <c r="I431">
        <v>8</v>
      </c>
      <c r="J431">
        <v>1</v>
      </c>
    </row>
    <row r="432" spans="1:10" x14ac:dyDescent="0.25">
      <c r="A432" s="17" t="s">
        <v>1108</v>
      </c>
      <c r="B432" t="str">
        <f>UPPER(LEFT(A432,1))&amp;LOWER(RIGHT(A432,LEN(A432)-1))</f>
        <v>My team will win</v>
      </c>
      <c r="C432" t="s">
        <v>1640</v>
      </c>
      <c r="D432" t="s">
        <v>1980</v>
      </c>
      <c r="E432" t="s">
        <v>1130</v>
      </c>
      <c r="F432">
        <v>28</v>
      </c>
      <c r="G432" t="s">
        <v>2073</v>
      </c>
      <c r="H432">
        <v>2</v>
      </c>
      <c r="I432">
        <v>8</v>
      </c>
      <c r="J432">
        <v>1</v>
      </c>
    </row>
    <row r="433" spans="1:10" x14ac:dyDescent="0.25">
      <c r="A433" s="17" t="s">
        <v>1110</v>
      </c>
      <c r="B433" t="str">
        <f>UPPER(LEFT(A433,1))&amp;LOWER(RIGHT(A433,LEN(A433)-1))</f>
        <v xml:space="preserve">I hope your team loses </v>
      </c>
      <c r="C433" t="s">
        <v>1111</v>
      </c>
      <c r="D433" t="s">
        <v>1981</v>
      </c>
      <c r="E433" t="s">
        <v>1825</v>
      </c>
      <c r="F433">
        <v>28</v>
      </c>
      <c r="G433" t="s">
        <v>2073</v>
      </c>
      <c r="H433">
        <v>2</v>
      </c>
      <c r="I433">
        <v>8</v>
      </c>
      <c r="J433">
        <v>1</v>
      </c>
    </row>
  </sheetData>
  <sortState ref="A2:J433">
    <sortCondition ref="I2:I433"/>
    <sortCondition ref="J2:J433"/>
    <sortCondition ref="F2:F433"/>
    <sortCondition ref="H2:H4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12" sqref="C12"/>
    </sheetView>
  </sheetViews>
  <sheetFormatPr defaultRowHeight="15" x14ac:dyDescent="0.25"/>
  <cols>
    <col min="2" max="2" width="15.875" bestFit="1" customWidth="1"/>
    <col min="3" max="3" width="14.25" bestFit="1" customWidth="1"/>
  </cols>
  <sheetData>
    <row r="1" spans="1:7" x14ac:dyDescent="0.25">
      <c r="A1">
        <v>37</v>
      </c>
      <c r="B1" s="23" t="s">
        <v>2068</v>
      </c>
      <c r="C1">
        <v>1</v>
      </c>
      <c r="D1">
        <v>1</v>
      </c>
      <c r="E1" s="23" t="s">
        <v>2080</v>
      </c>
      <c r="F1">
        <f>SUM(COUNTIF(Sheet1!F:F,34),COUNTIF(Sheet1!F:F,37))</f>
        <v>51</v>
      </c>
      <c r="G1">
        <v>1</v>
      </c>
    </row>
    <row r="2" spans="1:7" x14ac:dyDescent="0.25">
      <c r="A2">
        <v>30</v>
      </c>
      <c r="B2" s="23" t="s">
        <v>2071</v>
      </c>
      <c r="C2">
        <v>1</v>
      </c>
      <c r="D2">
        <v>2</v>
      </c>
      <c r="E2" t="s">
        <v>2082</v>
      </c>
      <c r="F2">
        <f>SUM(COUNTIF(Sheet1!F:F,38),COUNTIF(Sheet1!F:F,39))</f>
        <v>71</v>
      </c>
      <c r="G2">
        <v>2</v>
      </c>
    </row>
    <row r="3" spans="1:7" x14ac:dyDescent="0.25">
      <c r="A3">
        <v>39</v>
      </c>
      <c r="B3" t="s">
        <v>2085</v>
      </c>
      <c r="C3">
        <v>2</v>
      </c>
      <c r="D3">
        <v>1</v>
      </c>
      <c r="E3" s="21" t="s">
        <v>2078</v>
      </c>
      <c r="F3">
        <f>SUM(COUNTIF(Sheet1!F:F,27),COUNTIF(Sheet1!F:F,25),COUNTIF(Sheet1!F:F,32))</f>
        <v>91</v>
      </c>
      <c r="G3">
        <v>3</v>
      </c>
    </row>
    <row r="4" spans="1:7" x14ac:dyDescent="0.25">
      <c r="A4">
        <v>38</v>
      </c>
      <c r="B4" t="s">
        <v>2077</v>
      </c>
      <c r="C4">
        <v>2</v>
      </c>
      <c r="D4">
        <v>2</v>
      </c>
      <c r="E4" s="26" t="s">
        <v>2081</v>
      </c>
      <c r="F4">
        <f>SUM(COUNTIF(Sheet1!F:F,31),COUNTIF(Sheet1!F:F,29))</f>
        <v>39</v>
      </c>
      <c r="G4">
        <v>4</v>
      </c>
    </row>
    <row r="5" spans="1:7" x14ac:dyDescent="0.25">
      <c r="A5">
        <v>25</v>
      </c>
      <c r="B5" s="21" t="s">
        <v>2079</v>
      </c>
      <c r="C5">
        <v>3</v>
      </c>
      <c r="D5">
        <v>1</v>
      </c>
      <c r="E5" s="22" t="s">
        <v>2070</v>
      </c>
      <c r="F5">
        <f>SUM(COUNTIF(Sheet1!F:F,33),COUNTIF(Sheet1!F:F,26))</f>
        <v>63</v>
      </c>
      <c r="G5">
        <v>5</v>
      </c>
    </row>
    <row r="6" spans="1:7" x14ac:dyDescent="0.25">
      <c r="A6">
        <v>27</v>
      </c>
      <c r="B6" s="21" t="s">
        <v>2074</v>
      </c>
      <c r="C6">
        <v>3</v>
      </c>
      <c r="D6">
        <v>2</v>
      </c>
      <c r="E6" s="25" t="s">
        <v>735</v>
      </c>
      <c r="F6">
        <f>SUM(COUNTIF(Sheet1!F:F,35),COUNTIF(Sheet1!F:F,36))</f>
        <v>36</v>
      </c>
      <c r="G6">
        <v>6</v>
      </c>
    </row>
    <row r="7" spans="1:7" x14ac:dyDescent="0.25">
      <c r="A7">
        <v>32</v>
      </c>
      <c r="B7" s="21" t="s">
        <v>1281</v>
      </c>
      <c r="C7">
        <v>3</v>
      </c>
      <c r="D7">
        <v>3</v>
      </c>
      <c r="E7" s="24" t="s">
        <v>2086</v>
      </c>
      <c r="F7">
        <f>SUM(COUNTIF(Sheet1!F:F,34),COUNTIF(Sheet1!F:F,40))</f>
        <v>55</v>
      </c>
      <c r="G7">
        <v>7</v>
      </c>
    </row>
    <row r="8" spans="1:7" x14ac:dyDescent="0.25">
      <c r="A8">
        <v>29</v>
      </c>
      <c r="B8" s="26" t="s">
        <v>2072</v>
      </c>
      <c r="C8">
        <v>4</v>
      </c>
      <c r="D8">
        <v>1</v>
      </c>
      <c r="E8" s="32" t="s">
        <v>2087</v>
      </c>
      <c r="F8">
        <f>SUM(COUNTIF(Sheet1!F:F,28))</f>
        <v>19</v>
      </c>
      <c r="G8">
        <v>8</v>
      </c>
    </row>
    <row r="9" spans="1:7" x14ac:dyDescent="0.25">
      <c r="A9">
        <v>31</v>
      </c>
      <c r="B9" s="26" t="s">
        <v>1238</v>
      </c>
      <c r="C9">
        <v>4</v>
      </c>
      <c r="D9">
        <v>2</v>
      </c>
    </row>
    <row r="10" spans="1:7" x14ac:dyDescent="0.25">
      <c r="A10">
        <v>26</v>
      </c>
      <c r="B10" s="22" t="s">
        <v>2075</v>
      </c>
      <c r="C10">
        <v>5</v>
      </c>
      <c r="D10">
        <v>1</v>
      </c>
    </row>
    <row r="11" spans="1:7" x14ac:dyDescent="0.25">
      <c r="A11">
        <v>33</v>
      </c>
      <c r="B11" s="22" t="s">
        <v>2070</v>
      </c>
      <c r="C11">
        <v>5</v>
      </c>
      <c r="D11">
        <v>2</v>
      </c>
    </row>
    <row r="12" spans="1:7" x14ac:dyDescent="0.25">
      <c r="A12">
        <v>35</v>
      </c>
      <c r="B12" s="25" t="s">
        <v>2066</v>
      </c>
      <c r="C12">
        <v>6</v>
      </c>
      <c r="D12">
        <v>1</v>
      </c>
    </row>
    <row r="13" spans="1:7" x14ac:dyDescent="0.25">
      <c r="A13">
        <v>36</v>
      </c>
      <c r="B13" s="25" t="s">
        <v>2067</v>
      </c>
      <c r="C13">
        <v>6</v>
      </c>
      <c r="D13">
        <v>2</v>
      </c>
    </row>
    <row r="14" spans="1:7" x14ac:dyDescent="0.25">
      <c r="A14">
        <v>34</v>
      </c>
      <c r="B14" s="24" t="s">
        <v>2069</v>
      </c>
      <c r="C14">
        <v>7</v>
      </c>
      <c r="D14">
        <v>1</v>
      </c>
    </row>
    <row r="15" spans="1:7" x14ac:dyDescent="0.25">
      <c r="A15">
        <v>40</v>
      </c>
      <c r="B15" s="24" t="s">
        <v>2084</v>
      </c>
      <c r="C15">
        <v>7</v>
      </c>
      <c r="D15">
        <v>2</v>
      </c>
    </row>
    <row r="16" spans="1:7" x14ac:dyDescent="0.25">
      <c r="A16">
        <v>28</v>
      </c>
      <c r="B16" s="32" t="s">
        <v>2073</v>
      </c>
      <c r="C16">
        <v>8</v>
      </c>
      <c r="D16">
        <v>1</v>
      </c>
    </row>
  </sheetData>
  <sortState ref="A1:D16">
    <sortCondition ref="C1:C16"/>
    <sortCondition ref="D1:D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3"/>
  <sheetViews>
    <sheetView tabSelected="1" topLeftCell="A820" workbookViewId="0">
      <selection activeCell="B827" sqref="B827"/>
    </sheetView>
  </sheetViews>
  <sheetFormatPr defaultRowHeight="15" x14ac:dyDescent="0.25"/>
  <cols>
    <col min="1" max="2" width="26.75" customWidth="1"/>
  </cols>
  <sheetData>
    <row r="1" spans="1:2" ht="15.75" thickBot="1" x14ac:dyDescent="0.3">
      <c r="A1" s="44"/>
      <c r="B1" s="44"/>
    </row>
    <row r="2" spans="1:2" ht="19.5" thickTop="1" x14ac:dyDescent="0.25">
      <c r="A2" s="49" t="str">
        <f ca="1">IF(MOD(ROW()-2,2)=0, INDIRECT("Sheet1!A" &amp;4+((ROW()-2)/2)-2), "")</f>
        <v>Time</v>
      </c>
      <c r="B2" s="45" t="str">
        <f ca="1">IF(MOD(ROW()-2,2)=0, INDIRECT("Sheet1!D" &amp;4+((ROW()-2)/2)-2), "")</f>
        <v>wa'et</v>
      </c>
    </row>
    <row r="3" spans="1:2" ht="18.75" thickBot="1" x14ac:dyDescent="0.3">
      <c r="A3" s="50"/>
      <c r="B3" s="46" t="str">
        <f ca="1">IF(MOD(ROW()-3,2)=0, INDIRECT("Sheet1!E" &amp;4+((ROW()-3)/2)-2), "")</f>
        <v>وَقت</v>
      </c>
    </row>
    <row r="4" spans="1:2" ht="19.5" thickTop="1" x14ac:dyDescent="0.25">
      <c r="A4" s="55" t="str">
        <f t="shared" ref="A4" ca="1" si="0">IF(MOD(ROW()-2,2)=0, INDIRECT("Sheet1!A" &amp;4+((ROW()-2)/2)-2), "")</f>
        <v>Timing</v>
      </c>
      <c r="B4" s="48" t="str">
        <f t="shared" ref="B4" ca="1" si="1">IF(MOD(ROW()-2,2)=0, INDIRECT("Sheet1!D" &amp;4+((ROW()-2)/2)-2), "")</f>
        <v>touw'eet</v>
      </c>
    </row>
    <row r="5" spans="1:2" ht="15.75" customHeight="1" thickBot="1" x14ac:dyDescent="0.3">
      <c r="A5" s="56"/>
      <c r="B5" s="47" t="str">
        <f t="shared" ref="B5" ca="1" si="2">IF(MOD(ROW()-3,2)=0, INDIRECT("Sheet1!E" &amp;4+((ROW()-3)/2)-2), "")</f>
        <v>توقيت</v>
      </c>
    </row>
    <row r="6" spans="1:2" ht="19.5" thickTop="1" x14ac:dyDescent="0.25">
      <c r="A6" s="49" t="str">
        <f t="shared" ref="A6" ca="1" si="3">IF(MOD(ROW()-2,2)=0, INDIRECT("Sheet1!A" &amp;4+((ROW()-2)/2)-2), "")</f>
        <v>Hour</v>
      </c>
      <c r="B6" s="45" t="str">
        <f t="shared" ref="B6" ca="1" si="4">IF(MOD(ROW()-2,2)=0, INDIRECT("Sheet1!D" &amp;4+((ROW()-2)/2)-2), "")</f>
        <v>sei3a</v>
      </c>
    </row>
    <row r="7" spans="1:2" ht="15.75" customHeight="1" thickBot="1" x14ac:dyDescent="0.3">
      <c r="A7" s="50"/>
      <c r="B7" s="46" t="str">
        <f t="shared" ref="B7" ca="1" si="5">IF(MOD(ROW()-3,2)=0, INDIRECT("Sheet1!E" &amp;4+((ROW()-3)/2)-2), "")</f>
        <v>ساعَة</v>
      </c>
    </row>
    <row r="8" spans="1:2" ht="19.5" thickTop="1" x14ac:dyDescent="0.25">
      <c r="A8" s="55" t="str">
        <f t="shared" ref="A8" ca="1" si="6">IF(MOD(ROW()-2,2)=0, INDIRECT("Sheet1!A" &amp;4+((ROW()-2)/2)-2), "")</f>
        <v>2 hours</v>
      </c>
      <c r="B8" s="48" t="str">
        <f t="shared" ref="B8" ca="1" si="7">IF(MOD(ROW()-2,2)=0, INDIRECT("Sheet1!D" &amp;4+((ROW()-2)/2)-2), "")</f>
        <v>se3tein</v>
      </c>
    </row>
    <row r="9" spans="1:2" ht="15.75" customHeight="1" thickBot="1" x14ac:dyDescent="0.3">
      <c r="A9" s="56"/>
      <c r="B9" s="47" t="str">
        <f t="shared" ref="B9" ca="1" si="8">IF(MOD(ROW()-3,2)=0, INDIRECT("Sheet1!E" &amp;4+((ROW()-3)/2)-2), "")</f>
        <v xml:space="preserve">ساعتين </v>
      </c>
    </row>
    <row r="10" spans="1:2" ht="19.5" thickTop="1" x14ac:dyDescent="0.25">
      <c r="A10" s="49" t="str">
        <f t="shared" ref="A10" ca="1" si="9">IF(MOD(ROW()-2,2)=0, INDIRECT("Sheet1!A" &amp;4+((ROW()-2)/2)-2), "")</f>
        <v xml:space="preserve">Hours </v>
      </c>
      <c r="B10" s="45" t="str">
        <f t="shared" ref="B10" ca="1" si="10">IF(MOD(ROW()-2,2)=0, INDIRECT("Sheet1!D" &amp;4+((ROW()-2)/2)-2), "")</f>
        <v>se3at</v>
      </c>
    </row>
    <row r="11" spans="1:2" ht="15.75" customHeight="1" thickBot="1" x14ac:dyDescent="0.3">
      <c r="A11" s="50"/>
      <c r="B11" s="46" t="str">
        <f t="shared" ref="B11" ca="1" si="11">IF(MOD(ROW()-3,2)=0, INDIRECT("Sheet1!E" &amp;4+((ROW()-3)/2)-2), "")</f>
        <v xml:space="preserve">ساعات </v>
      </c>
    </row>
    <row r="12" spans="1:2" ht="19.5" thickTop="1" x14ac:dyDescent="0.25">
      <c r="A12" s="55" t="str">
        <f t="shared" ref="A12" ca="1" si="12">IF(MOD(ROW()-2,2)=0, INDIRECT("Sheet1!A" &amp;4+((ROW()-2)/2)-2), "")</f>
        <v xml:space="preserve">Minute </v>
      </c>
      <c r="B12" s="48" t="str">
        <f t="shared" ref="B12" ca="1" si="13">IF(MOD(ROW()-2,2)=0, INDIRECT("Sheet1!D" &amp;4+((ROW()-2)/2)-2), "")</f>
        <v>d'i'a</v>
      </c>
    </row>
    <row r="13" spans="1:2" ht="15.75" customHeight="1" thickBot="1" x14ac:dyDescent="0.3">
      <c r="A13" s="56"/>
      <c r="B13" s="47" t="str">
        <f t="shared" ref="B13" ca="1" si="14">IF(MOD(ROW()-3,2)=0, INDIRECT("Sheet1!E" &amp;4+((ROW()-3)/2)-2), "")</f>
        <v>دقيقَة</v>
      </c>
    </row>
    <row r="14" spans="1:2" ht="19.5" thickTop="1" x14ac:dyDescent="0.25">
      <c r="A14" s="49" t="str">
        <f t="shared" ref="A14" ca="1" si="15">IF(MOD(ROW()-2,2)=0, INDIRECT("Sheet1!A" &amp;4+((ROW()-2)/2)-2), "")</f>
        <v xml:space="preserve">2 minutes </v>
      </c>
      <c r="B14" s="45" t="str">
        <f t="shared" ref="B14" ca="1" si="16">IF(MOD(ROW()-2,2)=0, INDIRECT("Sheet1!D" &amp;4+((ROW()-2)/2)-2), "")</f>
        <v>d'i'tein</v>
      </c>
    </row>
    <row r="15" spans="1:2" ht="15.75" customHeight="1" thickBot="1" x14ac:dyDescent="0.3">
      <c r="A15" s="50"/>
      <c r="B15" s="46" t="str">
        <f t="shared" ref="B15" ca="1" si="17">IF(MOD(ROW()-3,2)=0, INDIRECT("Sheet1!E" &amp;4+((ROW()-3)/2)-2), "")</f>
        <v>دقيقتين</v>
      </c>
    </row>
    <row r="16" spans="1:2" ht="19.5" thickTop="1" x14ac:dyDescent="0.25">
      <c r="A16" s="55" t="str">
        <f t="shared" ref="A16" ca="1" si="18">IF(MOD(ROW()-2,2)=0, INDIRECT("Sheet1!A" &amp;4+((ROW()-2)/2)-2), "")</f>
        <v xml:space="preserve">Minutes </v>
      </c>
      <c r="B16" s="48" t="str">
        <f t="shared" ref="B16" ca="1" si="19">IF(MOD(ROW()-2,2)=0, INDIRECT("Sheet1!D" &amp;4+((ROW()-2)/2)-2), "")</f>
        <v>da'eyi'</v>
      </c>
    </row>
    <row r="17" spans="1:2" ht="15.75" customHeight="1" thickBot="1" x14ac:dyDescent="0.3">
      <c r="A17" s="56"/>
      <c r="B17" s="47" t="str">
        <f t="shared" ref="B17" ca="1" si="20">IF(MOD(ROW()-3,2)=0, INDIRECT("Sheet1!E" &amp;4+((ROW()-3)/2)-2), "")</f>
        <v>دَقايق</v>
      </c>
    </row>
    <row r="18" spans="1:2" ht="19.5" thickTop="1" x14ac:dyDescent="0.25">
      <c r="A18" s="49" t="str">
        <f t="shared" ref="A18:A60" ca="1" si="21">IF(MOD(ROW()-2,2)=0, INDIRECT("Sheet1!A" &amp;4+((ROW()-2)/2)-2), "")</f>
        <v xml:space="preserve">Second </v>
      </c>
      <c r="B18" s="45" t="str">
        <f t="shared" ref="B18:B74" ca="1" si="22">IF(MOD(ROW()-2,2)=0, INDIRECT("Sheet1!D" &amp;4+((ROW()-2)/2)-2), "")</f>
        <v>seinyeh</v>
      </c>
    </row>
    <row r="19" spans="1:2" ht="15.75" customHeight="1" thickBot="1" x14ac:dyDescent="0.3">
      <c r="A19" s="50"/>
      <c r="B19" s="46" t="str">
        <f t="shared" ref="B19:B75" ca="1" si="23">IF(MOD(ROW()-3,2)=0, INDIRECT("Sheet1!E" &amp;4+((ROW()-3)/2)-2), "")</f>
        <v xml:space="preserve">ثانية </v>
      </c>
    </row>
    <row r="20" spans="1:2" ht="19.5" thickTop="1" x14ac:dyDescent="0.25">
      <c r="A20" s="55" t="str">
        <f t="shared" ref="A20:A48" ca="1" si="24">IF(MOD(ROW()-2,2)=0, INDIRECT("Sheet1!A" &amp;4+((ROW()-2)/2)-2), "")</f>
        <v xml:space="preserve">2 seconds </v>
      </c>
      <c r="B20" s="48" t="str">
        <f t="shared" ref="B20:B76" ca="1" si="25">IF(MOD(ROW()-2,2)=0, INDIRECT("Sheet1!D" &amp;4+((ROW()-2)/2)-2), "")</f>
        <v>senitein</v>
      </c>
    </row>
    <row r="21" spans="1:2" ht="15.75" customHeight="1" thickBot="1" x14ac:dyDescent="0.3">
      <c r="A21" s="56"/>
      <c r="B21" s="47" t="str">
        <f t="shared" ref="B21:B77" ca="1" si="26">IF(MOD(ROW()-3,2)=0, INDIRECT("Sheet1!E" &amp;4+((ROW()-3)/2)-2), "")</f>
        <v xml:space="preserve">ثانتين </v>
      </c>
    </row>
    <row r="22" spans="1:2" ht="19.5" thickTop="1" x14ac:dyDescent="0.25">
      <c r="A22" s="49" t="str">
        <f t="shared" ref="A22:A50" ca="1" si="27">IF(MOD(ROW()-2,2)=0, INDIRECT("Sheet1!A" &amp;4+((ROW()-2)/2)-2), "")</f>
        <v xml:space="preserve">Seconds </v>
      </c>
      <c r="B22" s="45" t="str">
        <f t="shared" ref="B22:B78" ca="1" si="28">IF(MOD(ROW()-2,2)=0, INDIRECT("Sheet1!D" &amp;4+((ROW()-2)/2)-2), "")</f>
        <v>saweineh</v>
      </c>
    </row>
    <row r="23" spans="1:2" ht="15.75" customHeight="1" thickBot="1" x14ac:dyDescent="0.3">
      <c r="A23" s="50"/>
      <c r="B23" s="46" t="str">
        <f t="shared" ref="B23:B79" ca="1" si="29">IF(MOD(ROW()-3,2)=0, INDIRECT("Sheet1!E" &amp;4+((ROW()-3)/2)-2), "")</f>
        <v xml:space="preserve">ثواني </v>
      </c>
    </row>
    <row r="24" spans="1:2" ht="19.5" thickTop="1" x14ac:dyDescent="0.25">
      <c r="A24" s="55" t="str">
        <f t="shared" ref="A24:A52" ca="1" si="30">IF(MOD(ROW()-2,2)=0, INDIRECT("Sheet1!A" &amp;4+((ROW()-2)/2)-2), "")</f>
        <v>A.M</v>
      </c>
      <c r="B24" s="48" t="str">
        <f t="shared" ref="B24:B80" ca="1" si="31">IF(MOD(ROW()-2,2)=0, INDIRECT("Sheet1!D" &amp;4+((ROW()-2)/2)-2), "")</f>
        <v>abel el doher</v>
      </c>
    </row>
    <row r="25" spans="1:2" ht="15.75" customHeight="1" thickBot="1" x14ac:dyDescent="0.3">
      <c r="A25" s="56"/>
      <c r="B25" s="47" t="str">
        <f t="shared" ref="B25:B81" ca="1" si="32">IF(MOD(ROW()-3,2)=0, INDIRECT("Sheet1!E" &amp;4+((ROW()-3)/2)-2), "")</f>
        <v>قَبل الضُهر</v>
      </c>
    </row>
    <row r="26" spans="1:2" ht="19.5" thickTop="1" x14ac:dyDescent="0.25">
      <c r="A26" s="49" t="str">
        <f t="shared" ref="A26:A54" ca="1" si="33">IF(MOD(ROW()-2,2)=0, INDIRECT("Sheet1!A" &amp;4+((ROW()-2)/2)-2), "")</f>
        <v xml:space="preserve">P.M </v>
      </c>
      <c r="B26" s="45" t="str">
        <f t="shared" ref="B26:B82" ca="1" si="34">IF(MOD(ROW()-2,2)=0, INDIRECT("Sheet1!D" &amp;4+((ROW()-2)/2)-2), "")</f>
        <v>ba3ed el doher</v>
      </c>
    </row>
    <row r="27" spans="1:2" ht="15.75" customHeight="1" thickBot="1" x14ac:dyDescent="0.3">
      <c r="A27" s="50"/>
      <c r="B27" s="46" t="str">
        <f t="shared" ref="B27:B83" ca="1" si="35">IF(MOD(ROW()-3,2)=0, INDIRECT("Sheet1!E" &amp;4+((ROW()-3)/2)-2), "")</f>
        <v xml:space="preserve">بَعد الضُهر </v>
      </c>
    </row>
    <row r="28" spans="1:2" ht="19.5" thickTop="1" x14ac:dyDescent="0.25">
      <c r="A28" s="55" t="str">
        <f t="shared" ref="A28:A56" ca="1" si="36">IF(MOD(ROW()-2,2)=0, INDIRECT("Sheet1!A" &amp;4+((ROW()-2)/2)-2), "")</f>
        <v xml:space="preserve">It's late </v>
      </c>
      <c r="B28" s="48" t="str">
        <f t="shared" ref="B28:B84" ca="1" si="37">IF(MOD(ROW()-2,2)=0, INDIRECT("Sheet1!D" &amp;4+((ROW()-2)/2)-2), "")</f>
        <v>m'akhar</v>
      </c>
    </row>
    <row r="29" spans="1:2" ht="15.75" customHeight="1" thickBot="1" x14ac:dyDescent="0.3">
      <c r="A29" s="56"/>
      <c r="B29" s="47" t="str">
        <f t="shared" ref="B29:B85" ca="1" si="38">IF(MOD(ROW()-3,2)=0, INDIRECT("Sheet1!E" &amp;4+((ROW()-3)/2)-2), "")</f>
        <v xml:space="preserve">مأخَّر </v>
      </c>
    </row>
    <row r="30" spans="1:2" ht="19.5" thickTop="1" x14ac:dyDescent="0.25">
      <c r="A30" s="49" t="str">
        <f t="shared" ref="A30" ca="1" si="39">IF(MOD(ROW()-2,2)=0, INDIRECT("Sheet1!A" &amp;4+((ROW()-2)/2)-2), "")</f>
        <v xml:space="preserve">It's early </v>
      </c>
      <c r="B30" s="45" t="str">
        <f t="shared" ref="B30" ca="1" si="40">IF(MOD(ROW()-2,2)=0, INDIRECT("Sheet1!D" &amp;4+((ROW()-2)/2)-2), "")</f>
        <v>bakkeer</v>
      </c>
    </row>
    <row r="31" spans="1:2" ht="15.75" customHeight="1" thickBot="1" x14ac:dyDescent="0.3">
      <c r="A31" s="50"/>
      <c r="B31" s="46" t="str">
        <f t="shared" ref="B31" ca="1" si="41">IF(MOD(ROW()-3,2)=0, INDIRECT("Sheet1!E" &amp;4+((ROW()-3)/2)-2), "")</f>
        <v xml:space="preserve">بكّير </v>
      </c>
    </row>
    <row r="32" spans="1:2" ht="19.5" thickTop="1" x14ac:dyDescent="0.25">
      <c r="A32" s="55" t="str">
        <f t="shared" ca="1" si="21"/>
        <v>What time is it?</v>
      </c>
      <c r="B32" s="48" t="str">
        <f t="shared" ca="1" si="22"/>
        <v>addeh el sei3a?</v>
      </c>
    </row>
    <row r="33" spans="1:2" ht="15.75" customHeight="1" thickBot="1" x14ac:dyDescent="0.3">
      <c r="A33" s="56"/>
      <c r="B33" s="47" t="str">
        <f t="shared" ca="1" si="23"/>
        <v>أدّي الساعَة؟</v>
      </c>
    </row>
    <row r="34" spans="1:2" ht="19.5" thickTop="1" x14ac:dyDescent="0.25">
      <c r="A34" s="49" t="str">
        <f t="shared" ca="1" si="24"/>
        <v xml:space="preserve">10 to 1 </v>
      </c>
      <c r="B34" s="45" t="str">
        <f t="shared" ca="1" si="25"/>
        <v>weHdeh 'ella 3ashra</v>
      </c>
    </row>
    <row r="35" spans="1:2" ht="15.75" customHeight="1" thickBot="1" x14ac:dyDescent="0.3">
      <c r="A35" s="50"/>
      <c r="B35" s="46" t="str">
        <f t="shared" ca="1" si="26"/>
        <v xml:space="preserve">وحدة إلاّ عَشرَة </v>
      </c>
    </row>
    <row r="36" spans="1:2" ht="19.5" thickTop="1" x14ac:dyDescent="0.25">
      <c r="A36" s="55" t="str">
        <f t="shared" ca="1" si="27"/>
        <v xml:space="preserve">5 past 6 </v>
      </c>
      <c r="B36" s="48" t="str">
        <f t="shared" ca="1" si="28"/>
        <v>setteh w khamseh</v>
      </c>
    </row>
    <row r="37" spans="1:2" ht="15.75" customHeight="1" thickBot="1" x14ac:dyDescent="0.3">
      <c r="A37" s="56"/>
      <c r="B37" s="47" t="str">
        <f t="shared" ca="1" si="29"/>
        <v xml:space="preserve">ستّة و خَمسة </v>
      </c>
    </row>
    <row r="38" spans="1:2" ht="19.5" thickTop="1" x14ac:dyDescent="0.25">
      <c r="A38" s="49" t="str">
        <f t="shared" ca="1" si="30"/>
        <v xml:space="preserve">5 to 6 </v>
      </c>
      <c r="B38" s="45" t="str">
        <f t="shared" ca="1" si="31"/>
        <v>setteh 'ella khamseh</v>
      </c>
    </row>
    <row r="39" spans="1:2" ht="15.75" customHeight="1" thickBot="1" x14ac:dyDescent="0.3">
      <c r="A39" s="50"/>
      <c r="B39" s="46" t="str">
        <f t="shared" ca="1" si="32"/>
        <v xml:space="preserve">ستّة إلاّ خَمسة </v>
      </c>
    </row>
    <row r="40" spans="1:2" ht="19.5" thickTop="1" x14ac:dyDescent="0.25">
      <c r="A40" s="51">
        <f ca="1">IF(MOD(ROW()-2,2)=0, INDIRECT("Sheet1!A" &amp;4+((ROW()-2)/2)-2), "")</f>
        <v>0.48958333333333331</v>
      </c>
      <c r="B40" s="48" t="str">
        <f t="shared" ca="1" si="34"/>
        <v>tna3sh 'ella rebe3</v>
      </c>
    </row>
    <row r="41" spans="1:2" ht="15.75" customHeight="1" thickBot="1" x14ac:dyDescent="0.3">
      <c r="A41" s="52"/>
      <c r="B41" s="47" t="str">
        <f t="shared" ca="1" si="35"/>
        <v xml:space="preserve">تنعش و ربع </v>
      </c>
    </row>
    <row r="42" spans="1:2" ht="19.5" thickTop="1" x14ac:dyDescent="0.25">
      <c r="A42" s="53">
        <f t="shared" ca="1" si="36"/>
        <v>0.10416666666666667</v>
      </c>
      <c r="B42" s="45" t="str">
        <f t="shared" ca="1" si="37"/>
        <v>tnein(tentein) w noss</v>
      </c>
    </row>
    <row r="43" spans="1:2" ht="15.75" customHeight="1" thickBot="1" x14ac:dyDescent="0.3">
      <c r="A43" s="54"/>
      <c r="B43" s="46" t="str">
        <f t="shared" ca="1" si="38"/>
        <v xml:space="preserve">تنين (تنتين)  و نُصّ </v>
      </c>
    </row>
    <row r="44" spans="1:2" ht="38.25" thickTop="1" x14ac:dyDescent="0.25">
      <c r="A44" s="51">
        <f t="shared" ref="A44" ca="1" si="42">IF(MOD(ROW()-2,2)=0, INDIRECT("Sheet1!A" &amp;4+((ROW()-2)/2)-2), "")</f>
        <v>0.1423611111111111</v>
      </c>
      <c r="B44" s="48" t="str">
        <f t="shared" ref="B44" ca="1" si="43">IF(MOD(ROW()-2,2)=0, INDIRECT("Sheet1!D" &amp;4+((ROW()-2)/2)-2), "")</f>
        <v>tleiteh w noss 'ella khamseh</v>
      </c>
    </row>
    <row r="45" spans="1:2" ht="15.75" customHeight="1" thickBot="1" x14ac:dyDescent="0.3">
      <c r="A45" s="52"/>
      <c r="B45" s="47" t="str">
        <f t="shared" ref="B45" ca="1" si="44">IF(MOD(ROW()-3,2)=0, INDIRECT("Sheet1!E" &amp;4+((ROW()-3)/2)-2), "")</f>
        <v xml:space="preserve">تلاتي و نُصّ إلاّ خَمسة </v>
      </c>
    </row>
    <row r="46" spans="1:2" ht="19.5" thickTop="1" x14ac:dyDescent="0.25">
      <c r="A46" s="53">
        <f t="shared" ca="1" si="21"/>
        <v>0.14930555555555555</v>
      </c>
      <c r="B46" s="45" t="str">
        <f t="shared" ca="1" si="22"/>
        <v>tleiteh w noss w khamseh</v>
      </c>
    </row>
    <row r="47" spans="1:2" ht="15.75" customHeight="1" thickBot="1" x14ac:dyDescent="0.3">
      <c r="A47" s="54"/>
      <c r="B47" s="46" t="str">
        <f t="shared" ca="1" si="23"/>
        <v xml:space="preserve">تلاتي و نُصّ و خَمسة </v>
      </c>
    </row>
    <row r="48" spans="1:2" ht="19.5" thickTop="1" x14ac:dyDescent="0.25">
      <c r="A48" s="51">
        <f t="shared" ca="1" si="24"/>
        <v>0.13541666666666666</v>
      </c>
      <c r="B48" s="48" t="str">
        <f t="shared" ca="1" si="25"/>
        <v>tleiteh w rebe3</v>
      </c>
    </row>
    <row r="49" spans="1:2" ht="15.75" customHeight="1" thickBot="1" x14ac:dyDescent="0.3">
      <c r="A49" s="52"/>
      <c r="B49" s="47" t="str">
        <f t="shared" ca="1" si="26"/>
        <v xml:space="preserve">تلاتي و ربع </v>
      </c>
    </row>
    <row r="50" spans="1:2" ht="19.5" thickTop="1" x14ac:dyDescent="0.25">
      <c r="A50" s="53">
        <f t="shared" ca="1" si="27"/>
        <v>0.1388888888888889</v>
      </c>
      <c r="B50" s="45" t="str">
        <f t="shared" ca="1" si="28"/>
        <v>tleiteh w telet</v>
      </c>
    </row>
    <row r="51" spans="1:2" ht="15.75" customHeight="1" thickBot="1" x14ac:dyDescent="0.3">
      <c r="A51" s="54"/>
      <c r="B51" s="46" t="str">
        <f t="shared" ca="1" si="29"/>
        <v xml:space="preserve">تلاتي و تلت </v>
      </c>
    </row>
    <row r="52" spans="1:2" ht="19.5" thickTop="1" x14ac:dyDescent="0.25">
      <c r="A52" s="51">
        <f t="shared" ca="1" si="30"/>
        <v>0.15277777777777776</v>
      </c>
      <c r="B52" s="48" t="str">
        <f t="shared" ca="1" si="31"/>
        <v>arb3a 'ella telet</v>
      </c>
    </row>
    <row r="53" spans="1:2" ht="15.75" customHeight="1" thickBot="1" x14ac:dyDescent="0.3">
      <c r="A53" s="52"/>
      <c r="B53" s="47" t="str">
        <f t="shared" ca="1" si="32"/>
        <v xml:space="preserve">أربعَة إلاّ تلت </v>
      </c>
    </row>
    <row r="54" spans="1:2" ht="38.25" thickTop="1" x14ac:dyDescent="0.25">
      <c r="A54" s="49" t="str">
        <f t="shared" ca="1" si="33"/>
        <v xml:space="preserve">I'll be there in an hour or two </v>
      </c>
      <c r="B54" s="45" t="str">
        <f t="shared" ca="1" si="34"/>
        <v>raH ousal ba3ed sei3a aw se3tein</v>
      </c>
    </row>
    <row r="55" spans="1:2" ht="15.75" customHeight="1" thickBot="1" x14ac:dyDescent="0.3">
      <c r="A55" s="50"/>
      <c r="B55" s="46" t="str">
        <f t="shared" ca="1" si="35"/>
        <v xml:space="preserve">رَ أوصَل بَعد ساعَة أو ساعتَين </v>
      </c>
    </row>
    <row r="56" spans="1:2" ht="15.75" customHeight="1" thickTop="1" x14ac:dyDescent="0.25">
      <c r="A56" s="55" t="str">
        <f t="shared" ca="1" si="36"/>
        <v xml:space="preserve">I waited for yu for half an hour </v>
      </c>
      <c r="B56" s="48" t="str">
        <f t="shared" ca="1" si="37"/>
        <v>natartak/ natartik noss sei3a</v>
      </c>
    </row>
    <row r="57" spans="1:2" ht="15.75" customHeight="1" thickBot="1" x14ac:dyDescent="0.3">
      <c r="A57" s="56"/>
      <c r="B57" s="47" t="str">
        <f t="shared" ca="1" si="38"/>
        <v>نَطَرتَك/ نَطَرتِك نُصّ ساعَة</v>
      </c>
    </row>
    <row r="58" spans="1:2" ht="38.25" thickTop="1" x14ac:dyDescent="0.25">
      <c r="A58" s="49" t="str">
        <f t="shared" ref="A58" ca="1" si="45">IF(MOD(ROW()-2,2)=0, INDIRECT("Sheet1!A" &amp;4+((ROW()-2)/2)-2), "")</f>
        <v xml:space="preserve">My sister is arriving in 3 hours </v>
      </c>
      <c r="B58" s="45" t="str">
        <f t="shared" ref="B58" ca="1" si="46">IF(MOD(ROW()-2,2)=0, INDIRECT("Sheet1!D" &amp;4+((ROW()-2)/2)-2), "")</f>
        <v>ekhteh wasleh (raH tousal) ba3ed tleit se3at</v>
      </c>
    </row>
    <row r="59" spans="1:2" ht="36.75" thickBot="1" x14ac:dyDescent="0.3">
      <c r="A59" s="50"/>
      <c r="B59" s="46" t="str">
        <f t="shared" ref="B59" ca="1" si="47">IF(MOD(ROW()-3,2)=0, INDIRECT("Sheet1!E" &amp;4+((ROW()-3)/2)-2), "")</f>
        <v xml:space="preserve">إختي واصلي (رَح توصَل) بَعد تلات ساعات </v>
      </c>
    </row>
    <row r="60" spans="1:2" ht="15.75" customHeight="1" thickTop="1" x14ac:dyDescent="0.25">
      <c r="A60" s="57" t="str">
        <f t="shared" ca="1" si="21"/>
        <v>1 minute and i will be with you</v>
      </c>
      <c r="B60" s="48" t="str">
        <f t="shared" ca="1" si="22"/>
        <v>d'i'a w bkoun ma3ak/ ma3ik</v>
      </c>
    </row>
    <row r="61" spans="1:2" ht="15.75" customHeight="1" thickBot="1" x14ac:dyDescent="0.3">
      <c r="A61" s="56"/>
      <c r="B61" s="47" t="str">
        <f t="shared" ca="1" si="23"/>
        <v xml:space="preserve">دقيقَة و بكون مَعَك </v>
      </c>
    </row>
    <row r="62" spans="1:2" ht="38.25" thickTop="1" x14ac:dyDescent="0.25">
      <c r="A62" s="49" t="str">
        <f ca="1">IF(MOD(ROW()-2,2)=0, INDIRECT("Sheet1!B" &amp;4+((ROW()-2)/2)-2), "")</f>
        <v>What time is it in canada time?</v>
      </c>
      <c r="B62" s="45" t="str">
        <f t="shared" ca="1" si="25"/>
        <v>addeh el sei3a bi touw'eet canada?</v>
      </c>
    </row>
    <row r="63" spans="1:2" ht="15.75" customHeight="1" thickBot="1" x14ac:dyDescent="0.3">
      <c r="A63" s="50"/>
      <c r="B63" s="46" t="str">
        <f t="shared" ca="1" si="26"/>
        <v>ادّي الساعَة بتوقيت كَنَدا؟</v>
      </c>
    </row>
    <row r="64" spans="1:2" ht="57" thickTop="1" x14ac:dyDescent="0.25">
      <c r="A64" s="57" t="str">
        <f t="shared" ref="A64" ca="1" si="48">IF(MOD(ROW()-2,2)=0, INDIRECT("Sheet1!B" &amp;4+((ROW()-2)/2)-2), "")</f>
        <v xml:space="preserve">I have a meeting tomorrow at 5 pm </v>
      </c>
      <c r="B64" s="48" t="str">
        <f t="shared" ca="1" si="28"/>
        <v>3andeh ejtimei3/ maw3ad boukra 3al sei3a khamseh ba3ed el doher</v>
      </c>
    </row>
    <row r="65" spans="1:2" ht="36.75" thickBot="1" x14ac:dyDescent="0.3">
      <c r="A65" s="56"/>
      <c r="B65" s="47" t="str">
        <f t="shared" ca="1" si="29"/>
        <v xml:space="preserve">عَندي إجتماع/ مَوعَد بُكرا على ساعَة خَمسة بَعد الضٌهر </v>
      </c>
    </row>
    <row r="66" spans="1:2" ht="19.5" thickTop="1" x14ac:dyDescent="0.25">
      <c r="A66" s="49" t="str">
        <f t="shared" ref="A66" ca="1" si="49">IF(MOD(ROW()-2,2)=0, INDIRECT("Sheet1!B" &amp;4+((ROW()-2)/2)-2), "")</f>
        <v>Why</v>
      </c>
      <c r="B66" s="45" t="str">
        <f t="shared" ca="1" si="31"/>
        <v>leh/lesh?</v>
      </c>
    </row>
    <row r="67" spans="1:2" ht="15.75" customHeight="1" thickBot="1" x14ac:dyDescent="0.3">
      <c r="A67" s="50"/>
      <c r="B67" s="46" t="str">
        <f t="shared" ca="1" si="32"/>
        <v xml:space="preserve">ليه/ ليش </v>
      </c>
    </row>
    <row r="68" spans="1:2" ht="19.5" thickTop="1" x14ac:dyDescent="0.25">
      <c r="A68" s="57" t="str">
        <f t="shared" ref="A68" ca="1" si="50">IF(MOD(ROW()-2,2)=0, INDIRECT("Sheet1!B" &amp;4+((ROW()-2)/2)-2), "")</f>
        <v xml:space="preserve">When </v>
      </c>
      <c r="B68" s="48" t="str">
        <f t="shared" ca="1" si="34"/>
        <v>eimtan?</v>
      </c>
    </row>
    <row r="69" spans="1:2" ht="15.75" customHeight="1" thickBot="1" x14ac:dyDescent="0.3">
      <c r="A69" s="56"/>
      <c r="B69" s="47" t="str">
        <f t="shared" ca="1" si="35"/>
        <v xml:space="preserve">أمتَن   </v>
      </c>
    </row>
    <row r="70" spans="1:2" ht="19.5" thickTop="1" x14ac:dyDescent="0.25">
      <c r="A70" s="49" t="str">
        <f t="shared" ref="A70" ca="1" si="51">IF(MOD(ROW()-2,2)=0, INDIRECT("Sheet1!B" &amp;4+((ROW()-2)/2)-2), "")</f>
        <v xml:space="preserve">Who </v>
      </c>
      <c r="B70" s="45" t="str">
        <f t="shared" ca="1" si="37"/>
        <v>meen?</v>
      </c>
    </row>
    <row r="71" spans="1:2" ht="15.75" customHeight="1" thickBot="1" x14ac:dyDescent="0.3">
      <c r="A71" s="50"/>
      <c r="B71" s="46" t="str">
        <f t="shared" ca="1" si="38"/>
        <v xml:space="preserve">مين   </v>
      </c>
    </row>
    <row r="72" spans="1:2" ht="19.5" thickTop="1" x14ac:dyDescent="0.25">
      <c r="A72" s="57" t="str">
        <f t="shared" ref="A72" ca="1" si="52">IF(MOD(ROW()-2,2)=0, INDIRECT("Sheet1!B" &amp;4+((ROW()-2)/2)-2), "")</f>
        <v xml:space="preserve">How </v>
      </c>
      <c r="B72" s="48" t="str">
        <f t="shared" ref="B72" ca="1" si="53">IF(MOD(ROW()-2,2)=0, INDIRECT("Sheet1!D" &amp;4+((ROW()-2)/2)-2), "")</f>
        <v>keef?</v>
      </c>
    </row>
    <row r="73" spans="1:2" ht="15.75" customHeight="1" thickBot="1" x14ac:dyDescent="0.3">
      <c r="A73" s="56"/>
      <c r="B73" s="47" t="str">
        <f t="shared" ref="B73" ca="1" si="54">IF(MOD(ROW()-3,2)=0, INDIRECT("Sheet1!E" &amp;4+((ROW()-3)/2)-2), "")</f>
        <v>كيف</v>
      </c>
    </row>
    <row r="74" spans="1:2" ht="19.5" thickTop="1" x14ac:dyDescent="0.25">
      <c r="A74" s="49" t="str">
        <f t="shared" ref="A74" ca="1" si="55">IF(MOD(ROW()-2,2)=0, INDIRECT("Sheet1!B" &amp;4+((ROW()-2)/2)-2), "")</f>
        <v xml:space="preserve">What </v>
      </c>
      <c r="B74" s="45" t="str">
        <f t="shared" ca="1" si="22"/>
        <v>shou?</v>
      </c>
    </row>
    <row r="75" spans="1:2" ht="15.75" customHeight="1" thickBot="1" x14ac:dyDescent="0.3">
      <c r="A75" s="50"/>
      <c r="B75" s="46" t="str">
        <f t="shared" ca="1" si="23"/>
        <v>شو</v>
      </c>
    </row>
    <row r="76" spans="1:2" ht="19.5" thickTop="1" x14ac:dyDescent="0.25">
      <c r="A76" s="57" t="str">
        <f t="shared" ref="A76" ca="1" si="56">IF(MOD(ROW()-2,2)=0, INDIRECT("Sheet1!B" &amp;4+((ROW()-2)/2)-2), "")</f>
        <v xml:space="preserve">Where </v>
      </c>
      <c r="B76" s="48" t="str">
        <f t="shared" ca="1" si="25"/>
        <v>wein?</v>
      </c>
    </row>
    <row r="77" spans="1:2" ht="15.75" customHeight="1" thickBot="1" x14ac:dyDescent="0.3">
      <c r="A77" s="56"/>
      <c r="B77" s="47" t="str">
        <f t="shared" ca="1" si="26"/>
        <v xml:space="preserve">وَين   </v>
      </c>
    </row>
    <row r="78" spans="1:2" ht="19.5" thickTop="1" x14ac:dyDescent="0.25">
      <c r="A78" s="49" t="str">
        <f t="shared" ref="A78" ca="1" si="57">IF(MOD(ROW()-2,2)=0, INDIRECT("Sheet1!B" &amp;4+((ROW()-2)/2)-2), "")</f>
        <v xml:space="preserve">What for </v>
      </c>
      <c r="B78" s="45" t="str">
        <f t="shared" ca="1" si="28"/>
        <v>la shou?</v>
      </c>
    </row>
    <row r="79" spans="1:2" ht="15.75" customHeight="1" thickBot="1" x14ac:dyDescent="0.3">
      <c r="A79" s="50"/>
      <c r="B79" s="46" t="str">
        <f t="shared" ca="1" si="29"/>
        <v>لَشو</v>
      </c>
    </row>
    <row r="80" spans="1:2" ht="19.5" thickTop="1" x14ac:dyDescent="0.25">
      <c r="A80" s="57" t="str">
        <f t="shared" ref="A80" ca="1" si="58">IF(MOD(ROW()-2,2)=0, INDIRECT("Sheet1!B" &amp;4+((ROW()-2)/2)-2), "")</f>
        <v xml:space="preserve">Since when </v>
      </c>
      <c r="B80" s="48" t="str">
        <f t="shared" ca="1" si="31"/>
        <v>min eimtan?</v>
      </c>
    </row>
    <row r="81" spans="1:2" ht="15.75" customHeight="1" thickBot="1" x14ac:dyDescent="0.3">
      <c r="A81" s="56"/>
      <c r="B81" s="47" t="str">
        <f t="shared" ca="1" si="32"/>
        <v xml:space="preserve">مِن أمتَن    </v>
      </c>
    </row>
    <row r="82" spans="1:2" ht="19.5" thickTop="1" x14ac:dyDescent="0.25">
      <c r="A82" s="49" t="str">
        <f t="shared" ref="A82" ca="1" si="59">IF(MOD(ROW()-2,2)=0, INDIRECT("Sheet1!B" &amp;4+((ROW()-2)/2)-2), "")</f>
        <v>Why not</v>
      </c>
      <c r="B82" s="45" t="str">
        <f t="shared" ca="1" si="34"/>
        <v>lesh la'/ leh la'?</v>
      </c>
    </row>
    <row r="83" spans="1:2" ht="15.75" customHeight="1" thickBot="1" x14ac:dyDescent="0.3">
      <c r="A83" s="50"/>
      <c r="B83" s="46" t="str">
        <f t="shared" ca="1" si="35"/>
        <v>ليش لاء</v>
      </c>
    </row>
    <row r="84" spans="1:2" ht="19.5" thickTop="1" x14ac:dyDescent="0.25">
      <c r="A84" s="57" t="str">
        <f t="shared" ref="A84" ca="1" si="60">IF(MOD(ROW()-2,2)=0, INDIRECT("Sheet1!B" &amp;4+((ROW()-2)/2)-2), "")</f>
        <v xml:space="preserve">What else </v>
      </c>
      <c r="B84" s="48" t="str">
        <f t="shared" ca="1" si="37"/>
        <v>shou kamein?</v>
      </c>
    </row>
    <row r="85" spans="1:2" ht="15.75" customHeight="1" thickBot="1" x14ac:dyDescent="0.3">
      <c r="A85" s="56"/>
      <c r="B85" s="47" t="str">
        <f t="shared" ca="1" si="38"/>
        <v xml:space="preserve">شو كَمان   </v>
      </c>
    </row>
    <row r="86" spans="1:2" ht="19.5" thickTop="1" x14ac:dyDescent="0.25">
      <c r="A86" s="49" t="str">
        <f t="shared" ref="A86" ca="1" si="61">IF(MOD(ROW()-2,2)=0, INDIRECT("Sheet1!B" &amp;4+((ROW()-2)/2)-2), "")</f>
        <v>How come</v>
      </c>
      <c r="B86" s="45" t="str">
        <f t="shared" ref="B86" ca="1" si="62">IF(MOD(ROW()-2,2)=0, INDIRECT("Sheet1!D" &amp;4+((ROW()-2)/2)-2), "")</f>
        <v>keef ta?</v>
      </c>
    </row>
    <row r="87" spans="1:2" ht="15.75" customHeight="1" thickBot="1" x14ac:dyDescent="0.3">
      <c r="A87" s="50"/>
      <c r="B87" s="46" t="str">
        <f t="shared" ref="B87" ca="1" si="63">IF(MOD(ROW()-3,2)=0, INDIRECT("Sheet1!E" &amp;4+((ROW()-3)/2)-2), "")</f>
        <v xml:space="preserve">كيف تَ  </v>
      </c>
    </row>
    <row r="88" spans="1:2" ht="19.5" thickTop="1" x14ac:dyDescent="0.25">
      <c r="A88" s="57" t="str">
        <f t="shared" ref="A88" ca="1" si="64">IF(MOD(ROW()-2,2)=0, INDIRECT("Sheet1!B" &amp;4+((ROW()-2)/2)-2), "")</f>
        <v xml:space="preserve">How much </v>
      </c>
      <c r="B88" s="48" t="str">
        <f t="shared" ref="B88:B144" ca="1" si="65">IF(MOD(ROW()-2,2)=0, INDIRECT("Sheet1!D" &amp;4+((ROW()-2)/2)-2), "")</f>
        <v>addeh?</v>
      </c>
    </row>
    <row r="89" spans="1:2" ht="15.75" customHeight="1" thickBot="1" x14ac:dyDescent="0.3">
      <c r="A89" s="56"/>
      <c r="B89" s="47" t="str">
        <f t="shared" ref="B89:B145" ca="1" si="66">IF(MOD(ROW()-3,2)=0, INDIRECT("Sheet1!E" &amp;4+((ROW()-3)/2)-2), "")</f>
        <v>أدّي</v>
      </c>
    </row>
    <row r="90" spans="1:2" ht="38.25" thickTop="1" x14ac:dyDescent="0.25">
      <c r="A90" s="49" t="str">
        <f t="shared" ref="A90" ca="1" si="67">IF(MOD(ROW()-2,2)=0, INDIRECT("Sheet1!B" &amp;4+((ROW()-2)/2)-2), "")</f>
        <v>Why are you angry</v>
      </c>
      <c r="B90" s="45" t="str">
        <f t="shared" ref="B90:B146" ca="1" si="68">IF(MOD(ROW()-2,2)=0, INDIRECT("Sheet1!D" &amp;4+((ROW()-2)/2)-2), "")</f>
        <v>leh m3assab/ m3assbeh/ m3asbeen?</v>
      </c>
    </row>
    <row r="91" spans="1:2" ht="15.75" customHeight="1" thickBot="1" x14ac:dyDescent="0.3">
      <c r="A91" s="50"/>
      <c r="B91" s="46" t="str">
        <f t="shared" ref="B91:B147" ca="1" si="69">IF(MOD(ROW()-3,2)=0, INDIRECT("Sheet1!E" &amp;4+((ROW()-3)/2)-2), "")</f>
        <v>ليع معَّصَّب/ معَصبي/ معَصبين</v>
      </c>
    </row>
    <row r="92" spans="1:2" ht="38.25" thickTop="1" x14ac:dyDescent="0.25">
      <c r="A92" s="57" t="str">
        <f t="shared" ref="A92" ca="1" si="70">IF(MOD(ROW()-2,2)=0, INDIRECT("Sheet1!B" &amp;4+((ROW()-2)/2)-2), "")</f>
        <v xml:space="preserve">When are you traveling </v>
      </c>
      <c r="B92" s="48" t="str">
        <f t="shared" ref="B92:B148" ca="1" si="71">IF(MOD(ROW()-2,2)=0, INDIRECT("Sheet1!D" &amp;4+((ROW()-2)/2)-2), "")</f>
        <v>eimtan mseifar/ mseifra/ mseifreen?</v>
      </c>
    </row>
    <row r="93" spans="1:2" ht="15.75" customHeight="1" thickBot="1" x14ac:dyDescent="0.3">
      <c r="A93" s="56"/>
      <c r="B93" s="47" t="str">
        <f t="shared" ref="B93:B149" ca="1" si="72">IF(MOD(ROW()-3,2)=0, INDIRECT("Sheet1!E" &amp;4+((ROW()-3)/2)-2), "")</f>
        <v xml:space="preserve">أمتَن مسافَر/ مسافرَة/ مسافرين </v>
      </c>
    </row>
    <row r="94" spans="1:2" ht="19.5" customHeight="1" thickTop="1" x14ac:dyDescent="0.25">
      <c r="A94" s="49" t="str">
        <f t="shared" ref="A94" ca="1" si="73">IF(MOD(ROW()-2,2)=0, INDIRECT("Sheet1!B" &amp;4+((ROW()-2)/2)-2), "")</f>
        <v xml:space="preserve">Who is coming to the party </v>
      </c>
      <c r="B94" s="45" t="str">
        <f t="shared" ref="B94:B150" ca="1" si="74">IF(MOD(ROW()-2,2)=0, INDIRECT("Sheet1!D" &amp;4+((ROW()-2)/2)-2), "")</f>
        <v>meen jeyeh 3al sahra?</v>
      </c>
    </row>
    <row r="95" spans="1:2" ht="15.75" customHeight="1" thickBot="1" x14ac:dyDescent="0.3">
      <c r="A95" s="50"/>
      <c r="B95" s="46" t="str">
        <f t="shared" ref="B95:B151" ca="1" si="75">IF(MOD(ROW()-3,2)=0, INDIRECT("Sheet1!E" &amp;4+((ROW()-3)/2)-2), "")</f>
        <v xml:space="preserve">مين جليي على سَهرَة </v>
      </c>
    </row>
    <row r="96" spans="1:2" ht="38.25" thickTop="1" x14ac:dyDescent="0.25">
      <c r="A96" s="57" t="str">
        <f t="shared" ref="A96" ca="1" si="76">IF(MOD(ROW()-2,2)=0, INDIRECT("Sheet1!B" &amp;4+((ROW()-2)/2)-2), "")</f>
        <v xml:space="preserve">How are you today </v>
      </c>
      <c r="B96" s="48" t="str">
        <f t="shared" ref="B96:B152" ca="1" si="77">IF(MOD(ROW()-2,2)=0, INDIRECT("Sheet1!D" &amp;4+((ROW()-2)/2)-2), "")</f>
        <v>keefak/ keefik/ keefkoun el yom?</v>
      </c>
    </row>
    <row r="97" spans="1:2" ht="15.75" customHeight="1" thickBot="1" x14ac:dyDescent="0.3">
      <c r="A97" s="56"/>
      <c r="B97" s="47" t="str">
        <f t="shared" ref="B97:B153" ca="1" si="78">IF(MOD(ROW()-3,2)=0, INDIRECT("Sheet1!E" &amp;4+((ROW()-3)/2)-2), "")</f>
        <v xml:space="preserve">كيفَك/ كيفِك/ كيفكُن </v>
      </c>
    </row>
    <row r="98" spans="1:2" ht="38.25" thickTop="1" x14ac:dyDescent="0.25">
      <c r="A98" s="49" t="str">
        <f t="shared" ref="A98" ca="1" si="79">IF(MOD(ROW()-2,2)=0, INDIRECT("Sheet1!B" &amp;4+((ROW()-2)/2)-2), "")</f>
        <v xml:space="preserve">How is your father </v>
      </c>
      <c r="B98" s="45" t="str">
        <f t="shared" ref="B98:B154" ca="1" si="80">IF(MOD(ROW()-2,2)=0, INDIRECT("Sheet1!D" &amp;4+((ROW()-2)/2)-2), "")</f>
        <v>keefo bayyak/ bayyik/ baykoun?</v>
      </c>
    </row>
    <row r="99" spans="1:2" ht="15.75" customHeight="1" thickBot="1" x14ac:dyDescent="0.3">
      <c r="A99" s="50"/>
      <c r="B99" s="46" t="str">
        <f t="shared" ref="B99:B155" ca="1" si="81">IF(MOD(ROW()-3,2)=0, INDIRECT("Sheet1!E" &amp;4+((ROW()-3)/2)-2), "")</f>
        <v xml:space="preserve">كيفو بيَّك/ بيِّك/ بيكُن </v>
      </c>
    </row>
    <row r="100" spans="1:2" ht="38.25" thickTop="1" x14ac:dyDescent="0.25">
      <c r="A100" s="57" t="str">
        <f t="shared" ref="A100" ca="1" si="82">IF(MOD(ROW()-2,2)=0, INDIRECT("Sheet1!B" &amp;4+((ROW()-2)/2)-2), "")</f>
        <v xml:space="preserve">How is your mother </v>
      </c>
      <c r="B100" s="48" t="str">
        <f t="shared" ref="B100" ca="1" si="83">IF(MOD(ROW()-2,2)=0, INDIRECT("Sheet1!D" &amp;4+((ROW()-2)/2)-2), "")</f>
        <v>keefa emmak/ emmik/ emkoun?</v>
      </c>
    </row>
    <row r="101" spans="1:2" ht="15.75" customHeight="1" thickBot="1" x14ac:dyDescent="0.3">
      <c r="A101" s="56"/>
      <c r="B101" s="47" t="str">
        <f t="shared" ref="B101" ca="1" si="84">IF(MOD(ROW()-3,2)=0, INDIRECT("Sheet1!E" &amp;4+((ROW()-3)/2)-2), "")</f>
        <v xml:space="preserve">كيفا إمَّك/ إمِّك/ إمكُن </v>
      </c>
    </row>
    <row r="102" spans="1:2" ht="38.25" thickTop="1" x14ac:dyDescent="0.25">
      <c r="A102" s="49" t="str">
        <f t="shared" ref="A102" ca="1" si="85">IF(MOD(ROW()-2,2)=0, INDIRECT("Sheet1!B" &amp;4+((ROW()-2)/2)-2), "")</f>
        <v xml:space="preserve">How are your children </v>
      </c>
      <c r="B102" s="45" t="str">
        <f t="shared" ca="1" si="65"/>
        <v>keefoun wleidak/ wleidik/ wleidkoun?</v>
      </c>
    </row>
    <row r="103" spans="1:2" ht="15.75" customHeight="1" thickBot="1" x14ac:dyDescent="0.3">
      <c r="A103" s="50"/>
      <c r="B103" s="46" t="str">
        <f t="shared" ca="1" si="66"/>
        <v xml:space="preserve">كيفُن ولادَك/ ولادِك/ ولادكُن </v>
      </c>
    </row>
    <row r="104" spans="1:2" ht="38.25" thickTop="1" x14ac:dyDescent="0.25">
      <c r="A104" s="57" t="str">
        <f t="shared" ref="A104" ca="1" si="86">IF(MOD(ROW()-2,2)=0, INDIRECT("Sheet1!B" &amp;4+((ROW()-2)/2)-2), "")</f>
        <v xml:space="preserve">What is wrong with you </v>
      </c>
      <c r="B104" s="48" t="str">
        <f t="shared" ca="1" si="68"/>
        <v>shou beik/ bekeh/ bekoun?</v>
      </c>
    </row>
    <row r="105" spans="1:2" ht="15.75" customHeight="1" thickBot="1" x14ac:dyDescent="0.3">
      <c r="A105" s="56"/>
      <c r="B105" s="47" t="str">
        <f t="shared" ca="1" si="69"/>
        <v xml:space="preserve">شو باك/ بكي/ بكُن </v>
      </c>
    </row>
    <row r="106" spans="1:2" ht="38.25" thickTop="1" x14ac:dyDescent="0.25">
      <c r="A106" s="49" t="str">
        <f t="shared" ref="A106" ca="1" si="87">IF(MOD(ROW()-2,2)=0, INDIRECT("Sheet1!B" &amp;4+((ROW()-2)/2)-2), "")</f>
        <v>Where are you going</v>
      </c>
      <c r="B106" s="45" t="str">
        <f t="shared" ca="1" si="71"/>
        <v>wein rayiH/ rayHa/ rayHeen?</v>
      </c>
    </row>
    <row r="107" spans="1:2" ht="15.75" customHeight="1" thickBot="1" x14ac:dyDescent="0.3">
      <c r="A107" s="50"/>
      <c r="B107" s="46" t="str">
        <f t="shared" ca="1" si="72"/>
        <v xml:space="preserve">وَين رايح/ رايحا/ رايحين </v>
      </c>
    </row>
    <row r="108" spans="1:2" ht="38.25" thickTop="1" x14ac:dyDescent="0.25">
      <c r="A108" s="57" t="str">
        <f t="shared" ref="A108" ca="1" si="88">IF(MOD(ROW()-2,2)=0, INDIRECT("Sheet1!B" &amp;4+((ROW()-2)/2)-2), "")</f>
        <v xml:space="preserve">What are these mugs for </v>
      </c>
      <c r="B108" s="48" t="str">
        <f t="shared" ca="1" si="74"/>
        <v>la shou hawdeh el kebbeiyeit?</v>
      </c>
    </row>
    <row r="109" spans="1:2" ht="15.75" customHeight="1" thickBot="1" x14ac:dyDescent="0.3">
      <c r="A109" s="56"/>
      <c r="B109" s="47" t="str">
        <f t="shared" ca="1" si="75"/>
        <v xml:space="preserve">اَشو هَودي الكبايات </v>
      </c>
    </row>
    <row r="110" spans="1:2" ht="57" thickTop="1" x14ac:dyDescent="0.25">
      <c r="A110" s="49" t="str">
        <f t="shared" ref="A110" ca="1" si="89">IF(MOD(ROW()-2,2)=0, INDIRECT("Sheet1!B" &amp;4+((ROW()-2)/2)-2), "")</f>
        <v xml:space="preserve">Since when do you wear black </v>
      </c>
      <c r="B110" s="45" t="str">
        <f t="shared" ca="1" si="77"/>
        <v>min emtan btelbous/btelbseh/btelbso aswad?</v>
      </c>
    </row>
    <row r="111" spans="1:2" ht="15.75" customHeight="1" thickBot="1" x14ac:dyDescent="0.3">
      <c r="A111" s="50"/>
      <c r="B111" s="46" t="str">
        <f t="shared" ca="1" si="78"/>
        <v>مِن أمتَن بتلبُس/ بتلبسي/ بتلبسوا أسوَد</v>
      </c>
    </row>
    <row r="112" spans="1:2" ht="38.25" thickTop="1" x14ac:dyDescent="0.25">
      <c r="A112" s="57" t="str">
        <f t="shared" ref="A112" ca="1" si="90">IF(MOD(ROW()-2,2)=0, INDIRECT("Sheet1!B" &amp;4+((ROW()-2)/2)-2), "")</f>
        <v xml:space="preserve">What else do you suggest </v>
      </c>
      <c r="B112" s="48" t="str">
        <f t="shared" ca="1" si="80"/>
        <v>shou kamein btoktoriH/ btoktorHeh/ btoktorHo?</v>
      </c>
    </row>
    <row r="113" spans="1:2" ht="15.75" customHeight="1" thickBot="1" x14ac:dyDescent="0.3">
      <c r="A113" s="56"/>
      <c r="B113" s="47" t="str">
        <f t="shared" ca="1" si="81"/>
        <v>شو كَمان بتُقطُرِح/ بتٌفطُرحي/ بتُقطُرحوا</v>
      </c>
    </row>
    <row r="114" spans="1:2" ht="38.25" thickTop="1" x14ac:dyDescent="0.25">
      <c r="A114" s="49" t="str">
        <f t="shared" ref="A114" ca="1" si="91">IF(MOD(ROW()-2,2)=0, INDIRECT("Sheet1!B" &amp;4+((ROW()-2)/2)-2), "")</f>
        <v xml:space="preserve">How come you are here </v>
      </c>
      <c r="B114" s="45" t="str">
        <f t="shared" ref="B114" ca="1" si="92">IF(MOD(ROW()-2,2)=0, INDIRECT("Sheet1!D" &amp;4+((ROW()-2)/2)-2), "")</f>
        <v>keef ta enta/enteh/ento hon?</v>
      </c>
    </row>
    <row r="115" spans="1:2" ht="15.75" customHeight="1" thickBot="1" x14ac:dyDescent="0.3">
      <c r="A115" s="50"/>
      <c r="B115" s="46" t="str">
        <f t="shared" ref="B115" ca="1" si="93">IF(MOD(ROW()-3,2)=0, INDIRECT("Sheet1!E" &amp;4+((ROW()-3)/2)-2), "")</f>
        <v xml:space="preserve">كيف تَ إنتَ،/ إنتِ/ إنتو هون </v>
      </c>
    </row>
    <row r="116" spans="1:2" ht="38.25" thickTop="1" x14ac:dyDescent="0.25">
      <c r="A116" s="57" t="str">
        <f t="shared" ref="A116" ca="1" si="94">IF(MOD(ROW()-2,2)=0, INDIRECT("Sheet1!B" &amp;4+((ROW()-2)/2)-2), "")</f>
        <v xml:space="preserve">How much does it cost </v>
      </c>
      <c r="B116" s="48" t="str">
        <f t="shared" ca="1" si="65"/>
        <v>addeh Ha'o/ Ha'a/ Ha'oun?</v>
      </c>
    </row>
    <row r="117" spans="1:2" ht="15.75" customHeight="1" thickBot="1" x14ac:dyDescent="0.3">
      <c r="A117" s="56"/>
      <c r="B117" s="47" t="str">
        <f t="shared" ca="1" si="66"/>
        <v>أدّي حَقّو/ حَقّا/ حَقُّن</v>
      </c>
    </row>
    <row r="118" spans="1:2" ht="19.5" thickTop="1" x14ac:dyDescent="0.25">
      <c r="A118" s="49" t="str">
        <f t="shared" ref="A118" ca="1" si="95">IF(MOD(ROW()-2,2)=0, INDIRECT("Sheet1!B" &amp;4+((ROW()-2)/2)-2), "")</f>
        <v>I love</v>
      </c>
      <c r="B118" s="45" t="str">
        <f t="shared" ca="1" si="68"/>
        <v>ana bHebb</v>
      </c>
    </row>
    <row r="119" spans="1:2" ht="15.75" customHeight="1" thickBot="1" x14ac:dyDescent="0.3">
      <c r="A119" s="50"/>
      <c r="B119" s="46" t="str">
        <f t="shared" ca="1" si="69"/>
        <v>أنا بحبّ</v>
      </c>
    </row>
    <row r="120" spans="1:2" ht="38.25" thickTop="1" x14ac:dyDescent="0.25">
      <c r="A120" s="57" t="str">
        <f t="shared" ref="A120" ca="1" si="96">IF(MOD(ROW()-2,2)=0, INDIRECT("Sheet1!B" &amp;4+((ROW()-2)/2)-2), "")</f>
        <v>You love</v>
      </c>
      <c r="B120" s="48" t="str">
        <f t="shared" ca="1" si="71"/>
        <v>enta betHebb/enteh betHebbeh</v>
      </c>
    </row>
    <row r="121" spans="1:2" ht="15.75" customHeight="1" thickBot="1" x14ac:dyDescent="0.3">
      <c r="A121" s="56"/>
      <c r="B121" s="47" t="str">
        <f t="shared" ca="1" si="72"/>
        <v>إنتَ بتحبّ/ إنتِ بتحبّي</v>
      </c>
    </row>
    <row r="122" spans="1:2" ht="19.5" thickTop="1" x14ac:dyDescent="0.25">
      <c r="A122" s="49" t="str">
        <f t="shared" ref="A122" ca="1" si="97">IF(MOD(ROW()-2,2)=0, INDIRECT("Sheet1!B" &amp;4+((ROW()-2)/2)-2), "")</f>
        <v>He loves</v>
      </c>
      <c r="B122" s="45" t="str">
        <f t="shared" ca="1" si="74"/>
        <v>howeh biHebb</v>
      </c>
    </row>
    <row r="123" spans="1:2" ht="15.75" customHeight="1" thickBot="1" x14ac:dyDescent="0.3">
      <c r="A123" s="50"/>
      <c r="B123" s="46" t="str">
        <f t="shared" ca="1" si="75"/>
        <v>هوّ بِحبّ</v>
      </c>
    </row>
    <row r="124" spans="1:2" ht="19.5" thickTop="1" x14ac:dyDescent="0.25">
      <c r="A124" s="57" t="str">
        <f t="shared" ref="A124" ca="1" si="98">IF(MOD(ROW()-2,2)=0, INDIRECT("Sheet1!B" &amp;4+((ROW()-2)/2)-2), "")</f>
        <v>She loves</v>
      </c>
      <c r="B124" s="48" t="str">
        <f t="shared" ca="1" si="77"/>
        <v>hiyyeh betHebb</v>
      </c>
    </row>
    <row r="125" spans="1:2" ht="15.75" customHeight="1" thickBot="1" x14ac:dyDescent="0.3">
      <c r="A125" s="56"/>
      <c r="B125" s="47" t="str">
        <f t="shared" ca="1" si="78"/>
        <v>هِيّ بتحبّ</v>
      </c>
    </row>
    <row r="126" spans="1:2" ht="19.5" thickTop="1" x14ac:dyDescent="0.25">
      <c r="A126" s="49" t="str">
        <f t="shared" ref="A126" ca="1" si="99">IF(MOD(ROW()-2,2)=0, INDIRECT("Sheet1!B" &amp;4+((ROW()-2)/2)-2), "")</f>
        <v>We love</v>
      </c>
      <c r="B126" s="45" t="str">
        <f t="shared" ca="1" si="80"/>
        <v>neHna menHebb</v>
      </c>
    </row>
    <row r="127" spans="1:2" ht="15.75" customHeight="1" thickBot="1" x14ac:dyDescent="0.3">
      <c r="A127" s="50"/>
      <c r="B127" s="46" t="str">
        <f t="shared" ca="1" si="81"/>
        <v>نِحنا منحبّ</v>
      </c>
    </row>
    <row r="128" spans="1:2" ht="19.5" thickTop="1" x14ac:dyDescent="0.25">
      <c r="A128" s="57" t="str">
        <f t="shared" ref="A128" ca="1" si="100">IF(MOD(ROW()-2,2)=0, INDIRECT("Sheet1!B" &amp;4+((ROW()-2)/2)-2), "")</f>
        <v>You love</v>
      </c>
      <c r="B128" s="48" t="str">
        <f t="shared" ref="B128" ca="1" si="101">IF(MOD(ROW()-2,2)=0, INDIRECT("Sheet1!D" &amp;4+((ROW()-2)/2)-2), "")</f>
        <v>ento betHebbo</v>
      </c>
    </row>
    <row r="129" spans="1:2" ht="15.75" customHeight="1" thickBot="1" x14ac:dyDescent="0.3">
      <c r="A129" s="56"/>
      <c r="B129" s="47" t="str">
        <f t="shared" ref="B129" ca="1" si="102">IF(MOD(ROW()-3,2)=0, INDIRECT("Sheet1!E" &amp;4+((ROW()-3)/2)-2), "")</f>
        <v>إنتو بتحبّو</v>
      </c>
    </row>
    <row r="130" spans="1:2" ht="19.5" thickTop="1" x14ac:dyDescent="0.25">
      <c r="A130" s="49" t="str">
        <f t="shared" ref="A130" ca="1" si="103">IF(MOD(ROW()-2,2)=0, INDIRECT("Sheet1!B" &amp;4+((ROW()-2)/2)-2), "")</f>
        <v>They love</v>
      </c>
      <c r="B130" s="45" t="str">
        <f t="shared" ca="1" si="65"/>
        <v>henneh biHebbo</v>
      </c>
    </row>
    <row r="131" spans="1:2" ht="15.75" customHeight="1" thickBot="1" x14ac:dyDescent="0.3">
      <c r="A131" s="50"/>
      <c r="B131" s="46" t="str">
        <f t="shared" ca="1" si="66"/>
        <v xml:space="preserve">هنّي بحبّو </v>
      </c>
    </row>
    <row r="132" spans="1:2" ht="19.5" thickTop="1" x14ac:dyDescent="0.25">
      <c r="A132" s="57" t="str">
        <f t="shared" ref="A132" ca="1" si="104">IF(MOD(ROW()-2,2)=0, INDIRECT("Sheet1!B" &amp;4+((ROW()-2)/2)-2), "")</f>
        <v>I loved</v>
      </c>
      <c r="B132" s="48" t="str">
        <f t="shared" ca="1" si="68"/>
        <v>ana Habbeit</v>
      </c>
    </row>
    <row r="133" spans="1:2" ht="15.75" customHeight="1" thickBot="1" x14ac:dyDescent="0.3">
      <c r="A133" s="56"/>
      <c r="B133" s="47" t="str">
        <f t="shared" ca="1" si="69"/>
        <v>أنا حَبيت</v>
      </c>
    </row>
    <row r="134" spans="1:2" ht="38.25" thickTop="1" x14ac:dyDescent="0.25">
      <c r="A134" s="49" t="str">
        <f t="shared" ref="A134" ca="1" si="105">IF(MOD(ROW()-2,2)=0, INDIRECT("Sheet1!B" &amp;4+((ROW()-2)/2)-2), "")</f>
        <v>You loved</v>
      </c>
      <c r="B134" s="45" t="str">
        <f t="shared" ca="1" si="71"/>
        <v>enta Habbeit/enteh Habbayteh</v>
      </c>
    </row>
    <row r="135" spans="1:2" ht="15.75" customHeight="1" thickBot="1" x14ac:dyDescent="0.3">
      <c r="A135" s="50"/>
      <c r="B135" s="46" t="str">
        <f t="shared" ca="1" si="72"/>
        <v xml:space="preserve">إنتَ حَبيت/ إنتِ حَبيتي </v>
      </c>
    </row>
    <row r="136" spans="1:2" ht="19.5" thickTop="1" x14ac:dyDescent="0.25">
      <c r="A136" s="57" t="str">
        <f t="shared" ref="A136" ca="1" si="106">IF(MOD(ROW()-2,2)=0, INDIRECT("Sheet1!B" &amp;4+((ROW()-2)/2)-2), "")</f>
        <v>He loved</v>
      </c>
      <c r="B136" s="48" t="str">
        <f t="shared" ca="1" si="74"/>
        <v>howeh Habb</v>
      </c>
    </row>
    <row r="137" spans="1:2" ht="15.75" customHeight="1" thickBot="1" x14ac:dyDescent="0.3">
      <c r="A137" s="56"/>
      <c r="B137" s="47" t="str">
        <f t="shared" ca="1" si="75"/>
        <v>هوّ حَبّ</v>
      </c>
    </row>
    <row r="138" spans="1:2" ht="19.5" thickTop="1" x14ac:dyDescent="0.25">
      <c r="A138" s="49" t="str">
        <f t="shared" ref="A138" ca="1" si="107">IF(MOD(ROW()-2,2)=0, INDIRECT("Sheet1!B" &amp;4+((ROW()-2)/2)-2), "")</f>
        <v>She loved</v>
      </c>
      <c r="B138" s="45" t="str">
        <f t="shared" ca="1" si="77"/>
        <v>hiyeh Habbit</v>
      </c>
    </row>
    <row r="139" spans="1:2" ht="15.75" customHeight="1" thickBot="1" x14ac:dyDescent="0.3">
      <c r="A139" s="50"/>
      <c r="B139" s="46" t="str">
        <f t="shared" ca="1" si="78"/>
        <v xml:space="preserve">هيّ حَبِّت </v>
      </c>
    </row>
    <row r="140" spans="1:2" ht="19.5" thickTop="1" x14ac:dyDescent="0.25">
      <c r="A140" s="57" t="str">
        <f t="shared" ref="A140" ca="1" si="108">IF(MOD(ROW()-2,2)=0, INDIRECT("Sheet1!B" &amp;4+((ROW()-2)/2)-2), "")</f>
        <v>We loved</v>
      </c>
      <c r="B140" s="48" t="str">
        <f t="shared" ca="1" si="80"/>
        <v>neHna Habbayna</v>
      </c>
    </row>
    <row r="141" spans="1:2" ht="15.75" customHeight="1" thickBot="1" x14ac:dyDescent="0.3">
      <c r="A141" s="56"/>
      <c r="B141" s="47" t="str">
        <f t="shared" ca="1" si="81"/>
        <v>نحنا حَبينا</v>
      </c>
    </row>
    <row r="142" spans="1:2" ht="19.5" thickTop="1" x14ac:dyDescent="0.25">
      <c r="A142" s="49" t="str">
        <f t="shared" ref="A142" ca="1" si="109">IF(MOD(ROW()-2,2)=0, INDIRECT("Sheet1!B" &amp;4+((ROW()-2)/2)-2), "")</f>
        <v>You loved</v>
      </c>
      <c r="B142" s="45" t="str">
        <f t="shared" ref="B142" ca="1" si="110">IF(MOD(ROW()-2,2)=0, INDIRECT("Sheet1!D" &amp;4+((ROW()-2)/2)-2), "")</f>
        <v>ento Habbayto</v>
      </c>
    </row>
    <row r="143" spans="1:2" ht="15.75" customHeight="1" thickBot="1" x14ac:dyDescent="0.3">
      <c r="A143" s="50"/>
      <c r="B143" s="46" t="str">
        <f t="shared" ref="B143" ca="1" si="111">IF(MOD(ROW()-3,2)=0, INDIRECT("Sheet1!E" &amp;4+((ROW()-3)/2)-2), "")</f>
        <v>إنتو حَبيتو</v>
      </c>
    </row>
    <row r="144" spans="1:2" ht="19.5" thickTop="1" x14ac:dyDescent="0.25">
      <c r="A144" s="57" t="str">
        <f t="shared" ref="A144" ca="1" si="112">IF(MOD(ROW()-2,2)=0, INDIRECT("Sheet1!B" &amp;4+((ROW()-2)/2)-2), "")</f>
        <v>They loved</v>
      </c>
      <c r="B144" s="48" t="str">
        <f t="shared" ca="1" si="65"/>
        <v>henneh Habbo</v>
      </c>
    </row>
    <row r="145" spans="1:2" ht="15.75" customHeight="1" thickBot="1" x14ac:dyDescent="0.3">
      <c r="A145" s="56"/>
      <c r="B145" s="47" t="str">
        <f t="shared" ca="1" si="66"/>
        <v xml:space="preserve">هني حَبّو </v>
      </c>
    </row>
    <row r="146" spans="1:2" ht="19.5" thickTop="1" x14ac:dyDescent="0.25">
      <c r="A146" s="49" t="str">
        <f t="shared" ref="A146" ca="1" si="113">IF(MOD(ROW()-2,2)=0, INDIRECT("Sheet1!B" &amp;4+((ROW()-2)/2)-2), "")</f>
        <v>I used to love</v>
      </c>
      <c r="B146" s="45" t="str">
        <f t="shared" ca="1" si="68"/>
        <v>ana kenet Hebb</v>
      </c>
    </row>
    <row r="147" spans="1:2" ht="15.75" customHeight="1" thickBot="1" x14ac:dyDescent="0.3">
      <c r="A147" s="50"/>
      <c r="B147" s="46" t="str">
        <f t="shared" ca="1" si="69"/>
        <v>أنا كنت حبّ</v>
      </c>
    </row>
    <row r="148" spans="1:2" ht="38.25" thickTop="1" x14ac:dyDescent="0.25">
      <c r="A148" s="57" t="str">
        <f t="shared" ref="A148" ca="1" si="114">IF(MOD(ROW()-2,2)=0, INDIRECT("Sheet1!B" &amp;4+((ROW()-2)/2)-2), "")</f>
        <v>You used to love</v>
      </c>
      <c r="B148" s="48" t="str">
        <f t="shared" ca="1" si="71"/>
        <v>enta kenet tHebb/enteh kenteh tHebbeh</v>
      </c>
    </row>
    <row r="149" spans="1:2" ht="15.75" customHeight="1" thickBot="1" x14ac:dyDescent="0.3">
      <c r="A149" s="56"/>
      <c r="B149" s="47" t="str">
        <f t="shared" ca="1" si="72"/>
        <v xml:space="preserve">إنتَ كنت تحبّ/ إنتِ كنتي تحبّي </v>
      </c>
    </row>
    <row r="150" spans="1:2" ht="19.5" thickTop="1" x14ac:dyDescent="0.25">
      <c r="A150" s="49" t="str">
        <f t="shared" ref="A150" ca="1" si="115">IF(MOD(ROW()-2,2)=0, INDIRECT("Sheet1!B" &amp;4+((ROW()-2)/2)-2), "")</f>
        <v>He used to love</v>
      </c>
      <c r="B150" s="45" t="str">
        <f t="shared" ca="1" si="74"/>
        <v>howeh kein yHebb</v>
      </c>
    </row>
    <row r="151" spans="1:2" ht="15.75" customHeight="1" thickBot="1" x14ac:dyDescent="0.3">
      <c r="A151" s="50"/>
      <c r="B151" s="46" t="str">
        <f t="shared" ca="1" si="75"/>
        <v xml:space="preserve">هوّ كان يحبّ </v>
      </c>
    </row>
    <row r="152" spans="1:2" ht="19.5" thickTop="1" x14ac:dyDescent="0.25">
      <c r="A152" s="57" t="str">
        <f t="shared" ref="A152" ca="1" si="116">IF(MOD(ROW()-2,2)=0, INDIRECT("Sheet1!B" &amp;4+((ROW()-2)/2)-2), "")</f>
        <v>She used to love</v>
      </c>
      <c r="B152" s="48" t="str">
        <f t="shared" ca="1" si="77"/>
        <v>hiyyeh keinit tHebb</v>
      </c>
    </row>
    <row r="153" spans="1:2" ht="15.75" customHeight="1" thickBot="1" x14ac:dyDescent="0.3">
      <c r="A153" s="56"/>
      <c r="B153" s="47" t="str">
        <f t="shared" ca="1" si="78"/>
        <v xml:space="preserve">هيّ كانت تحبّ </v>
      </c>
    </row>
    <row r="154" spans="1:2" ht="19.5" thickTop="1" x14ac:dyDescent="0.25">
      <c r="A154" s="49" t="str">
        <f t="shared" ref="A154" ca="1" si="117">IF(MOD(ROW()-2,2)=0, INDIRECT("Sheet1!B" &amp;4+((ROW()-2)/2)-2), "")</f>
        <v>We used to love</v>
      </c>
      <c r="B154" s="45" t="str">
        <f t="shared" ca="1" si="80"/>
        <v>neHna kenna nHebb</v>
      </c>
    </row>
    <row r="155" spans="1:2" ht="15.75" customHeight="1" thickBot="1" x14ac:dyDescent="0.3">
      <c r="A155" s="50"/>
      <c r="B155" s="46" t="str">
        <f t="shared" ca="1" si="81"/>
        <v>نحنا كنّا نحبّ</v>
      </c>
    </row>
    <row r="156" spans="1:2" ht="19.5" thickTop="1" x14ac:dyDescent="0.25">
      <c r="A156" s="57" t="str">
        <f t="shared" ref="A156" ca="1" si="118">IF(MOD(ROW()-2,2)=0, INDIRECT("Sheet1!B" &amp;4+((ROW()-2)/2)-2), "")</f>
        <v>You used to love</v>
      </c>
      <c r="B156" s="48" t="str">
        <f t="shared" ref="B156" ca="1" si="119">IF(MOD(ROW()-2,2)=0, INDIRECT("Sheet1!D" &amp;4+((ROW()-2)/2)-2), "")</f>
        <v>ento kento tHebbo</v>
      </c>
    </row>
    <row r="157" spans="1:2" ht="15.75" customHeight="1" thickBot="1" x14ac:dyDescent="0.3">
      <c r="A157" s="56"/>
      <c r="B157" s="47" t="str">
        <f t="shared" ref="B157" ca="1" si="120">IF(MOD(ROW()-3,2)=0, INDIRECT("Sheet1!E" &amp;4+((ROW()-3)/2)-2), "")</f>
        <v>إنتو كنتو تحبّو</v>
      </c>
    </row>
    <row r="158" spans="1:2" ht="19.5" thickTop="1" x14ac:dyDescent="0.25">
      <c r="A158" s="49" t="str">
        <f t="shared" ref="A158" ca="1" si="121">IF(MOD(ROW()-2,2)=0, INDIRECT("Sheet1!B" &amp;4+((ROW()-2)/2)-2), "")</f>
        <v>They used to love</v>
      </c>
      <c r="B158" s="45" t="str">
        <f t="shared" ref="B158:B214" ca="1" si="122">IF(MOD(ROW()-2,2)=0, INDIRECT("Sheet1!D" &amp;4+((ROW()-2)/2)-2), "")</f>
        <v>henneh keino yHebbo</v>
      </c>
    </row>
    <row r="159" spans="1:2" ht="15.75" customHeight="1" thickBot="1" x14ac:dyDescent="0.3">
      <c r="A159" s="50"/>
      <c r="B159" s="46" t="str">
        <f t="shared" ref="B159:B215" ca="1" si="123">IF(MOD(ROW()-3,2)=0, INDIRECT("Sheet1!E" &amp;4+((ROW()-3)/2)-2), "")</f>
        <v xml:space="preserve">هنّي كانو يحبّو </v>
      </c>
    </row>
    <row r="160" spans="1:2" ht="19.5" thickTop="1" x14ac:dyDescent="0.25">
      <c r="A160" s="57" t="str">
        <f t="shared" ref="A160" ca="1" si="124">IF(MOD(ROW()-2,2)=0, INDIRECT("Sheet1!B" &amp;4+((ROW()-2)/2)-2), "")</f>
        <v>I will love</v>
      </c>
      <c r="B160" s="48" t="str">
        <f t="shared" ref="B160:B216" ca="1" si="125">IF(MOD(ROW()-2,2)=0, INDIRECT("Sheet1!D" &amp;4+((ROW()-2)/2)-2), "")</f>
        <v>ana raH Hebb</v>
      </c>
    </row>
    <row r="161" spans="1:2" ht="15.75" customHeight="1" thickBot="1" x14ac:dyDescent="0.3">
      <c r="A161" s="56"/>
      <c r="B161" s="47" t="str">
        <f t="shared" ref="B161:B217" ca="1" si="126">IF(MOD(ROW()-3,2)=0, INDIRECT("Sheet1!E" &amp;4+((ROW()-3)/2)-2), "")</f>
        <v xml:space="preserve">أنا رّح حبّ </v>
      </c>
    </row>
    <row r="162" spans="1:2" ht="38.25" thickTop="1" x14ac:dyDescent="0.25">
      <c r="A162" s="49" t="str">
        <f t="shared" ref="A162" ca="1" si="127">IF(MOD(ROW()-2,2)=0, INDIRECT("Sheet1!B" &amp;4+((ROW()-2)/2)-2), "")</f>
        <v>You will love</v>
      </c>
      <c r="B162" s="45" t="str">
        <f t="shared" ref="B162:B218" ca="1" si="128">IF(MOD(ROW()-2,2)=0, INDIRECT("Sheet1!D" &amp;4+((ROW()-2)/2)-2), "")</f>
        <v>enta raH tHebb/enteh raH tHebbeh</v>
      </c>
    </row>
    <row r="163" spans="1:2" ht="15.75" customHeight="1" thickBot="1" x14ac:dyDescent="0.3">
      <c r="A163" s="50"/>
      <c r="B163" s="46" t="str">
        <f t="shared" ref="B163:B219" ca="1" si="129">IF(MOD(ROW()-3,2)=0, INDIRECT("Sheet1!E" &amp;4+((ROW()-3)/2)-2), "")</f>
        <v xml:space="preserve">إنتَ رَح تحبّ/ إنتي رَح تحبّي </v>
      </c>
    </row>
    <row r="164" spans="1:2" ht="19.5" thickTop="1" x14ac:dyDescent="0.25">
      <c r="A164" s="57" t="str">
        <f t="shared" ref="A164" ca="1" si="130">IF(MOD(ROW()-2,2)=0, INDIRECT("Sheet1!B" &amp;4+((ROW()-2)/2)-2), "")</f>
        <v>He will love</v>
      </c>
      <c r="B164" s="48" t="str">
        <f t="shared" ref="B164:B220" ca="1" si="131">IF(MOD(ROW()-2,2)=0, INDIRECT("Sheet1!D" &amp;4+((ROW()-2)/2)-2), "")</f>
        <v>howeh raH yHebb</v>
      </c>
    </row>
    <row r="165" spans="1:2" ht="15.75" customHeight="1" thickBot="1" x14ac:dyDescent="0.3">
      <c r="A165" s="56"/>
      <c r="B165" s="47" t="str">
        <f t="shared" ref="B165:B221" ca="1" si="132">IF(MOD(ROW()-3,2)=0, INDIRECT("Sheet1!E" &amp;4+((ROW()-3)/2)-2), "")</f>
        <v xml:space="preserve">هوّ رَح يحبّ </v>
      </c>
    </row>
    <row r="166" spans="1:2" ht="19.5" thickTop="1" x14ac:dyDescent="0.25">
      <c r="A166" s="49" t="str">
        <f t="shared" ref="A166" ca="1" si="133">IF(MOD(ROW()-2,2)=0, INDIRECT("Sheet1!B" &amp;4+((ROW()-2)/2)-2), "")</f>
        <v>She will love</v>
      </c>
      <c r="B166" s="45" t="str">
        <f t="shared" ref="B166:B222" ca="1" si="134">IF(MOD(ROW()-2,2)=0, INDIRECT("Sheet1!D" &amp;4+((ROW()-2)/2)-2), "")</f>
        <v>hiyeh raH tHebb</v>
      </c>
    </row>
    <row r="167" spans="1:2" ht="15.75" customHeight="1" thickBot="1" x14ac:dyDescent="0.3">
      <c r="A167" s="50"/>
      <c r="B167" s="46" t="str">
        <f t="shared" ref="B167:B223" ca="1" si="135">IF(MOD(ROW()-3,2)=0, INDIRECT("Sheet1!E" &amp;4+((ROW()-3)/2)-2), "")</f>
        <v xml:space="preserve">هيّ رَح تحبّ </v>
      </c>
    </row>
    <row r="168" spans="1:2" ht="19.5" thickTop="1" x14ac:dyDescent="0.25">
      <c r="A168" s="57" t="str">
        <f t="shared" ref="A168" ca="1" si="136">IF(MOD(ROW()-2,2)=0, INDIRECT("Sheet1!B" &amp;4+((ROW()-2)/2)-2), "")</f>
        <v>We will love</v>
      </c>
      <c r="B168" s="48" t="str">
        <f t="shared" ref="B168:B224" ca="1" si="137">IF(MOD(ROW()-2,2)=0, INDIRECT("Sheet1!D" &amp;4+((ROW()-2)/2)-2), "")</f>
        <v>neHna raH nHebb</v>
      </c>
    </row>
    <row r="169" spans="1:2" ht="15.75" customHeight="1" thickBot="1" x14ac:dyDescent="0.3">
      <c r="A169" s="56"/>
      <c r="B169" s="47" t="str">
        <f t="shared" ref="B169:B225" ca="1" si="138">IF(MOD(ROW()-3,2)=0, INDIRECT("Sheet1!E" &amp;4+((ROW()-3)/2)-2), "")</f>
        <v xml:space="preserve">نحنا رَح نحب </v>
      </c>
    </row>
    <row r="170" spans="1:2" ht="19.5" thickTop="1" x14ac:dyDescent="0.25">
      <c r="A170" s="49" t="str">
        <f t="shared" ref="A170" ca="1" si="139">IF(MOD(ROW()-2,2)=0, INDIRECT("Sheet1!B" &amp;4+((ROW()-2)/2)-2), "")</f>
        <v>You will love</v>
      </c>
      <c r="B170" s="45" t="str">
        <f t="shared" ref="B170" ca="1" si="140">IF(MOD(ROW()-2,2)=0, INDIRECT("Sheet1!D" &amp;4+((ROW()-2)/2)-2), "")</f>
        <v>ento raH tHebbo</v>
      </c>
    </row>
    <row r="171" spans="1:2" ht="15.75" customHeight="1" thickBot="1" x14ac:dyDescent="0.3">
      <c r="A171" s="50"/>
      <c r="B171" s="46" t="str">
        <f t="shared" ref="B171" ca="1" si="141">IF(MOD(ROW()-3,2)=0, INDIRECT("Sheet1!E" &amp;4+((ROW()-3)/2)-2), "")</f>
        <v xml:space="preserve">إنتو رَح تحبّو </v>
      </c>
    </row>
    <row r="172" spans="1:2" ht="19.5" thickTop="1" x14ac:dyDescent="0.25">
      <c r="A172" s="57" t="str">
        <f t="shared" ref="A172" ca="1" si="142">IF(MOD(ROW()-2,2)=0, INDIRECT("Sheet1!B" &amp;4+((ROW()-2)/2)-2), "")</f>
        <v>They will love</v>
      </c>
      <c r="B172" s="48" t="str">
        <f t="shared" ca="1" si="122"/>
        <v>henneh raH yHebbo</v>
      </c>
    </row>
    <row r="173" spans="1:2" ht="15.75" customHeight="1" thickBot="1" x14ac:dyDescent="0.3">
      <c r="A173" s="56"/>
      <c r="B173" s="47" t="str">
        <f t="shared" ca="1" si="123"/>
        <v xml:space="preserve">هِنّي رَح يحبّوا </v>
      </c>
    </row>
    <row r="174" spans="1:2" ht="38.25" thickTop="1" x14ac:dyDescent="0.25">
      <c r="A174" s="49" t="str">
        <f t="shared" ref="A174" ca="1" si="143">IF(MOD(ROW()-2,2)=0, INDIRECT("Sheet1!B" &amp;4+((ROW()-2)/2)-2), "")</f>
        <v>I used to love you when we were kids</v>
      </c>
      <c r="B174" s="45" t="str">
        <f t="shared" ca="1" si="125"/>
        <v>ana kenet Hebbak lamma kenna wleid</v>
      </c>
    </row>
    <row r="175" spans="1:2" ht="15.75" customHeight="1" thickBot="1" x14ac:dyDescent="0.3">
      <c r="A175" s="50"/>
      <c r="B175" s="46" t="str">
        <f t="shared" ca="1" si="126"/>
        <v>أنا كنت حبَّك/ حبِّك لَمّا كنا ولاد</v>
      </c>
    </row>
    <row r="176" spans="1:2" ht="38.25" thickTop="1" x14ac:dyDescent="0.25">
      <c r="A176" s="57" t="str">
        <f t="shared" ref="A176" ca="1" si="144">IF(MOD(ROW()-2,2)=0, INDIRECT("Sheet1!B" &amp;4+((ROW()-2)/2)-2), "")</f>
        <v>He says he loves me like before</v>
      </c>
      <c r="B176" s="48" t="str">
        <f t="shared" ca="1" si="128"/>
        <v>howeh bi'oul enno biHebneh metel abel</v>
      </c>
    </row>
    <row r="177" spans="1:2" ht="15.75" customHeight="1" thickBot="1" x14ac:dyDescent="0.3">
      <c r="A177" s="56"/>
      <c r="B177" s="47" t="str">
        <f t="shared" ca="1" si="129"/>
        <v xml:space="preserve">هوّ بِقول إنّو بِحبني متل قَبل </v>
      </c>
    </row>
    <row r="178" spans="1:2" ht="57" thickTop="1" x14ac:dyDescent="0.25">
      <c r="A178" s="49" t="str">
        <f t="shared" ref="A178" ca="1" si="145">IF(MOD(ROW()-2,2)=0, INDIRECT("Sheet1!B" &amp;4+((ROW()-2)/2)-2), "")</f>
        <v>I'm sure you'll love byblos when you go</v>
      </c>
      <c r="B178" s="45" t="str">
        <f t="shared" ca="1" si="131"/>
        <v>ana akeedeh raH tHebb Jbeil bas trouH/trouHeh/trouHo</v>
      </c>
    </row>
    <row r="179" spans="1:2" ht="54.75" thickBot="1" x14ac:dyDescent="0.3">
      <c r="A179" s="50"/>
      <c r="B179" s="46" t="str">
        <f t="shared" ca="1" si="132"/>
        <v xml:space="preserve">أنا أكيد/ أكيدة رَح تحبّ جبيل بس تروح/ رح تحبّي جبيل بَس تروحي </v>
      </c>
    </row>
    <row r="180" spans="1:2" ht="19.5" thickTop="1" x14ac:dyDescent="0.25">
      <c r="A180" s="57" t="str">
        <f t="shared" ref="A180" ca="1" si="146">IF(MOD(ROW()-2,2)=0, INDIRECT("Sheet1!B" &amp;4+((ROW()-2)/2)-2), "")</f>
        <v>I travel</v>
      </c>
      <c r="B180" s="48" t="str">
        <f t="shared" ca="1" si="134"/>
        <v>ana bseifir</v>
      </c>
    </row>
    <row r="181" spans="1:2" ht="15.75" customHeight="1" thickBot="1" x14ac:dyDescent="0.3">
      <c r="A181" s="56"/>
      <c r="B181" s="47" t="str">
        <f t="shared" ca="1" si="135"/>
        <v>انا بسافِر</v>
      </c>
    </row>
    <row r="182" spans="1:2" ht="38.25" thickTop="1" x14ac:dyDescent="0.25">
      <c r="A182" s="49" t="str">
        <f t="shared" ref="A182" ca="1" si="147">IF(MOD(ROW()-2,2)=0, INDIRECT("Sheet1!B" &amp;4+((ROW()-2)/2)-2), "")</f>
        <v>You travel</v>
      </c>
      <c r="B182" s="45" t="str">
        <f t="shared" ca="1" si="137"/>
        <v>enta btseifir/ enteh btseifreh</v>
      </c>
    </row>
    <row r="183" spans="1:2" ht="15.75" customHeight="1" thickBot="1" x14ac:dyDescent="0.3">
      <c r="A183" s="50"/>
      <c r="B183" s="46" t="str">
        <f t="shared" ca="1" si="138"/>
        <v>إنتَ بتسافِر/ إنتِ بتسافري</v>
      </c>
    </row>
    <row r="184" spans="1:2" ht="19.5" thickTop="1" x14ac:dyDescent="0.25">
      <c r="A184" s="57" t="str">
        <f t="shared" ref="A184" ca="1" si="148">IF(MOD(ROW()-2,2)=0, INDIRECT("Sheet1!B" &amp;4+((ROW()-2)/2)-2), "")</f>
        <v>He travels</v>
      </c>
      <c r="B184" s="48" t="str">
        <f t="shared" ref="B184" ca="1" si="149">IF(MOD(ROW()-2,2)=0, INDIRECT("Sheet1!D" &amp;4+((ROW()-2)/2)-2), "")</f>
        <v>houwweh biseifir</v>
      </c>
    </row>
    <row r="185" spans="1:2" ht="15.75" customHeight="1" thickBot="1" x14ac:dyDescent="0.3">
      <c r="A185" s="56"/>
      <c r="B185" s="47" t="str">
        <f t="shared" ref="B185" ca="1" si="150">IF(MOD(ROW()-3,2)=0, INDIRECT("Sheet1!E" &amp;4+((ROW()-3)/2)-2), "")</f>
        <v>هُوّ بسافِر</v>
      </c>
    </row>
    <row r="186" spans="1:2" ht="19.5" thickTop="1" x14ac:dyDescent="0.25">
      <c r="A186" s="49" t="str">
        <f t="shared" ref="A186" ca="1" si="151">IF(MOD(ROW()-2,2)=0, INDIRECT("Sheet1!B" &amp;4+((ROW()-2)/2)-2), "")</f>
        <v>She travels</v>
      </c>
      <c r="B186" s="45" t="str">
        <f t="shared" ca="1" si="122"/>
        <v>hiyyeh btseifir</v>
      </c>
    </row>
    <row r="187" spans="1:2" ht="15.75" customHeight="1" thickBot="1" x14ac:dyDescent="0.3">
      <c r="A187" s="50"/>
      <c r="B187" s="46" t="str">
        <f t="shared" ca="1" si="123"/>
        <v>هِيّ بتسافِر</v>
      </c>
    </row>
    <row r="188" spans="1:2" ht="19.5" thickTop="1" x14ac:dyDescent="0.25">
      <c r="A188" s="57" t="str">
        <f t="shared" ref="A188" ca="1" si="152">IF(MOD(ROW()-2,2)=0, INDIRECT("Sheet1!B" &amp;4+((ROW()-2)/2)-2), "")</f>
        <v>We travel</v>
      </c>
      <c r="B188" s="48" t="str">
        <f t="shared" ca="1" si="125"/>
        <v>neHna mnseifir</v>
      </c>
    </row>
    <row r="189" spans="1:2" ht="15.75" customHeight="1" thickBot="1" x14ac:dyDescent="0.3">
      <c r="A189" s="56"/>
      <c r="B189" s="47" t="str">
        <f t="shared" ca="1" si="126"/>
        <v>نِحنا منسافِر</v>
      </c>
    </row>
    <row r="190" spans="1:2" ht="19.5" thickTop="1" x14ac:dyDescent="0.25">
      <c r="A190" s="49" t="str">
        <f t="shared" ref="A190" ca="1" si="153">IF(MOD(ROW()-2,2)=0, INDIRECT("Sheet1!B" &amp;4+((ROW()-2)/2)-2), "")</f>
        <v>You travel</v>
      </c>
      <c r="B190" s="45" t="str">
        <f t="shared" ca="1" si="128"/>
        <v>ento btseifro</v>
      </c>
    </row>
    <row r="191" spans="1:2" ht="15.75" customHeight="1" thickBot="1" x14ac:dyDescent="0.3">
      <c r="A191" s="50"/>
      <c r="B191" s="46" t="str">
        <f t="shared" ca="1" si="129"/>
        <v>إنتو بتسافرو</v>
      </c>
    </row>
    <row r="192" spans="1:2" ht="19.5" thickTop="1" x14ac:dyDescent="0.25">
      <c r="A192" s="57" t="str">
        <f t="shared" ref="A192" ca="1" si="154">IF(MOD(ROW()-2,2)=0, INDIRECT("Sheet1!B" &amp;4+((ROW()-2)/2)-2), "")</f>
        <v>They travel</v>
      </c>
      <c r="B192" s="48" t="str">
        <f t="shared" ca="1" si="131"/>
        <v>henneh biseifro</v>
      </c>
    </row>
    <row r="193" spans="1:2" ht="15.75" customHeight="1" thickBot="1" x14ac:dyDescent="0.3">
      <c r="A193" s="56"/>
      <c r="B193" s="47" t="str">
        <f t="shared" ca="1" si="132"/>
        <v>هِنّي بسافرو</v>
      </c>
    </row>
    <row r="194" spans="1:2" ht="19.5" thickTop="1" x14ac:dyDescent="0.25">
      <c r="A194" s="49" t="str">
        <f t="shared" ref="A194" ca="1" si="155">IF(MOD(ROW()-2,2)=0, INDIRECT("Sheet1!B" &amp;4+((ROW()-2)/2)-2), "")</f>
        <v>I'm traveling</v>
      </c>
      <c r="B194" s="45" t="str">
        <f t="shared" ca="1" si="134"/>
        <v>ana mseifar/ mseifra</v>
      </c>
    </row>
    <row r="195" spans="1:2" ht="15.75" customHeight="1" thickBot="1" x14ac:dyDescent="0.3">
      <c r="A195" s="50"/>
      <c r="B195" s="46" t="str">
        <f t="shared" ca="1" si="135"/>
        <v xml:space="preserve">أنا مسافَر/ مسافرَة </v>
      </c>
    </row>
    <row r="196" spans="1:2" ht="38.25" thickTop="1" x14ac:dyDescent="0.25">
      <c r="A196" s="57" t="str">
        <f t="shared" ref="A196" ca="1" si="156">IF(MOD(ROW()-2,2)=0, INDIRECT("Sheet1!B" &amp;4+((ROW()-2)/2)-2), "")</f>
        <v>You're traveling</v>
      </c>
      <c r="B196" s="48" t="str">
        <f t="shared" ca="1" si="137"/>
        <v>enta mseifar/ enteh mseifra</v>
      </c>
    </row>
    <row r="197" spans="1:2" ht="15.75" customHeight="1" thickBot="1" x14ac:dyDescent="0.3">
      <c r="A197" s="56"/>
      <c r="B197" s="47" t="str">
        <f t="shared" ca="1" si="138"/>
        <v>إنتَ مسافَر/ إنتِ مسافرَة</v>
      </c>
    </row>
    <row r="198" spans="1:2" ht="19.5" thickTop="1" x14ac:dyDescent="0.25">
      <c r="A198" s="49" t="str">
        <f t="shared" ref="A198" ca="1" si="157">IF(MOD(ROW()-2,2)=0, INDIRECT("Sheet1!B" &amp;4+((ROW()-2)/2)-2), "")</f>
        <v>He's traveling</v>
      </c>
      <c r="B198" s="45" t="str">
        <f t="shared" ref="B198" ca="1" si="158">IF(MOD(ROW()-2,2)=0, INDIRECT("Sheet1!D" &amp;4+((ROW()-2)/2)-2), "")</f>
        <v>houwweh mseifar</v>
      </c>
    </row>
    <row r="199" spans="1:2" ht="15.75" customHeight="1" thickBot="1" x14ac:dyDescent="0.3">
      <c r="A199" s="50"/>
      <c r="B199" s="46" t="str">
        <f t="shared" ref="B199" ca="1" si="159">IF(MOD(ROW()-3,2)=0, INDIRECT("Sheet1!E" &amp;4+((ROW()-3)/2)-2), "")</f>
        <v>هُوّ مسافَر</v>
      </c>
    </row>
    <row r="200" spans="1:2" ht="19.5" thickTop="1" x14ac:dyDescent="0.25">
      <c r="A200" s="57" t="str">
        <f t="shared" ref="A200" ca="1" si="160">IF(MOD(ROW()-2,2)=0, INDIRECT("Sheet1!B" &amp;4+((ROW()-2)/2)-2), "")</f>
        <v>She's traveling</v>
      </c>
      <c r="B200" s="48" t="str">
        <f t="shared" ca="1" si="122"/>
        <v>hiyyeh mseifra</v>
      </c>
    </row>
    <row r="201" spans="1:2" ht="15.75" customHeight="1" thickBot="1" x14ac:dyDescent="0.3">
      <c r="A201" s="56"/>
      <c r="B201" s="47" t="str">
        <f t="shared" ca="1" si="123"/>
        <v>هِيّ مسافرَة</v>
      </c>
    </row>
    <row r="202" spans="1:2" ht="19.5" thickTop="1" x14ac:dyDescent="0.25">
      <c r="A202" s="49" t="str">
        <f t="shared" ref="A202" ca="1" si="161">IF(MOD(ROW()-2,2)=0, INDIRECT("Sheet1!B" &amp;4+((ROW()-2)/2)-2), "")</f>
        <v>We're traveling</v>
      </c>
      <c r="B202" s="45" t="str">
        <f t="shared" ca="1" si="125"/>
        <v>neHna mseifreen</v>
      </c>
    </row>
    <row r="203" spans="1:2" ht="15.75" customHeight="1" thickBot="1" x14ac:dyDescent="0.3">
      <c r="A203" s="50"/>
      <c r="B203" s="46" t="str">
        <f t="shared" ca="1" si="126"/>
        <v xml:space="preserve">نحنا مسافرين </v>
      </c>
    </row>
    <row r="204" spans="1:2" ht="19.5" thickTop="1" x14ac:dyDescent="0.25">
      <c r="A204" s="57" t="str">
        <f t="shared" ref="A204" ca="1" si="162">IF(MOD(ROW()-2,2)=0, INDIRECT("Sheet1!B" &amp;4+((ROW()-2)/2)-2), "")</f>
        <v>You're traveling</v>
      </c>
      <c r="B204" s="48" t="str">
        <f t="shared" ca="1" si="128"/>
        <v>ento mseifreen</v>
      </c>
    </row>
    <row r="205" spans="1:2" ht="15.75" customHeight="1" thickBot="1" x14ac:dyDescent="0.3">
      <c r="A205" s="56"/>
      <c r="B205" s="47" t="str">
        <f t="shared" ca="1" si="129"/>
        <v>إنتو مسافرين</v>
      </c>
    </row>
    <row r="206" spans="1:2" ht="19.5" thickTop="1" x14ac:dyDescent="0.25">
      <c r="A206" s="49" t="str">
        <f t="shared" ref="A206" ca="1" si="163">IF(MOD(ROW()-2,2)=0, INDIRECT("Sheet1!B" &amp;4+((ROW()-2)/2)-2), "")</f>
        <v>They're traveling</v>
      </c>
      <c r="B206" s="45" t="str">
        <f t="shared" ca="1" si="131"/>
        <v>henneh mseifreen</v>
      </c>
    </row>
    <row r="207" spans="1:2" ht="15.75" customHeight="1" thickBot="1" x14ac:dyDescent="0.3">
      <c r="A207" s="50"/>
      <c r="B207" s="46" t="str">
        <f t="shared" ca="1" si="132"/>
        <v>هِنّي مسافرين</v>
      </c>
    </row>
    <row r="208" spans="1:2" ht="19.5" thickTop="1" x14ac:dyDescent="0.25">
      <c r="A208" s="57" t="str">
        <f t="shared" ref="A208" ca="1" si="164">IF(MOD(ROW()-2,2)=0, INDIRECT("Sheet1!B" &amp;4+((ROW()-2)/2)-2), "")</f>
        <v>I traveled</v>
      </c>
      <c r="B208" s="48" t="str">
        <f t="shared" ca="1" si="134"/>
        <v>ana seifaret</v>
      </c>
    </row>
    <row r="209" spans="1:2" ht="15.75" customHeight="1" thickBot="1" x14ac:dyDescent="0.3">
      <c r="A209" s="56"/>
      <c r="B209" s="47" t="str">
        <f t="shared" ca="1" si="135"/>
        <v>أنا سافَرت</v>
      </c>
    </row>
    <row r="210" spans="1:2" ht="38.25" thickTop="1" x14ac:dyDescent="0.25">
      <c r="A210" s="49" t="str">
        <f t="shared" ref="A210" ca="1" si="165">IF(MOD(ROW()-2,2)=0, INDIRECT("Sheet1!B" &amp;4+((ROW()-2)/2)-2), "")</f>
        <v>You traveled</v>
      </c>
      <c r="B210" s="45" t="str">
        <f t="shared" ca="1" si="137"/>
        <v>enta seifaret/ enteh seifarteh</v>
      </c>
    </row>
    <row r="211" spans="1:2" ht="15.75" customHeight="1" thickBot="1" x14ac:dyDescent="0.3">
      <c r="A211" s="50"/>
      <c r="B211" s="46" t="str">
        <f t="shared" ca="1" si="138"/>
        <v>إنتّ سافَرت/ إنتِ سافَرتي</v>
      </c>
    </row>
    <row r="212" spans="1:2" ht="19.5" thickTop="1" x14ac:dyDescent="0.25">
      <c r="A212" s="57" t="str">
        <f t="shared" ref="A212" ca="1" si="166">IF(MOD(ROW()-2,2)=0, INDIRECT("Sheet1!B" &amp;4+((ROW()-2)/2)-2), "")</f>
        <v>He traveled</v>
      </c>
      <c r="B212" s="48" t="str">
        <f t="shared" ref="B212" ca="1" si="167">IF(MOD(ROW()-2,2)=0, INDIRECT("Sheet1!D" &amp;4+((ROW()-2)/2)-2), "")</f>
        <v>houwweh seifar</v>
      </c>
    </row>
    <row r="213" spans="1:2" ht="15.75" customHeight="1" thickBot="1" x14ac:dyDescent="0.3">
      <c r="A213" s="56"/>
      <c r="B213" s="47" t="str">
        <f t="shared" ref="B213" ca="1" si="168">IF(MOD(ROW()-3,2)=0, INDIRECT("Sheet1!E" &amp;4+((ROW()-3)/2)-2), "")</f>
        <v>هُوّ سافَر</v>
      </c>
    </row>
    <row r="214" spans="1:2" ht="19.5" thickTop="1" x14ac:dyDescent="0.25">
      <c r="A214" s="49" t="str">
        <f t="shared" ref="A214" ca="1" si="169">IF(MOD(ROW()-2,2)=0, INDIRECT("Sheet1!B" &amp;4+((ROW()-2)/2)-2), "")</f>
        <v>She traveled</v>
      </c>
      <c r="B214" s="45" t="str">
        <f t="shared" ca="1" si="122"/>
        <v>hiyyeh seifarit</v>
      </c>
    </row>
    <row r="215" spans="1:2" ht="15.75" customHeight="1" thickBot="1" x14ac:dyDescent="0.3">
      <c r="A215" s="50"/>
      <c r="B215" s="46" t="str">
        <f t="shared" ca="1" si="123"/>
        <v>هِيّ سافَرِت</v>
      </c>
    </row>
    <row r="216" spans="1:2" ht="19.5" thickTop="1" x14ac:dyDescent="0.25">
      <c r="A216" s="57" t="str">
        <f t="shared" ref="A216" ca="1" si="170">IF(MOD(ROW()-2,2)=0, INDIRECT("Sheet1!B" &amp;4+((ROW()-2)/2)-2), "")</f>
        <v>We traveled</v>
      </c>
      <c r="B216" s="48" t="str">
        <f t="shared" ca="1" si="125"/>
        <v>neHna seifarna</v>
      </c>
    </row>
    <row r="217" spans="1:2" ht="15.75" customHeight="1" thickBot="1" x14ac:dyDescent="0.3">
      <c r="A217" s="56"/>
      <c r="B217" s="47" t="str">
        <f t="shared" ca="1" si="126"/>
        <v>نِحنا سافَرنا</v>
      </c>
    </row>
    <row r="218" spans="1:2" ht="19.5" thickTop="1" x14ac:dyDescent="0.25">
      <c r="A218" s="49" t="str">
        <f t="shared" ref="A218" ca="1" si="171">IF(MOD(ROW()-2,2)=0, INDIRECT("Sheet1!B" &amp;4+((ROW()-2)/2)-2), "")</f>
        <v>You traveled</v>
      </c>
      <c r="B218" s="45" t="str">
        <f t="shared" ca="1" si="128"/>
        <v>ento seifarto</v>
      </c>
    </row>
    <row r="219" spans="1:2" ht="15.75" customHeight="1" thickBot="1" x14ac:dyDescent="0.3">
      <c r="A219" s="50"/>
      <c r="B219" s="46" t="str">
        <f t="shared" ca="1" si="129"/>
        <v>إنتو سافَرتو</v>
      </c>
    </row>
    <row r="220" spans="1:2" ht="19.5" thickTop="1" x14ac:dyDescent="0.25">
      <c r="A220" s="57" t="str">
        <f t="shared" ref="A220" ca="1" si="172">IF(MOD(ROW()-2,2)=0, INDIRECT("Sheet1!B" &amp;4+((ROW()-2)/2)-2), "")</f>
        <v>They traveled</v>
      </c>
      <c r="B220" s="48" t="str">
        <f t="shared" ca="1" si="131"/>
        <v>henneh seifaro</v>
      </c>
    </row>
    <row r="221" spans="1:2" ht="15.75" customHeight="1" thickBot="1" x14ac:dyDescent="0.3">
      <c r="A221" s="56"/>
      <c r="B221" s="47" t="str">
        <f t="shared" ca="1" si="132"/>
        <v>هِنّي سافَرو</v>
      </c>
    </row>
    <row r="222" spans="1:2" ht="19.5" thickTop="1" x14ac:dyDescent="0.25">
      <c r="A222" s="49" t="str">
        <f t="shared" ref="A222" ca="1" si="173">IF(MOD(ROW()-2,2)=0, INDIRECT("Sheet1!B" &amp;4+((ROW()-2)/2)-2), "")</f>
        <v>I used to travel</v>
      </c>
      <c r="B222" s="45" t="str">
        <f t="shared" ca="1" si="134"/>
        <v>ana kenet seifir</v>
      </c>
    </row>
    <row r="223" spans="1:2" ht="15.75" customHeight="1" thickBot="1" x14ac:dyDescent="0.3">
      <c r="A223" s="50"/>
      <c r="B223" s="46" t="str">
        <f t="shared" ca="1" si="135"/>
        <v>أنا كنت سافِر</v>
      </c>
    </row>
    <row r="224" spans="1:2" ht="38.25" thickTop="1" x14ac:dyDescent="0.25">
      <c r="A224" s="57" t="str">
        <f t="shared" ref="A224" ca="1" si="174">IF(MOD(ROW()-2,2)=0, INDIRECT("Sheet1!B" &amp;4+((ROW()-2)/2)-2), "")</f>
        <v>You used to travel</v>
      </c>
      <c r="B224" s="48" t="str">
        <f t="shared" ca="1" si="137"/>
        <v>houwweh kein yseifir/ hiyyeh kenit tseifir</v>
      </c>
    </row>
    <row r="225" spans="1:2" ht="15.75" customHeight="1" thickBot="1" x14ac:dyDescent="0.3">
      <c r="A225" s="56"/>
      <c r="B225" s="47" t="str">
        <f t="shared" ca="1" si="138"/>
        <v>إنتَ كنت تسافِر/ إنتِ كنتِ تسافري</v>
      </c>
    </row>
    <row r="226" spans="1:2" ht="19.5" thickTop="1" x14ac:dyDescent="0.25">
      <c r="A226" s="49" t="str">
        <f t="shared" ref="A226" ca="1" si="175">IF(MOD(ROW()-2,2)=0, INDIRECT("Sheet1!B" &amp;4+((ROW()-2)/2)-2), "")</f>
        <v>He used to travel</v>
      </c>
      <c r="B226" s="45" t="str">
        <f t="shared" ref="B226" ca="1" si="176">IF(MOD(ROW()-2,2)=0, INDIRECT("Sheet1!D" &amp;4+((ROW()-2)/2)-2), "")</f>
        <v>houwweh kein yseifir</v>
      </c>
    </row>
    <row r="227" spans="1:2" ht="15.75" customHeight="1" thickBot="1" x14ac:dyDescent="0.3">
      <c r="A227" s="50"/>
      <c r="B227" s="46" t="str">
        <f t="shared" ref="B227" ca="1" si="177">IF(MOD(ROW()-3,2)=0, INDIRECT("Sheet1!E" &amp;4+((ROW()-3)/2)-2), "")</f>
        <v>هُوّ كان يسافِر</v>
      </c>
    </row>
    <row r="228" spans="1:2" ht="19.5" thickTop="1" x14ac:dyDescent="0.25">
      <c r="A228" s="57" t="str">
        <f t="shared" ref="A228" ca="1" si="178">IF(MOD(ROW()-2,2)=0, INDIRECT("Sheet1!B" &amp;4+((ROW()-2)/2)-2), "")</f>
        <v>She used to travel</v>
      </c>
      <c r="B228" s="48" t="str">
        <f t="shared" ref="B228:B284" ca="1" si="179">IF(MOD(ROW()-2,2)=0, INDIRECT("Sheet1!D" &amp;4+((ROW()-2)/2)-2), "")</f>
        <v>hiyyeh keinit tseifir</v>
      </c>
    </row>
    <row r="229" spans="1:2" ht="15.75" customHeight="1" thickBot="1" x14ac:dyDescent="0.3">
      <c r="A229" s="56"/>
      <c r="B229" s="47" t="str">
        <f t="shared" ref="B229:B285" ca="1" si="180">IF(MOD(ROW()-3,2)=0, INDIRECT("Sheet1!E" &amp;4+((ROW()-3)/2)-2), "")</f>
        <v>هِيّ كانِت تسافِر</v>
      </c>
    </row>
    <row r="230" spans="1:2" ht="19.5" thickTop="1" x14ac:dyDescent="0.25">
      <c r="A230" s="49" t="str">
        <f t="shared" ref="A230" ca="1" si="181">IF(MOD(ROW()-2,2)=0, INDIRECT("Sheet1!B" &amp;4+((ROW()-2)/2)-2), "")</f>
        <v>We used to travel</v>
      </c>
      <c r="B230" s="45" t="str">
        <f t="shared" ref="B230:B286" ca="1" si="182">IF(MOD(ROW()-2,2)=0, INDIRECT("Sheet1!D" &amp;4+((ROW()-2)/2)-2), "")</f>
        <v>neHna kenna nseifir</v>
      </c>
    </row>
    <row r="231" spans="1:2" ht="15.75" customHeight="1" thickBot="1" x14ac:dyDescent="0.3">
      <c r="A231" s="50"/>
      <c r="B231" s="46" t="str">
        <f t="shared" ref="B231:B287" ca="1" si="183">IF(MOD(ROW()-3,2)=0, INDIRECT("Sheet1!E" &amp;4+((ROW()-3)/2)-2), "")</f>
        <v>نِحنا كِنّا نسافِر</v>
      </c>
    </row>
    <row r="232" spans="1:2" ht="19.5" thickTop="1" x14ac:dyDescent="0.25">
      <c r="A232" s="57" t="str">
        <f t="shared" ref="A232" ca="1" si="184">IF(MOD(ROW()-2,2)=0, INDIRECT("Sheet1!B" &amp;4+((ROW()-2)/2)-2), "")</f>
        <v>You used to travel</v>
      </c>
      <c r="B232" s="48" t="str">
        <f t="shared" ref="B232:B288" ca="1" si="185">IF(MOD(ROW()-2,2)=0, INDIRECT("Sheet1!D" &amp;4+((ROW()-2)/2)-2), "")</f>
        <v>ento kento tseifro</v>
      </c>
    </row>
    <row r="233" spans="1:2" ht="15.75" customHeight="1" thickBot="1" x14ac:dyDescent="0.3">
      <c r="A233" s="56"/>
      <c r="B233" s="47" t="str">
        <f t="shared" ref="B233:B289" ca="1" si="186">IF(MOD(ROW()-3,2)=0, INDIRECT("Sheet1!E" &amp;4+((ROW()-3)/2)-2), "")</f>
        <v>إنتو كنتو تسافرو</v>
      </c>
    </row>
    <row r="234" spans="1:2" ht="19.5" thickTop="1" x14ac:dyDescent="0.25">
      <c r="A234" s="49" t="str">
        <f t="shared" ref="A234" ca="1" si="187">IF(MOD(ROW()-2,2)=0, INDIRECT("Sheet1!B" &amp;4+((ROW()-2)/2)-2), "")</f>
        <v>They used to travel</v>
      </c>
      <c r="B234" s="45" t="str">
        <f t="shared" ref="B234:B290" ca="1" si="188">IF(MOD(ROW()-2,2)=0, INDIRECT("Sheet1!D" &amp;4+((ROW()-2)/2)-2), "")</f>
        <v>henneh keino yseifro</v>
      </c>
    </row>
    <row r="235" spans="1:2" ht="15.75" customHeight="1" thickBot="1" x14ac:dyDescent="0.3">
      <c r="A235" s="50"/>
      <c r="B235" s="46" t="str">
        <f t="shared" ref="B235:B291" ca="1" si="189">IF(MOD(ROW()-3,2)=0, INDIRECT("Sheet1!E" &amp;4+((ROW()-3)/2)-2), "")</f>
        <v>هِنّي كانو يسافرو</v>
      </c>
    </row>
    <row r="236" spans="1:2" ht="19.5" thickTop="1" x14ac:dyDescent="0.25">
      <c r="A236" s="57" t="str">
        <f t="shared" ref="A236" ca="1" si="190">IF(MOD(ROW()-2,2)=0, INDIRECT("Sheet1!B" &amp;4+((ROW()-2)/2)-2), "")</f>
        <v>I'll travel</v>
      </c>
      <c r="B236" s="48" t="str">
        <f t="shared" ref="B236:B292" ca="1" si="191">IF(MOD(ROW()-2,2)=0, INDIRECT("Sheet1!D" &amp;4+((ROW()-2)/2)-2), "")</f>
        <v>ana raH seifir</v>
      </c>
    </row>
    <row r="237" spans="1:2" ht="15.75" customHeight="1" thickBot="1" x14ac:dyDescent="0.3">
      <c r="A237" s="56"/>
      <c r="B237" s="47" t="str">
        <f t="shared" ref="B237:B293" ca="1" si="192">IF(MOD(ROW()-3,2)=0, INDIRECT("Sheet1!E" &amp;4+((ROW()-3)/2)-2), "")</f>
        <v>أنا رَح سافِر</v>
      </c>
    </row>
    <row r="238" spans="1:2" ht="38.25" thickTop="1" x14ac:dyDescent="0.25">
      <c r="A238" s="49" t="str">
        <f t="shared" ref="A238" ca="1" si="193">IF(MOD(ROW()-2,2)=0, INDIRECT("Sheet1!B" &amp;4+((ROW()-2)/2)-2), "")</f>
        <v>You'll travel</v>
      </c>
      <c r="B238" s="45" t="str">
        <f t="shared" ref="B238:B294" ca="1" si="194">IF(MOD(ROW()-2,2)=0, INDIRECT("Sheet1!D" &amp;4+((ROW()-2)/2)-2), "")</f>
        <v>enta raH tseifir/ enteh raH tseifreh</v>
      </c>
    </row>
    <row r="239" spans="1:2" ht="15.75" customHeight="1" thickBot="1" x14ac:dyDescent="0.3">
      <c r="A239" s="50"/>
      <c r="B239" s="46" t="str">
        <f t="shared" ref="B239:B295" ca="1" si="195">IF(MOD(ROW()-3,2)=0, INDIRECT("Sheet1!E" &amp;4+((ROW()-3)/2)-2), "")</f>
        <v>إنتَ رَح تسافِر/ إنتِ رَح تسافري</v>
      </c>
    </row>
    <row r="240" spans="1:2" ht="19.5" thickTop="1" x14ac:dyDescent="0.25">
      <c r="A240" s="57" t="str">
        <f t="shared" ref="A240" ca="1" si="196">IF(MOD(ROW()-2,2)=0, INDIRECT("Sheet1!B" &amp;4+((ROW()-2)/2)-2), "")</f>
        <v>He'll travel</v>
      </c>
      <c r="B240" s="48" t="str">
        <f t="shared" ref="B240" ca="1" si="197">IF(MOD(ROW()-2,2)=0, INDIRECT("Sheet1!D" &amp;4+((ROW()-2)/2)-2), "")</f>
        <v>houwweh raH yseifir</v>
      </c>
    </row>
    <row r="241" spans="1:2" ht="15.75" customHeight="1" thickBot="1" x14ac:dyDescent="0.3">
      <c r="A241" s="56"/>
      <c r="B241" s="47" t="str">
        <f t="shared" ref="B241" ca="1" si="198">IF(MOD(ROW()-3,2)=0, INDIRECT("Sheet1!E" &amp;4+((ROW()-3)/2)-2), "")</f>
        <v>هُوّ رَح يسافِر</v>
      </c>
    </row>
    <row r="242" spans="1:2" ht="19.5" thickTop="1" x14ac:dyDescent="0.25">
      <c r="A242" s="49" t="str">
        <f t="shared" ref="A242" ca="1" si="199">IF(MOD(ROW()-2,2)=0, INDIRECT("Sheet1!B" &amp;4+((ROW()-2)/2)-2), "")</f>
        <v>She'll travel</v>
      </c>
      <c r="B242" s="45" t="str">
        <f t="shared" ca="1" si="179"/>
        <v>hiyyeh raH tseifir</v>
      </c>
    </row>
    <row r="243" spans="1:2" ht="15.75" customHeight="1" thickBot="1" x14ac:dyDescent="0.3">
      <c r="A243" s="50"/>
      <c r="B243" s="46" t="str">
        <f t="shared" ca="1" si="180"/>
        <v>هِيّ رَح تسافِر</v>
      </c>
    </row>
    <row r="244" spans="1:2" ht="19.5" thickTop="1" x14ac:dyDescent="0.25">
      <c r="A244" s="57" t="str">
        <f t="shared" ref="A244" ca="1" si="200">IF(MOD(ROW()-2,2)=0, INDIRECT("Sheet1!B" &amp;4+((ROW()-2)/2)-2), "")</f>
        <v>We'll travel</v>
      </c>
      <c r="B244" s="48" t="str">
        <f t="shared" ca="1" si="182"/>
        <v>neHna raH nseifir</v>
      </c>
    </row>
    <row r="245" spans="1:2" ht="15.75" customHeight="1" thickBot="1" x14ac:dyDescent="0.3">
      <c r="A245" s="56"/>
      <c r="B245" s="47" t="str">
        <f t="shared" ca="1" si="183"/>
        <v>نِحنا رَح نسافِر</v>
      </c>
    </row>
    <row r="246" spans="1:2" ht="19.5" thickTop="1" x14ac:dyDescent="0.25">
      <c r="A246" s="49" t="str">
        <f t="shared" ref="A246" ca="1" si="201">IF(MOD(ROW()-2,2)=0, INDIRECT("Sheet1!B" &amp;4+((ROW()-2)/2)-2), "")</f>
        <v>You'll tavel</v>
      </c>
      <c r="B246" s="45" t="str">
        <f t="shared" ca="1" si="185"/>
        <v>ento raH tseifro</v>
      </c>
    </row>
    <row r="247" spans="1:2" ht="15.75" customHeight="1" thickBot="1" x14ac:dyDescent="0.3">
      <c r="A247" s="50"/>
      <c r="B247" s="46" t="str">
        <f t="shared" ca="1" si="186"/>
        <v>إنتو رَح تسافرو</v>
      </c>
    </row>
    <row r="248" spans="1:2" ht="19.5" thickTop="1" x14ac:dyDescent="0.25">
      <c r="A248" s="57" t="str">
        <f t="shared" ref="A248" ca="1" si="202">IF(MOD(ROW()-2,2)=0, INDIRECT("Sheet1!B" &amp;4+((ROW()-2)/2)-2), "")</f>
        <v>They'll travel</v>
      </c>
      <c r="B248" s="48" t="str">
        <f t="shared" ca="1" si="188"/>
        <v>henneh raH yseifro</v>
      </c>
    </row>
    <row r="249" spans="1:2" ht="15.75" customHeight="1" thickBot="1" x14ac:dyDescent="0.3">
      <c r="A249" s="56"/>
      <c r="B249" s="47" t="str">
        <f t="shared" ca="1" si="189"/>
        <v>هِنّي رَح يسافرو</v>
      </c>
    </row>
    <row r="250" spans="1:2" ht="38.25" thickTop="1" x14ac:dyDescent="0.25">
      <c r="A250" s="49" t="str">
        <f t="shared" ref="A250" ca="1" si="203">IF(MOD(ROW()-2,2)=0, INDIRECT("Sheet1!B" &amp;4+((ROW()-2)/2)-2), "")</f>
        <v>I'm traveling to paris today</v>
      </c>
      <c r="B250" s="45" t="str">
        <f t="shared" ca="1" si="191"/>
        <v>ana mseifar/ mseifra 3ala beireez el yom</v>
      </c>
    </row>
    <row r="251" spans="1:2" ht="15.75" customHeight="1" thickBot="1" x14ac:dyDescent="0.3">
      <c r="A251" s="50"/>
      <c r="B251" s="46" t="str">
        <f t="shared" ca="1" si="192"/>
        <v>أنا مسافَر/ مسافرَة عَلى باريز اليوم</v>
      </c>
    </row>
    <row r="252" spans="1:2" ht="38.25" thickTop="1" x14ac:dyDescent="0.25">
      <c r="A252" s="57" t="str">
        <f t="shared" ref="A252" ca="1" si="204">IF(MOD(ROW()-2,2)=0, INDIRECT("Sheet1!B" &amp;4+((ROW()-2)/2)-2), "")</f>
        <v>I travel every summer</v>
      </c>
      <c r="B252" s="48" t="str">
        <f t="shared" ca="1" si="194"/>
        <v>ana bseifir kel seif/ sayfiyyeh</v>
      </c>
    </row>
    <row r="253" spans="1:2" ht="15.75" customHeight="1" thickBot="1" x14ac:dyDescent="0.3">
      <c r="A253" s="56"/>
      <c r="B253" s="47" t="str">
        <f t="shared" ca="1" si="195"/>
        <v>أنا بسافِر كِلّ صَيف/ صَيفيّة</v>
      </c>
    </row>
    <row r="254" spans="1:2" ht="57" thickTop="1" x14ac:dyDescent="0.25">
      <c r="A254" s="49" t="str">
        <f t="shared" ref="A254" ca="1" si="205">IF(MOD(ROW()-2,2)=0, INDIRECT("Sheet1!B" &amp;4+((ROW()-2)/2)-2), "")</f>
        <v>My brother and father, traveled last month, to brezil</v>
      </c>
      <c r="B254" s="45" t="str">
        <f t="shared" ref="B254" ca="1" si="206">IF(MOD(ROW()-2,2)=0, INDIRECT("Sheet1!D" &amp;4+((ROW()-2)/2)-2), "")</f>
        <v>khayyeh w bayyeh, seifaro el shaher el madeh 3ala el brazeel</v>
      </c>
    </row>
    <row r="255" spans="1:2" ht="36.75" thickBot="1" x14ac:dyDescent="0.3">
      <c r="A255" s="50"/>
      <c r="B255" s="46" t="str">
        <f t="shared" ref="B255" ca="1" si="207">IF(MOD(ROW()-3,2)=0, INDIRECT("Sheet1!E" &amp;4+((ROW()-3)/2)-2), "")</f>
        <v>خَيِّ و بَيِّ، سافَروا الشَهر الماضي، عَلى البرازيل</v>
      </c>
    </row>
    <row r="256" spans="1:2" ht="38.25" thickTop="1" x14ac:dyDescent="0.25">
      <c r="A256" s="57" t="str">
        <f t="shared" ref="A256" ca="1" si="208">IF(MOD(ROW()-2,2)=0, INDIRECT("Sheet1!B" &amp;4+((ROW()-2)/2)-2), "")</f>
        <v>We used to travel every year</v>
      </c>
      <c r="B256" s="48" t="str">
        <f t="shared" ca="1" si="179"/>
        <v>neHna kenna nseifir kel seneh</v>
      </c>
    </row>
    <row r="257" spans="1:2" ht="15.75" customHeight="1" thickBot="1" x14ac:dyDescent="0.3">
      <c r="A257" s="56"/>
      <c r="B257" s="47" t="str">
        <f t="shared" ca="1" si="180"/>
        <v xml:space="preserve"> نِحنا كِنّا نسافِر كِلّ سنة</v>
      </c>
    </row>
    <row r="258" spans="1:2" ht="19.5" thickTop="1" x14ac:dyDescent="0.25">
      <c r="A258" s="49" t="str">
        <f t="shared" ref="A258" ca="1" si="209">IF(MOD(ROW()-2,2)=0, INDIRECT("Sheet1!B" &amp;4+((ROW()-2)/2)-2), "")</f>
        <v>When will you travel?</v>
      </c>
      <c r="B258" s="45" t="str">
        <f t="shared" ca="1" si="182"/>
        <v>eimtan raH tseifro?</v>
      </c>
    </row>
    <row r="259" spans="1:2" ht="15.75" customHeight="1" thickBot="1" x14ac:dyDescent="0.3">
      <c r="A259" s="50"/>
      <c r="B259" s="46" t="str">
        <f t="shared" ca="1" si="183"/>
        <v>أمتَن رَح تسافرو؟</v>
      </c>
    </row>
    <row r="260" spans="1:2" ht="19.5" thickTop="1" x14ac:dyDescent="0.25">
      <c r="A260" s="57" t="str">
        <f t="shared" ref="A260" ca="1" si="210">IF(MOD(ROW()-2,2)=0, INDIRECT("Sheet1!B" &amp;4+((ROW()-2)/2)-2), "")</f>
        <v>Home</v>
      </c>
      <c r="B260" s="48" t="str">
        <f t="shared" ca="1" si="185"/>
        <v>beit</v>
      </c>
    </row>
    <row r="261" spans="1:2" ht="15.75" customHeight="1" thickBot="1" x14ac:dyDescent="0.3">
      <c r="A261" s="56"/>
      <c r="B261" s="47" t="str">
        <f t="shared" ca="1" si="186"/>
        <v xml:space="preserve"> بَيْت</v>
      </c>
    </row>
    <row r="262" spans="1:2" ht="19.5" thickTop="1" x14ac:dyDescent="0.25">
      <c r="A262" s="49" t="str">
        <f t="shared" ref="A262" ca="1" si="211">IF(MOD(ROW()-2,2)=0, INDIRECT("Sheet1!B" &amp;4+((ROW()-2)/2)-2), "")</f>
        <v>Building</v>
      </c>
      <c r="B262" s="45" t="str">
        <f t="shared" ca="1" si="188"/>
        <v>bineyeh</v>
      </c>
    </row>
    <row r="263" spans="1:2" ht="15.75" customHeight="1" thickBot="1" x14ac:dyDescent="0.3">
      <c r="A263" s="50"/>
      <c r="B263" s="46" t="str">
        <f t="shared" ca="1" si="189"/>
        <v xml:space="preserve"> بناية</v>
      </c>
    </row>
    <row r="264" spans="1:2" ht="19.5" thickTop="1" x14ac:dyDescent="0.25">
      <c r="A264" s="57" t="str">
        <f t="shared" ref="A264" ca="1" si="212">IF(MOD(ROW()-2,2)=0, INDIRECT("Sheet1!B" &amp;4+((ROW()-2)/2)-2), "")</f>
        <v>Floor</v>
      </c>
      <c r="B264" s="48" t="str">
        <f t="shared" ca="1" si="191"/>
        <v>tabe'/ tawabe'</v>
      </c>
    </row>
    <row r="265" spans="1:2" ht="15.75" customHeight="1" thickBot="1" x14ac:dyDescent="0.3">
      <c r="A265" s="56"/>
      <c r="B265" s="47" t="str">
        <f t="shared" ca="1" si="192"/>
        <v xml:space="preserve"> طابقِ/ طَوابِق</v>
      </c>
    </row>
    <row r="266" spans="1:2" ht="19.5" thickTop="1" x14ac:dyDescent="0.25">
      <c r="A266" s="49" t="str">
        <f t="shared" ref="A266" ca="1" si="213">IF(MOD(ROW()-2,2)=0, INDIRECT("Sheet1!B" &amp;4+((ROW()-2)/2)-2), "")</f>
        <v>Bedroom</v>
      </c>
      <c r="B266" s="45" t="str">
        <f t="shared" ca="1" si="194"/>
        <v>oudit el nom</v>
      </c>
    </row>
    <row r="267" spans="1:2" ht="15.75" customHeight="1" thickBot="1" x14ac:dyDescent="0.3">
      <c r="A267" s="50"/>
      <c r="B267" s="46" t="str">
        <f t="shared" ca="1" si="195"/>
        <v xml:space="preserve"> قوضِة النَوْم</v>
      </c>
    </row>
    <row r="268" spans="1:2" ht="19.5" thickTop="1" x14ac:dyDescent="0.25">
      <c r="A268" s="57" t="str">
        <f t="shared" ref="A268" ca="1" si="214">IF(MOD(ROW()-2,2)=0, INDIRECT("Sheet1!B" &amp;4+((ROW()-2)/2)-2), "")</f>
        <v>Living room</v>
      </c>
      <c r="B268" s="48" t="str">
        <f t="shared" ref="B268" ca="1" si="215">IF(MOD(ROW()-2,2)=0, INDIRECT("Sheet1!D" &amp;4+((ROW()-2)/2)-2), "")</f>
        <v>oudit el a3deh</v>
      </c>
    </row>
    <row r="269" spans="1:2" ht="15.75" customHeight="1" thickBot="1" x14ac:dyDescent="0.3">
      <c r="A269" s="56"/>
      <c r="B269" s="47" t="str">
        <f t="shared" ref="B269" ca="1" si="216">IF(MOD(ROW()-3,2)=0, INDIRECT("Sheet1!E" &amp;4+((ROW()-3)/2)-2), "")</f>
        <v>قوضِة القَعْدِة</v>
      </c>
    </row>
    <row r="270" spans="1:2" ht="19.5" thickTop="1" x14ac:dyDescent="0.25">
      <c r="A270" s="49" t="str">
        <f t="shared" ref="A270" ca="1" si="217">IF(MOD(ROW()-2,2)=0, INDIRECT("Sheet1!B" &amp;4+((ROW()-2)/2)-2), "")</f>
        <v>Kitchen</v>
      </c>
      <c r="B270" s="45" t="str">
        <f t="shared" ca="1" si="179"/>
        <v>matbakh</v>
      </c>
    </row>
    <row r="271" spans="1:2" ht="15.75" customHeight="1" thickBot="1" x14ac:dyDescent="0.3">
      <c r="A271" s="50"/>
      <c r="B271" s="46" t="str">
        <f t="shared" ca="1" si="180"/>
        <v xml:space="preserve"> مَطبَخ</v>
      </c>
    </row>
    <row r="272" spans="1:2" ht="19.5" thickTop="1" x14ac:dyDescent="0.25">
      <c r="A272" s="57" t="str">
        <f t="shared" ref="A272" ca="1" si="218">IF(MOD(ROW()-2,2)=0, INDIRECT("Sheet1!B" &amp;4+((ROW()-2)/2)-2), "")</f>
        <v>Bathroom</v>
      </c>
      <c r="B272" s="48" t="str">
        <f t="shared" ca="1" si="182"/>
        <v>Hemmem</v>
      </c>
    </row>
    <row r="273" spans="1:2" ht="15.75" customHeight="1" thickBot="1" x14ac:dyDescent="0.3">
      <c r="A273" s="56"/>
      <c r="B273" s="47" t="str">
        <f t="shared" ca="1" si="183"/>
        <v xml:space="preserve"> حَمّام</v>
      </c>
    </row>
    <row r="274" spans="1:2" ht="19.5" thickTop="1" x14ac:dyDescent="0.25">
      <c r="A274" s="49" t="str">
        <f t="shared" ref="A274" ca="1" si="219">IF(MOD(ROW()-2,2)=0, INDIRECT("Sheet1!B" &amp;4+((ROW()-2)/2)-2), "")</f>
        <v>Bed</v>
      </c>
      <c r="B274" s="45" t="str">
        <f t="shared" ca="1" si="185"/>
        <v>takhet</v>
      </c>
    </row>
    <row r="275" spans="1:2" ht="15.75" customHeight="1" thickBot="1" x14ac:dyDescent="0.3">
      <c r="A275" s="50"/>
      <c r="B275" s="46" t="str">
        <f t="shared" ca="1" si="186"/>
        <v xml:space="preserve"> تَخْت</v>
      </c>
    </row>
    <row r="276" spans="1:2" ht="19.5" thickTop="1" x14ac:dyDescent="0.25">
      <c r="A276" s="57" t="str">
        <f t="shared" ref="A276" ca="1" si="220">IF(MOD(ROW()-2,2)=0, INDIRECT("Sheet1!B" &amp;4+((ROW()-2)/2)-2), "")</f>
        <v>Closet</v>
      </c>
      <c r="B276" s="48" t="str">
        <f t="shared" ca="1" si="188"/>
        <v>khzeineh</v>
      </c>
    </row>
    <row r="277" spans="1:2" ht="15.75" customHeight="1" thickBot="1" x14ac:dyDescent="0.3">
      <c r="A277" s="56"/>
      <c r="B277" s="47" t="str">
        <f t="shared" ca="1" si="189"/>
        <v xml:space="preserve"> خْزانة</v>
      </c>
    </row>
    <row r="278" spans="1:2" ht="19.5" thickTop="1" x14ac:dyDescent="0.25">
      <c r="A278" s="49" t="str">
        <f t="shared" ref="A278" ca="1" si="221">IF(MOD(ROW()-2,2)=0, INDIRECT("Sheet1!B" &amp;4+((ROW()-2)/2)-2), "")</f>
        <v>Clothes</v>
      </c>
      <c r="B278" s="45" t="str">
        <f t="shared" ca="1" si="191"/>
        <v>tyeib</v>
      </c>
    </row>
    <row r="279" spans="1:2" ht="15.75" customHeight="1" thickBot="1" x14ac:dyDescent="0.3">
      <c r="A279" s="50"/>
      <c r="B279" s="46" t="str">
        <f t="shared" ca="1" si="192"/>
        <v xml:space="preserve"> تياب</v>
      </c>
    </row>
    <row r="280" spans="1:2" ht="19.5" thickTop="1" x14ac:dyDescent="0.25">
      <c r="A280" s="57" t="str">
        <f t="shared" ref="A280" ca="1" si="222">IF(MOD(ROW()-2,2)=0, INDIRECT("Sheet1!B" &amp;4+((ROW()-2)/2)-2), "")</f>
        <v>Towel</v>
      </c>
      <c r="B280" s="48" t="str">
        <f t="shared" ca="1" si="194"/>
        <v>manshafeh</v>
      </c>
    </row>
    <row r="281" spans="1:2" ht="15.75" customHeight="1" thickBot="1" x14ac:dyDescent="0.3">
      <c r="A281" s="56"/>
      <c r="B281" s="47" t="str">
        <f t="shared" ca="1" si="195"/>
        <v xml:space="preserve"> مَنشَفة</v>
      </c>
    </row>
    <row r="282" spans="1:2" ht="19.5" thickTop="1" x14ac:dyDescent="0.25">
      <c r="A282" s="49" t="str">
        <f t="shared" ref="A282" ca="1" si="223">IF(MOD(ROW()-2,2)=0, INDIRECT("Sheet1!B" &amp;4+((ROW()-2)/2)-2), "")</f>
        <v>Soap</v>
      </c>
      <c r="B282" s="45" t="str">
        <f t="shared" ref="B282" ca="1" si="224">IF(MOD(ROW()-2,2)=0, INDIRECT("Sheet1!D" &amp;4+((ROW()-2)/2)-2), "")</f>
        <v>saboun</v>
      </c>
    </row>
    <row r="283" spans="1:2" ht="15.75" customHeight="1" thickBot="1" x14ac:dyDescent="0.3">
      <c r="A283" s="50"/>
      <c r="B283" s="46" t="str">
        <f t="shared" ref="B283" ca="1" si="225">IF(MOD(ROW()-3,2)=0, INDIRECT("Sheet1!E" &amp;4+((ROW()-3)/2)-2), "")</f>
        <v xml:space="preserve"> صابون</v>
      </c>
    </row>
    <row r="284" spans="1:2" ht="19.5" thickTop="1" x14ac:dyDescent="0.25">
      <c r="A284" s="57" t="str">
        <f t="shared" ref="A284" ca="1" si="226">IF(MOD(ROW()-2,2)=0, INDIRECT("Sheet1!B" &amp;4+((ROW()-2)/2)-2), "")</f>
        <v>Oven/bakery</v>
      </c>
      <c r="B284" s="48" t="str">
        <f t="shared" ca="1" si="179"/>
        <v>foren</v>
      </c>
    </row>
    <row r="285" spans="1:2" ht="15.75" customHeight="1" thickBot="1" x14ac:dyDescent="0.3">
      <c r="A285" s="56"/>
      <c r="B285" s="47" t="str">
        <f t="shared" ca="1" si="180"/>
        <v xml:space="preserve"> فُرن</v>
      </c>
    </row>
    <row r="286" spans="1:2" ht="19.5" thickTop="1" x14ac:dyDescent="0.25">
      <c r="A286" s="49" t="str">
        <f t="shared" ref="A286" ca="1" si="227">IF(MOD(ROW()-2,2)=0, INDIRECT("Sheet1!B" &amp;4+((ROW()-2)/2)-2), "")</f>
        <v>Sink</v>
      </c>
      <c r="B286" s="45" t="str">
        <f t="shared" ca="1" si="182"/>
        <v>majla</v>
      </c>
    </row>
    <row r="287" spans="1:2" ht="15.75" customHeight="1" thickBot="1" x14ac:dyDescent="0.3">
      <c r="A287" s="50"/>
      <c r="B287" s="46" t="str">
        <f t="shared" ca="1" si="183"/>
        <v xml:space="preserve"> مَجلَى</v>
      </c>
    </row>
    <row r="288" spans="1:2" ht="19.5" thickTop="1" x14ac:dyDescent="0.25">
      <c r="A288" s="57" t="str">
        <f t="shared" ref="A288" ca="1" si="228">IF(MOD(ROW()-2,2)=0, INDIRECT("Sheet1!B" &amp;4+((ROW()-2)/2)-2), "")</f>
        <v>Dishe</v>
      </c>
      <c r="B288" s="48" t="str">
        <f t="shared" ca="1" si="185"/>
        <v>saHen</v>
      </c>
    </row>
    <row r="289" spans="1:2" ht="15.75" customHeight="1" thickBot="1" x14ac:dyDescent="0.3">
      <c r="A289" s="56"/>
      <c r="B289" s="47" t="str">
        <f t="shared" ca="1" si="186"/>
        <v xml:space="preserve"> صَحْن</v>
      </c>
    </row>
    <row r="290" spans="1:2" ht="19.5" thickTop="1" x14ac:dyDescent="0.25">
      <c r="A290" s="49" t="str">
        <f t="shared" ref="A290" ca="1" si="229">IF(MOD(ROW()-2,2)=0, INDIRECT("Sheet1!B" &amp;4+((ROW()-2)/2)-2), "")</f>
        <v>Fork</v>
      </c>
      <c r="B290" s="45" t="str">
        <f t="shared" ca="1" si="188"/>
        <v>shawkeh</v>
      </c>
    </row>
    <row r="291" spans="1:2" ht="15.75" customHeight="1" thickBot="1" x14ac:dyDescent="0.3">
      <c r="A291" s="50"/>
      <c r="B291" s="46" t="str">
        <f t="shared" ca="1" si="189"/>
        <v xml:space="preserve"> شَوْكِة</v>
      </c>
    </row>
    <row r="292" spans="1:2" ht="19.5" thickTop="1" x14ac:dyDescent="0.25">
      <c r="A292" s="57" t="str">
        <f t="shared" ref="A292" ca="1" si="230">IF(MOD(ROW()-2,2)=0, INDIRECT("Sheet1!B" &amp;4+((ROW()-2)/2)-2), "")</f>
        <v>Knife</v>
      </c>
      <c r="B292" s="48" t="str">
        <f t="shared" ca="1" si="191"/>
        <v>sekkeen</v>
      </c>
    </row>
    <row r="293" spans="1:2" ht="15.75" customHeight="1" thickBot="1" x14ac:dyDescent="0.3">
      <c r="A293" s="56"/>
      <c r="B293" s="47" t="str">
        <f t="shared" ca="1" si="192"/>
        <v xml:space="preserve"> سِكّين</v>
      </c>
    </row>
    <row r="294" spans="1:2" ht="19.5" thickTop="1" x14ac:dyDescent="0.25">
      <c r="A294" s="49" t="str">
        <f t="shared" ref="A294" ca="1" si="231">IF(MOD(ROW()-2,2)=0, INDIRECT("Sheet1!B" &amp;4+((ROW()-2)/2)-2), "")</f>
        <v>Spoon</v>
      </c>
      <c r="B294" s="45" t="str">
        <f t="shared" ca="1" si="194"/>
        <v>mal3a'a</v>
      </c>
    </row>
    <row r="295" spans="1:2" ht="15.75" customHeight="1" thickBot="1" x14ac:dyDescent="0.3">
      <c r="A295" s="50"/>
      <c r="B295" s="46" t="str">
        <f t="shared" ca="1" si="195"/>
        <v xml:space="preserve"> مَلْعقة</v>
      </c>
    </row>
    <row r="296" spans="1:2" ht="19.5" thickTop="1" x14ac:dyDescent="0.25">
      <c r="A296" s="57" t="str">
        <f t="shared" ref="A296" ca="1" si="232">IF(MOD(ROW()-2,2)=0, INDIRECT("Sheet1!B" &amp;4+((ROW()-2)/2)-2), "")</f>
        <v>Cup</v>
      </c>
      <c r="B296" s="48" t="str">
        <f t="shared" ref="B296" ca="1" si="233">IF(MOD(ROW()-2,2)=0, INDIRECT("Sheet1!D" &amp;4+((ROW()-2)/2)-2), "")</f>
        <v>kebbeyeh</v>
      </c>
    </row>
    <row r="297" spans="1:2" ht="15.75" customHeight="1" thickBot="1" x14ac:dyDescent="0.3">
      <c r="A297" s="56"/>
      <c r="B297" s="47" t="str">
        <f t="shared" ref="B297" ca="1" si="234">IF(MOD(ROW()-3,2)=0, INDIRECT("Sheet1!E" &amp;4+((ROW()-3)/2)-2), "")</f>
        <v xml:space="preserve"> كَبَاية</v>
      </c>
    </row>
    <row r="298" spans="1:2" ht="19.5" thickTop="1" x14ac:dyDescent="0.25">
      <c r="A298" s="49" t="str">
        <f t="shared" ref="A298" ca="1" si="235">IF(MOD(ROW()-2,2)=0, INDIRECT("Sheet1!B" &amp;4+((ROW()-2)/2)-2), "")</f>
        <v>Couches</v>
      </c>
      <c r="B298" s="45" t="str">
        <f t="shared" ref="B298:B354" ca="1" si="236">IF(MOD(ROW()-2,2)=0, INDIRECT("Sheet1!D" &amp;4+((ROW()-2)/2)-2), "")</f>
        <v>kanabeyeh</v>
      </c>
    </row>
    <row r="299" spans="1:2" ht="15.75" customHeight="1" thickBot="1" x14ac:dyDescent="0.3">
      <c r="A299" s="50"/>
      <c r="B299" s="46" t="str">
        <f t="shared" ref="B299:B355" ca="1" si="237">IF(MOD(ROW()-3,2)=0, INDIRECT("Sheet1!E" &amp;4+((ROW()-3)/2)-2), "")</f>
        <v xml:space="preserve"> كَنَبايِة</v>
      </c>
    </row>
    <row r="300" spans="1:2" ht="19.5" thickTop="1" x14ac:dyDescent="0.25">
      <c r="A300" s="57" t="str">
        <f t="shared" ref="A300" ca="1" si="238">IF(MOD(ROW()-2,2)=0, INDIRECT("Sheet1!B" &amp;4+((ROW()-2)/2)-2), "")</f>
        <v>Table(s)</v>
      </c>
      <c r="B300" s="48" t="str">
        <f t="shared" ref="B300:B356" ca="1" si="239">IF(MOD(ROW()-2,2)=0, INDIRECT("Sheet1!D" &amp;4+((ROW()-2)/2)-2), "")</f>
        <v>tawleh/ tawleit</v>
      </c>
    </row>
    <row r="301" spans="1:2" ht="15.75" customHeight="1" thickBot="1" x14ac:dyDescent="0.3">
      <c r="A301" s="56"/>
      <c r="B301" s="47" t="str">
        <f t="shared" ref="B301:B357" ca="1" si="240">IF(MOD(ROW()-3,2)=0, INDIRECT("Sheet1!E" &amp;4+((ROW()-3)/2)-2), "")</f>
        <v>طَاوْلِة/ طاولات</v>
      </c>
    </row>
    <row r="302" spans="1:2" ht="19.5" thickTop="1" x14ac:dyDescent="0.25">
      <c r="A302" s="49" t="str">
        <f t="shared" ref="A302" ca="1" si="241">IF(MOD(ROW()-2,2)=0, INDIRECT("Sheet1!B" &amp;4+((ROW()-2)/2)-2), "")</f>
        <v>Chair(s)</v>
      </c>
      <c r="B302" s="45" t="str">
        <f t="shared" ref="B302:B358" ca="1" si="242">IF(MOD(ROW()-2,2)=0, INDIRECT("Sheet1!D" &amp;4+((ROW()-2)/2)-2), "")</f>
        <v>kerseh/ karaseh</v>
      </c>
    </row>
    <row r="303" spans="1:2" ht="15.75" customHeight="1" thickBot="1" x14ac:dyDescent="0.3">
      <c r="A303" s="50"/>
      <c r="B303" s="46" t="str">
        <f t="shared" ref="B303:B359" ca="1" si="243">IF(MOD(ROW()-3,2)=0, INDIRECT("Sheet1!E" &amp;4+((ROW()-3)/2)-2), "")</f>
        <v xml:space="preserve"> كِرسِي/ كَراسِي</v>
      </c>
    </row>
    <row r="304" spans="1:2" ht="19.5" thickTop="1" x14ac:dyDescent="0.25">
      <c r="A304" s="57" t="str">
        <f t="shared" ref="A304" ca="1" si="244">IF(MOD(ROW()-2,2)=0, INDIRECT("Sheet1!B" &amp;4+((ROW()-2)/2)-2), "")</f>
        <v>24th february</v>
      </c>
      <c r="B304" s="48" t="str">
        <f t="shared" ref="B304:B360" ca="1" si="245">IF(MOD(ROW()-2,2)=0, INDIRECT("Sheet1!D" &amp;4+((ROW()-2)/2)-2), "")</f>
        <v>arb3a w 3eshreen shbat</v>
      </c>
    </row>
    <row r="305" spans="1:2" ht="15.75" customHeight="1" thickBot="1" x14ac:dyDescent="0.3">
      <c r="A305" s="56"/>
      <c r="B305" s="47" t="str">
        <f t="shared" ref="B305:B361" ca="1" si="246">IF(MOD(ROW()-3,2)=0, INDIRECT("Sheet1!E" &amp;4+((ROW()-3)/2)-2), "")</f>
        <v>أربعَة و عشرين شباط</v>
      </c>
    </row>
    <row r="306" spans="1:2" ht="38.25" thickTop="1" x14ac:dyDescent="0.25">
      <c r="A306" s="49" t="str">
        <f t="shared" ref="A306" ca="1" si="247">IF(MOD(ROW()-2,2)=0, INDIRECT("Sheet1!B" &amp;4+((ROW()-2)/2)-2), "")</f>
        <v>On which floor do you live?</v>
      </c>
      <c r="B306" s="45" t="str">
        <f t="shared" ref="B306:B362" ca="1" si="248">IF(MOD(ROW()-2,2)=0, INDIRECT("Sheet1!D" &amp;4+((ROW()-2)/2)-2), "")</f>
        <v>bi ayya tabe' enta 3ayesh/ enteh 3aysheh?</v>
      </c>
    </row>
    <row r="307" spans="1:2" ht="15.75" customHeight="1" thickBot="1" x14ac:dyDescent="0.3">
      <c r="A307" s="50"/>
      <c r="B307" s="46" t="str">
        <f t="shared" ref="B307:B363" ca="1" si="249">IF(MOD(ROW()-3,2)=0, INDIRECT("Sheet1!E" &amp;4+((ROW()-3)/2)-2), "")</f>
        <v xml:space="preserve"> بأيّ طابِق إنتَ عايش/ إنتِ عايشي؟</v>
      </c>
    </row>
    <row r="308" spans="1:2" ht="38.25" thickTop="1" x14ac:dyDescent="0.25">
      <c r="A308" s="57" t="str">
        <f t="shared" ref="A308" ca="1" si="250">IF(MOD(ROW()-2,2)=0, INDIRECT("Sheet1!B" &amp;4+((ROW()-2)/2)-2), "")</f>
        <v>What are you cooking</v>
      </c>
      <c r="B308" s="48" t="str">
        <f t="shared" ref="B308:B364" ca="1" si="251">IF(MOD(ROW()-2,2)=0, INDIRECT("Sheet1!D" &amp;4+((ROW()-2)/2)-2), "")</f>
        <v>shou 3am totbokh/ totbkheh?</v>
      </c>
    </row>
    <row r="309" spans="1:2" ht="15.75" customHeight="1" thickBot="1" x14ac:dyDescent="0.3">
      <c r="A309" s="56"/>
      <c r="B309" s="47" t="str">
        <f t="shared" ref="B309:B365" ca="1" si="252">IF(MOD(ROW()-3,2)=0, INDIRECT("Sheet1!E" &amp;4+((ROW()-3)/2)-2), "")</f>
        <v xml:space="preserve"> شو عَم تُطبُخ/ تُطُبخي؟</v>
      </c>
    </row>
    <row r="310" spans="1:2" ht="15.75" customHeight="1" thickTop="1" x14ac:dyDescent="0.25">
      <c r="A310" s="49" t="str">
        <f t="shared" ref="A310" ca="1" si="253">IF(MOD(ROW()-2,2)=0, INDIRECT("Sheet1!B" &amp;4+((ROW()-2)/2)-2), "")</f>
        <v>In the morning i wash my face</v>
      </c>
      <c r="B310" s="45" t="str">
        <f t="shared" ref="B310" ca="1" si="254">IF(MOD(ROW()-2,2)=0, INDIRECT("Sheet1!D" &amp;4+((ROW()-2)/2)-2), "")</f>
        <v>el sobeH bghassil wejjeh</v>
      </c>
    </row>
    <row r="311" spans="1:2" ht="15.75" customHeight="1" thickBot="1" x14ac:dyDescent="0.3">
      <c r="A311" s="50"/>
      <c r="B311" s="46" t="str">
        <f t="shared" ref="B311" ca="1" si="255">IF(MOD(ROW()-3,2)=0, INDIRECT("Sheet1!E" &amp;4+((ROW()-3)/2)-2), "")</f>
        <v xml:space="preserve"> الصُبُح بغَسِّل وِجِّي</v>
      </c>
    </row>
    <row r="312" spans="1:2" ht="57" thickTop="1" x14ac:dyDescent="0.25">
      <c r="A312" s="57" t="str">
        <f t="shared" ref="A312" ca="1" si="256">IF(MOD(ROW()-2,2)=0, INDIRECT("Sheet1!B" &amp;4+((ROW()-2)/2)-2), "")</f>
        <v>How many times a day do you brush your teeth?</v>
      </c>
      <c r="B312" s="48" t="str">
        <f t="shared" ca="1" si="236"/>
        <v>kam marra btfarsheh sneinak/ sneinik/ sneinkoun bil nhar?</v>
      </c>
    </row>
    <row r="313" spans="1:2" ht="36.75" thickBot="1" x14ac:dyDescent="0.3">
      <c r="A313" s="56"/>
      <c r="B313" s="47" t="str">
        <f t="shared" ca="1" si="237"/>
        <v>كَم مَرًّة بتفَرشي سنانَك/ سنانِك/ سنانكُن بالنهار؟</v>
      </c>
    </row>
    <row r="314" spans="1:2" ht="57" thickTop="1" x14ac:dyDescent="0.25">
      <c r="A314" s="49" t="str">
        <f t="shared" ref="A314" ca="1" si="257">IF(MOD(ROW()-2,2)=0, INDIRECT("Sheet1!B" &amp;4+((ROW()-2)/2)-2), "")</f>
        <v>In the morning we go the bakery to buy manakeesh</v>
      </c>
      <c r="B314" s="45" t="str">
        <f t="shared" ca="1" si="239"/>
        <v>el sobeH mnrouH 3al foren ta neshtreh mne'eesh</v>
      </c>
    </row>
    <row r="315" spans="1:2" ht="36.75" thickBot="1" x14ac:dyDescent="0.3">
      <c r="A315" s="50"/>
      <c r="B315" s="46" t="str">
        <f t="shared" ca="1" si="240"/>
        <v xml:space="preserve"> الصُبُح مِنروح عَلى فُرن تَنِشتِري مْناقيش</v>
      </c>
    </row>
    <row r="316" spans="1:2" ht="19.5" thickTop="1" x14ac:dyDescent="0.25">
      <c r="A316" s="57" t="str">
        <f t="shared" ref="A316" ca="1" si="258">IF(MOD(ROW()-2,2)=0, INDIRECT("Sheet1!B" &amp;4+((ROW()-2)/2)-2), "")</f>
        <v>Im waching the dishes</v>
      </c>
      <c r="B316" s="48" t="str">
        <f t="shared" ca="1" si="242"/>
        <v>ana 3am bejleh el sHoun</v>
      </c>
    </row>
    <row r="317" spans="1:2" ht="15.75" customHeight="1" thickBot="1" x14ac:dyDescent="0.3">
      <c r="A317" s="56"/>
      <c r="B317" s="47" t="str">
        <f t="shared" ca="1" si="243"/>
        <v xml:space="preserve"> أنا عَم بِجلي الصْحون</v>
      </c>
    </row>
    <row r="318" spans="1:2" ht="19.5" thickTop="1" x14ac:dyDescent="0.25">
      <c r="A318" s="49" t="str">
        <f t="shared" ref="A318" ca="1" si="259">IF(MOD(ROW()-2,2)=0, INDIRECT("Sheet1!B" &amp;4+((ROW()-2)/2)-2), "")</f>
        <v>I would like to</v>
      </c>
      <c r="B318" s="45" t="str">
        <f t="shared" ca="1" si="245"/>
        <v>badde</v>
      </c>
    </row>
    <row r="319" spans="1:2" ht="15.75" customHeight="1" thickBot="1" x14ac:dyDescent="0.3">
      <c r="A319" s="50"/>
      <c r="B319" s="46" t="str">
        <f t="shared" ca="1" si="246"/>
        <v>بدّي</v>
      </c>
    </row>
    <row r="320" spans="1:2" ht="19.5" thickTop="1" x14ac:dyDescent="0.25">
      <c r="A320" s="57" t="str">
        <f t="shared" ref="A320" ca="1" si="260">IF(MOD(ROW()-2,2)=0, INDIRECT("Sheet1!B" &amp;4+((ROW()-2)/2)-2), "")</f>
        <v>Street</v>
      </c>
      <c r="B320" s="48" t="str">
        <f t="shared" ca="1" si="248"/>
        <v>sheri3</v>
      </c>
    </row>
    <row r="321" spans="1:2" ht="15.75" customHeight="1" thickBot="1" x14ac:dyDescent="0.3">
      <c r="A321" s="56"/>
      <c r="B321" s="47" t="str">
        <f t="shared" ca="1" si="249"/>
        <v>شارِع</v>
      </c>
    </row>
    <row r="322" spans="1:2" ht="19.5" thickTop="1" x14ac:dyDescent="0.25">
      <c r="A322" s="49" t="str">
        <f t="shared" ref="A322" ca="1" si="261">IF(MOD(ROW()-2,2)=0, INDIRECT("Sheet1!B" &amp;4+((ROW()-2)/2)-2), "")</f>
        <v>Floor</v>
      </c>
      <c r="B322" s="45" t="str">
        <f t="shared" ca="1" si="251"/>
        <v>tabi'</v>
      </c>
    </row>
    <row r="323" spans="1:2" ht="15.75" customHeight="1" thickBot="1" x14ac:dyDescent="0.3">
      <c r="A323" s="50"/>
      <c r="B323" s="46" t="str">
        <f t="shared" ca="1" si="252"/>
        <v>طابِق</v>
      </c>
    </row>
    <row r="324" spans="1:2" ht="19.5" thickTop="1" x14ac:dyDescent="0.25">
      <c r="A324" s="57" t="str">
        <f t="shared" ref="A324" ca="1" si="262">IF(MOD(ROW()-2,2)=0, INDIRECT("Sheet1!B" &amp;4+((ROW()-2)/2)-2), "")</f>
        <v>Face to</v>
      </c>
      <c r="B324" s="48" t="str">
        <f t="shared" ref="B324" ca="1" si="263">IF(MOD(ROW()-2,2)=0, INDIRECT("Sheet1!D" &amp;4+((ROW()-2)/2)-2), "")</f>
        <v>bi wejj</v>
      </c>
    </row>
    <row r="325" spans="1:2" ht="15.75" customHeight="1" thickBot="1" x14ac:dyDescent="0.3">
      <c r="A325" s="56"/>
      <c r="B325" s="47" t="str">
        <f t="shared" ref="B325" ca="1" si="264">IF(MOD(ROW()-3,2)=0, INDIRECT("Sheet1!E" &amp;4+((ROW()-3)/2)-2), "")</f>
        <v>بِ وجّ</v>
      </c>
    </row>
    <row r="326" spans="1:2" ht="19.5" thickTop="1" x14ac:dyDescent="0.25">
      <c r="A326" s="49" t="str">
        <f t="shared" ref="A326" ca="1" si="265">IF(MOD(ROW()-2,2)=0, INDIRECT("Sheet1!B" &amp;4+((ROW()-2)/2)-2), "")</f>
        <v>Near</v>
      </c>
      <c r="B326" s="45" t="str">
        <f t="shared" ca="1" si="236"/>
        <v>Hadd</v>
      </c>
    </row>
    <row r="327" spans="1:2" ht="15.75" customHeight="1" thickBot="1" x14ac:dyDescent="0.3">
      <c r="A327" s="50"/>
      <c r="B327" s="46" t="str">
        <f t="shared" ca="1" si="237"/>
        <v>حَدّ</v>
      </c>
    </row>
    <row r="328" spans="1:2" ht="19.5" thickTop="1" x14ac:dyDescent="0.25">
      <c r="A328" s="57" t="str">
        <f t="shared" ref="A328" ca="1" si="266">IF(MOD(ROW()-2,2)=0, INDIRECT("Sheet1!B" &amp;4+((ROW()-2)/2)-2), "")</f>
        <v>Ask about</v>
      </c>
      <c r="B328" s="48" t="str">
        <f t="shared" ca="1" si="239"/>
        <v>s'al 3ann</v>
      </c>
    </row>
    <row r="329" spans="1:2" ht="15.75" customHeight="1" thickBot="1" x14ac:dyDescent="0.3">
      <c r="A329" s="56"/>
      <c r="B329" s="47" t="str">
        <f t="shared" ca="1" si="240"/>
        <v>سآل عنّ</v>
      </c>
    </row>
    <row r="330" spans="1:2" ht="19.5" thickTop="1" x14ac:dyDescent="0.25">
      <c r="A330" s="49" t="str">
        <f t="shared" ref="A330" ca="1" si="267">IF(MOD(ROW()-2,2)=0, INDIRECT("Sheet1!B" &amp;4+((ROW()-2)/2)-2), "")</f>
        <v xml:space="preserve">Chicken </v>
      </c>
      <c r="B330" s="45" t="str">
        <f t="shared" ca="1" si="242"/>
        <v>djeij</v>
      </c>
    </row>
    <row r="331" spans="1:2" ht="15.75" customHeight="1" thickBot="1" x14ac:dyDescent="0.3">
      <c r="A331" s="50"/>
      <c r="B331" s="46" t="str">
        <f t="shared" ca="1" si="243"/>
        <v>دجاج</v>
      </c>
    </row>
    <row r="332" spans="1:2" ht="19.5" thickTop="1" x14ac:dyDescent="0.25">
      <c r="A332" s="57" t="str">
        <f t="shared" ref="A332" ca="1" si="268">IF(MOD(ROW()-2,2)=0, INDIRECT("Sheet1!B" &amp;4+((ROW()-2)/2)-2), "")</f>
        <v xml:space="preserve">Garlic </v>
      </c>
      <c r="B332" s="48" t="str">
        <f t="shared" ca="1" si="245"/>
        <v>toum</v>
      </c>
    </row>
    <row r="333" spans="1:2" ht="15.75" customHeight="1" thickBot="1" x14ac:dyDescent="0.3">
      <c r="A333" s="56"/>
      <c r="B333" s="47" t="str">
        <f t="shared" ca="1" si="246"/>
        <v>توم</v>
      </c>
    </row>
    <row r="334" spans="1:2" ht="19.5" thickTop="1" x14ac:dyDescent="0.25">
      <c r="A334" s="49" t="str">
        <f t="shared" ref="A334" ca="1" si="269">IF(MOD(ROW()-2,2)=0, INDIRECT("Sheet1!B" &amp;4+((ROW()-2)/2)-2), "")</f>
        <v xml:space="preserve">Pickles </v>
      </c>
      <c r="B334" s="45" t="str">
        <f t="shared" ca="1" si="248"/>
        <v>kabees</v>
      </c>
    </row>
    <row r="335" spans="1:2" ht="15.75" customHeight="1" thickBot="1" x14ac:dyDescent="0.3">
      <c r="A335" s="50"/>
      <c r="B335" s="46" t="str">
        <f t="shared" ca="1" si="249"/>
        <v>كَبيس</v>
      </c>
    </row>
    <row r="336" spans="1:2" ht="19.5" thickTop="1" x14ac:dyDescent="0.25">
      <c r="A336" s="57" t="str">
        <f t="shared" ref="A336" ca="1" si="270">IF(MOD(ROW()-2,2)=0, INDIRECT("Sheet1!B" &amp;4+((ROW()-2)/2)-2), "")</f>
        <v>With</v>
      </c>
      <c r="B336" s="48" t="str">
        <f t="shared" ca="1" si="251"/>
        <v>ma3</v>
      </c>
    </row>
    <row r="337" spans="1:2" ht="15.75" customHeight="1" thickBot="1" x14ac:dyDescent="0.3">
      <c r="A337" s="56"/>
      <c r="B337" s="47" t="str">
        <f t="shared" ca="1" si="252"/>
        <v xml:space="preserve">مَع  </v>
      </c>
    </row>
    <row r="338" spans="1:2" ht="19.5" thickTop="1" x14ac:dyDescent="0.25">
      <c r="A338" s="49" t="str">
        <f t="shared" ref="A338" ca="1" si="271">IF(MOD(ROW()-2,2)=0, INDIRECT("Sheet1!B" &amp;4+((ROW()-2)/2)-2), "")</f>
        <v xml:space="preserve">Without </v>
      </c>
      <c r="B338" s="45" t="str">
        <f t="shared" ref="B338" ca="1" si="272">IF(MOD(ROW()-2,2)=0, INDIRECT("Sheet1!D" &amp;4+((ROW()-2)/2)-2), "")</f>
        <v>bala</v>
      </c>
    </row>
    <row r="339" spans="1:2" ht="15.75" customHeight="1" thickBot="1" x14ac:dyDescent="0.3">
      <c r="A339" s="50"/>
      <c r="B339" s="46" t="str">
        <f t="shared" ref="B339" ca="1" si="273">IF(MOD(ROW()-3,2)=0, INDIRECT("Sheet1!E" &amp;4+((ROW()-3)/2)-2), "")</f>
        <v>بَلا</v>
      </c>
    </row>
    <row r="340" spans="1:2" ht="19.5" thickTop="1" x14ac:dyDescent="0.25">
      <c r="A340" s="57" t="str">
        <f t="shared" ref="A340" ca="1" si="274">IF(MOD(ROW()-2,2)=0, INDIRECT("Sheet1!B" &amp;4+((ROW()-2)/2)-2), "")</f>
        <v>Extra</v>
      </c>
      <c r="B340" s="48" t="str">
        <f t="shared" ca="1" si="236"/>
        <v>zyeideh</v>
      </c>
    </row>
    <row r="341" spans="1:2" ht="15.75" customHeight="1" thickBot="1" x14ac:dyDescent="0.3">
      <c r="A341" s="56"/>
      <c r="B341" s="47" t="str">
        <f t="shared" ca="1" si="237"/>
        <v>زيادي</v>
      </c>
    </row>
    <row r="342" spans="1:2" ht="19.5" thickTop="1" x14ac:dyDescent="0.25">
      <c r="A342" s="49" t="str">
        <f t="shared" ref="A342" ca="1" si="275">IF(MOD(ROW()-2,2)=0, INDIRECT("Sheet1!B" &amp;4+((ROW()-2)/2)-2), "")</f>
        <v>Cheese</v>
      </c>
      <c r="B342" s="45" t="str">
        <f t="shared" ca="1" si="239"/>
        <v>jebneh</v>
      </c>
    </row>
    <row r="343" spans="1:2" ht="15.75" customHeight="1" thickBot="1" x14ac:dyDescent="0.3">
      <c r="A343" s="50"/>
      <c r="B343" s="46" t="str">
        <f t="shared" ca="1" si="240"/>
        <v>جِبنة</v>
      </c>
    </row>
    <row r="344" spans="1:2" ht="19.5" thickTop="1" x14ac:dyDescent="0.25">
      <c r="A344" s="57" t="str">
        <f t="shared" ref="A344" ca="1" si="276">IF(MOD(ROW()-2,2)=0, INDIRECT("Sheet1!B" &amp;4+((ROW()-2)/2)-2), "")</f>
        <v>Vegeterian</v>
      </c>
      <c r="B344" s="48" t="str">
        <f t="shared" ca="1" si="242"/>
        <v>nabeiteh</v>
      </c>
    </row>
    <row r="345" spans="1:2" ht="15.75" customHeight="1" thickBot="1" x14ac:dyDescent="0.3">
      <c r="A345" s="56"/>
      <c r="B345" s="47" t="str">
        <f t="shared" ca="1" si="243"/>
        <v>نَباتي</v>
      </c>
    </row>
    <row r="346" spans="1:2" ht="19.5" thickTop="1" x14ac:dyDescent="0.25">
      <c r="A346" s="49" t="str">
        <f t="shared" ref="A346" ca="1" si="277">IF(MOD(ROW()-2,2)=0, INDIRECT("Sheet1!B" &amp;4+((ROW()-2)/2)-2), "")</f>
        <v>Ingredients</v>
      </c>
      <c r="B346" s="45" t="str">
        <f t="shared" ca="1" si="245"/>
        <v>moukawwineit</v>
      </c>
    </row>
    <row r="347" spans="1:2" ht="15.75" customHeight="1" thickBot="1" x14ac:dyDescent="0.3">
      <c r="A347" s="50"/>
      <c r="B347" s="46" t="str">
        <f t="shared" ca="1" si="246"/>
        <v xml:space="preserve">مُكونات </v>
      </c>
    </row>
    <row r="348" spans="1:2" ht="19.5" thickTop="1" x14ac:dyDescent="0.25">
      <c r="A348" s="57" t="str">
        <f t="shared" ref="A348" ca="1" si="278">IF(MOD(ROW()-2,2)=0, INDIRECT("Sheet1!B" &amp;4+((ROW()-2)/2)-2), "")</f>
        <v>Mushrooms</v>
      </c>
      <c r="B348" s="48" t="str">
        <f t="shared" ca="1" si="248"/>
        <v>foter</v>
      </c>
    </row>
    <row r="349" spans="1:2" ht="15.75" customHeight="1" thickBot="1" x14ac:dyDescent="0.3">
      <c r="A349" s="56"/>
      <c r="B349" s="47" t="str">
        <f t="shared" ca="1" si="249"/>
        <v>فُطُر</v>
      </c>
    </row>
    <row r="350" spans="1:2" ht="19.5" thickTop="1" x14ac:dyDescent="0.25">
      <c r="A350" s="49" t="str">
        <f t="shared" ref="A350" ca="1" si="279">IF(MOD(ROW()-2,2)=0, INDIRECT("Sheet1!B" &amp;4+((ROW()-2)/2)-2), "")</f>
        <v xml:space="preserve">To add </v>
      </c>
      <c r="B350" s="45" t="str">
        <f t="shared" ca="1" si="251"/>
        <v>tzid</v>
      </c>
    </row>
    <row r="351" spans="1:2" ht="15.75" customHeight="1" thickBot="1" x14ac:dyDescent="0.3">
      <c r="A351" s="50"/>
      <c r="B351" s="46" t="str">
        <f t="shared" ca="1" si="252"/>
        <v>تزيد</v>
      </c>
    </row>
    <row r="352" spans="1:2" ht="19.5" thickTop="1" x14ac:dyDescent="0.25">
      <c r="A352" s="57" t="str">
        <f t="shared" ref="A352" ca="1" si="280">IF(MOD(ROW()-2,2)=0, INDIRECT("Sheet1!B" &amp;4+((ROW()-2)/2)-2), "")</f>
        <v>To remove</v>
      </c>
      <c r="B352" s="48" t="str">
        <f t="shared" ref="B352" ca="1" si="281">IF(MOD(ROW()-2,2)=0, INDIRECT("Sheet1!D" &amp;4+((ROW()-2)/2)-2), "")</f>
        <v>tshil</v>
      </c>
    </row>
    <row r="353" spans="1:2" ht="15.75" customHeight="1" thickBot="1" x14ac:dyDescent="0.3">
      <c r="A353" s="56"/>
      <c r="B353" s="47" t="str">
        <f t="shared" ref="B353" ca="1" si="282">IF(MOD(ROW()-3,2)=0, INDIRECT("Sheet1!E" &amp;4+((ROW()-3)/2)-2), "")</f>
        <v>تشيل</v>
      </c>
    </row>
    <row r="354" spans="1:2" ht="19.5" thickTop="1" x14ac:dyDescent="0.25">
      <c r="A354" s="49" t="str">
        <f t="shared" ref="A354" ca="1" si="283">IF(MOD(ROW()-2,2)=0, INDIRECT("Sheet1!B" &amp;4+((ROW()-2)/2)-2), "")</f>
        <v xml:space="preserve">Mustard </v>
      </c>
      <c r="B354" s="45" t="str">
        <f t="shared" ca="1" si="236"/>
        <v>khardal</v>
      </c>
    </row>
    <row r="355" spans="1:2" ht="15.75" customHeight="1" thickBot="1" x14ac:dyDescent="0.3">
      <c r="A355" s="50"/>
      <c r="B355" s="46" t="str">
        <f t="shared" ca="1" si="237"/>
        <v xml:space="preserve">خَردَل </v>
      </c>
    </row>
    <row r="356" spans="1:2" ht="19.5" thickTop="1" x14ac:dyDescent="0.25">
      <c r="A356" s="57" t="str">
        <f t="shared" ref="A356" ca="1" si="284">IF(MOD(ROW()-2,2)=0, INDIRECT("Sheet1!B" &amp;4+((ROW()-2)/2)-2), "")</f>
        <v>Dressing</v>
      </c>
      <c r="B356" s="48" t="str">
        <f t="shared" ca="1" si="239"/>
        <v>salsa</v>
      </c>
    </row>
    <row r="357" spans="1:2" ht="15.75" customHeight="1" thickBot="1" x14ac:dyDescent="0.3">
      <c r="A357" s="56"/>
      <c r="B357" s="47" t="str">
        <f t="shared" ca="1" si="240"/>
        <v>صَلصَة</v>
      </c>
    </row>
    <row r="358" spans="1:2" ht="19.5" thickTop="1" x14ac:dyDescent="0.25">
      <c r="A358" s="49" t="str">
        <f t="shared" ref="A358" ca="1" si="285">IF(MOD(ROW()-2,2)=0, INDIRECT("Sheet1!B" &amp;4+((ROW()-2)/2)-2), "")</f>
        <v xml:space="preserve">Light </v>
      </c>
      <c r="B358" s="45" t="str">
        <f t="shared" ca="1" si="242"/>
        <v>khafeef</v>
      </c>
    </row>
    <row r="359" spans="1:2" ht="15.75" customHeight="1" thickBot="1" x14ac:dyDescent="0.3">
      <c r="A359" s="50"/>
      <c r="B359" s="46" t="str">
        <f t="shared" ca="1" si="243"/>
        <v>خَفيف</v>
      </c>
    </row>
    <row r="360" spans="1:2" ht="19.5" thickTop="1" x14ac:dyDescent="0.25">
      <c r="A360" s="57" t="str">
        <f t="shared" ref="A360" ca="1" si="286">IF(MOD(ROW()-2,2)=0, INDIRECT("Sheet1!B" &amp;4+((ROW()-2)/2)-2), "")</f>
        <v>Cost</v>
      </c>
      <c r="B360" s="48" t="str">
        <f t="shared" ca="1" si="245"/>
        <v>Ha'/ se3er</v>
      </c>
    </row>
    <row r="361" spans="1:2" ht="15.75" customHeight="1" thickBot="1" x14ac:dyDescent="0.3">
      <c r="A361" s="56"/>
      <c r="B361" s="47" t="str">
        <f t="shared" ca="1" si="246"/>
        <v xml:space="preserve">حَقّ/ سِعر </v>
      </c>
    </row>
    <row r="362" spans="1:2" ht="15.75" customHeight="1" thickTop="1" x14ac:dyDescent="0.25">
      <c r="A362" s="49" t="str">
        <f t="shared" ref="A362" ca="1" si="287">IF(MOD(ROW()-2,2)=0, INDIRECT("Sheet1!B" &amp;4+((ROW()-2)/2)-2), "")</f>
        <v>I would like to order some food</v>
      </c>
      <c r="B362" s="45" t="str">
        <f t="shared" ca="1" si="248"/>
        <v>baddeh otloub akel/talabiyyeh</v>
      </c>
    </row>
    <row r="363" spans="1:2" ht="15.75" customHeight="1" thickBot="1" x14ac:dyDescent="0.3">
      <c r="A363" s="50"/>
      <c r="B363" s="46" t="str">
        <f t="shared" ca="1" si="249"/>
        <v>بَدّي أُطلُب أَكل/ طَلَبيّة</v>
      </c>
    </row>
    <row r="364" spans="1:2" ht="15.75" customHeight="1" thickTop="1" x14ac:dyDescent="0.25">
      <c r="A364" s="57" t="str">
        <f t="shared" ref="A364" ca="1" si="288">IF(MOD(ROW()-2,2)=0, INDIRECT("Sheet1!B" &amp;4+((ROW()-2)/2)-2), "")</f>
        <v>To where do you want us to deliver</v>
      </c>
      <c r="B364" s="48" t="str">
        <f t="shared" ca="1" si="251"/>
        <v>la wein mnwassela?</v>
      </c>
    </row>
    <row r="365" spans="1:2" ht="15.75" customHeight="1" thickBot="1" x14ac:dyDescent="0.3">
      <c r="A365" s="56"/>
      <c r="B365" s="47" t="str">
        <f t="shared" ca="1" si="252"/>
        <v>لَ وَين مِنوصّلا</v>
      </c>
    </row>
    <row r="366" spans="1:2" ht="38.25" thickTop="1" x14ac:dyDescent="0.25">
      <c r="A366" s="49" t="str">
        <f t="shared" ref="A366" ca="1" si="289">IF(MOD(ROW()-2,2)=0, INDIRECT("Sheet1!B" &amp;4+((ROW()-2)/2)-2), "")</f>
        <v>I live in st lourde's street, in the fifth floor</v>
      </c>
      <c r="B366" s="45" t="str">
        <f t="shared" ref="B366" ca="1" si="290">IF(MOD(ROW()-2,2)=0, INDIRECT("Sheet1!D" &amp;4+((ROW()-2)/2)-2), "")</f>
        <v>ana 3aysheh bi sheri3 st lourde, bil tabi' el khamis</v>
      </c>
    </row>
    <row r="367" spans="1:2" ht="36.75" thickBot="1" x14ac:dyDescent="0.3">
      <c r="A367" s="50"/>
      <c r="B367" s="46" t="str">
        <f t="shared" ref="B367" ca="1" si="291">IF(MOD(ROW()-3,2)=0, INDIRECT("Sheet1!E" &amp;4+((ROW()-3)/2)-2), "")</f>
        <v>أنا عايشي بشارِع سانت لورد، بالطابِق الخامِس</v>
      </c>
    </row>
    <row r="368" spans="1:2" ht="31.5" customHeight="1" thickTop="1" x14ac:dyDescent="0.25">
      <c r="A368" s="57" t="str">
        <f t="shared" ref="A368" ca="1" si="292">IF(MOD(ROW()-2,2)=0, INDIRECT("Sheet1!B" &amp;4+((ROW()-2)/2)-2), "")</f>
        <v xml:space="preserve">I want a chicken sandwich without garlic, with pickels, extra hommous </v>
      </c>
      <c r="B368" s="48" t="str">
        <f t="shared" ref="B368:B424" ca="1" si="293">IF(MOD(ROW()-2,2)=0, INDIRECT("Sheet1!D" &amp;4+((ROW()-2)/2)-2), "")</f>
        <v>baddeh 3arous djeij, bala toum, ma3 kabees, Hommous extra</v>
      </c>
    </row>
    <row r="369" spans="1:2" ht="36.75" thickBot="1" x14ac:dyDescent="0.3">
      <c r="A369" s="56"/>
      <c r="B369" s="47" t="str">
        <f t="shared" ref="B369:B425" ca="1" si="294">IF(MOD(ROW()-3,2)=0, INDIRECT("Sheet1!E" &amp;4+((ROW()-3)/2)-2), "")</f>
        <v>بَدّي عَروس دجاج، بَلا توم، مَع كبيس، أكسترا حُمّص</v>
      </c>
    </row>
    <row r="370" spans="1:2" ht="57" thickTop="1" x14ac:dyDescent="0.25">
      <c r="A370" s="49" t="str">
        <f t="shared" ref="A370" ca="1" si="295">IF(MOD(ROW()-2,2)=0, INDIRECT("Sheet1!B" &amp;4+((ROW()-2)/2)-2), "")</f>
        <v>I want to order three pizza pepperoni, extra cheese</v>
      </c>
      <c r="B370" s="45" t="str">
        <f t="shared" ref="B370:B426" ca="1" si="296">IF(MOD(ROW()-2,2)=0, INDIRECT("Sheet1!D" &amp;4+((ROW()-2)/2)-2), "")</f>
        <v>baddeh otloub tleiteh pizza pepperoni, zyedeh jebneh</v>
      </c>
    </row>
    <row r="371" spans="1:2" ht="36.75" thickBot="1" x14ac:dyDescent="0.3">
      <c r="A371" s="50"/>
      <c r="B371" s="46" t="str">
        <f t="shared" ref="B371:B427" ca="1" si="297">IF(MOD(ROW()-3,2)=0, INDIRECT("Sheet1!E" &amp;4+((ROW()-3)/2)-2), "")</f>
        <v>بَدّي أُطلُب تلاتي بيتزا ببروني زيادي جِبنة</v>
      </c>
    </row>
    <row r="372" spans="1:2" ht="38.25" thickTop="1" x14ac:dyDescent="0.25">
      <c r="A372" s="57" t="str">
        <f t="shared" ref="A372" ca="1" si="298">IF(MOD(ROW()-2,2)=0, INDIRECT("Sheet1!B" &amp;4+((ROW()-2)/2)-2), "")</f>
        <v>Do you have vegeterian pizza</v>
      </c>
      <c r="B372" s="48" t="str">
        <f t="shared" ref="B372:B428" ca="1" si="299">IF(MOD(ROW()-2,2)=0, INDIRECT("Sheet1!D" &amp;4+((ROW()-2)/2)-2), "")</f>
        <v>3andak/3andik/3andkoun pizza nabetiyeh</v>
      </c>
    </row>
    <row r="373" spans="1:2" ht="15.75" customHeight="1" thickBot="1" x14ac:dyDescent="0.3">
      <c r="A373" s="56"/>
      <c r="B373" s="47" t="str">
        <f t="shared" ref="B373:B429" ca="1" si="300">IF(MOD(ROW()-3,2)=0, INDIRECT("Sheet1!E" &amp;4+((ROW()-3)/2)-2), "")</f>
        <v>عَندَك/عَندِك/ عَندكُن  بيتزا نباتيّة</v>
      </c>
    </row>
    <row r="374" spans="1:2" ht="38.25" thickTop="1" x14ac:dyDescent="0.25">
      <c r="A374" s="49" t="str">
        <f t="shared" ref="A374" ca="1" si="301">IF(MOD(ROW()-2,2)=0, INDIRECT("Sheet1!B" &amp;4+((ROW()-2)/2)-2), "")</f>
        <v>What do you put inside the pizza</v>
      </c>
      <c r="B374" s="45" t="str">
        <f t="shared" ref="B374:B430" ca="1" si="302">IF(MOD(ROW()-2,2)=0, INDIRECT("Sheet1!D" &amp;4+((ROW()-2)/2)-2), "")</f>
        <v>shou btHot/ btHotteh/ btHotto fiya (or bi alba)</v>
      </c>
    </row>
    <row r="375" spans="1:2" ht="15.75" customHeight="1" thickBot="1" x14ac:dyDescent="0.3">
      <c r="A375" s="50"/>
      <c r="B375" s="46" t="str">
        <f t="shared" ref="B375:B431" ca="1" si="303">IF(MOD(ROW()-3,2)=0, INDIRECT("Sheet1!E" &amp;4+((ROW()-3)/2)-2), "")</f>
        <v>شو بحُطّ/ بتحُطّي/ بتحُطّوا فيها (بِ قَلبا)</v>
      </c>
    </row>
    <row r="376" spans="1:2" ht="57" thickTop="1" x14ac:dyDescent="0.25">
      <c r="A376" s="57" t="str">
        <f t="shared" ref="A376" ca="1" si="304">IF(MOD(ROW()-2,2)=0, INDIRECT("Sheet1!B" &amp;4+((ROW()-2)/2)-2), "")</f>
        <v>Can you remove to mushrooms</v>
      </c>
      <c r="B376" s="48" t="str">
        <f t="shared" ref="B376:B432" ca="1" si="305">IF(MOD(ROW()-2,2)=0, INDIRECT("Sheet1!D" &amp;4+((ROW()-2)/2)-2), "")</f>
        <v>feek tshilleh/ feekeh tshileeleh/ feekoun tshilouleh el foter</v>
      </c>
    </row>
    <row r="377" spans="1:2" ht="36.75" thickBot="1" x14ac:dyDescent="0.3">
      <c r="A377" s="56"/>
      <c r="B377" s="47" t="str">
        <f t="shared" ref="B377:B433" ca="1" si="306">IF(MOD(ROW()-3,2)=0, INDIRECT("Sheet1!E" &amp;4+((ROW()-3)/2)-2), "")</f>
        <v xml:space="preserve">فيك تشللّي/ فيكي تشيليلي/ فيكُك تشيلولي الفُطُر </v>
      </c>
    </row>
    <row r="378" spans="1:2" ht="57" thickTop="1" x14ac:dyDescent="0.25">
      <c r="A378" s="49" t="str">
        <f t="shared" ref="A378" ca="1" si="307">IF(MOD(ROW()-2,2)=0, INDIRECT("Sheet1!B" &amp;4+((ROW()-2)/2)-2), "")</f>
        <v>Can you add mustard</v>
      </c>
      <c r="B378" s="45" t="str">
        <f t="shared" ref="B378:B434" ca="1" si="308">IF(MOD(ROW()-2,2)=0, INDIRECT("Sheet1!D" &amp;4+((ROW()-2)/2)-2), "")</f>
        <v>feek tzeed/ feekeh tzeedeh/ feekoun tzeedo khardal</v>
      </c>
    </row>
    <row r="379" spans="1:2" ht="36.75" thickBot="1" x14ac:dyDescent="0.3">
      <c r="A379" s="50"/>
      <c r="B379" s="46" t="str">
        <f t="shared" ref="B379:B435" ca="1" si="309">IF(MOD(ROW()-3,2)=0, INDIRECT("Sheet1!E" &amp;4+((ROW()-3)/2)-2), "")</f>
        <v>فيك تزيد/ فيكي تزيدي/ فيكُن تزيدو خَردَل</v>
      </c>
    </row>
    <row r="380" spans="1:2" ht="15.75" customHeight="1" thickTop="1" x14ac:dyDescent="0.25">
      <c r="A380" s="57" t="str">
        <f t="shared" ref="A380" ca="1" si="310">IF(MOD(ROW()-2,2)=0, INDIRECT("Sheet1!B" &amp;4+((ROW()-2)/2)-2), "")</f>
        <v>I want to change the dressing</v>
      </c>
      <c r="B380" s="48" t="str">
        <f t="shared" ref="B380" ca="1" si="311">IF(MOD(ROW()-2,2)=0, INDIRECT("Sheet1!D" &amp;4+((ROW()-2)/2)-2), "")</f>
        <v>baddeh ghayir el salsa</v>
      </c>
    </row>
    <row r="381" spans="1:2" ht="15.75" customHeight="1" thickBot="1" x14ac:dyDescent="0.3">
      <c r="A381" s="56"/>
      <c r="B381" s="47" t="str">
        <f t="shared" ref="B381" ca="1" si="312">IF(MOD(ROW()-3,2)=0, INDIRECT("Sheet1!E" &amp;4+((ROW()-3)/2)-2), "")</f>
        <v>بدّي غَيِّر الصَلصَة</v>
      </c>
    </row>
    <row r="382" spans="1:2" ht="57" thickTop="1" x14ac:dyDescent="0.25">
      <c r="A382" s="49" t="str">
        <f t="shared" ref="A382" ca="1" si="313">IF(MOD(ROW()-2,2)=0, INDIRECT("Sheet1!B" &amp;4+((ROW()-2)/2)-2), "")</f>
        <v>What do you have as something light</v>
      </c>
      <c r="B382" s="45" t="str">
        <f t="shared" ca="1" si="293"/>
        <v>shou 3andkoun shi khafeef (for a group of people)</v>
      </c>
    </row>
    <row r="383" spans="1:2" ht="15.75" customHeight="1" thickBot="1" x14ac:dyDescent="0.3">
      <c r="A383" s="50"/>
      <c r="B383" s="46" t="str">
        <f t="shared" ca="1" si="294"/>
        <v>شو عَندكُن شي خَفيف</v>
      </c>
    </row>
    <row r="384" spans="1:2" ht="19.5" thickTop="1" x14ac:dyDescent="0.25">
      <c r="A384" s="57" t="str">
        <f t="shared" ref="A384" ca="1" si="314">IF(MOD(ROW()-2,2)=0, INDIRECT("Sheet1!B" &amp;4+((ROW()-2)/2)-2), "")</f>
        <v>Dish of the day</v>
      </c>
      <c r="B384" s="48" t="str">
        <f t="shared" ca="1" si="296"/>
        <v>taba' el yom</v>
      </c>
    </row>
    <row r="385" spans="1:2" ht="15.75" customHeight="1" thickBot="1" x14ac:dyDescent="0.3">
      <c r="A385" s="56"/>
      <c r="B385" s="47" t="str">
        <f t="shared" ca="1" si="297"/>
        <v>طَبَق اليوم</v>
      </c>
    </row>
    <row r="386" spans="1:2" ht="19.5" customHeight="1" thickTop="1" x14ac:dyDescent="0.25">
      <c r="A386" s="49" t="str">
        <f t="shared" ref="A386" ca="1" si="315">IF(MOD(ROW()-2,2)=0, INDIRECT("Sheet1!B" &amp;4+((ROW()-2)/2)-2), "")</f>
        <v>What is the dish of the day</v>
      </c>
      <c r="B386" s="45" t="str">
        <f t="shared" ca="1" si="299"/>
        <v>shou taba' el yom</v>
      </c>
    </row>
    <row r="387" spans="1:2" ht="15.75" customHeight="1" thickBot="1" x14ac:dyDescent="0.3">
      <c r="A387" s="50"/>
      <c r="B387" s="46" t="str">
        <f t="shared" ca="1" si="300"/>
        <v>شو طَبَق اليوم</v>
      </c>
    </row>
    <row r="388" spans="1:2" ht="15.75" customHeight="1" thickTop="1" x14ac:dyDescent="0.25">
      <c r="A388" s="57" t="str">
        <f t="shared" ref="A388" ca="1" si="316">IF(MOD(ROW()-2,2)=0, INDIRECT("Sheet1!B" &amp;4+((ROW()-2)/2)-2), "")</f>
        <v>How much time the food will need to arrive</v>
      </c>
      <c r="B388" s="48" t="str">
        <f t="shared" ca="1" si="302"/>
        <v>ade bado wa'et el akel ta yousal</v>
      </c>
    </row>
    <row r="389" spans="1:2" ht="15.75" customHeight="1" thickBot="1" x14ac:dyDescent="0.3">
      <c r="A389" s="56"/>
      <c r="B389" s="47" t="str">
        <f t="shared" ca="1" si="303"/>
        <v>أَدّي بَدّو وَقت الأكل تَ يوصَل</v>
      </c>
    </row>
    <row r="390" spans="1:2" ht="19.5" customHeight="1" thickTop="1" x14ac:dyDescent="0.25">
      <c r="A390" s="49" t="str">
        <f t="shared" ref="A390" ca="1" si="317">IF(MOD(ROW()-2,2)=0, INDIRECT("Sheet1!B" &amp;4+((ROW()-2)/2)-2), "")</f>
        <v>How much will the food cost</v>
      </c>
      <c r="B390" s="45" t="str">
        <f t="shared" ca="1" si="305"/>
        <v>addeh byotla3 Ha' el akel?</v>
      </c>
    </row>
    <row r="391" spans="1:2" ht="15.75" customHeight="1" thickBot="1" x14ac:dyDescent="0.3">
      <c r="A391" s="50"/>
      <c r="B391" s="46" t="str">
        <f t="shared" ca="1" si="306"/>
        <v xml:space="preserve">أدّي بِيطلَع حَقّ الأكل </v>
      </c>
    </row>
    <row r="392" spans="1:2" ht="19.5" thickTop="1" x14ac:dyDescent="0.25">
      <c r="A392" s="57" t="str">
        <f t="shared" ref="A392" ca="1" si="318">IF(MOD(ROW()-2,2)=0, INDIRECT("Sheet1!B" &amp;4+((ROW()-2)/2)-2), "")</f>
        <v>Winter</v>
      </c>
      <c r="B392" s="48" t="str">
        <f t="shared" ca="1" si="308"/>
        <v>shiteh</v>
      </c>
    </row>
    <row r="393" spans="1:2" ht="15.75" customHeight="1" thickBot="1" x14ac:dyDescent="0.3">
      <c r="A393" s="56"/>
      <c r="B393" s="47" t="str">
        <f t="shared" ca="1" si="309"/>
        <v xml:space="preserve">شِتي </v>
      </c>
    </row>
    <row r="394" spans="1:2" ht="19.5" thickTop="1" x14ac:dyDescent="0.25">
      <c r="A394" s="49" t="str">
        <f t="shared" ref="A394" ca="1" si="319">IF(MOD(ROW()-2,2)=0, INDIRECT("Sheet1!B" &amp;4+((ROW()-2)/2)-2), "")</f>
        <v>Cold</v>
      </c>
      <c r="B394" s="45" t="str">
        <f t="shared" ref="B394" ca="1" si="320">IF(MOD(ROW()-2,2)=0, INDIRECT("Sheet1!D" &amp;4+((ROW()-2)/2)-2), "")</f>
        <v>sa'3a</v>
      </c>
    </row>
    <row r="395" spans="1:2" ht="15.75" customHeight="1" thickBot="1" x14ac:dyDescent="0.3">
      <c r="A395" s="50"/>
      <c r="B395" s="46" t="str">
        <f t="shared" ref="B395" ca="1" si="321">IF(MOD(ROW()-3,2)=0, INDIRECT("Sheet1!E" &amp;4+((ROW()-3)/2)-2), "")</f>
        <v xml:space="preserve">سَقعَة </v>
      </c>
    </row>
    <row r="396" spans="1:2" ht="19.5" thickTop="1" x14ac:dyDescent="0.25">
      <c r="A396" s="57" t="str">
        <f t="shared" ref="A396" ca="1" si="322">IF(MOD(ROW()-2,2)=0, INDIRECT("Sheet1!B" &amp;4+((ROW()-2)/2)-2), "")</f>
        <v xml:space="preserve">Storm </v>
      </c>
      <c r="B396" s="48" t="str">
        <f t="shared" ca="1" si="293"/>
        <v>3asfeh</v>
      </c>
    </row>
    <row r="397" spans="1:2" ht="15.75" customHeight="1" thickBot="1" x14ac:dyDescent="0.3">
      <c r="A397" s="56"/>
      <c r="B397" s="47" t="str">
        <f t="shared" ca="1" si="294"/>
        <v xml:space="preserve">عَاصفِة </v>
      </c>
    </row>
    <row r="398" spans="1:2" ht="19.5" thickTop="1" x14ac:dyDescent="0.25">
      <c r="A398" s="49" t="str">
        <f t="shared" ref="A398" ca="1" si="323">IF(MOD(ROW()-2,2)=0, INDIRECT("Sheet1!B" &amp;4+((ROW()-2)/2)-2), "")</f>
        <v>Snow</v>
      </c>
      <c r="B398" s="45" t="str">
        <f t="shared" ca="1" si="296"/>
        <v>talej</v>
      </c>
    </row>
    <row r="399" spans="1:2" ht="15.75" customHeight="1" thickBot="1" x14ac:dyDescent="0.3">
      <c r="A399" s="50"/>
      <c r="B399" s="46" t="str">
        <f t="shared" ca="1" si="297"/>
        <v>تَلج</v>
      </c>
    </row>
    <row r="400" spans="1:2" ht="19.5" thickTop="1" x14ac:dyDescent="0.25">
      <c r="A400" s="57" t="str">
        <f t="shared" ref="A400" ca="1" si="324">IF(MOD(ROW()-2,2)=0, INDIRECT("Sheet1!B" &amp;4+((ROW()-2)/2)-2), "")</f>
        <v xml:space="preserve">Road </v>
      </c>
      <c r="B400" s="48" t="str">
        <f t="shared" ca="1" si="299"/>
        <v>taree'</v>
      </c>
    </row>
    <row r="401" spans="1:2" ht="15.75" customHeight="1" thickBot="1" x14ac:dyDescent="0.3">
      <c r="A401" s="56"/>
      <c r="B401" s="47" t="str">
        <f t="shared" ca="1" si="300"/>
        <v xml:space="preserve">طَريق </v>
      </c>
    </row>
    <row r="402" spans="1:2" ht="19.5" thickTop="1" x14ac:dyDescent="0.25">
      <c r="A402" s="49" t="str">
        <f t="shared" ref="A402" ca="1" si="325">IF(MOD(ROW()-2,2)=0, INDIRECT("Sheet1!B" &amp;4+((ROW()-2)/2)-2), "")</f>
        <v xml:space="preserve">Electrical heater </v>
      </c>
      <c r="B402" s="45" t="str">
        <f t="shared" ca="1" si="302"/>
        <v>deffeiyeh</v>
      </c>
    </row>
    <row r="403" spans="1:2" ht="15.75" customHeight="1" thickBot="1" x14ac:dyDescent="0.3">
      <c r="A403" s="50"/>
      <c r="B403" s="46" t="str">
        <f t="shared" ca="1" si="303"/>
        <v>دِفّاية</v>
      </c>
    </row>
    <row r="404" spans="1:2" ht="19.5" thickTop="1" x14ac:dyDescent="0.25">
      <c r="A404" s="57" t="str">
        <f t="shared" ref="A404" ca="1" si="326">IF(MOD(ROW()-2,2)=0, INDIRECT("Sheet1!B" &amp;4+((ROW()-2)/2)-2), "")</f>
        <v xml:space="preserve">Chimney </v>
      </c>
      <c r="B404" s="48" t="str">
        <f t="shared" ca="1" si="305"/>
        <v xml:space="preserve">maw'adeh/ shemineh </v>
      </c>
    </row>
    <row r="405" spans="1:2" ht="15.75" customHeight="1" thickBot="1" x14ac:dyDescent="0.3">
      <c r="A405" s="56"/>
      <c r="B405" s="47" t="str">
        <f t="shared" ca="1" si="306"/>
        <v>شوميني</v>
      </c>
    </row>
    <row r="406" spans="1:2" ht="19.5" thickTop="1" x14ac:dyDescent="0.25">
      <c r="A406" s="49" t="str">
        <f t="shared" ref="A406" ca="1" si="327">IF(MOD(ROW()-2,2)=0, INDIRECT("Sheet1!B" &amp;4+((ROW()-2)/2)-2), "")</f>
        <v xml:space="preserve">Coal </v>
      </c>
      <c r="B406" s="45" t="str">
        <f t="shared" ca="1" si="308"/>
        <v>Hatab</v>
      </c>
    </row>
    <row r="407" spans="1:2" ht="15.75" customHeight="1" thickBot="1" x14ac:dyDescent="0.3">
      <c r="A407" s="50"/>
      <c r="B407" s="46" t="str">
        <f t="shared" ca="1" si="309"/>
        <v>حَطَب</v>
      </c>
    </row>
    <row r="408" spans="1:2" ht="19.5" thickTop="1" x14ac:dyDescent="0.25">
      <c r="A408" s="57" t="str">
        <f t="shared" ref="A408" ca="1" si="328">IF(MOD(ROW()-2,2)=0, INDIRECT("Sheet1!B" &amp;4+((ROW()-2)/2)-2), "")</f>
        <v xml:space="preserve">Winter food </v>
      </c>
      <c r="B408" s="48" t="str">
        <f t="shared" ref="B408" ca="1" si="329">IF(MOD(ROW()-2,2)=0, INDIRECT("Sheet1!D" &amp;4+((ROW()-2)/2)-2), "")</f>
        <v>akel el shiteh</v>
      </c>
    </row>
    <row r="409" spans="1:2" ht="15.75" customHeight="1" thickBot="1" x14ac:dyDescent="0.3">
      <c r="A409" s="56"/>
      <c r="B409" s="47" t="str">
        <f t="shared" ref="B409" ca="1" si="330">IF(MOD(ROW()-3,2)=0, INDIRECT("Sheet1!E" &amp;4+((ROW()-3)/2)-2), "")</f>
        <v xml:space="preserve">أكل الشِتي </v>
      </c>
    </row>
    <row r="410" spans="1:2" ht="19.5" thickTop="1" x14ac:dyDescent="0.25">
      <c r="A410" s="49" t="str">
        <f t="shared" ref="A410" ca="1" si="331">IF(MOD(ROW()-2,2)=0, INDIRECT("Sheet1!B" &amp;4+((ROW()-2)/2)-2), "")</f>
        <v xml:space="preserve">Chestnut </v>
      </c>
      <c r="B410" s="45" t="str">
        <f t="shared" ca="1" si="293"/>
        <v>kastana</v>
      </c>
    </row>
    <row r="411" spans="1:2" ht="15.75" customHeight="1" thickBot="1" x14ac:dyDescent="0.3">
      <c r="A411" s="50"/>
      <c r="B411" s="46" t="str">
        <f t="shared" ca="1" si="294"/>
        <v>كَستنا</v>
      </c>
    </row>
    <row r="412" spans="1:2" ht="19.5" thickTop="1" x14ac:dyDescent="0.25">
      <c r="A412" s="57" t="str">
        <f t="shared" ref="A412" ca="1" si="332">IF(MOD(ROW()-2,2)=0, INDIRECT("Sheet1!B" &amp;4+((ROW()-2)/2)-2), "")</f>
        <v xml:space="preserve">Grilled potatoe </v>
      </c>
      <c r="B412" s="48" t="str">
        <f t="shared" ca="1" si="296"/>
        <v>batata meshwiyeh</v>
      </c>
    </row>
    <row r="413" spans="1:2" ht="15.75" customHeight="1" thickBot="1" x14ac:dyDescent="0.3">
      <c r="A413" s="56"/>
      <c r="B413" s="47" t="str">
        <f t="shared" ca="1" si="297"/>
        <v xml:space="preserve">بطاطا مِشويّة </v>
      </c>
    </row>
    <row r="414" spans="1:2" ht="19.5" thickTop="1" x14ac:dyDescent="0.25">
      <c r="A414" s="49" t="str">
        <f t="shared" ref="A414" ca="1" si="333">IF(MOD(ROW()-2,2)=0, INDIRECT("Sheet1!B" &amp;4+((ROW()-2)/2)-2), "")</f>
        <v xml:space="preserve">Soup </v>
      </c>
      <c r="B414" s="45" t="str">
        <f t="shared" ca="1" si="299"/>
        <v>shawraba</v>
      </c>
    </row>
    <row r="415" spans="1:2" ht="15.75" customHeight="1" thickBot="1" x14ac:dyDescent="0.3">
      <c r="A415" s="50"/>
      <c r="B415" s="46" t="str">
        <f t="shared" ca="1" si="300"/>
        <v>شَوَبَة</v>
      </c>
    </row>
    <row r="416" spans="1:2" ht="19.5" thickTop="1" x14ac:dyDescent="0.25">
      <c r="A416" s="57" t="str">
        <f t="shared" ref="A416" ca="1" si="334">IF(MOD(ROW()-2,2)=0, INDIRECT("Sheet1!B" &amp;4+((ROW()-2)/2)-2), "")</f>
        <v xml:space="preserve">Scarf </v>
      </c>
      <c r="B416" s="48" t="str">
        <f t="shared" ca="1" si="302"/>
        <v>sheil</v>
      </c>
    </row>
    <row r="417" spans="1:2" ht="15.75" customHeight="1" thickBot="1" x14ac:dyDescent="0.3">
      <c r="A417" s="56"/>
      <c r="B417" s="47" t="str">
        <f t="shared" ca="1" si="303"/>
        <v>شال</v>
      </c>
    </row>
    <row r="418" spans="1:2" ht="19.5" thickTop="1" x14ac:dyDescent="0.25">
      <c r="A418" s="49" t="str">
        <f t="shared" ref="A418" ca="1" si="335">IF(MOD(ROW()-2,2)=0, INDIRECT("Sheet1!B" &amp;4+((ROW()-2)/2)-2), "")</f>
        <v xml:space="preserve">Gloves </v>
      </c>
      <c r="B418" s="45" t="str">
        <f t="shared" ca="1" si="305"/>
        <v>kfouf</v>
      </c>
    </row>
    <row r="419" spans="1:2" ht="15.75" customHeight="1" thickBot="1" x14ac:dyDescent="0.3">
      <c r="A419" s="50"/>
      <c r="B419" s="46" t="str">
        <f t="shared" ca="1" si="306"/>
        <v>كفوف</v>
      </c>
    </row>
    <row r="420" spans="1:2" ht="19.5" thickTop="1" x14ac:dyDescent="0.25">
      <c r="A420" s="57" t="str">
        <f t="shared" ref="A420" ca="1" si="336">IF(MOD(ROW()-2,2)=0, INDIRECT("Sheet1!B" &amp;4+((ROW()-2)/2)-2), "")</f>
        <v xml:space="preserve">Hat </v>
      </c>
      <c r="B420" s="48" t="str">
        <f t="shared" ca="1" si="308"/>
        <v>bornayta</v>
      </c>
    </row>
    <row r="421" spans="1:2" ht="15.75" customHeight="1" thickBot="1" x14ac:dyDescent="0.3">
      <c r="A421" s="56"/>
      <c r="B421" s="47" t="str">
        <f t="shared" ca="1" si="309"/>
        <v>بُرنَيطَة</v>
      </c>
    </row>
    <row r="422" spans="1:2" ht="19.5" thickTop="1" x14ac:dyDescent="0.25">
      <c r="A422" s="49" t="str">
        <f t="shared" ref="A422" ca="1" si="337">IF(MOD(ROW()-2,2)=0, INDIRECT("Sheet1!B" &amp;4+((ROW()-2)/2)-2), "")</f>
        <v xml:space="preserve">Coat </v>
      </c>
      <c r="B422" s="45" t="str">
        <f t="shared" ref="B422" ca="1" si="338">IF(MOD(ROW()-2,2)=0, INDIRECT("Sheet1!D" &amp;4+((ROW()-2)/2)-2), "")</f>
        <v>kabbout</v>
      </c>
    </row>
    <row r="423" spans="1:2" ht="15.75" customHeight="1" thickBot="1" x14ac:dyDescent="0.3">
      <c r="A423" s="50"/>
      <c r="B423" s="46" t="str">
        <f t="shared" ref="B423" ca="1" si="339">IF(MOD(ROW()-3,2)=0, INDIRECT("Sheet1!E" &amp;4+((ROW()-3)/2)-2), "")</f>
        <v>كَبّوت</v>
      </c>
    </row>
    <row r="424" spans="1:2" ht="19.5" thickTop="1" x14ac:dyDescent="0.25">
      <c r="A424" s="57" t="str">
        <f t="shared" ref="A424" ca="1" si="340">IF(MOD(ROW()-2,2)=0, INDIRECT("Sheet1!B" &amp;4+((ROW()-2)/2)-2), "")</f>
        <v xml:space="preserve">Today, it's really cold </v>
      </c>
      <c r="B424" s="48" t="str">
        <f t="shared" ca="1" si="293"/>
        <v>el yom, kteer sa'3a</v>
      </c>
    </row>
    <row r="425" spans="1:2" ht="15.75" customHeight="1" thickBot="1" x14ac:dyDescent="0.3">
      <c r="A425" s="56"/>
      <c r="B425" s="47" t="str">
        <f t="shared" ca="1" si="294"/>
        <v xml:space="preserve">اليوم، كنير سَقعَة </v>
      </c>
    </row>
    <row r="426" spans="1:2" ht="15.75" customHeight="1" thickTop="1" x14ac:dyDescent="0.25">
      <c r="A426" s="49" t="str">
        <f t="shared" ref="A426" ca="1" si="341">IF(MOD(ROW()-2,2)=0, INDIRECT("Sheet1!B" &amp;4+((ROW()-2)/2)-2), "")</f>
        <v xml:space="preserve">There is a storm coming soon </v>
      </c>
      <c r="B426" s="45" t="str">
        <f t="shared" ca="1" si="296"/>
        <v>fi 3asfeh jeiyeh areeban</v>
      </c>
    </row>
    <row r="427" spans="1:2" ht="15.75" customHeight="1" thickBot="1" x14ac:dyDescent="0.3">
      <c r="A427" s="50"/>
      <c r="B427" s="46" t="str">
        <f t="shared" ca="1" si="297"/>
        <v xml:space="preserve">في عاصفِة جايي قَريبا" </v>
      </c>
    </row>
    <row r="428" spans="1:2" ht="19.5" thickTop="1" x14ac:dyDescent="0.25">
      <c r="A428" s="57" t="str">
        <f t="shared" ref="A428" ca="1" si="342">IF(MOD(ROW()-2,2)=0, INDIRECT("Sheet1!B" &amp;4+((ROW()-2)/2)-2), "")</f>
        <v xml:space="preserve">It snowed yesterday </v>
      </c>
      <c r="B428" s="48" t="str">
        <f t="shared" ca="1" si="299"/>
        <v>talajit mbeiriH</v>
      </c>
    </row>
    <row r="429" spans="1:2" ht="15.75" customHeight="1" thickBot="1" x14ac:dyDescent="0.3">
      <c r="A429" s="56"/>
      <c r="B429" s="47" t="str">
        <f t="shared" ca="1" si="300"/>
        <v>تَلَجِت مبارِح</v>
      </c>
    </row>
    <row r="430" spans="1:2" ht="38.25" thickTop="1" x14ac:dyDescent="0.25">
      <c r="A430" s="49" t="str">
        <f t="shared" ref="A430" ca="1" si="343">IF(MOD(ROW()-2,2)=0, INDIRECT("Sheet1!B" &amp;4+((ROW()-2)/2)-2), "")</f>
        <v xml:space="preserve">The road was blocked </v>
      </c>
      <c r="B430" s="45" t="str">
        <f t="shared" ca="1" si="302"/>
        <v>el taree' kein ma'tou3/ msakkar</v>
      </c>
    </row>
    <row r="431" spans="1:2" ht="15.75" customHeight="1" thickBot="1" x14ac:dyDescent="0.3">
      <c r="A431" s="50"/>
      <c r="B431" s="46" t="str">
        <f t="shared" ca="1" si="303"/>
        <v>الطَريق كان مَقطوع/ مسَكّر</v>
      </c>
    </row>
    <row r="432" spans="1:2" ht="38.25" thickTop="1" x14ac:dyDescent="0.25">
      <c r="A432" s="57" t="str">
        <f t="shared" ref="A432" ca="1" si="344">IF(MOD(ROW()-2,2)=0, INDIRECT("Sheet1!B" &amp;4+((ROW()-2)/2)-2), "")</f>
        <v xml:space="preserve">It's too cold, i can't go out, not to catch a cold </v>
      </c>
      <c r="B432" s="48" t="str">
        <f t="shared" ca="1" si="305"/>
        <v>kteer sa'3a, ma feeneh odhar, ta ma omrad</v>
      </c>
    </row>
    <row r="433" spans="1:2" ht="36.75" thickBot="1" x14ac:dyDescent="0.3">
      <c r="A433" s="56"/>
      <c r="B433" s="47" t="str">
        <f t="shared" ca="1" si="306"/>
        <v>كنير سَقعَة، ما فيني أُضهّر، تَ ما أُمرَض</v>
      </c>
    </row>
    <row r="434" spans="1:2" ht="19.5" thickTop="1" x14ac:dyDescent="0.25">
      <c r="A434" s="49" t="str">
        <f t="shared" ref="A434" ca="1" si="345">IF(MOD(ROW()-2,2)=0, INDIRECT("Sheet1!B" &amp;4+((ROW()-2)/2)-2), "")</f>
        <v>Heating machines</v>
      </c>
      <c r="B434" s="45" t="str">
        <f t="shared" ca="1" si="308"/>
        <v>wasei'il tadfi'a</v>
      </c>
    </row>
    <row r="435" spans="1:2" ht="15.75" customHeight="1" thickBot="1" x14ac:dyDescent="0.3">
      <c r="A435" s="50"/>
      <c r="B435" s="46" t="str">
        <f t="shared" ca="1" si="309"/>
        <v>وَسائل تَدفِءة</v>
      </c>
    </row>
    <row r="436" spans="1:2" ht="19.5" thickTop="1" x14ac:dyDescent="0.25">
      <c r="A436" s="57" t="str">
        <f t="shared" ref="A436" ca="1" si="346">IF(MOD(ROW()-2,2)=0, INDIRECT("Sheet1!B" &amp;4+((ROW()-2)/2)-2), "")</f>
        <v xml:space="preserve">I am going to the snow </v>
      </c>
      <c r="B436" s="48" t="str">
        <f t="shared" ref="B436" ca="1" si="347">IF(MOD(ROW()-2,2)=0, INDIRECT("Sheet1!D" &amp;4+((ROW()-2)/2)-2), "")</f>
        <v>ana rayHa/ rayiH 3al talej</v>
      </c>
    </row>
    <row r="437" spans="1:2" ht="15.75" customHeight="1" thickBot="1" x14ac:dyDescent="0.3">
      <c r="A437" s="56"/>
      <c r="B437" s="47" t="str">
        <f t="shared" ref="B437" ca="1" si="348">IF(MOD(ROW()-3,2)=0, INDIRECT("Sheet1!E" &amp;4+((ROW()-3)/2)-2), "")</f>
        <v>انا رايحل على تَلج</v>
      </c>
    </row>
    <row r="438" spans="1:2" ht="38.25" thickTop="1" x14ac:dyDescent="0.25">
      <c r="A438" s="49" t="str">
        <f t="shared" ref="A438" ca="1" si="349">IF(MOD(ROW()-2,2)=0, INDIRECT("Sheet1!B" &amp;4+((ROW()-2)/2)-2), "")</f>
        <v xml:space="preserve">I am goig skiing </v>
      </c>
      <c r="B438" s="45" t="str">
        <f t="shared" ref="B438:B494" ca="1" si="350">IF(MOD(ROW()-2,2)=0, INDIRECT("Sheet1!D" &amp;4+((ROW()-2)/2)-2), "")</f>
        <v>ana rayHa/ rayiH a3moul ski</v>
      </c>
    </row>
    <row r="439" spans="1:2" ht="15.75" customHeight="1" thickBot="1" x14ac:dyDescent="0.3">
      <c r="A439" s="50"/>
      <c r="B439" s="46" t="str">
        <f t="shared" ref="B439:B495" ca="1" si="351">IF(MOD(ROW()-3,2)=0, INDIRECT("Sheet1!E" &amp;4+((ROW()-3)/2)-2), "")</f>
        <v xml:space="preserve">أنا رايحا أعمُل سكي </v>
      </c>
    </row>
    <row r="440" spans="1:2" ht="38.25" thickTop="1" x14ac:dyDescent="0.25">
      <c r="A440" s="57" t="str">
        <f t="shared" ref="A440" ca="1" si="352">IF(MOD(ROW()-2,2)=0, INDIRECT("Sheet1!B" &amp;4+((ROW()-2)/2)-2), "")</f>
        <v xml:space="preserve">Keep warm </v>
      </c>
      <c r="B440" s="48" t="str">
        <f t="shared" ref="B440:B496" ca="1" si="353">IF(MOD(ROW()-2,2)=0, INDIRECT("Sheet1!D" &amp;4+((ROW()-2)/2)-2), "")</f>
        <v>tddaffeh/ tdaffa/ tdaffo mniH</v>
      </c>
    </row>
    <row r="441" spans="1:2" ht="15.75" customHeight="1" thickBot="1" x14ac:dyDescent="0.3">
      <c r="A441" s="56"/>
      <c r="B441" s="47" t="str">
        <f t="shared" ref="B441:B497" ca="1" si="354">IF(MOD(ROW()-3,2)=0, INDIRECT("Sheet1!E" &amp;4+((ROW()-3)/2)-2), "")</f>
        <v>تدَفّى/ تدفّي/ تدفّوا منيح</v>
      </c>
    </row>
    <row r="442" spans="1:2" ht="19.5" thickTop="1" x14ac:dyDescent="0.25">
      <c r="A442" s="49" t="str">
        <f t="shared" ref="A442" ca="1" si="355">IF(MOD(ROW()-2,2)=0, INDIRECT("Sheet1!B" &amp;4+((ROW()-2)/2)-2), "")</f>
        <v xml:space="preserve">Pencil </v>
      </c>
      <c r="B442" s="45" t="str">
        <f t="shared" ref="B442:B498" ca="1" si="356">IF(MOD(ROW()-2,2)=0, INDIRECT("Sheet1!D" &amp;4+((ROW()-2)/2)-2), "")</f>
        <v>alam rsas</v>
      </c>
    </row>
    <row r="443" spans="1:2" ht="15.75" customHeight="1" thickBot="1" x14ac:dyDescent="0.3">
      <c r="A443" s="50"/>
      <c r="B443" s="46" t="str">
        <f t="shared" ref="B443:B499" ca="1" si="357">IF(MOD(ROW()-3,2)=0, INDIRECT("Sheet1!E" &amp;4+((ROW()-3)/2)-2), "")</f>
        <v>قَلَم رصاص</v>
      </c>
    </row>
    <row r="444" spans="1:2" ht="19.5" thickTop="1" x14ac:dyDescent="0.25">
      <c r="A444" s="57" t="str">
        <f t="shared" ref="A444" ca="1" si="358">IF(MOD(ROW()-2,2)=0, INDIRECT("Sheet1!B" &amp;4+((ROW()-2)/2)-2), "")</f>
        <v xml:space="preserve">Pen </v>
      </c>
      <c r="B444" s="48" t="str">
        <f t="shared" ref="B444:B500" ca="1" si="359">IF(MOD(ROW()-2,2)=0, INDIRECT("Sheet1!D" &amp;4+((ROW()-2)/2)-2), "")</f>
        <v>alam</v>
      </c>
    </row>
    <row r="445" spans="1:2" ht="15.75" customHeight="1" thickBot="1" x14ac:dyDescent="0.3">
      <c r="A445" s="56"/>
      <c r="B445" s="47" t="str">
        <f t="shared" ref="B445:B501" ca="1" si="360">IF(MOD(ROW()-3,2)=0, INDIRECT("Sheet1!E" &amp;4+((ROW()-3)/2)-2), "")</f>
        <v>قَلَم</v>
      </c>
    </row>
    <row r="446" spans="1:2" ht="19.5" thickTop="1" x14ac:dyDescent="0.25">
      <c r="A446" s="49" t="str">
        <f t="shared" ref="A446" ca="1" si="361">IF(MOD(ROW()-2,2)=0, INDIRECT("Sheet1!B" &amp;4+((ROW()-2)/2)-2), "")</f>
        <v>Paper</v>
      </c>
      <c r="B446" s="45" t="str">
        <f t="shared" ref="B446:B502" ca="1" si="362">IF(MOD(ROW()-2,2)=0, INDIRECT("Sheet1!D" &amp;4+((ROW()-2)/2)-2), "")</f>
        <v>war'a</v>
      </c>
    </row>
    <row r="447" spans="1:2" ht="15.75" customHeight="1" thickBot="1" x14ac:dyDescent="0.3">
      <c r="A447" s="50"/>
      <c r="B447" s="46" t="str">
        <f t="shared" ref="B447:B503" ca="1" si="363">IF(MOD(ROW()-3,2)=0, INDIRECT("Sheet1!E" &amp;4+((ROW()-3)/2)-2), "")</f>
        <v>وَرقة</v>
      </c>
    </row>
    <row r="448" spans="1:2" ht="19.5" thickTop="1" x14ac:dyDescent="0.25">
      <c r="A448" s="57" t="str">
        <f t="shared" ref="A448" ca="1" si="364">IF(MOD(ROW()-2,2)=0, INDIRECT("Sheet1!B" &amp;4+((ROW()-2)/2)-2), "")</f>
        <v xml:space="preserve">I write </v>
      </c>
      <c r="B448" s="48" t="str">
        <f t="shared" ref="B448:B504" ca="1" si="365">IF(MOD(ROW()-2,2)=0, INDIRECT("Sheet1!D" &amp;4+((ROW()-2)/2)-2), "")</f>
        <v>bektoub</v>
      </c>
    </row>
    <row r="449" spans="1:2" ht="15.75" customHeight="1" thickBot="1" x14ac:dyDescent="0.3">
      <c r="A449" s="56"/>
      <c r="B449" s="47" t="str">
        <f t="shared" ref="B449:B505" ca="1" si="366">IF(MOD(ROW()-3,2)=0, INDIRECT("Sheet1!E" &amp;4+((ROW()-3)/2)-2), "")</f>
        <v>بِكتُب</v>
      </c>
    </row>
    <row r="450" spans="1:2" ht="19.5" thickTop="1" x14ac:dyDescent="0.25">
      <c r="A450" s="49" t="str">
        <f t="shared" ref="A450" ca="1" si="367">IF(MOD(ROW()-2,2)=0, INDIRECT("Sheet1!B" &amp;4+((ROW()-2)/2)-2), "")</f>
        <v xml:space="preserve">Book </v>
      </c>
      <c r="B450" s="45" t="str">
        <f t="shared" ref="B450" ca="1" si="368">IF(MOD(ROW()-2,2)=0, INDIRECT("Sheet1!D" &amp;4+((ROW()-2)/2)-2), "")</f>
        <v>kteib</v>
      </c>
    </row>
    <row r="451" spans="1:2" ht="15.75" customHeight="1" thickBot="1" x14ac:dyDescent="0.3">
      <c r="A451" s="50"/>
      <c r="B451" s="46" t="str">
        <f t="shared" ref="B451" ca="1" si="369">IF(MOD(ROW()-3,2)=0, INDIRECT("Sheet1!E" &amp;4+((ROW()-3)/2)-2), "")</f>
        <v>كتاب</v>
      </c>
    </row>
    <row r="452" spans="1:2" ht="19.5" thickTop="1" x14ac:dyDescent="0.25">
      <c r="A452" s="57" t="str">
        <f t="shared" ref="A452" ca="1" si="370">IF(MOD(ROW()-2,2)=0, INDIRECT("Sheet1!B" &amp;4+((ROW()-2)/2)-2), "")</f>
        <v xml:space="preserve">Notebook </v>
      </c>
      <c r="B452" s="48" t="str">
        <f t="shared" ca="1" si="350"/>
        <v>daftar</v>
      </c>
    </row>
    <row r="453" spans="1:2" ht="15.75" customHeight="1" thickBot="1" x14ac:dyDescent="0.3">
      <c r="A453" s="56"/>
      <c r="B453" s="47" t="str">
        <f t="shared" ca="1" si="351"/>
        <v>دَفتَر</v>
      </c>
    </row>
    <row r="454" spans="1:2" ht="19.5" thickTop="1" x14ac:dyDescent="0.25">
      <c r="A454" s="49" t="str">
        <f t="shared" ref="A454" ca="1" si="371">IF(MOD(ROW()-2,2)=0, INDIRECT("Sheet1!B" &amp;4+((ROW()-2)/2)-2), "")</f>
        <v xml:space="preserve">Ruler </v>
      </c>
      <c r="B454" s="45" t="str">
        <f t="shared" ca="1" si="353"/>
        <v>mastara</v>
      </c>
    </row>
    <row r="455" spans="1:2" ht="15.75" customHeight="1" thickBot="1" x14ac:dyDescent="0.3">
      <c r="A455" s="50"/>
      <c r="B455" s="46" t="str">
        <f t="shared" ca="1" si="354"/>
        <v>مَسطَرَة</v>
      </c>
    </row>
    <row r="456" spans="1:2" ht="19.5" thickTop="1" x14ac:dyDescent="0.25">
      <c r="A456" s="57" t="str">
        <f t="shared" ref="A456" ca="1" si="372">IF(MOD(ROW()-2,2)=0, INDIRECT("Sheet1!B" &amp;4+((ROW()-2)/2)-2), "")</f>
        <v xml:space="preserve">Board </v>
      </c>
      <c r="B456" s="48" t="str">
        <f t="shared" ca="1" si="356"/>
        <v>lawH</v>
      </c>
    </row>
    <row r="457" spans="1:2" ht="15.75" customHeight="1" thickBot="1" x14ac:dyDescent="0.3">
      <c r="A457" s="56"/>
      <c r="B457" s="47" t="str">
        <f t="shared" ca="1" si="357"/>
        <v>لّوح</v>
      </c>
    </row>
    <row r="458" spans="1:2" ht="19.5" thickTop="1" x14ac:dyDescent="0.25">
      <c r="A458" s="49" t="str">
        <f t="shared" ref="A458" ca="1" si="373">IF(MOD(ROW()-2,2)=0, INDIRECT("Sheet1!B" &amp;4+((ROW()-2)/2)-2), "")</f>
        <v xml:space="preserve">Teacher (man) </v>
      </c>
      <c r="B458" s="45" t="str">
        <f t="shared" ca="1" si="359"/>
        <v>esteiz</v>
      </c>
    </row>
    <row r="459" spans="1:2" ht="15.75" customHeight="1" thickBot="1" x14ac:dyDescent="0.3">
      <c r="A459" s="50"/>
      <c r="B459" s="46" t="str">
        <f t="shared" ca="1" si="360"/>
        <v>إستاذ</v>
      </c>
    </row>
    <row r="460" spans="1:2" ht="19.5" thickTop="1" x14ac:dyDescent="0.25">
      <c r="A460" s="57" t="str">
        <f t="shared" ref="A460" ca="1" si="374">IF(MOD(ROW()-2,2)=0, INDIRECT("Sheet1!B" &amp;4+((ROW()-2)/2)-2), "")</f>
        <v xml:space="preserve">Teacher (woman) </v>
      </c>
      <c r="B460" s="48" t="str">
        <f t="shared" ca="1" si="362"/>
        <v>m3almeh</v>
      </c>
    </row>
    <row r="461" spans="1:2" ht="15.75" customHeight="1" thickBot="1" x14ac:dyDescent="0.3">
      <c r="A461" s="56"/>
      <c r="B461" s="47" t="str">
        <f t="shared" ca="1" si="363"/>
        <v>معَلمة</v>
      </c>
    </row>
    <row r="462" spans="1:2" ht="19.5" thickTop="1" x14ac:dyDescent="0.25">
      <c r="A462" s="49" t="str">
        <f t="shared" ref="A462" ca="1" si="375">IF(MOD(ROW()-2,2)=0, INDIRECT("Sheet1!B" &amp;4+((ROW()-2)/2)-2), "")</f>
        <v>I am a student</v>
      </c>
      <c r="B462" s="45" t="str">
        <f t="shared" ca="1" si="365"/>
        <v>ana tilmeez/ tilmeezeh</v>
      </c>
    </row>
    <row r="463" spans="1:2" ht="15.75" customHeight="1" thickBot="1" x14ac:dyDescent="0.3">
      <c r="A463" s="50"/>
      <c r="B463" s="46" t="str">
        <f t="shared" ca="1" si="366"/>
        <v>أنا تلميذ/ تلميذة</v>
      </c>
    </row>
    <row r="464" spans="1:2" ht="19.5" thickTop="1" x14ac:dyDescent="0.25">
      <c r="A464" s="57" t="str">
        <f t="shared" ref="A464" ca="1" si="376">IF(MOD(ROW()-2,2)=0, INDIRECT("Sheet1!B" &amp;4+((ROW()-2)/2)-2), "")</f>
        <v xml:space="preserve">I study arabic </v>
      </c>
      <c r="B464" s="48" t="str">
        <f t="shared" ref="B464" ca="1" si="377">IF(MOD(ROW()-2,2)=0, INDIRECT("Sheet1!D" &amp;4+((ROW()-2)/2)-2), "")</f>
        <v>ana bedrous 3arabeh</v>
      </c>
    </row>
    <row r="465" spans="1:2" ht="15.75" customHeight="1" thickBot="1" x14ac:dyDescent="0.3">
      <c r="A465" s="56"/>
      <c r="B465" s="47" t="str">
        <f t="shared" ref="B465" ca="1" si="378">IF(MOD(ROW()-3,2)=0, INDIRECT("Sheet1!E" &amp;4+((ROW()-3)/2)-2), "")</f>
        <v>أنا بدرُس عَرَبي</v>
      </c>
    </row>
    <row r="466" spans="1:2" ht="38.25" thickTop="1" x14ac:dyDescent="0.25">
      <c r="A466" s="49" t="str">
        <f t="shared" ref="A466" ca="1" si="379">IF(MOD(ROW()-2,2)=0, INDIRECT("Sheet1!B" &amp;4+((ROW()-2)/2)-2), "")</f>
        <v xml:space="preserve">I study in the lebanese univeristy </v>
      </c>
      <c r="B466" s="45" t="str">
        <f t="shared" ca="1" si="350"/>
        <v>ana bedrous bil jeim3a el lebneiniyeh</v>
      </c>
    </row>
    <row r="467" spans="1:2" ht="15.75" customHeight="1" thickBot="1" x14ac:dyDescent="0.3">
      <c r="A467" s="50"/>
      <c r="B467" s="46" t="str">
        <f t="shared" ca="1" si="351"/>
        <v>أنا بدرُس بالجامعة اللّبنانيّة</v>
      </c>
    </row>
    <row r="468" spans="1:2" ht="57" thickTop="1" x14ac:dyDescent="0.25">
      <c r="A468" s="57" t="str">
        <f t="shared" ref="A468" ca="1" si="380">IF(MOD(ROW()-2,2)=0, INDIRECT("Sheet1!B" &amp;4+((ROW()-2)/2)-2), "")</f>
        <v xml:space="preserve">I am a student,  and study arabic in the lebanese univeristy  </v>
      </c>
      <c r="B468" s="48" t="str">
        <f t="shared" ca="1" si="353"/>
        <v>ana telmeez/telmeezeh, w bedrous 3arabeh bil jeim3a el lebneiniyeh</v>
      </c>
    </row>
    <row r="469" spans="1:2" ht="36.75" thickBot="1" x14ac:dyDescent="0.3">
      <c r="A469" s="56"/>
      <c r="B469" s="47" t="str">
        <f t="shared" ca="1" si="354"/>
        <v>أنا تلمبذ/تِلميذة، وبدرُس عَرَبي بالجامعَة اللّبنانيّة</v>
      </c>
    </row>
    <row r="470" spans="1:2" ht="38.25" thickTop="1" x14ac:dyDescent="0.25">
      <c r="A470" s="49" t="str">
        <f t="shared" ref="A470" ca="1" si="381">IF(MOD(ROW()-2,2)=0, INDIRECT("Sheet1!B" &amp;4+((ROW()-2)/2)-2), "")</f>
        <v>I write with the pen on the paper</v>
      </c>
      <c r="B470" s="45" t="str">
        <f t="shared" ca="1" si="356"/>
        <v>ana bektoub bil alam 3ala el war'a</v>
      </c>
    </row>
    <row r="471" spans="1:2" ht="15.75" customHeight="1" thickBot="1" x14ac:dyDescent="0.3">
      <c r="A471" s="50"/>
      <c r="B471" s="46" t="str">
        <f t="shared" ca="1" si="357"/>
        <v xml:space="preserve">أنا بِكتُب بالقَلَم عَلى الوَرقَة </v>
      </c>
    </row>
    <row r="472" spans="1:2" ht="19.5" customHeight="1" thickTop="1" x14ac:dyDescent="0.25">
      <c r="A472" s="57" t="str">
        <f t="shared" ref="A472" ca="1" si="382">IF(MOD(ROW()-2,2)=0, INDIRECT("Sheet1!B" &amp;4+((ROW()-2)/2)-2), "")</f>
        <v>May i go to the bathroom</v>
      </c>
      <c r="B472" s="48" t="str">
        <f t="shared" ca="1" si="359"/>
        <v>fineh rouH 3al Hemmeim</v>
      </c>
    </row>
    <row r="473" spans="1:2" ht="15.75" customHeight="1" thickBot="1" x14ac:dyDescent="0.3">
      <c r="A473" s="56"/>
      <c r="B473" s="47" t="str">
        <f t="shared" ca="1" si="360"/>
        <v>فيني روح عَلى حَمّام</v>
      </c>
    </row>
    <row r="474" spans="1:2" ht="57" thickTop="1" x14ac:dyDescent="0.25">
      <c r="A474" s="49" t="str">
        <f t="shared" ref="A474" ca="1" si="383">IF(MOD(ROW()-2,2)=0, INDIRECT("Sheet1!B" &amp;4+((ROW()-2)/2)-2), "")</f>
        <v xml:space="preserve">Can you lend me your pen </v>
      </c>
      <c r="B474" s="45" t="str">
        <f t="shared" ca="1" si="362"/>
        <v>feek t3eerneh/ feekeh t3ireeneh/ feekoun t3irouneh alam?</v>
      </c>
    </row>
    <row r="475" spans="1:2" ht="36.75" thickBot="1" x14ac:dyDescent="0.3">
      <c r="A475" s="50"/>
      <c r="B475" s="46" t="str">
        <f t="shared" ca="1" si="363"/>
        <v>فيك تعيرني قَلَم/ فيكي تعيريني قَلَم/ فيكُن تعيروني قلَم</v>
      </c>
    </row>
    <row r="476" spans="1:2" ht="19.5" thickTop="1" x14ac:dyDescent="0.25">
      <c r="A476" s="57" t="str">
        <f t="shared" ref="A476" ca="1" si="384">IF(MOD(ROW()-2,2)=0, INDIRECT("Sheet1!B" &amp;4+((ROW()-2)/2)-2), "")</f>
        <v xml:space="preserve">Job </v>
      </c>
      <c r="B476" s="48" t="str">
        <f t="shared" ca="1" si="365"/>
        <v>sheghel</v>
      </c>
    </row>
    <row r="477" spans="1:2" ht="15.75" customHeight="1" thickBot="1" x14ac:dyDescent="0.3">
      <c r="A477" s="56"/>
      <c r="B477" s="47" t="str">
        <f t="shared" ca="1" si="366"/>
        <v xml:space="preserve">شغل </v>
      </c>
    </row>
    <row r="478" spans="1:2" ht="19.5" thickTop="1" x14ac:dyDescent="0.25">
      <c r="A478" s="49" t="str">
        <f t="shared" ref="A478" ca="1" si="385">IF(MOD(ROW()-2,2)=0, INDIRECT("Sheet1!B" &amp;4+((ROW()-2)/2)-2), "")</f>
        <v>Jobs</v>
      </c>
      <c r="B478" s="45" t="str">
        <f t="shared" ref="B478" ca="1" si="386">IF(MOD(ROW()-2,2)=0, INDIRECT("Sheet1!D" &amp;4+((ROW()-2)/2)-2), "")</f>
        <v>ashghal</v>
      </c>
    </row>
    <row r="479" spans="1:2" ht="15.75" customHeight="1" thickBot="1" x14ac:dyDescent="0.3">
      <c r="A479" s="50"/>
      <c r="B479" s="46" t="str">
        <f t="shared" ref="B479" ca="1" si="387">IF(MOD(ROW()-3,2)=0, INDIRECT("Sheet1!E" &amp;4+((ROW()-3)/2)-2), "")</f>
        <v xml:space="preserve">اشغال </v>
      </c>
    </row>
    <row r="480" spans="1:2" ht="19.5" thickTop="1" x14ac:dyDescent="0.25">
      <c r="A480" s="57" t="str">
        <f t="shared" ref="A480" ca="1" si="388">IF(MOD(ROW()-2,2)=0, INDIRECT("Sheet1!B" &amp;4+((ROW()-2)/2)-2), "")</f>
        <v xml:space="preserve">Show maker </v>
      </c>
      <c r="B480" s="48" t="str">
        <f t="shared" ca="1" si="350"/>
        <v>kindarjeh</v>
      </c>
    </row>
    <row r="481" spans="1:2" ht="15.75" customHeight="1" thickBot="1" x14ac:dyDescent="0.3">
      <c r="A481" s="56"/>
      <c r="B481" s="47" t="str">
        <f t="shared" ca="1" si="351"/>
        <v xml:space="preserve">كِندَرجي </v>
      </c>
    </row>
    <row r="482" spans="1:2" ht="19.5" thickTop="1" x14ac:dyDescent="0.25">
      <c r="A482" s="49" t="str">
        <f t="shared" ref="A482" ca="1" si="389">IF(MOD(ROW()-2,2)=0, INDIRECT("Sheet1!B" &amp;4+((ROW()-2)/2)-2), "")</f>
        <v xml:space="preserve">Blacksmith </v>
      </c>
      <c r="B482" s="45" t="str">
        <f t="shared" ca="1" si="353"/>
        <v>Heddeid</v>
      </c>
    </row>
    <row r="483" spans="1:2" ht="15.75" customHeight="1" thickBot="1" x14ac:dyDescent="0.3">
      <c r="A483" s="50"/>
      <c r="B483" s="46" t="str">
        <f t="shared" ca="1" si="354"/>
        <v xml:space="preserve">حِدّاد </v>
      </c>
    </row>
    <row r="484" spans="1:2" ht="19.5" thickTop="1" x14ac:dyDescent="0.25">
      <c r="A484" s="57" t="str">
        <f t="shared" ref="A484" ca="1" si="390">IF(MOD(ROW()-2,2)=0, INDIRECT("Sheet1!B" &amp;4+((ROW()-2)/2)-2), "")</f>
        <v xml:space="preserve">Carpenter </v>
      </c>
      <c r="B484" s="48" t="str">
        <f t="shared" ca="1" si="356"/>
        <v>najjar</v>
      </c>
    </row>
    <row r="485" spans="1:2" ht="15.75" customHeight="1" thickBot="1" x14ac:dyDescent="0.3">
      <c r="A485" s="56"/>
      <c r="B485" s="47" t="str">
        <f t="shared" ca="1" si="357"/>
        <v xml:space="preserve">نَجّار </v>
      </c>
    </row>
    <row r="486" spans="1:2" ht="19.5" thickTop="1" x14ac:dyDescent="0.25">
      <c r="A486" s="49" t="str">
        <f t="shared" ref="A486" ca="1" si="391">IF(MOD(ROW()-2,2)=0, INDIRECT("Sheet1!B" &amp;4+((ROW()-2)/2)-2), "")</f>
        <v xml:space="preserve">Mechanic </v>
      </c>
      <c r="B486" s="45" t="str">
        <f t="shared" ca="1" si="359"/>
        <v>mecanisiein</v>
      </c>
    </row>
    <row r="487" spans="1:2" ht="15.75" customHeight="1" thickBot="1" x14ac:dyDescent="0.3">
      <c r="A487" s="50"/>
      <c r="B487" s="46" t="str">
        <f t="shared" ca="1" si="360"/>
        <v xml:space="preserve">ميكانيسيان </v>
      </c>
    </row>
    <row r="488" spans="1:2" ht="19.5" thickTop="1" x14ac:dyDescent="0.25">
      <c r="A488" s="57" t="str">
        <f t="shared" ref="A488" ca="1" si="392">IF(MOD(ROW()-2,2)=0, INDIRECT("Sheet1!B" &amp;4+((ROW()-2)/2)-2), "")</f>
        <v xml:space="preserve">Grocery store </v>
      </c>
      <c r="B488" s="48" t="str">
        <f t="shared" ca="1" si="362"/>
        <v>dikkein</v>
      </c>
    </row>
    <row r="489" spans="1:2" ht="15.75" customHeight="1" thickBot="1" x14ac:dyDescent="0.3">
      <c r="A489" s="56"/>
      <c r="B489" s="47" t="str">
        <f t="shared" ca="1" si="363"/>
        <v xml:space="preserve">دِكّان </v>
      </c>
    </row>
    <row r="490" spans="1:2" ht="19.5" thickTop="1" x14ac:dyDescent="0.25">
      <c r="A490" s="49" t="str">
        <f t="shared" ref="A490" ca="1" si="393">IF(MOD(ROW()-2,2)=0, INDIRECT("Sheet1!B" &amp;4+((ROW()-2)/2)-2), "")</f>
        <v xml:space="preserve">Grocery owner </v>
      </c>
      <c r="B490" s="45" t="str">
        <f t="shared" ca="1" si="365"/>
        <v>dikkanjeh</v>
      </c>
    </row>
    <row r="491" spans="1:2" ht="15.75" customHeight="1" thickBot="1" x14ac:dyDescent="0.3">
      <c r="A491" s="50"/>
      <c r="B491" s="46" t="str">
        <f t="shared" ca="1" si="366"/>
        <v>دِكَّنجي</v>
      </c>
    </row>
    <row r="492" spans="1:2" ht="19.5" thickTop="1" x14ac:dyDescent="0.25">
      <c r="A492" s="57" t="str">
        <f t="shared" ref="A492" ca="1" si="394">IF(MOD(ROW()-2,2)=0, INDIRECT("Sheet1!B" &amp;4+((ROW()-2)/2)-2), "")</f>
        <v xml:space="preserve">Vegetables </v>
      </c>
      <c r="B492" s="48" t="str">
        <f t="shared" ref="B492" ca="1" si="395">IF(MOD(ROW()-2,2)=0, INDIRECT("Sheet1!D" &amp;4+((ROW()-2)/2)-2), "")</f>
        <v>khodra</v>
      </c>
    </row>
    <row r="493" spans="1:2" ht="15.75" customHeight="1" thickBot="1" x14ac:dyDescent="0.3">
      <c r="A493" s="56"/>
      <c r="B493" s="47" t="str">
        <f t="shared" ref="B493" ca="1" si="396">IF(MOD(ROW()-3,2)=0, INDIRECT("Sheet1!E" &amp;4+((ROW()-3)/2)-2), "")</f>
        <v>خُضرَة</v>
      </c>
    </row>
    <row r="494" spans="1:2" ht="19.5" thickTop="1" x14ac:dyDescent="0.25">
      <c r="A494" s="49" t="str">
        <f t="shared" ref="A494" ca="1" si="397">IF(MOD(ROW()-2,2)=0, INDIRECT("Sheet1!B" &amp;4+((ROW()-2)/2)-2), "")</f>
        <v xml:space="preserve">Vegetebale store owner </v>
      </c>
      <c r="B494" s="45" t="str">
        <f t="shared" ca="1" si="350"/>
        <v>khadarjeh</v>
      </c>
    </row>
    <row r="495" spans="1:2" ht="15.75" customHeight="1" thickBot="1" x14ac:dyDescent="0.3">
      <c r="A495" s="50"/>
      <c r="B495" s="46" t="str">
        <f t="shared" ca="1" si="351"/>
        <v xml:space="preserve">خَضَرجي </v>
      </c>
    </row>
    <row r="496" spans="1:2" ht="19.5" thickTop="1" x14ac:dyDescent="0.25">
      <c r="A496" s="57" t="str">
        <f t="shared" ref="A496" ca="1" si="398">IF(MOD(ROW()-2,2)=0, INDIRECT("Sheet1!B" &amp;4+((ROW()-2)/2)-2), "")</f>
        <v xml:space="preserve">Garden </v>
      </c>
      <c r="B496" s="48" t="str">
        <f t="shared" ca="1" si="353"/>
        <v>jnayneh</v>
      </c>
    </row>
    <row r="497" spans="1:2" ht="15.75" customHeight="1" thickBot="1" x14ac:dyDescent="0.3">
      <c r="A497" s="56"/>
      <c r="B497" s="47" t="str">
        <f t="shared" ca="1" si="354"/>
        <v>جنَينِة</v>
      </c>
    </row>
    <row r="498" spans="1:2" ht="19.5" thickTop="1" x14ac:dyDescent="0.25">
      <c r="A498" s="49" t="str">
        <f t="shared" ref="A498" ca="1" si="399">IF(MOD(ROW()-2,2)=0, INDIRECT("Sheet1!B" &amp;4+((ROW()-2)/2)-2), "")</f>
        <v xml:space="preserve">Gardner </v>
      </c>
      <c r="B498" s="45" t="str">
        <f t="shared" ca="1" si="356"/>
        <v>jnayneiteh</v>
      </c>
    </row>
    <row r="499" spans="1:2" ht="15.75" customHeight="1" thickBot="1" x14ac:dyDescent="0.3">
      <c r="A499" s="50"/>
      <c r="B499" s="46" t="str">
        <f t="shared" ca="1" si="357"/>
        <v xml:space="preserve">جنيناتي </v>
      </c>
    </row>
    <row r="500" spans="1:2" ht="19.5" thickTop="1" x14ac:dyDescent="0.25">
      <c r="A500" s="57" t="str">
        <f t="shared" ref="A500" ca="1" si="400">IF(MOD(ROW()-2,2)=0, INDIRECT("Sheet1!B" &amp;4+((ROW()-2)/2)-2), "")</f>
        <v xml:space="preserve">Bread </v>
      </c>
      <c r="B500" s="48" t="str">
        <f t="shared" ca="1" si="359"/>
        <v>khebez</v>
      </c>
    </row>
    <row r="501" spans="1:2" ht="15.75" customHeight="1" thickBot="1" x14ac:dyDescent="0.3">
      <c r="A501" s="56"/>
      <c r="B501" s="47" t="str">
        <f t="shared" ca="1" si="360"/>
        <v>خِبز</v>
      </c>
    </row>
    <row r="502" spans="1:2" ht="19.5" thickTop="1" x14ac:dyDescent="0.25">
      <c r="A502" s="49" t="str">
        <f t="shared" ref="A502" ca="1" si="401">IF(MOD(ROW()-2,2)=0, INDIRECT("Sheet1!B" &amp;4+((ROW()-2)/2)-2), "")</f>
        <v>Bread maker/ baker</v>
      </c>
      <c r="B502" s="45" t="str">
        <f t="shared" ca="1" si="362"/>
        <v>khebbeiz / forran</v>
      </c>
    </row>
    <row r="503" spans="1:2" ht="15.75" customHeight="1" thickBot="1" x14ac:dyDescent="0.3">
      <c r="A503" s="50"/>
      <c r="B503" s="46" t="str">
        <f t="shared" ca="1" si="363"/>
        <v>خِبّاز/ فُرّان</v>
      </c>
    </row>
    <row r="504" spans="1:2" ht="19.5" thickTop="1" x14ac:dyDescent="0.25">
      <c r="A504" s="57" t="str">
        <f t="shared" ref="A504" ca="1" si="402">IF(MOD(ROW()-2,2)=0, INDIRECT("Sheet1!B" &amp;4+((ROW()-2)/2)-2), "")</f>
        <v xml:space="preserve">Hairdresser </v>
      </c>
      <c r="B504" s="48" t="str">
        <f t="shared" ca="1" si="365"/>
        <v>Hellei'/ coiffeur</v>
      </c>
    </row>
    <row r="505" spans="1:2" ht="15.75" customHeight="1" thickBot="1" x14ac:dyDescent="0.3">
      <c r="A505" s="56"/>
      <c r="B505" s="47" t="str">
        <f t="shared" ca="1" si="366"/>
        <v>حِلاّق/ حِلاقَة</v>
      </c>
    </row>
    <row r="506" spans="1:2" ht="19.5" thickTop="1" x14ac:dyDescent="0.25">
      <c r="A506" s="49" t="str">
        <f t="shared" ref="A506" ca="1" si="403">IF(MOD(ROW()-2,2)=0, INDIRECT("Sheet1!B" &amp;4+((ROW()-2)/2)-2), "")</f>
        <v xml:space="preserve">Fortune teller </v>
      </c>
      <c r="B506" s="45" t="str">
        <f t="shared" ref="B506" ca="1" si="404">IF(MOD(ROW()-2,2)=0, INDIRECT("Sheet1!D" &amp;4+((ROW()-2)/2)-2), "")</f>
        <v>bossar/ bossara</v>
      </c>
    </row>
    <row r="507" spans="1:2" ht="15.75" customHeight="1" thickBot="1" x14ac:dyDescent="0.3">
      <c r="A507" s="50"/>
      <c r="B507" s="46" t="str">
        <f t="shared" ref="B507" ca="1" si="405">IF(MOD(ROW()-3,2)=0, INDIRECT("Sheet1!E" &amp;4+((ROW()-3)/2)-2), "")</f>
        <v>بَّصّار/ بَصّارَة</v>
      </c>
    </row>
    <row r="508" spans="1:2" ht="19.5" thickTop="1" x14ac:dyDescent="0.25">
      <c r="A508" s="57" t="str">
        <f t="shared" ref="A508" ca="1" si="406">IF(MOD(ROW()-2,2)=0, INDIRECT("Sheet1!B" &amp;4+((ROW()-2)/2)-2), "")</f>
        <v xml:space="preserve">Wall painter </v>
      </c>
      <c r="B508" s="48" t="str">
        <f t="shared" ref="B508:B564" ca="1" si="407">IF(MOD(ROW()-2,2)=0, INDIRECT("Sheet1!D" &amp;4+((ROW()-2)/2)-2), "")</f>
        <v>torrash</v>
      </c>
    </row>
    <row r="509" spans="1:2" ht="15.75" customHeight="1" thickBot="1" x14ac:dyDescent="0.3">
      <c r="A509" s="56"/>
      <c r="B509" s="47" t="str">
        <f t="shared" ref="B509:B565" ca="1" si="408">IF(MOD(ROW()-3,2)=0, INDIRECT("Sheet1!E" &amp;4+((ROW()-3)/2)-2), "")</f>
        <v>طُرّاش</v>
      </c>
    </row>
    <row r="510" spans="1:2" ht="19.5" thickTop="1" x14ac:dyDescent="0.25">
      <c r="A510" s="49" t="str">
        <f t="shared" ref="A510" ca="1" si="409">IF(MOD(ROW()-2,2)=0, INDIRECT("Sheet1!B" &amp;4+((ROW()-2)/2)-2), "")</f>
        <v xml:space="preserve">Tiles </v>
      </c>
      <c r="B510" s="45" t="str">
        <f t="shared" ref="B510:B566" ca="1" si="410">IF(MOD(ROW()-2,2)=0, INDIRECT("Sheet1!D" &amp;4+((ROW()-2)/2)-2), "")</f>
        <v>blat</v>
      </c>
    </row>
    <row r="511" spans="1:2" ht="15.75" customHeight="1" thickBot="1" x14ac:dyDescent="0.3">
      <c r="A511" s="50"/>
      <c r="B511" s="46" t="str">
        <f t="shared" ref="B511:B567" ca="1" si="411">IF(MOD(ROW()-3,2)=0, INDIRECT("Sheet1!E" &amp;4+((ROW()-3)/2)-2), "")</f>
        <v>بلاط</v>
      </c>
    </row>
    <row r="512" spans="1:2" ht="19.5" thickTop="1" x14ac:dyDescent="0.25">
      <c r="A512" s="57" t="str">
        <f t="shared" ref="A512" ca="1" si="412">IF(MOD(ROW()-2,2)=0, INDIRECT("Sheet1!B" &amp;4+((ROW()-2)/2)-2), "")</f>
        <v xml:space="preserve">Tile worker </v>
      </c>
      <c r="B512" s="48" t="str">
        <f t="shared" ref="B512:B568" ca="1" si="413">IF(MOD(ROW()-2,2)=0, INDIRECT("Sheet1!D" &amp;4+((ROW()-2)/2)-2), "")</f>
        <v>bollat</v>
      </c>
    </row>
    <row r="513" spans="1:2" ht="15.75" customHeight="1" thickBot="1" x14ac:dyDescent="0.3">
      <c r="A513" s="56"/>
      <c r="B513" s="47" t="str">
        <f t="shared" ref="B513:B569" ca="1" si="414">IF(MOD(ROW()-3,2)=0, INDIRECT("Sheet1!E" &amp;4+((ROW()-3)/2)-2), "")</f>
        <v>بُلاّط</v>
      </c>
    </row>
    <row r="514" spans="1:2" ht="19.5" thickTop="1" x14ac:dyDescent="0.25">
      <c r="A514" s="49" t="str">
        <f t="shared" ref="A514" ca="1" si="415">IF(MOD(ROW()-2,2)=0, INDIRECT("Sheet1!B" &amp;4+((ROW()-2)/2)-2), "")</f>
        <v xml:space="preserve">Electrician </v>
      </c>
      <c r="B514" s="45" t="str">
        <f t="shared" ref="B514:B570" ca="1" si="416">IF(MOD(ROW()-2,2)=0, INDIRECT("Sheet1!D" &amp;4+((ROW()-2)/2)-2), "")</f>
        <v>kahrabjeh</v>
      </c>
    </row>
    <row r="515" spans="1:2" ht="15.75" customHeight="1" thickBot="1" x14ac:dyDescent="0.3">
      <c r="A515" s="50"/>
      <c r="B515" s="46" t="str">
        <f t="shared" ref="B515:B571" ca="1" si="417">IF(MOD(ROW()-3,2)=0, INDIRECT("Sheet1!E" &amp;4+((ROW()-3)/2)-2), "")</f>
        <v>كَهرَبجي</v>
      </c>
    </row>
    <row r="516" spans="1:2" ht="19.5" thickTop="1" x14ac:dyDescent="0.25">
      <c r="A516" s="57" t="str">
        <f t="shared" ref="A516" ca="1" si="418">IF(MOD(ROW()-2,2)=0, INDIRECT("Sheet1!B" &amp;4+((ROW()-2)/2)-2), "")</f>
        <v xml:space="preserve">Doorman </v>
      </c>
      <c r="B516" s="48" t="str">
        <f t="shared" ref="B516:B572" ca="1" si="419">IF(MOD(ROW()-2,2)=0, INDIRECT("Sheet1!D" &amp;4+((ROW()-2)/2)-2), "")</f>
        <v>natour</v>
      </c>
    </row>
    <row r="517" spans="1:2" ht="15.75" customHeight="1" thickBot="1" x14ac:dyDescent="0.3">
      <c r="A517" s="56"/>
      <c r="B517" s="47" t="str">
        <f t="shared" ref="B517:B573" ca="1" si="420">IF(MOD(ROW()-3,2)=0, INDIRECT("Sheet1!E" &amp;4+((ROW()-3)/2)-2), "")</f>
        <v>ناطور</v>
      </c>
    </row>
    <row r="518" spans="1:2" ht="19.5" thickTop="1" x14ac:dyDescent="0.25">
      <c r="A518" s="49" t="str">
        <f t="shared" ref="A518" ca="1" si="421">IF(MOD(ROW()-2,2)=0, INDIRECT("Sheet1!B" &amp;4+((ROW()-2)/2)-2), "")</f>
        <v xml:space="preserve">Tailor </v>
      </c>
      <c r="B518" s="45" t="str">
        <f t="shared" ref="B518:B574" ca="1" si="422">IF(MOD(ROW()-2,2)=0, INDIRECT("Sheet1!D" &amp;4+((ROW()-2)/2)-2), "")</f>
        <v>khiyyat/ khiyyata</v>
      </c>
    </row>
    <row r="519" spans="1:2" ht="15.75" customHeight="1" thickBot="1" x14ac:dyDescent="0.3">
      <c r="A519" s="50"/>
      <c r="B519" s="46" t="str">
        <f t="shared" ref="B519:B575" ca="1" si="423">IF(MOD(ROW()-3,2)=0, INDIRECT("Sheet1!E" &amp;4+((ROW()-3)/2)-2), "")</f>
        <v>خِيّاط/ خِيّاطَة</v>
      </c>
    </row>
    <row r="520" spans="1:2" ht="19.5" thickTop="1" x14ac:dyDescent="0.25">
      <c r="A520" s="57" t="str">
        <f t="shared" ref="A520" ca="1" si="424">IF(MOD(ROW()-2,2)=0, INDIRECT("Sheet1!B" &amp;4+((ROW()-2)/2)-2), "")</f>
        <v>Body</v>
      </c>
      <c r="B520" s="48" t="str">
        <f t="shared" ref="B520" ca="1" si="425">IF(MOD(ROW()-2,2)=0, INDIRECT("Sheet1!D" &amp;4+((ROW()-2)/2)-2), "")</f>
        <v>jesem</v>
      </c>
    </row>
    <row r="521" spans="1:2" ht="15.75" customHeight="1" thickBot="1" x14ac:dyDescent="0.3">
      <c r="A521" s="56"/>
      <c r="B521" s="47" t="str">
        <f t="shared" ref="B521" ca="1" si="426">IF(MOD(ROW()-3,2)=0, INDIRECT("Sheet1!E" &amp;4+((ROW()-3)/2)-2), "")</f>
        <v>جِسم</v>
      </c>
    </row>
    <row r="522" spans="1:2" ht="19.5" thickTop="1" x14ac:dyDescent="0.25">
      <c r="A522" s="49" t="str">
        <f t="shared" ref="A522" ca="1" si="427">IF(MOD(ROW()-2,2)=0, INDIRECT("Sheet1!B" &amp;4+((ROW()-2)/2)-2), "")</f>
        <v>Face</v>
      </c>
      <c r="B522" s="45" t="str">
        <f t="shared" ca="1" si="407"/>
        <v>wejj</v>
      </c>
    </row>
    <row r="523" spans="1:2" ht="15.75" customHeight="1" thickBot="1" x14ac:dyDescent="0.3">
      <c r="A523" s="50"/>
      <c r="B523" s="46" t="str">
        <f t="shared" ca="1" si="408"/>
        <v xml:space="preserve"> وِجّ</v>
      </c>
    </row>
    <row r="524" spans="1:2" ht="19.5" thickTop="1" x14ac:dyDescent="0.25">
      <c r="A524" s="57" t="str">
        <f t="shared" ref="A524" ca="1" si="428">IF(MOD(ROW()-2,2)=0, INDIRECT("Sheet1!B" &amp;4+((ROW()-2)/2)-2), "")</f>
        <v>Eyebrows</v>
      </c>
      <c r="B524" s="48" t="str">
        <f t="shared" ca="1" si="410"/>
        <v>Hweijib</v>
      </c>
    </row>
    <row r="525" spans="1:2" ht="15.75" customHeight="1" thickBot="1" x14ac:dyDescent="0.3">
      <c r="A525" s="56"/>
      <c r="B525" s="47" t="str">
        <f t="shared" ca="1" si="411"/>
        <v xml:space="preserve"> حواجِب</v>
      </c>
    </row>
    <row r="526" spans="1:2" ht="19.5" thickTop="1" x14ac:dyDescent="0.25">
      <c r="A526" s="49" t="str">
        <f t="shared" ref="A526" ca="1" si="429">IF(MOD(ROW()-2,2)=0, INDIRECT("Sheet1!B" &amp;4+((ROW()-2)/2)-2), "")</f>
        <v>Nose</v>
      </c>
      <c r="B526" s="45" t="str">
        <f t="shared" ca="1" si="413"/>
        <v>menkhar/mankhour</v>
      </c>
    </row>
    <row r="527" spans="1:2" ht="15.75" customHeight="1" thickBot="1" x14ac:dyDescent="0.3">
      <c r="A527" s="50"/>
      <c r="B527" s="46" t="str">
        <f t="shared" ca="1" si="414"/>
        <v xml:space="preserve"> مِنخار/مَنخور</v>
      </c>
    </row>
    <row r="528" spans="1:2" ht="19.5" thickTop="1" x14ac:dyDescent="0.25">
      <c r="A528" s="57" t="str">
        <f t="shared" ref="A528" ca="1" si="430">IF(MOD(ROW()-2,2)=0, INDIRECT("Sheet1!B" &amp;4+((ROW()-2)/2)-2), "")</f>
        <v>Eye</v>
      </c>
      <c r="B528" s="48" t="str">
        <f t="shared" ca="1" si="416"/>
        <v>3ayn</v>
      </c>
    </row>
    <row r="529" spans="1:2" ht="15.75" customHeight="1" thickBot="1" x14ac:dyDescent="0.3">
      <c r="A529" s="56"/>
      <c r="B529" s="47" t="str">
        <f t="shared" ca="1" si="417"/>
        <v xml:space="preserve"> عَين</v>
      </c>
    </row>
    <row r="530" spans="1:2" ht="19.5" thickTop="1" x14ac:dyDescent="0.25">
      <c r="A530" s="49" t="str">
        <f t="shared" ref="A530" ca="1" si="431">IF(MOD(ROW()-2,2)=0, INDIRECT("Sheet1!B" &amp;4+((ROW()-2)/2)-2), "")</f>
        <v>Eyes</v>
      </c>
      <c r="B530" s="45" t="str">
        <f t="shared" ca="1" si="419"/>
        <v>3youn</v>
      </c>
    </row>
    <row r="531" spans="1:2" ht="15.75" customHeight="1" thickBot="1" x14ac:dyDescent="0.3">
      <c r="A531" s="50"/>
      <c r="B531" s="46" t="str">
        <f t="shared" ca="1" si="420"/>
        <v xml:space="preserve"> عيون</v>
      </c>
    </row>
    <row r="532" spans="1:2" ht="19.5" thickTop="1" x14ac:dyDescent="0.25">
      <c r="A532" s="57" t="str">
        <f t="shared" ref="A532" ca="1" si="432">IF(MOD(ROW()-2,2)=0, INDIRECT("Sheet1!B" &amp;4+((ROW()-2)/2)-2), "")</f>
        <v>Eyelashes</v>
      </c>
      <c r="B532" s="48" t="str">
        <f t="shared" ca="1" si="422"/>
        <v>rmoush</v>
      </c>
    </row>
    <row r="533" spans="1:2" ht="15.75" customHeight="1" thickBot="1" x14ac:dyDescent="0.3">
      <c r="A533" s="56"/>
      <c r="B533" s="47" t="str">
        <f t="shared" ca="1" si="423"/>
        <v xml:space="preserve"> رموش</v>
      </c>
    </row>
    <row r="534" spans="1:2" ht="19.5" thickTop="1" x14ac:dyDescent="0.25">
      <c r="A534" s="49" t="str">
        <f t="shared" ref="A534" ca="1" si="433">IF(MOD(ROW()-2,2)=0, INDIRECT("Sheet1!B" &amp;4+((ROW()-2)/2)-2), "")</f>
        <v>Mouth</v>
      </c>
      <c r="B534" s="45" t="str">
        <f t="shared" ref="B534" ca="1" si="434">IF(MOD(ROW()-2,2)=0, INDIRECT("Sheet1!D" &amp;4+((ROW()-2)/2)-2), "")</f>
        <v>temm</v>
      </c>
    </row>
    <row r="535" spans="1:2" ht="15.75" customHeight="1" thickBot="1" x14ac:dyDescent="0.3">
      <c r="A535" s="50"/>
      <c r="B535" s="46" t="str">
        <f t="shared" ref="B535" ca="1" si="435">IF(MOD(ROW()-3,2)=0, INDIRECT("Sheet1!E" &amp;4+((ROW()-3)/2)-2), "")</f>
        <v xml:space="preserve"> تِمّ</v>
      </c>
    </row>
    <row r="536" spans="1:2" ht="19.5" thickTop="1" x14ac:dyDescent="0.25">
      <c r="A536" s="57" t="str">
        <f t="shared" ref="A536" ca="1" si="436">IF(MOD(ROW()-2,2)=0, INDIRECT("Sheet1!B" &amp;4+((ROW()-2)/2)-2), "")</f>
        <v>Cheek</v>
      </c>
      <c r="B536" s="48" t="str">
        <f t="shared" ca="1" si="407"/>
        <v>khadd</v>
      </c>
    </row>
    <row r="537" spans="1:2" ht="15.75" customHeight="1" thickBot="1" x14ac:dyDescent="0.3">
      <c r="A537" s="56"/>
      <c r="B537" s="47" t="str">
        <f t="shared" ca="1" si="408"/>
        <v xml:space="preserve"> خدّ</v>
      </c>
    </row>
    <row r="538" spans="1:2" ht="19.5" thickTop="1" x14ac:dyDescent="0.25">
      <c r="A538" s="49" t="str">
        <f t="shared" ref="A538" ca="1" si="437">IF(MOD(ROW()-2,2)=0, INDIRECT("Sheet1!B" &amp;4+((ROW()-2)/2)-2), "")</f>
        <v>Cheeks</v>
      </c>
      <c r="B538" s="45" t="str">
        <f t="shared" ca="1" si="410"/>
        <v>khdoud</v>
      </c>
    </row>
    <row r="539" spans="1:2" ht="15.75" customHeight="1" thickBot="1" x14ac:dyDescent="0.3">
      <c r="A539" s="50"/>
      <c r="B539" s="46" t="str">
        <f t="shared" ca="1" si="411"/>
        <v xml:space="preserve"> خدود</v>
      </c>
    </row>
    <row r="540" spans="1:2" ht="19.5" thickTop="1" x14ac:dyDescent="0.25">
      <c r="A540" s="57" t="str">
        <f t="shared" ref="A540" ca="1" si="438">IF(MOD(ROW()-2,2)=0, INDIRECT("Sheet1!B" &amp;4+((ROW()-2)/2)-2), "")</f>
        <v>Hair</v>
      </c>
      <c r="B540" s="48" t="str">
        <f t="shared" ca="1" si="413"/>
        <v>sha3er</v>
      </c>
    </row>
    <row r="541" spans="1:2" ht="15.75" customHeight="1" thickBot="1" x14ac:dyDescent="0.3">
      <c r="A541" s="56"/>
      <c r="B541" s="47" t="str">
        <f t="shared" ca="1" si="414"/>
        <v xml:space="preserve"> شَعر</v>
      </c>
    </row>
    <row r="542" spans="1:2" ht="19.5" thickTop="1" x14ac:dyDescent="0.25">
      <c r="A542" s="49" t="str">
        <f t="shared" ref="A542" ca="1" si="439">IF(MOD(ROW()-2,2)=0, INDIRECT("Sheet1!B" &amp;4+((ROW()-2)/2)-2), "")</f>
        <v>Neck</v>
      </c>
      <c r="B542" s="45" t="str">
        <f t="shared" ca="1" si="416"/>
        <v>ra'beh</v>
      </c>
    </row>
    <row r="543" spans="1:2" ht="15.75" customHeight="1" thickBot="1" x14ac:dyDescent="0.3">
      <c r="A543" s="50"/>
      <c r="B543" s="46" t="str">
        <f t="shared" ca="1" si="417"/>
        <v xml:space="preserve"> رَقبة</v>
      </c>
    </row>
    <row r="544" spans="1:2" ht="19.5" thickTop="1" x14ac:dyDescent="0.25">
      <c r="A544" s="57" t="str">
        <f t="shared" ref="A544" ca="1" si="440">IF(MOD(ROW()-2,2)=0, INDIRECT("Sheet1!B" &amp;4+((ROW()-2)/2)-2), "")</f>
        <v>Chest/breast</v>
      </c>
      <c r="B544" s="48" t="str">
        <f t="shared" ca="1" si="419"/>
        <v>soder</v>
      </c>
    </row>
    <row r="545" spans="1:2" ht="15.75" customHeight="1" thickBot="1" x14ac:dyDescent="0.3">
      <c r="A545" s="56"/>
      <c r="B545" s="47" t="str">
        <f t="shared" ca="1" si="420"/>
        <v xml:space="preserve"> صُدر</v>
      </c>
    </row>
    <row r="546" spans="1:2" ht="19.5" thickTop="1" x14ac:dyDescent="0.25">
      <c r="A546" s="49" t="str">
        <f t="shared" ref="A546" ca="1" si="441">IF(MOD(ROW()-2,2)=0, INDIRECT("Sheet1!B" &amp;4+((ROW()-2)/2)-2), "")</f>
        <v>Shoulders</v>
      </c>
      <c r="B546" s="45" t="str">
        <f t="shared" ca="1" si="422"/>
        <v>kteif</v>
      </c>
    </row>
    <row r="547" spans="1:2" ht="15.75" customHeight="1" thickBot="1" x14ac:dyDescent="0.3">
      <c r="A547" s="50"/>
      <c r="B547" s="46" t="str">
        <f t="shared" ca="1" si="423"/>
        <v xml:space="preserve"> كتاف</v>
      </c>
    </row>
    <row r="548" spans="1:2" ht="19.5" thickTop="1" x14ac:dyDescent="0.25">
      <c r="A548" s="57" t="str">
        <f t="shared" ref="A548" ca="1" si="442">IF(MOD(ROW()-2,2)=0, INDIRECT("Sheet1!B" &amp;4+((ROW()-2)/2)-2), "")</f>
        <v>Arm</v>
      </c>
      <c r="B548" s="48" t="str">
        <f t="shared" ref="B548" ca="1" si="443">IF(MOD(ROW()-2,2)=0, INDIRECT("Sheet1!D" &amp;4+((ROW()-2)/2)-2), "")</f>
        <v>eed</v>
      </c>
    </row>
    <row r="549" spans="1:2" ht="15.75" customHeight="1" thickBot="1" x14ac:dyDescent="0.3">
      <c r="A549" s="56"/>
      <c r="B549" s="47" t="str">
        <f t="shared" ref="B549" ca="1" si="444">IF(MOD(ROW()-3,2)=0, INDIRECT("Sheet1!E" &amp;4+((ROW()-3)/2)-2), "")</f>
        <v xml:space="preserve"> إيد</v>
      </c>
    </row>
    <row r="550" spans="1:2" ht="19.5" thickTop="1" x14ac:dyDescent="0.25">
      <c r="A550" s="49" t="str">
        <f t="shared" ref="A550" ca="1" si="445">IF(MOD(ROW()-2,2)=0, INDIRECT("Sheet1!B" &amp;4+((ROW()-2)/2)-2), "")</f>
        <v>Stomach</v>
      </c>
      <c r="B550" s="45" t="str">
        <f t="shared" ca="1" si="407"/>
        <v>me3deh</v>
      </c>
    </row>
    <row r="551" spans="1:2" ht="15.75" customHeight="1" thickBot="1" x14ac:dyDescent="0.3">
      <c r="A551" s="50"/>
      <c r="B551" s="46" t="str">
        <f t="shared" ca="1" si="408"/>
        <v xml:space="preserve"> مِعدة</v>
      </c>
    </row>
    <row r="552" spans="1:2" ht="19.5" thickTop="1" x14ac:dyDescent="0.25">
      <c r="A552" s="57" t="str">
        <f t="shared" ref="A552" ca="1" si="446">IF(MOD(ROW()-2,2)=0, INDIRECT("Sheet1!B" &amp;4+((ROW()-2)/2)-2), "")</f>
        <v>Belly</v>
      </c>
      <c r="B552" s="48" t="str">
        <f t="shared" ca="1" si="410"/>
        <v>baten</v>
      </c>
    </row>
    <row r="553" spans="1:2" ht="15.75" customHeight="1" thickBot="1" x14ac:dyDescent="0.3">
      <c r="A553" s="56"/>
      <c r="B553" s="47" t="str">
        <f t="shared" ca="1" si="411"/>
        <v xml:space="preserve"> بَطن</v>
      </c>
    </row>
    <row r="554" spans="1:2" ht="19.5" thickTop="1" x14ac:dyDescent="0.25">
      <c r="A554" s="49" t="str">
        <f t="shared" ref="A554" ca="1" si="447">IF(MOD(ROW()-2,2)=0, INDIRECT("Sheet1!B" &amp;4+((ROW()-2)/2)-2), "")</f>
        <v>Hips</v>
      </c>
      <c r="B554" s="45" t="str">
        <f t="shared" ca="1" si="413"/>
        <v>wrak</v>
      </c>
    </row>
    <row r="555" spans="1:2" ht="15.75" customHeight="1" thickBot="1" x14ac:dyDescent="0.3">
      <c r="A555" s="50"/>
      <c r="B555" s="46" t="str">
        <f t="shared" ca="1" si="414"/>
        <v xml:space="preserve"> وراك</v>
      </c>
    </row>
    <row r="556" spans="1:2" ht="19.5" thickTop="1" x14ac:dyDescent="0.25">
      <c r="A556" s="57" t="str">
        <f t="shared" ref="A556" ca="1" si="448">IF(MOD(ROW()-2,2)=0, INDIRECT("Sheet1!B" &amp;4+((ROW()-2)/2)-2), "")</f>
        <v>Waist</v>
      </c>
      <c r="B556" s="48" t="str">
        <f t="shared" ca="1" si="416"/>
        <v>khaser</v>
      </c>
    </row>
    <row r="557" spans="1:2" ht="15.75" customHeight="1" thickBot="1" x14ac:dyDescent="0.3">
      <c r="A557" s="56"/>
      <c r="B557" s="47" t="str">
        <f t="shared" ca="1" si="417"/>
        <v xml:space="preserve"> خَصر</v>
      </c>
    </row>
    <row r="558" spans="1:2" ht="19.5" thickTop="1" x14ac:dyDescent="0.25">
      <c r="A558" s="49" t="str">
        <f t="shared" ref="A558" ca="1" si="449">IF(MOD(ROW()-2,2)=0, INDIRECT("Sheet1!B" &amp;4+((ROW()-2)/2)-2), "")</f>
        <v>Leg</v>
      </c>
      <c r="B558" s="45" t="str">
        <f t="shared" ca="1" si="419"/>
        <v>ejer</v>
      </c>
    </row>
    <row r="559" spans="1:2" ht="15.75" customHeight="1" thickBot="1" x14ac:dyDescent="0.3">
      <c r="A559" s="50"/>
      <c r="B559" s="46" t="str">
        <f t="shared" ca="1" si="420"/>
        <v xml:space="preserve"> إجر</v>
      </c>
    </row>
    <row r="560" spans="1:2" ht="19.5" thickTop="1" x14ac:dyDescent="0.25">
      <c r="A560" s="57" t="str">
        <f t="shared" ref="A560" ca="1" si="450">IF(MOD(ROW()-2,2)=0, INDIRECT("Sheet1!B" &amp;4+((ROW()-2)/2)-2), "")</f>
        <v>Legs</v>
      </c>
      <c r="B560" s="48" t="str">
        <f t="shared" ca="1" si="422"/>
        <v>ejrein</v>
      </c>
    </row>
    <row r="561" spans="1:2" ht="15.75" customHeight="1" thickBot="1" x14ac:dyDescent="0.3">
      <c r="A561" s="56"/>
      <c r="B561" s="47" t="str">
        <f t="shared" ca="1" si="423"/>
        <v xml:space="preserve"> إجرين</v>
      </c>
    </row>
    <row r="562" spans="1:2" ht="19.5" thickTop="1" x14ac:dyDescent="0.25">
      <c r="A562" s="49" t="str">
        <f t="shared" ref="A562" ca="1" si="451">IF(MOD(ROW()-2,2)=0, INDIRECT("Sheet1!B" &amp;4+((ROW()-2)/2)-2), "")</f>
        <v>Knee</v>
      </c>
      <c r="B562" s="45" t="str">
        <f t="shared" ref="B562" ca="1" si="452">IF(MOD(ROW()-2,2)=0, INDIRECT("Sheet1!D" &amp;4+((ROW()-2)/2)-2), "")</f>
        <v>rekbeh</v>
      </c>
    </row>
    <row r="563" spans="1:2" ht="15.75" customHeight="1" thickBot="1" x14ac:dyDescent="0.3">
      <c r="A563" s="50"/>
      <c r="B563" s="46" t="str">
        <f t="shared" ref="B563" ca="1" si="453">IF(MOD(ROW()-3,2)=0, INDIRECT("Sheet1!E" &amp;4+((ROW()-3)/2)-2), "")</f>
        <v xml:space="preserve"> رِكبة</v>
      </c>
    </row>
    <row r="564" spans="1:2" ht="19.5" thickTop="1" x14ac:dyDescent="0.25">
      <c r="A564" s="57" t="str">
        <f t="shared" ref="A564" ca="1" si="454">IF(MOD(ROW()-2,2)=0, INDIRECT("Sheet1!B" &amp;4+((ROW()-2)/2)-2), "")</f>
        <v>Fingers</v>
      </c>
      <c r="B564" s="48" t="str">
        <f t="shared" ca="1" si="407"/>
        <v>asabe3</v>
      </c>
    </row>
    <row r="565" spans="1:2" ht="15.75" customHeight="1" thickBot="1" x14ac:dyDescent="0.3">
      <c r="A565" s="56"/>
      <c r="B565" s="47" t="str">
        <f t="shared" ca="1" si="408"/>
        <v xml:space="preserve"> أصابع</v>
      </c>
    </row>
    <row r="566" spans="1:2" ht="19.5" thickTop="1" x14ac:dyDescent="0.25">
      <c r="A566" s="49" t="str">
        <f t="shared" ref="A566" ca="1" si="455">IF(MOD(ROW()-2,2)=0, INDIRECT("Sheet1!B" &amp;4+((ROW()-2)/2)-2), "")</f>
        <v>Toes</v>
      </c>
      <c r="B566" s="45" t="str">
        <f t="shared" ca="1" si="410"/>
        <v>asabe3 el ejrein</v>
      </c>
    </row>
    <row r="567" spans="1:2" ht="15.75" customHeight="1" thickBot="1" x14ac:dyDescent="0.3">
      <c r="A567" s="50"/>
      <c r="B567" s="46" t="str">
        <f t="shared" ca="1" si="411"/>
        <v xml:space="preserve"> أصابع الإجرين</v>
      </c>
    </row>
    <row r="568" spans="1:2" ht="19.5" thickTop="1" x14ac:dyDescent="0.25">
      <c r="A568" s="57" t="str">
        <f t="shared" ref="A568" ca="1" si="456">IF(MOD(ROW()-2,2)=0, INDIRECT("Sheet1!B" &amp;4+((ROW()-2)/2)-2), "")</f>
        <v>Head</v>
      </c>
      <c r="B568" s="48" t="str">
        <f t="shared" ca="1" si="413"/>
        <v>ras</v>
      </c>
    </row>
    <row r="569" spans="1:2" ht="15.75" customHeight="1" thickBot="1" x14ac:dyDescent="0.3">
      <c r="A569" s="56"/>
      <c r="B569" s="47" t="str">
        <f t="shared" ca="1" si="414"/>
        <v xml:space="preserve"> راس</v>
      </c>
    </row>
    <row r="570" spans="1:2" ht="19.5" thickTop="1" x14ac:dyDescent="0.25">
      <c r="A570" s="49" t="str">
        <f t="shared" ref="A570" ca="1" si="457">IF(MOD(ROW()-2,2)=0, INDIRECT("Sheet1!B" &amp;4+((ROW()-2)/2)-2), "")</f>
        <v>Ear</v>
      </c>
      <c r="B570" s="45" t="str">
        <f t="shared" ca="1" si="416"/>
        <v>dayneh</v>
      </c>
    </row>
    <row r="571" spans="1:2" ht="15.75" customHeight="1" thickBot="1" x14ac:dyDescent="0.3">
      <c r="A571" s="50"/>
      <c r="B571" s="46" t="str">
        <f t="shared" ca="1" si="417"/>
        <v xml:space="preserve"> دَينه</v>
      </c>
    </row>
    <row r="572" spans="1:2" ht="19.5" thickTop="1" x14ac:dyDescent="0.25">
      <c r="A572" s="57" t="str">
        <f t="shared" ref="A572" ca="1" si="458">IF(MOD(ROW()-2,2)=0, INDIRECT("Sheet1!B" &amp;4+((ROW()-2)/2)-2), "")</f>
        <v>Ears</v>
      </c>
      <c r="B572" s="48" t="str">
        <f t="shared" ca="1" si="419"/>
        <v>dinein</v>
      </c>
    </row>
    <row r="573" spans="1:2" ht="15.75" customHeight="1" thickBot="1" x14ac:dyDescent="0.3">
      <c r="A573" s="56"/>
      <c r="B573" s="47" t="str">
        <f t="shared" ca="1" si="420"/>
        <v xml:space="preserve"> دينَين</v>
      </c>
    </row>
    <row r="574" spans="1:2" ht="19.5" thickTop="1" x14ac:dyDescent="0.25">
      <c r="A574" s="49" t="str">
        <f t="shared" ref="A574" ca="1" si="459">IF(MOD(ROW()-2,2)=0, INDIRECT("Sheet1!B" &amp;4+((ROW()-2)/2)-2), "")</f>
        <v>Mole</v>
      </c>
      <c r="B574" s="45" t="str">
        <f t="shared" ca="1" si="422"/>
        <v>shemiyeh</v>
      </c>
    </row>
    <row r="575" spans="1:2" ht="15.75" customHeight="1" thickBot="1" x14ac:dyDescent="0.3">
      <c r="A575" s="50"/>
      <c r="B575" s="46" t="str">
        <f t="shared" ca="1" si="423"/>
        <v xml:space="preserve"> شاميّة</v>
      </c>
    </row>
    <row r="576" spans="1:2" ht="19.5" thickTop="1" x14ac:dyDescent="0.25">
      <c r="A576" s="57" t="str">
        <f t="shared" ref="A576" ca="1" si="460">IF(MOD(ROW()-2,2)=0, INDIRECT("Sheet1!B" &amp;4+((ROW()-2)/2)-2), "")</f>
        <v>Tooth</v>
      </c>
      <c r="B576" s="48" t="str">
        <f t="shared" ref="B576" ca="1" si="461">IF(MOD(ROW()-2,2)=0, INDIRECT("Sheet1!D" &amp;4+((ROW()-2)/2)-2), "")</f>
        <v>sinn</v>
      </c>
    </row>
    <row r="577" spans="1:2" ht="15.75" customHeight="1" thickBot="1" x14ac:dyDescent="0.3">
      <c r="A577" s="56"/>
      <c r="B577" s="47" t="str">
        <f t="shared" ref="B577" ca="1" si="462">IF(MOD(ROW()-3,2)=0, INDIRECT("Sheet1!E" &amp;4+((ROW()-3)/2)-2), "")</f>
        <v xml:space="preserve"> سِنّ</v>
      </c>
    </row>
    <row r="578" spans="1:2" ht="19.5" thickTop="1" x14ac:dyDescent="0.25">
      <c r="A578" s="49" t="str">
        <f t="shared" ref="A578" ca="1" si="463">IF(MOD(ROW()-2,2)=0, INDIRECT("Sheet1!B" &amp;4+((ROW()-2)/2)-2), "")</f>
        <v>Teeth</v>
      </c>
      <c r="B578" s="45" t="str">
        <f t="shared" ref="B578:B634" ca="1" si="464">IF(MOD(ROW()-2,2)=0, INDIRECT("Sheet1!D" &amp;4+((ROW()-2)/2)-2), "")</f>
        <v>snein</v>
      </c>
    </row>
    <row r="579" spans="1:2" ht="15.75" customHeight="1" thickBot="1" x14ac:dyDescent="0.3">
      <c r="A579" s="50"/>
      <c r="B579" s="46" t="str">
        <f t="shared" ref="B579:B635" ca="1" si="465">IF(MOD(ROW()-3,2)=0, INDIRECT("Sheet1!E" &amp;4+((ROW()-3)/2)-2), "")</f>
        <v xml:space="preserve"> سنان</v>
      </c>
    </row>
    <row r="580" spans="1:2" ht="19.5" thickTop="1" x14ac:dyDescent="0.25">
      <c r="A580" s="57" t="str">
        <f t="shared" ref="A580" ca="1" si="466">IF(MOD(ROW()-2,2)=0, INDIRECT("Sheet1!B" &amp;4+((ROW()-2)/2)-2), "")</f>
        <v>Tongue</v>
      </c>
      <c r="B580" s="48" t="str">
        <f t="shared" ref="B580:B636" ca="1" si="467">IF(MOD(ROW()-2,2)=0, INDIRECT("Sheet1!D" &amp;4+((ROW()-2)/2)-2), "")</f>
        <v>lsein</v>
      </c>
    </row>
    <row r="581" spans="1:2" ht="15.75" customHeight="1" thickBot="1" x14ac:dyDescent="0.3">
      <c r="A581" s="56"/>
      <c r="B581" s="47" t="str">
        <f t="shared" ref="B581:B637" ca="1" si="468">IF(MOD(ROW()-3,2)=0, INDIRECT("Sheet1!E" &amp;4+((ROW()-3)/2)-2), "")</f>
        <v xml:space="preserve"> لسان</v>
      </c>
    </row>
    <row r="582" spans="1:2" ht="19.5" thickTop="1" x14ac:dyDescent="0.25">
      <c r="A582" s="49" t="str">
        <f t="shared" ref="A582" ca="1" si="469">IF(MOD(ROW()-2,2)=0, INDIRECT("Sheet1!B" &amp;4+((ROW()-2)/2)-2), "")</f>
        <v>Lip</v>
      </c>
      <c r="B582" s="45" t="str">
        <f t="shared" ref="B582:B638" ca="1" si="470">IF(MOD(ROW()-2,2)=0, INDIRECT("Sheet1!D" &amp;4+((ROW()-2)/2)-2), "")</f>
        <v>shiffeh</v>
      </c>
    </row>
    <row r="583" spans="1:2" ht="15.75" customHeight="1" thickBot="1" x14ac:dyDescent="0.3">
      <c r="A583" s="50"/>
      <c r="B583" s="46" t="str">
        <f t="shared" ref="B583:B639" ca="1" si="471">IF(MOD(ROW()-3,2)=0, INDIRECT("Sheet1!E" &amp;4+((ROW()-3)/2)-2), "")</f>
        <v xml:space="preserve"> شِفّه</v>
      </c>
    </row>
    <row r="584" spans="1:2" ht="19.5" thickTop="1" x14ac:dyDescent="0.25">
      <c r="A584" s="57" t="str">
        <f t="shared" ref="A584" ca="1" si="472">IF(MOD(ROW()-2,2)=0, INDIRECT("Sheet1!B" &amp;4+((ROW()-2)/2)-2), "")</f>
        <v>Lips</v>
      </c>
      <c r="B584" s="48" t="str">
        <f t="shared" ref="B584:B640" ca="1" si="473">IF(MOD(ROW()-2,2)=0, INDIRECT("Sheet1!D" &amp;4+((ROW()-2)/2)-2), "")</f>
        <v>shfeif</v>
      </c>
    </row>
    <row r="585" spans="1:2" ht="15.75" customHeight="1" thickBot="1" x14ac:dyDescent="0.3">
      <c r="A585" s="56"/>
      <c r="B585" s="47" t="str">
        <f t="shared" ref="B585:B641" ca="1" si="474">IF(MOD(ROW()-3,2)=0, INDIRECT("Sheet1!E" &amp;4+((ROW()-3)/2)-2), "")</f>
        <v xml:space="preserve"> شفاف</v>
      </c>
    </row>
    <row r="586" spans="1:2" ht="19.5" thickTop="1" x14ac:dyDescent="0.25">
      <c r="A586" s="49" t="str">
        <f t="shared" ref="A586" ca="1" si="475">IF(MOD(ROW()-2,2)=0, INDIRECT("Sheet1!B" &amp;4+((ROW()-2)/2)-2), "")</f>
        <v>My body hurts</v>
      </c>
      <c r="B586" s="45" t="str">
        <f t="shared" ref="B586:B642" ca="1" si="476">IF(MOD(ROW()-2,2)=0, INDIRECT("Sheet1!D" &amp;4+((ROW()-2)/2)-2), "")</f>
        <v>jesmeh 3am youja3neh</v>
      </c>
    </row>
    <row r="587" spans="1:2" ht="15.75" customHeight="1" thickBot="1" x14ac:dyDescent="0.3">
      <c r="A587" s="50"/>
      <c r="B587" s="46" t="str">
        <f t="shared" ref="B587:B643" ca="1" si="477">IF(MOD(ROW()-3,2)=0, INDIRECT("Sheet1!E" &amp;4+((ROW()-3)/2)-2), "")</f>
        <v>جِسمي عَم يوجَعني</v>
      </c>
    </row>
    <row r="588" spans="1:2" ht="38.25" thickTop="1" x14ac:dyDescent="0.25">
      <c r="A588" s="57" t="str">
        <f t="shared" ref="A588" ca="1" si="478">IF(MOD(ROW()-2,2)=0, INDIRECT("Sheet1!B" &amp;4+((ROW()-2)/2)-2), "")</f>
        <v>This girl has long hair</v>
      </c>
      <c r="B588" s="48" t="str">
        <f t="shared" ref="B588:B644" ca="1" si="479">IF(MOD(ROW()-2,2)=0, INDIRECT("Sheet1!D" &amp;4+((ROW()-2)/2)-2), "")</f>
        <v>heydeh el benet sha3ra taweel</v>
      </c>
    </row>
    <row r="589" spans="1:2" ht="15.75" customHeight="1" thickBot="1" x14ac:dyDescent="0.3">
      <c r="A589" s="56"/>
      <c r="B589" s="47" t="str">
        <f t="shared" ref="B589:B645" ca="1" si="480">IF(MOD(ROW()-3,2)=0, INDIRECT("Sheet1!E" &amp;4+((ROW()-3)/2)-2), "")</f>
        <v>هيدي البنت شعرا طويل</v>
      </c>
    </row>
    <row r="590" spans="1:2" ht="38.25" thickTop="1" x14ac:dyDescent="0.25">
      <c r="A590" s="49" t="str">
        <f t="shared" ref="A590" ca="1" si="481">IF(MOD(ROW()-2,2)=0, INDIRECT("Sheet1!B" &amp;4+((ROW()-2)/2)-2), "")</f>
        <v>This boy has long hair</v>
      </c>
      <c r="B590" s="45" t="str">
        <f t="shared" ref="B590" ca="1" si="482">IF(MOD(ROW()-2,2)=0, INDIRECT("Sheet1!D" &amp;4+((ROW()-2)/2)-2), "")</f>
        <v>heyda el sabeh sha3ro aseer</v>
      </c>
    </row>
    <row r="591" spans="1:2" ht="15.75" customHeight="1" thickBot="1" x14ac:dyDescent="0.3">
      <c r="A591" s="50"/>
      <c r="B591" s="46" t="str">
        <f t="shared" ref="B591" ca="1" si="483">IF(MOD(ROW()-3,2)=0, INDIRECT("Sheet1!E" &amp;4+((ROW()-3)/2)-2), "")</f>
        <v>هيدا الصبي شعرو طويل</v>
      </c>
    </row>
    <row r="592" spans="1:2" ht="19.5" thickTop="1" x14ac:dyDescent="0.25">
      <c r="A592" s="57" t="str">
        <f t="shared" ref="A592" ca="1" si="484">IF(MOD(ROW()-2,2)=0, INDIRECT("Sheet1!B" &amp;4+((ROW()-2)/2)-2), "")</f>
        <v>I have a headache</v>
      </c>
      <c r="B592" s="48" t="str">
        <f t="shared" ca="1" si="464"/>
        <v>raseh 3am youja3neh</v>
      </c>
    </row>
    <row r="593" spans="1:2" ht="15.75" customHeight="1" thickBot="1" x14ac:dyDescent="0.3">
      <c r="A593" s="56"/>
      <c r="B593" s="47" t="str">
        <f t="shared" ca="1" si="465"/>
        <v xml:space="preserve"> راسي عم يوجعني</v>
      </c>
    </row>
    <row r="594" spans="1:2" ht="38.25" thickTop="1" x14ac:dyDescent="0.25">
      <c r="A594" s="49" t="str">
        <f t="shared" ref="A594" ca="1" si="485">IF(MOD(ROW()-2,2)=0, INDIRECT("Sheet1!B" &amp;4+((ROW()-2)/2)-2), "")</f>
        <v>This girl is so skinny</v>
      </c>
      <c r="B594" s="45" t="str">
        <f t="shared" ca="1" si="467"/>
        <v>heydeh el benet kteer d3ifeh</v>
      </c>
    </row>
    <row r="595" spans="1:2" ht="15.75" customHeight="1" thickBot="1" x14ac:dyDescent="0.3">
      <c r="A595" s="50"/>
      <c r="B595" s="46" t="str">
        <f t="shared" ca="1" si="468"/>
        <v xml:space="preserve"> هيدي البنت كتير ضعيفه</v>
      </c>
    </row>
    <row r="596" spans="1:2" ht="19.5" thickTop="1" x14ac:dyDescent="0.25">
      <c r="A596" s="57" t="str">
        <f t="shared" ref="A596" ca="1" si="486">IF(MOD(ROW()-2,2)=0, INDIRECT("Sheet1!B" &amp;4+((ROW()-2)/2)-2), "")</f>
        <v>This boy is fat</v>
      </c>
      <c r="B596" s="48" t="str">
        <f t="shared" ca="1" si="470"/>
        <v>heyda el sabeh naseH</v>
      </c>
    </row>
    <row r="597" spans="1:2" ht="15.75" customHeight="1" thickBot="1" x14ac:dyDescent="0.3">
      <c r="A597" s="56"/>
      <c r="B597" s="47" t="str">
        <f t="shared" ca="1" si="471"/>
        <v>هيدا الصَبي ناصِح</v>
      </c>
    </row>
    <row r="598" spans="1:2" ht="19.5" thickTop="1" x14ac:dyDescent="0.25">
      <c r="A598" s="49" t="str">
        <f t="shared" ref="A598" ca="1" si="487">IF(MOD(ROW()-2,2)=0, INDIRECT("Sheet1!B" &amp;4+((ROW()-2)/2)-2), "")</f>
        <v xml:space="preserve">Advice </v>
      </c>
      <c r="B598" s="45" t="str">
        <f t="shared" ca="1" si="473"/>
        <v>nasiHa</v>
      </c>
    </row>
    <row r="599" spans="1:2" ht="15.75" customHeight="1" thickBot="1" x14ac:dyDescent="0.3">
      <c r="A599" s="50"/>
      <c r="B599" s="46" t="str">
        <f t="shared" ca="1" si="474"/>
        <v>نَصيحَة</v>
      </c>
    </row>
    <row r="600" spans="1:2" ht="19.5" thickTop="1" x14ac:dyDescent="0.25">
      <c r="A600" s="57" t="str">
        <f t="shared" ref="A600" ca="1" si="488">IF(MOD(ROW()-2,2)=0, INDIRECT("Sheet1!B" &amp;4+((ROW()-2)/2)-2), "")</f>
        <v xml:space="preserve">Cause </v>
      </c>
      <c r="B600" s="48" t="str">
        <f t="shared" ca="1" si="476"/>
        <v>sabab?</v>
      </c>
    </row>
    <row r="601" spans="1:2" ht="15.75" customHeight="1" thickBot="1" x14ac:dyDescent="0.3">
      <c r="A601" s="56"/>
      <c r="B601" s="47" t="str">
        <f t="shared" ca="1" si="477"/>
        <v>سَبَب</v>
      </c>
    </row>
    <row r="602" spans="1:2" ht="19.5" thickTop="1" x14ac:dyDescent="0.25">
      <c r="A602" s="49" t="str">
        <f t="shared" ref="A602" ca="1" si="489">IF(MOD(ROW()-2,2)=0, INDIRECT("Sheet1!B" &amp;4+((ROW()-2)/2)-2), "")</f>
        <v xml:space="preserve">Hereditary </v>
      </c>
      <c r="B602" s="45" t="str">
        <f t="shared" ca="1" si="479"/>
        <v>wirateh</v>
      </c>
    </row>
    <row r="603" spans="1:2" ht="15.75" customHeight="1" thickBot="1" x14ac:dyDescent="0.3">
      <c r="A603" s="50"/>
      <c r="B603" s="46" t="str">
        <f t="shared" ca="1" si="480"/>
        <v xml:space="preserve">وِراتي </v>
      </c>
    </row>
    <row r="604" spans="1:2" ht="19.5" thickTop="1" x14ac:dyDescent="0.25">
      <c r="A604" s="57" t="str">
        <f t="shared" ref="A604" ca="1" si="490">IF(MOD(ROW()-2,2)=0, INDIRECT("Sheet1!B" &amp;4+((ROW()-2)/2)-2), "")</f>
        <v xml:space="preserve">Medicine </v>
      </c>
      <c r="B604" s="48" t="str">
        <f t="shared" ref="B604" ca="1" si="491">IF(MOD(ROW()-2,2)=0, INDIRECT("Sheet1!D" &amp;4+((ROW()-2)/2)-2), "")</f>
        <v>dawa</v>
      </c>
    </row>
    <row r="605" spans="1:2" ht="15.75" customHeight="1" thickBot="1" x14ac:dyDescent="0.3">
      <c r="A605" s="56"/>
      <c r="B605" s="47" t="str">
        <f t="shared" ref="B605" ca="1" si="492">IF(MOD(ROW()-3,2)=0, INDIRECT("Sheet1!E" &amp;4+((ROW()-3)/2)-2), "")</f>
        <v>دَوا</v>
      </c>
    </row>
    <row r="606" spans="1:2" ht="19.5" thickTop="1" x14ac:dyDescent="0.25">
      <c r="A606" s="49" t="str">
        <f t="shared" ref="A606" ca="1" si="493">IF(MOD(ROW()-2,2)=0, INDIRECT("Sheet1!B" &amp;4+((ROW()-2)/2)-2), "")</f>
        <v xml:space="preserve">Medicines </v>
      </c>
      <c r="B606" s="45" t="str">
        <f t="shared" ca="1" si="464"/>
        <v>edewyeh</v>
      </c>
    </row>
    <row r="607" spans="1:2" ht="15.75" customHeight="1" thickBot="1" x14ac:dyDescent="0.3">
      <c r="A607" s="50"/>
      <c r="B607" s="46" t="str">
        <f t="shared" ca="1" si="465"/>
        <v>إدوية</v>
      </c>
    </row>
    <row r="608" spans="1:2" ht="38.25" thickTop="1" x14ac:dyDescent="0.25">
      <c r="A608" s="57" t="str">
        <f t="shared" ref="A608" ca="1" si="494">IF(MOD(ROW()-2,2)=0, INDIRECT("Sheet1!B" &amp;4+((ROW()-2)/2)-2), "")</f>
        <v>I'm sick</v>
      </c>
      <c r="B608" s="48" t="str">
        <f t="shared" ca="1" si="467"/>
        <v>ana mareed/ mareeda sakhin/ sakhneh</v>
      </c>
    </row>
    <row r="609" spans="1:2" ht="15.75" customHeight="1" thickBot="1" x14ac:dyDescent="0.3">
      <c r="A609" s="56"/>
      <c r="B609" s="47" t="str">
        <f t="shared" ca="1" si="468"/>
        <v xml:space="preserve">أنا مَريض/ مَريضَة صاخِن/ صاخنة </v>
      </c>
    </row>
    <row r="610" spans="1:2" ht="19.5" thickTop="1" x14ac:dyDescent="0.25">
      <c r="A610" s="49" t="str">
        <f t="shared" ref="A610" ca="1" si="495">IF(MOD(ROW()-2,2)=0, INDIRECT("Sheet1!B" &amp;4+((ROW()-2)/2)-2), "")</f>
        <v xml:space="preserve">I'm feeling tired </v>
      </c>
      <c r="B610" s="45" t="str">
        <f t="shared" ca="1" si="470"/>
        <v>ana te3bein/ te3beineh</v>
      </c>
    </row>
    <row r="611" spans="1:2" ht="15.75" customHeight="1" thickBot="1" x14ac:dyDescent="0.3">
      <c r="A611" s="50"/>
      <c r="B611" s="46" t="str">
        <f t="shared" ca="1" si="471"/>
        <v xml:space="preserve">أنا تعبان/ تعبانة </v>
      </c>
    </row>
    <row r="612" spans="1:2" ht="38.25" thickTop="1" x14ac:dyDescent="0.25">
      <c r="A612" s="57" t="str">
        <f t="shared" ref="A612" ca="1" si="496">IF(MOD(ROW()-2,2)=0, INDIRECT("Sheet1!B" &amp;4+((ROW()-2)/2)-2), "")</f>
        <v xml:space="preserve">I want to see a doctor </v>
      </c>
      <c r="B612" s="48" t="str">
        <f t="shared" ca="1" si="473"/>
        <v>baddeh shouf Hakeem/ Hakeemeh</v>
      </c>
    </row>
    <row r="613" spans="1:2" ht="15.75" customHeight="1" thickBot="1" x14ac:dyDescent="0.3">
      <c r="A613" s="56"/>
      <c r="B613" s="47" t="str">
        <f t="shared" ca="1" si="474"/>
        <v>بَدّي شوف حَكيم/ حَكيمة</v>
      </c>
    </row>
    <row r="614" spans="1:2" ht="57" thickTop="1" x14ac:dyDescent="0.25">
      <c r="A614" s="49" t="str">
        <f t="shared" ref="A614" ca="1" si="497">IF(MOD(ROW()-2,2)=0, INDIRECT("Sheet1!B" &amp;4+((ROW()-2)/2)-2), "")</f>
        <v>Can you advice a good doctor</v>
      </c>
      <c r="B614" s="45" t="str">
        <f t="shared" ca="1" si="476"/>
        <v>feek tonsaHneh/ feekeh tonsaHeeneh bi Hakeem/ Hakeemeh shatir/ shatra</v>
      </c>
    </row>
    <row r="615" spans="1:2" ht="36.75" thickBot="1" x14ac:dyDescent="0.3">
      <c r="A615" s="50"/>
      <c r="B615" s="46" t="str">
        <f t="shared" ca="1" si="477"/>
        <v>فيك تُنصَحني بحكيم شاطِر/ فيكي تُنصَحيني بحَكيمي شاطرَة</v>
      </c>
    </row>
    <row r="616" spans="1:2" ht="38.25" thickTop="1" x14ac:dyDescent="0.25">
      <c r="A616" s="57" t="str">
        <f t="shared" ref="A616" ca="1" si="498">IF(MOD(ROW()-2,2)=0, INDIRECT("Sheet1!B" &amp;4+((ROW()-2)/2)-2), "")</f>
        <v xml:space="preserve">I feel pain in my stomach </v>
      </c>
      <c r="B616" s="48" t="str">
        <f t="shared" ca="1" si="479"/>
        <v>Hasis/ Hasseh bi waja3 bi me3dteh</v>
      </c>
    </row>
    <row r="617" spans="1:2" ht="15.75" customHeight="1" thickBot="1" x14ac:dyDescent="0.3">
      <c r="A617" s="56"/>
      <c r="B617" s="47" t="str">
        <f t="shared" ca="1" si="480"/>
        <v>حاسِس/ حاسّي بِوَجَع بمعدتي</v>
      </c>
    </row>
    <row r="618" spans="1:2" ht="19.5" thickTop="1" x14ac:dyDescent="0.25">
      <c r="A618" s="49" t="str">
        <f t="shared" ref="A618" ca="1" si="499">IF(MOD(ROW()-2,2)=0, INDIRECT("Sheet1!B" &amp;4+((ROW()-2)/2)-2), "")</f>
        <v xml:space="preserve">I have  a headache </v>
      </c>
      <c r="B618" s="45" t="str">
        <f t="shared" ref="B618" ca="1" si="500">IF(MOD(ROW()-2,2)=0, INDIRECT("Sheet1!D" &amp;4+((ROW()-2)/2)-2), "")</f>
        <v>raseh 3am youja3neh</v>
      </c>
    </row>
    <row r="619" spans="1:2" ht="15.75" customHeight="1" thickBot="1" x14ac:dyDescent="0.3">
      <c r="A619" s="50"/>
      <c r="B619" s="46" t="str">
        <f t="shared" ref="B619" ca="1" si="501">IF(MOD(ROW()-3,2)=0, INDIRECT("Sheet1!E" &amp;4+((ROW()-3)/2)-2), "")</f>
        <v>راسي عَ يوجَعني</v>
      </c>
    </row>
    <row r="620" spans="1:2" ht="19.5" thickTop="1" x14ac:dyDescent="0.25">
      <c r="A620" s="57" t="str">
        <f t="shared" ref="A620" ca="1" si="502">IF(MOD(ROW()-2,2)=0, INDIRECT("Sheet1!B" &amp;4+((ROW()-2)/2)-2), "")</f>
        <v xml:space="preserve">My arm hearts </v>
      </c>
      <c r="B620" s="48" t="str">
        <f t="shared" ca="1" si="464"/>
        <v>eedeh 3am touja3neh</v>
      </c>
    </row>
    <row r="621" spans="1:2" ht="15.75" customHeight="1" thickBot="1" x14ac:dyDescent="0.3">
      <c r="A621" s="56"/>
      <c r="B621" s="47" t="str">
        <f t="shared" ca="1" si="465"/>
        <v xml:space="preserve">إدي عَم توجَعني </v>
      </c>
    </row>
    <row r="622" spans="1:2" ht="15.75" customHeight="1" thickTop="1" x14ac:dyDescent="0.25">
      <c r="A622" s="49" t="str">
        <f t="shared" ref="A622" ca="1" si="503">IF(MOD(ROW()-2,2)=0, INDIRECT("Sheet1!B" &amp;4+((ROW()-2)/2)-2), "")</f>
        <v xml:space="preserve">Doctor, is it something serious (dangerous) </v>
      </c>
      <c r="B622" s="45" t="str">
        <f t="shared" ca="1" si="467"/>
        <v>Hakeem, fi shi khotir?</v>
      </c>
    </row>
    <row r="623" spans="1:2" ht="15.75" customHeight="1" thickBot="1" x14ac:dyDescent="0.3">
      <c r="A623" s="50"/>
      <c r="B623" s="46" t="str">
        <f t="shared" ca="1" si="468"/>
        <v>حَكيم، في شي خُطِر؟</v>
      </c>
    </row>
    <row r="624" spans="1:2" ht="38.25" thickTop="1" x14ac:dyDescent="0.25">
      <c r="A624" s="57" t="str">
        <f t="shared" ref="A624" ca="1" si="504">IF(MOD(ROW()-2,2)=0, INDIRECT("Sheet1!B" &amp;4+((ROW()-2)/2)-2), "")</f>
        <v>What's causing me this pain?</v>
      </c>
      <c r="B624" s="48" t="str">
        <f t="shared" ca="1" si="470"/>
        <v>shou yalleh 3am bisabbebleh hal waja3?</v>
      </c>
    </row>
    <row r="625" spans="1:2" ht="15.75" customHeight="1" thickBot="1" x14ac:dyDescent="0.3">
      <c r="A625" s="56"/>
      <c r="B625" s="47" t="str">
        <f t="shared" ca="1" si="471"/>
        <v xml:space="preserve">شو يَلّي عَم بِسبّبلي هَل وَجَع </v>
      </c>
    </row>
    <row r="626" spans="1:2" ht="19.5" customHeight="1" thickTop="1" x14ac:dyDescent="0.25">
      <c r="A626" s="49" t="str">
        <f t="shared" ref="A626" ca="1" si="505">IF(MOD(ROW()-2,2)=0, INDIRECT("Sheet1!B" &amp;4+((ROW()-2)/2)-2), "")</f>
        <v xml:space="preserve">Is their a solution/ treatment </v>
      </c>
      <c r="B626" s="45" t="str">
        <f t="shared" ca="1" si="473"/>
        <v>fi Hall/ 3ileij?</v>
      </c>
    </row>
    <row r="627" spans="1:2" ht="15.75" customHeight="1" thickBot="1" x14ac:dyDescent="0.3">
      <c r="A627" s="50"/>
      <c r="B627" s="46" t="str">
        <f t="shared" ca="1" si="474"/>
        <v>في حَلّ/ عِلاج</v>
      </c>
    </row>
    <row r="628" spans="1:2" ht="38.25" thickTop="1" x14ac:dyDescent="0.25">
      <c r="A628" s="57" t="str">
        <f t="shared" ref="A628" ca="1" si="506">IF(MOD(ROW()-2,2)=0, INDIRECT("Sheet1!B" &amp;4+((ROW()-2)/2)-2), "")</f>
        <v>Shoud i do more exams?</v>
      </c>
      <c r="B628" s="48" t="str">
        <f t="shared" ca="1" si="476"/>
        <v>leizim a3moul ba3ed fHousat?</v>
      </c>
    </row>
    <row r="629" spans="1:2" ht="15.75" customHeight="1" thickBot="1" x14ac:dyDescent="0.3">
      <c r="A629" s="56"/>
      <c r="B629" s="47" t="str">
        <f t="shared" ca="1" si="477"/>
        <v>لازِم أعمُل بَعد فحوصات؟</v>
      </c>
    </row>
    <row r="630" spans="1:2" ht="38.25" thickTop="1" x14ac:dyDescent="0.25">
      <c r="A630" s="49" t="str">
        <f t="shared" ref="A630" ca="1" si="507">IF(MOD(ROW()-2,2)=0, INDIRECT("Sheet1!B" &amp;4+((ROW()-2)/2)-2), "")</f>
        <v>Do you think i should do an operation?</v>
      </c>
      <c r="B630" s="45" t="str">
        <f t="shared" ca="1" si="479"/>
        <v>bte3te'id/ bte3te'deh lezim a3moul 3amaliyeh?</v>
      </c>
    </row>
    <row r="631" spans="1:2" ht="15.75" customHeight="1" thickBot="1" x14ac:dyDescent="0.3">
      <c r="A631" s="50"/>
      <c r="B631" s="46" t="str">
        <f t="shared" ca="1" si="480"/>
        <v>بتعتقد/ بتعتقدي لازم أعمُل عمَليّة؟</v>
      </c>
    </row>
    <row r="632" spans="1:2" ht="38.25" thickTop="1" x14ac:dyDescent="0.25">
      <c r="A632" s="57" t="str">
        <f t="shared" ref="A632" ca="1" si="508">IF(MOD(ROW()-2,2)=0, INDIRECT("Sheet1!B" &amp;4+((ROW()-2)/2)-2), "")</f>
        <v xml:space="preserve">Tell me what are you feeling </v>
      </c>
      <c r="B632" s="48" t="str">
        <f t="shared" ref="B632" ca="1" si="509">IF(MOD(ROW()-2,2)=0, INDIRECT("Sheet1!D" &amp;4+((ROW()-2)/2)-2), "")</f>
        <v>khabberneh shou Hassis/ khabreeneh shou Hasseh</v>
      </c>
    </row>
    <row r="633" spans="1:2" ht="15.75" customHeight="1" thickBot="1" x14ac:dyDescent="0.3">
      <c r="A633" s="56"/>
      <c r="B633" s="47" t="str">
        <f t="shared" ref="B633" ca="1" si="510">IF(MOD(ROW()-3,2)=0, INDIRECT("Sheet1!E" &amp;4+((ROW()-3)/2)-2), "")</f>
        <v>خَبّرني شو حاسِس/ خَبريني شو حاسّي</v>
      </c>
    </row>
    <row r="634" spans="1:2" ht="38.25" thickTop="1" x14ac:dyDescent="0.25">
      <c r="A634" s="49" t="str">
        <f t="shared" ref="A634" ca="1" si="511">IF(MOD(ROW()-2,2)=0, INDIRECT("Sheet1!B" &amp;4+((ROW()-2)/2)-2), "")</f>
        <v>Where do you feel pain?</v>
      </c>
      <c r="B634" s="45" t="str">
        <f t="shared" ca="1" si="464"/>
        <v>wein 3am youja3ak/ youja3ik?</v>
      </c>
    </row>
    <row r="635" spans="1:2" ht="15.75" customHeight="1" thickBot="1" x14ac:dyDescent="0.3">
      <c r="A635" s="50"/>
      <c r="B635" s="46" t="str">
        <f t="shared" ca="1" si="465"/>
        <v>وَين عَم يوجَعَك/ يوجَعِك؟</v>
      </c>
    </row>
    <row r="636" spans="1:2" ht="57" thickTop="1" x14ac:dyDescent="0.25">
      <c r="A636" s="57" t="str">
        <f t="shared" ref="A636" ca="1" si="512">IF(MOD(ROW()-2,2)=0, INDIRECT("Sheet1!B" &amp;4+((ROW()-2)/2)-2), "")</f>
        <v>For how long has it been hearting</v>
      </c>
      <c r="B636" s="48" t="str">
        <f t="shared" ca="1" si="467"/>
        <v>addeh sarlo el waja3 (addeh sarlak mawjou3/mawjou3a)?</v>
      </c>
    </row>
    <row r="637" spans="1:2" ht="36.75" thickBot="1" x14ac:dyDescent="0.3">
      <c r="A637" s="56"/>
      <c r="B637" s="47" t="str">
        <f t="shared" ca="1" si="468"/>
        <v xml:space="preserve">أدّي صَرلو الوَجَع (أدّي صَرلَك موجوع/ موجوعَة) </v>
      </c>
    </row>
    <row r="638" spans="1:2" ht="38.25" thickTop="1" x14ac:dyDescent="0.25">
      <c r="A638" s="49" t="str">
        <f t="shared" ref="A638" ca="1" si="513">IF(MOD(ROW()-2,2)=0, INDIRECT("Sheet1!B" &amp;4+((ROW()-2)/2)-2), "")</f>
        <v>Is it something common in your family</v>
      </c>
      <c r="B638" s="45" t="str">
        <f t="shared" ca="1" si="470"/>
        <v>hal hayda shi wirateh bi 3ayltak/ 3ayltik?</v>
      </c>
    </row>
    <row r="639" spans="1:2" ht="15.75" customHeight="1" thickBot="1" x14ac:dyDescent="0.3">
      <c r="A639" s="50"/>
      <c r="B639" s="46" t="str">
        <f t="shared" ca="1" si="471"/>
        <v>هَل هَيدا شي وِراتي بعَيلتَك/ عيلتِك؟</v>
      </c>
    </row>
    <row r="640" spans="1:2" ht="38.25" thickTop="1" x14ac:dyDescent="0.25">
      <c r="A640" s="57" t="str">
        <f t="shared" ref="A640" ca="1" si="514">IF(MOD(ROW()-2,2)=0, INDIRECT("Sheet1!B" &amp;4+((ROW()-2)/2)-2), "")</f>
        <v xml:space="preserve">Do you have any chronic disease? </v>
      </c>
      <c r="B640" s="48" t="str">
        <f t="shared" ca="1" si="473"/>
        <v>3andak/ 3andik amrad mouzmineh?</v>
      </c>
    </row>
    <row r="641" spans="1:2" ht="15.75" customHeight="1" thickBot="1" x14ac:dyDescent="0.3">
      <c r="A641" s="56"/>
      <c r="B641" s="47" t="str">
        <f t="shared" ca="1" si="474"/>
        <v>عَندَك/ عندِك أمراض مُزمِنة؟</v>
      </c>
    </row>
    <row r="642" spans="1:2" ht="38.25" thickTop="1" x14ac:dyDescent="0.25">
      <c r="A642" s="49" t="str">
        <f t="shared" ref="A642" ca="1" si="515">IF(MOD(ROW()-2,2)=0, INDIRECT("Sheet1!B" &amp;4+((ROW()-2)/2)-2), "")</f>
        <v>Do you have any kind of allergies?</v>
      </c>
      <c r="B642" s="45" t="str">
        <f t="shared" ca="1" si="476"/>
        <v>3andak/ 3andik Haseisiyeh 3a shi?</v>
      </c>
    </row>
    <row r="643" spans="1:2" ht="15.75" customHeight="1" thickBot="1" x14ac:dyDescent="0.3">
      <c r="A643" s="50"/>
      <c r="B643" s="46" t="str">
        <f t="shared" ca="1" si="477"/>
        <v>عَندَك/ عَندِك حَساسِيّة عَشي؟</v>
      </c>
    </row>
    <row r="644" spans="1:2" ht="38.25" thickTop="1" x14ac:dyDescent="0.25">
      <c r="A644" s="57" t="str">
        <f t="shared" ref="A644" ca="1" si="516">IF(MOD(ROW()-2,2)=0, INDIRECT("Sheet1!B" &amp;4+((ROW()-2)/2)-2), "")</f>
        <v xml:space="preserve">Take the medicine three times per day </v>
      </c>
      <c r="B644" s="48" t="str">
        <f t="shared" ca="1" si="479"/>
        <v>khod/ khedeh el dawa tleit marrat bil nhar</v>
      </c>
    </row>
    <row r="645" spans="1:2" ht="15.75" customHeight="1" thickBot="1" x14ac:dyDescent="0.3">
      <c r="A645" s="56"/>
      <c r="B645" s="47" t="str">
        <f t="shared" ca="1" si="480"/>
        <v xml:space="preserve">خود/ خِدي الدَوا تلات مَرّات بالنهار </v>
      </c>
    </row>
    <row r="646" spans="1:2" ht="19.5" thickTop="1" x14ac:dyDescent="0.25">
      <c r="A646" s="49" t="str">
        <f t="shared" ref="A646" ca="1" si="517">IF(MOD(ROW()-2,2)=0, INDIRECT("Sheet1!B" &amp;4+((ROW()-2)/2)-2), "")</f>
        <v>Politics</v>
      </c>
      <c r="B646" s="45" t="str">
        <f t="shared" ref="B646" ca="1" si="518">IF(MOD(ROW()-2,2)=0, INDIRECT("Sheet1!D" &amp;4+((ROW()-2)/2)-2), "")</f>
        <v>siyeiseh</v>
      </c>
    </row>
    <row r="647" spans="1:2" ht="15.75" customHeight="1" thickBot="1" x14ac:dyDescent="0.3">
      <c r="A647" s="50"/>
      <c r="B647" s="46" t="str">
        <f t="shared" ref="B647" ca="1" si="519">IF(MOD(ROW()-3,2)=0, INDIRECT("Sheet1!E" &amp;4+((ROW()-3)/2)-2), "")</f>
        <v>سياسِة</v>
      </c>
    </row>
    <row r="648" spans="1:2" ht="19.5" thickTop="1" x14ac:dyDescent="0.25">
      <c r="A648" s="57" t="str">
        <f t="shared" ref="A648" ca="1" si="520">IF(MOD(ROW()-2,2)=0, INDIRECT("Sheet1!B" &amp;4+((ROW()-2)/2)-2), "")</f>
        <v>Country</v>
      </c>
      <c r="B648" s="48" t="str">
        <f t="shared" ref="B648:B704" ca="1" si="521">IF(MOD(ROW()-2,2)=0, INDIRECT("Sheet1!D" &amp;4+((ROW()-2)/2)-2), "")</f>
        <v>balad</v>
      </c>
    </row>
    <row r="649" spans="1:2" ht="15.75" customHeight="1" thickBot="1" x14ac:dyDescent="0.3">
      <c r="A649" s="56"/>
      <c r="B649" s="47" t="str">
        <f t="shared" ref="B649:B705" ca="1" si="522">IF(MOD(ROW()-3,2)=0, INDIRECT("Sheet1!E" &amp;4+((ROW()-3)/2)-2), "")</f>
        <v>بَلَد</v>
      </c>
    </row>
    <row r="650" spans="1:2" ht="19.5" thickTop="1" x14ac:dyDescent="0.25">
      <c r="A650" s="49" t="str">
        <f t="shared" ref="A650" ca="1" si="523">IF(MOD(ROW()-2,2)=0, INDIRECT("Sheet1!B" &amp;4+((ROW()-2)/2)-2), "")</f>
        <v>Capital</v>
      </c>
      <c r="B650" s="45" t="str">
        <f t="shared" ref="B650:B706" ca="1" si="524">IF(MOD(ROW()-2,2)=0, INDIRECT("Sheet1!D" &amp;4+((ROW()-2)/2)-2), "")</f>
        <v>3aasmeh</v>
      </c>
    </row>
    <row r="651" spans="1:2" ht="15.75" customHeight="1" thickBot="1" x14ac:dyDescent="0.3">
      <c r="A651" s="50"/>
      <c r="B651" s="46" t="str">
        <f t="shared" ref="B651:B707" ca="1" si="525">IF(MOD(ROW()-3,2)=0, INDIRECT("Sheet1!E" &amp;4+((ROW()-3)/2)-2), "")</f>
        <v>عاصمة</v>
      </c>
    </row>
    <row r="652" spans="1:2" ht="19.5" thickTop="1" x14ac:dyDescent="0.25">
      <c r="A652" s="57" t="str">
        <f t="shared" ref="A652" ca="1" si="526">IF(MOD(ROW()-2,2)=0, INDIRECT("Sheet1!B" &amp;4+((ROW()-2)/2)-2), "")</f>
        <v>State</v>
      </c>
      <c r="B652" s="48" t="str">
        <f t="shared" ref="B652:B708" ca="1" si="527">IF(MOD(ROW()-2,2)=0, INDIRECT("Sheet1!D" &amp;4+((ROW()-2)/2)-2), "")</f>
        <v>dawleh/wileiyeh</v>
      </c>
    </row>
    <row r="653" spans="1:2" ht="15.75" customHeight="1" thickBot="1" x14ac:dyDescent="0.3">
      <c r="A653" s="56"/>
      <c r="B653" s="47" t="str">
        <f t="shared" ref="B653:B709" ca="1" si="528">IF(MOD(ROW()-3,2)=0, INDIRECT("Sheet1!E" &amp;4+((ROW()-3)/2)-2), "")</f>
        <v>دَولة/ وِلاية</v>
      </c>
    </row>
    <row r="654" spans="1:2" ht="19.5" thickTop="1" x14ac:dyDescent="0.25">
      <c r="A654" s="49" t="str">
        <f t="shared" ref="A654" ca="1" si="529">IF(MOD(ROW()-2,2)=0, INDIRECT("Sheet1!B" &amp;4+((ROW()-2)/2)-2), "")</f>
        <v>President</v>
      </c>
      <c r="B654" s="45" t="str">
        <f t="shared" ref="B654:B710" ca="1" si="530">IF(MOD(ROW()-2,2)=0, INDIRECT("Sheet1!D" &amp;4+((ROW()-2)/2)-2), "")</f>
        <v>ra'ees/ra'eeseh</v>
      </c>
    </row>
    <row r="655" spans="1:2" ht="15.75" customHeight="1" thickBot="1" x14ac:dyDescent="0.3">
      <c r="A655" s="50"/>
      <c r="B655" s="46" t="str">
        <f t="shared" ref="B655:B711" ca="1" si="531">IF(MOD(ROW()-3,2)=0, INDIRECT("Sheet1!E" &amp;4+((ROW()-3)/2)-2), "")</f>
        <v>رَئيس/ة</v>
      </c>
    </row>
    <row r="656" spans="1:2" ht="19.5" thickTop="1" x14ac:dyDescent="0.25">
      <c r="A656" s="57" t="str">
        <f t="shared" ref="A656" ca="1" si="532">IF(MOD(ROW()-2,2)=0, INDIRECT("Sheet1!B" &amp;4+((ROW()-2)/2)-2), "")</f>
        <v>King</v>
      </c>
      <c r="B656" s="48" t="str">
        <f t="shared" ref="B656:B712" ca="1" si="533">IF(MOD(ROW()-2,2)=0, INDIRECT("Sheet1!D" &amp;4+((ROW()-2)/2)-2), "")</f>
        <v>malik</v>
      </c>
    </row>
    <row r="657" spans="1:2" ht="15.75" customHeight="1" thickBot="1" x14ac:dyDescent="0.3">
      <c r="A657" s="56"/>
      <c r="B657" s="47" t="str">
        <f t="shared" ref="B657:B713" ca="1" si="534">IF(MOD(ROW()-3,2)=0, INDIRECT("Sheet1!E" &amp;4+((ROW()-3)/2)-2), "")</f>
        <v>مَلِك</v>
      </c>
    </row>
    <row r="658" spans="1:2" ht="19.5" thickTop="1" x14ac:dyDescent="0.25">
      <c r="A658" s="49" t="str">
        <f t="shared" ref="A658" ca="1" si="535">IF(MOD(ROW()-2,2)=0, INDIRECT("Sheet1!B" &amp;4+((ROW()-2)/2)-2), "")</f>
        <v>Queen</v>
      </c>
      <c r="B658" s="45" t="str">
        <f t="shared" ref="B658:B714" ca="1" si="536">IF(MOD(ROW()-2,2)=0, INDIRECT("Sheet1!D" &amp;4+((ROW()-2)/2)-2), "")</f>
        <v>malikeh</v>
      </c>
    </row>
    <row r="659" spans="1:2" ht="15.75" customHeight="1" thickBot="1" x14ac:dyDescent="0.3">
      <c r="A659" s="50"/>
      <c r="B659" s="46" t="str">
        <f t="shared" ref="B659:B715" ca="1" si="537">IF(MOD(ROW()-3,2)=0, INDIRECT("Sheet1!E" &amp;4+((ROW()-3)/2)-2), "")</f>
        <v>مَلِكة</v>
      </c>
    </row>
    <row r="660" spans="1:2" ht="19.5" thickTop="1" x14ac:dyDescent="0.25">
      <c r="A660" s="57" t="str">
        <f t="shared" ref="A660" ca="1" si="538">IF(MOD(ROW()-2,2)=0, INDIRECT("Sheet1!B" &amp;4+((ROW()-2)/2)-2), "")</f>
        <v>Republic</v>
      </c>
      <c r="B660" s="48" t="str">
        <f t="shared" ref="B660" ca="1" si="539">IF(MOD(ROW()-2,2)=0, INDIRECT("Sheet1!D" &amp;4+((ROW()-2)/2)-2), "")</f>
        <v>joumhouriyeh</v>
      </c>
    </row>
    <row r="661" spans="1:2" ht="15.75" customHeight="1" thickBot="1" x14ac:dyDescent="0.3">
      <c r="A661" s="56"/>
      <c r="B661" s="47" t="str">
        <f t="shared" ref="B661" ca="1" si="540">IF(MOD(ROW()-3,2)=0, INDIRECT("Sheet1!E" &amp;4+((ROW()-3)/2)-2), "")</f>
        <v>جُمهورِيّة</v>
      </c>
    </row>
    <row r="662" spans="1:2" ht="19.5" thickTop="1" x14ac:dyDescent="0.25">
      <c r="A662" s="49" t="str">
        <f t="shared" ref="A662" ca="1" si="541">IF(MOD(ROW()-2,2)=0, INDIRECT("Sheet1!B" &amp;4+((ROW()-2)/2)-2), "")</f>
        <v>Kingdom</v>
      </c>
      <c r="B662" s="45" t="str">
        <f t="shared" ca="1" si="521"/>
        <v>mamlakeh</v>
      </c>
    </row>
    <row r="663" spans="1:2" ht="15.75" customHeight="1" thickBot="1" x14ac:dyDescent="0.3">
      <c r="A663" s="50"/>
      <c r="B663" s="46" t="str">
        <f t="shared" ca="1" si="522"/>
        <v>مَملَكِة</v>
      </c>
    </row>
    <row r="664" spans="1:2" ht="19.5" thickTop="1" x14ac:dyDescent="0.25">
      <c r="A664" s="57" t="str">
        <f t="shared" ref="A664" ca="1" si="542">IF(MOD(ROW()-2,2)=0, INDIRECT("Sheet1!B" &amp;4+((ROW()-2)/2)-2), "")</f>
        <v>Parliament</v>
      </c>
      <c r="B664" s="48" t="str">
        <f t="shared" ca="1" si="524"/>
        <v>barlamein</v>
      </c>
    </row>
    <row r="665" spans="1:2" ht="15.75" customHeight="1" thickBot="1" x14ac:dyDescent="0.3">
      <c r="A665" s="56"/>
      <c r="B665" s="47" t="str">
        <f t="shared" ca="1" si="525"/>
        <v>بَرلَمان</v>
      </c>
    </row>
    <row r="666" spans="1:2" ht="19.5" thickTop="1" x14ac:dyDescent="0.25">
      <c r="A666" s="49" t="str">
        <f t="shared" ref="A666" ca="1" si="543">IF(MOD(ROW()-2,2)=0, INDIRECT("Sheet1!B" &amp;4+((ROW()-2)/2)-2), "")</f>
        <v>Ministry</v>
      </c>
      <c r="B666" s="45" t="str">
        <f t="shared" ca="1" si="527"/>
        <v>wizara</v>
      </c>
    </row>
    <row r="667" spans="1:2" ht="15.75" customHeight="1" thickBot="1" x14ac:dyDescent="0.3">
      <c r="A667" s="50"/>
      <c r="B667" s="46" t="str">
        <f t="shared" ca="1" si="528"/>
        <v>وِزارَة</v>
      </c>
    </row>
    <row r="668" spans="1:2" ht="19.5" thickTop="1" x14ac:dyDescent="0.25">
      <c r="A668" s="57" t="str">
        <f t="shared" ref="A668" ca="1" si="544">IF(MOD(ROW()-2,2)=0, INDIRECT("Sheet1!B" &amp;4+((ROW()-2)/2)-2), "")</f>
        <v>Minister</v>
      </c>
      <c r="B668" s="48" t="str">
        <f t="shared" ca="1" si="530"/>
        <v>wazeer</v>
      </c>
    </row>
    <row r="669" spans="1:2" ht="15.75" customHeight="1" thickBot="1" x14ac:dyDescent="0.3">
      <c r="A669" s="56"/>
      <c r="B669" s="47" t="str">
        <f t="shared" ca="1" si="531"/>
        <v>وَزير</v>
      </c>
    </row>
    <row r="670" spans="1:2" ht="19.5" thickTop="1" x14ac:dyDescent="0.25">
      <c r="A670" s="49" t="str">
        <f t="shared" ref="A670" ca="1" si="545">IF(MOD(ROW()-2,2)=0, INDIRECT("Sheet1!B" &amp;4+((ROW()-2)/2)-2), "")</f>
        <v>Ministers</v>
      </c>
      <c r="B670" s="45" t="str">
        <f t="shared" ca="1" si="533"/>
        <v>wouzara</v>
      </c>
    </row>
    <row r="671" spans="1:2" ht="15.75" customHeight="1" thickBot="1" x14ac:dyDescent="0.3">
      <c r="A671" s="50"/>
      <c r="B671" s="46" t="str">
        <f t="shared" ca="1" si="534"/>
        <v>وُزَرا</v>
      </c>
    </row>
    <row r="672" spans="1:2" ht="19.5" thickTop="1" x14ac:dyDescent="0.25">
      <c r="A672" s="57" t="str">
        <f t="shared" ref="A672" ca="1" si="546">IF(MOD(ROW()-2,2)=0, INDIRECT("Sheet1!B" &amp;4+((ROW()-2)/2)-2), "")</f>
        <v>Representative</v>
      </c>
      <c r="B672" s="48" t="str">
        <f t="shared" ca="1" si="536"/>
        <v>neiyib</v>
      </c>
    </row>
    <row r="673" spans="1:2" ht="15.75" customHeight="1" thickBot="1" x14ac:dyDescent="0.3">
      <c r="A673" s="56"/>
      <c r="B673" s="47" t="str">
        <f t="shared" ca="1" si="537"/>
        <v>نايب</v>
      </c>
    </row>
    <row r="674" spans="1:2" ht="19.5" thickTop="1" x14ac:dyDescent="0.25">
      <c r="A674" s="49" t="str">
        <f t="shared" ref="A674" ca="1" si="547">IF(MOD(ROW()-2,2)=0, INDIRECT("Sheet1!B" &amp;4+((ROW()-2)/2)-2), "")</f>
        <v>Representatives</v>
      </c>
      <c r="B674" s="45" t="str">
        <f t="shared" ref="B674" ca="1" si="548">IF(MOD(ROW()-2,2)=0, INDIRECT("Sheet1!D" &amp;4+((ROW()-2)/2)-2), "")</f>
        <v>nouwweib</v>
      </c>
    </row>
    <row r="675" spans="1:2" ht="15.75" customHeight="1" thickBot="1" x14ac:dyDescent="0.3">
      <c r="A675" s="50"/>
      <c r="B675" s="46" t="str">
        <f t="shared" ref="B675" ca="1" si="549">IF(MOD(ROW()-3,2)=0, INDIRECT("Sheet1!E" &amp;4+((ROW()-3)/2)-2), "")</f>
        <v>نُوّاب</v>
      </c>
    </row>
    <row r="676" spans="1:2" ht="19.5" thickTop="1" x14ac:dyDescent="0.25">
      <c r="A676" s="57" t="str">
        <f t="shared" ref="A676" ca="1" si="550">IF(MOD(ROW()-2,2)=0, INDIRECT("Sheet1!B" &amp;4+((ROW()-2)/2)-2), "")</f>
        <v>Nation</v>
      </c>
      <c r="B676" s="48" t="str">
        <f t="shared" ca="1" si="521"/>
        <v>oummeh</v>
      </c>
    </row>
    <row r="677" spans="1:2" ht="15.75" customHeight="1" thickBot="1" x14ac:dyDescent="0.3">
      <c r="A677" s="56"/>
      <c r="B677" s="47" t="str">
        <f t="shared" ca="1" si="522"/>
        <v>أُمّة</v>
      </c>
    </row>
    <row r="678" spans="1:2" ht="19.5" thickTop="1" x14ac:dyDescent="0.25">
      <c r="A678" s="49" t="str">
        <f t="shared" ref="A678" ca="1" si="551">IF(MOD(ROW()-2,2)=0, INDIRECT("Sheet1!B" &amp;4+((ROW()-2)/2)-2), "")</f>
        <v>Party</v>
      </c>
      <c r="B678" s="45" t="str">
        <f t="shared" ca="1" si="524"/>
        <v>Hezeb</v>
      </c>
    </row>
    <row r="679" spans="1:2" ht="15.75" customHeight="1" thickBot="1" x14ac:dyDescent="0.3">
      <c r="A679" s="50"/>
      <c r="B679" s="46" t="str">
        <f t="shared" ca="1" si="525"/>
        <v>حِزب</v>
      </c>
    </row>
    <row r="680" spans="1:2" ht="19.5" thickTop="1" x14ac:dyDescent="0.25">
      <c r="A680" s="57" t="str">
        <f t="shared" ref="A680" ca="1" si="552">IF(MOD(ROW()-2,2)=0, INDIRECT("Sheet1!B" &amp;4+((ROW()-2)/2)-2), "")</f>
        <v>Parties</v>
      </c>
      <c r="B680" s="48" t="str">
        <f t="shared" ca="1" si="527"/>
        <v>aHzeib</v>
      </c>
    </row>
    <row r="681" spans="1:2" ht="15.75" customHeight="1" thickBot="1" x14ac:dyDescent="0.3">
      <c r="A681" s="56"/>
      <c r="B681" s="47" t="str">
        <f t="shared" ca="1" si="528"/>
        <v>أحزاب</v>
      </c>
    </row>
    <row r="682" spans="1:2" ht="19.5" thickTop="1" x14ac:dyDescent="0.25">
      <c r="A682" s="49" t="str">
        <f t="shared" ref="A682" ca="1" si="553">IF(MOD(ROW()-2,2)=0, INDIRECT("Sheet1!B" &amp;4+((ROW()-2)/2)-2), "")</f>
        <v>Elections</v>
      </c>
      <c r="B682" s="45" t="str">
        <f t="shared" ca="1" si="530"/>
        <v>intikhabeit</v>
      </c>
    </row>
    <row r="683" spans="1:2" ht="15.75" customHeight="1" thickBot="1" x14ac:dyDescent="0.3">
      <c r="A683" s="50"/>
      <c r="B683" s="46" t="str">
        <f t="shared" ca="1" si="531"/>
        <v>إنتِخابات</v>
      </c>
    </row>
    <row r="684" spans="1:2" ht="19.5" thickTop="1" x14ac:dyDescent="0.25">
      <c r="A684" s="57" t="str">
        <f t="shared" ref="A684" ca="1" si="554">IF(MOD(ROW()-2,2)=0, INDIRECT("Sheet1!B" &amp;4+((ROW()-2)/2)-2), "")</f>
        <v>Revolution</v>
      </c>
      <c r="B684" s="48" t="str">
        <f t="shared" ca="1" si="533"/>
        <v>sawra</v>
      </c>
    </row>
    <row r="685" spans="1:2" ht="15.75" customHeight="1" thickBot="1" x14ac:dyDescent="0.3">
      <c r="A685" s="56"/>
      <c r="B685" s="47" t="str">
        <f t="shared" ca="1" si="534"/>
        <v>ثَورَة</v>
      </c>
    </row>
    <row r="686" spans="1:2" ht="15.75" customHeight="1" thickTop="1" x14ac:dyDescent="0.25">
      <c r="A686" s="49" t="str">
        <f t="shared" ref="A686" ca="1" si="555">IF(MOD(ROW()-2,2)=0, INDIRECT("Sheet1!B" &amp;4+((ROW()-2)/2)-2), "")</f>
        <v>The capital of lebanon is beirut</v>
      </c>
      <c r="B686" s="45" t="str">
        <f t="shared" ca="1" si="536"/>
        <v>3aasmit lebnein, beirut</v>
      </c>
    </row>
    <row r="687" spans="1:2" ht="15.75" customHeight="1" thickBot="1" x14ac:dyDescent="0.3">
      <c r="A687" s="50"/>
      <c r="B687" s="46" t="str">
        <f t="shared" ca="1" si="537"/>
        <v>عاصمِة لبنان, بَيروت</v>
      </c>
    </row>
    <row r="688" spans="1:2" ht="57" thickTop="1" x14ac:dyDescent="0.25">
      <c r="A688" s="57" t="str">
        <f t="shared" ref="A688" ca="1" si="556">IF(MOD(ROW()-2,2)=0, INDIRECT("Sheet1!B" &amp;4+((ROW()-2)/2)-2), "")</f>
        <v>Republic of lebanon</v>
      </c>
      <c r="B688" s="48" t="str">
        <f t="shared" ref="B688" ca="1" si="557">IF(MOD(ROW()-2,2)=0, INDIRECT("Sheet1!D" &amp;4+((ROW()-2)/2)-2), "")</f>
        <v>joumhouriyet lebnein/el joumhouriyeh el lebneiniyeh</v>
      </c>
    </row>
    <row r="689" spans="1:2" ht="15.75" customHeight="1" thickBot="1" x14ac:dyDescent="0.3">
      <c r="A689" s="56"/>
      <c r="B689" s="47" t="str">
        <f t="shared" ref="B689" ca="1" si="558">IF(MOD(ROW()-3,2)=0, INDIRECT("Sheet1!E" &amp;4+((ROW()-3)/2)-2), "")</f>
        <v>جُمهوريّة لبنان/ الجُمهوريّة اللّبنانيّة</v>
      </c>
    </row>
    <row r="690" spans="1:2" ht="19.5" thickTop="1" x14ac:dyDescent="0.25">
      <c r="A690" s="49" t="str">
        <f t="shared" ref="A690" ca="1" si="559">IF(MOD(ROW()-2,2)=0, INDIRECT("Sheet1!B" &amp;4+((ROW()-2)/2)-2), "")</f>
        <v>United nations</v>
      </c>
      <c r="B690" s="45" t="str">
        <f t="shared" ca="1" si="521"/>
        <v>el oumam el meteHdeh</v>
      </c>
    </row>
    <row r="691" spans="1:2" ht="15.75" customHeight="1" thickBot="1" x14ac:dyDescent="0.3">
      <c r="A691" s="50"/>
      <c r="B691" s="46" t="str">
        <f t="shared" ca="1" si="522"/>
        <v>الأُمَم المِتِّحْدة</v>
      </c>
    </row>
    <row r="692" spans="1:2" ht="57" customHeight="1" thickTop="1" x14ac:dyDescent="0.25">
      <c r="A692" s="57" t="str">
        <f t="shared" ref="A692" ca="1" si="560">IF(MOD(ROW()-2,2)=0, INDIRECT("Sheet1!B" &amp;4+((ROW()-2)/2)-2), "")</f>
        <v>Today, the representatives met at the patliament to elect a president</v>
      </c>
      <c r="B692" s="48" t="str">
        <f t="shared" ca="1" si="524"/>
        <v>el yom, el nouwweib jtama3o bil barlamein ta yentekhbo ra'ees</v>
      </c>
    </row>
    <row r="693" spans="1:2" ht="15.75" customHeight="1" thickBot="1" x14ac:dyDescent="0.3">
      <c r="A693" s="56"/>
      <c r="B693" s="47" t="str">
        <f t="shared" ca="1" si="525"/>
        <v>اليوم, النوّاب جتمعوا تينتخبوا رئيس</v>
      </c>
    </row>
    <row r="694" spans="1:2" ht="38.25" customHeight="1" thickTop="1" x14ac:dyDescent="0.25">
      <c r="A694" s="49" t="str">
        <f t="shared" ref="A694" ca="1" si="561">IF(MOD(ROW()-2,2)=0, INDIRECT("Sheet1!B" &amp;4+((ROW()-2)/2)-2), "")</f>
        <v>There are two main political parties in the united states</v>
      </c>
      <c r="B694" s="45" t="str">
        <f t="shared" ca="1" si="527"/>
        <v>fi Hezbein aseisiyyeh bil wileiyeit el metteHdeh</v>
      </c>
    </row>
    <row r="695" spans="1:2" ht="15.75" customHeight="1" thickBot="1" x14ac:dyDescent="0.3">
      <c r="A695" s="50"/>
      <c r="B695" s="46" t="str">
        <f t="shared" ca="1" si="528"/>
        <v>في حِزبين أساسيّة بالولايات المتِّحْدة</v>
      </c>
    </row>
    <row r="696" spans="1:2" ht="19.5" thickTop="1" x14ac:dyDescent="0.25">
      <c r="A696" s="57" t="str">
        <f t="shared" ref="A696" ca="1" si="562">IF(MOD(ROW()-2,2)=0, INDIRECT("Sheet1!B" &amp;4+((ROW()-2)/2)-2), "")</f>
        <v>Municipality/ies</v>
      </c>
      <c r="B696" s="48" t="str">
        <f t="shared" ca="1" si="530"/>
        <v>baladiyyeh/ baladiyyeit</v>
      </c>
    </row>
    <row r="697" spans="1:2" ht="15.75" customHeight="1" thickBot="1" x14ac:dyDescent="0.3">
      <c r="A697" s="56"/>
      <c r="B697" s="47" t="str">
        <f t="shared" ca="1" si="531"/>
        <v>بَلَدِيّة/ بَلَدِيّات</v>
      </c>
    </row>
    <row r="698" spans="1:2" ht="19.5" thickTop="1" x14ac:dyDescent="0.25">
      <c r="A698" s="49" t="str">
        <f t="shared" ref="A698" ca="1" si="563">IF(MOD(ROW()-2,2)=0, INDIRECT("Sheet1!B" &amp;4+((ROW()-2)/2)-2), "")</f>
        <v>Peace</v>
      </c>
      <c r="B698" s="45" t="str">
        <f t="shared" ca="1" si="533"/>
        <v>saleim</v>
      </c>
    </row>
    <row r="699" spans="1:2" ht="15.75" customHeight="1" thickBot="1" x14ac:dyDescent="0.3">
      <c r="A699" s="50"/>
      <c r="B699" s="46" t="str">
        <f t="shared" ca="1" si="534"/>
        <v xml:space="preserve"> سَلام</v>
      </c>
    </row>
    <row r="700" spans="1:2" ht="19.5" thickTop="1" x14ac:dyDescent="0.25">
      <c r="A700" s="57" t="str">
        <f t="shared" ref="A700" ca="1" si="564">IF(MOD(ROW()-2,2)=0, INDIRECT("Sheet1!B" &amp;4+((ROW()-2)/2)-2), "")</f>
        <v>Peaceful</v>
      </c>
      <c r="B700" s="48" t="str">
        <f t="shared" ca="1" si="536"/>
        <v>selmiyyeh</v>
      </c>
    </row>
    <row r="701" spans="1:2" ht="15.75" customHeight="1" thickBot="1" x14ac:dyDescent="0.3">
      <c r="A701" s="56"/>
      <c r="B701" s="47" t="str">
        <f t="shared" ca="1" si="537"/>
        <v xml:space="preserve"> سِلميّة</v>
      </c>
    </row>
    <row r="702" spans="1:2" ht="19.5" thickTop="1" x14ac:dyDescent="0.25">
      <c r="A702" s="49" t="str">
        <f t="shared" ref="A702" ca="1" si="565">IF(MOD(ROW()-2,2)=0, INDIRECT("Sheet1!B" &amp;4+((ROW()-2)/2)-2), "")</f>
        <v>Protest</v>
      </c>
      <c r="B702" s="45" t="str">
        <f t="shared" ref="B702" ca="1" si="566">IF(MOD(ROW()-2,2)=0, INDIRECT("Sheet1!D" &amp;4+((ROW()-2)/2)-2), "")</f>
        <v>mouzahara</v>
      </c>
    </row>
    <row r="703" spans="1:2" ht="15.75" customHeight="1" thickBot="1" x14ac:dyDescent="0.3">
      <c r="A703" s="50"/>
      <c r="B703" s="46" t="str">
        <f t="shared" ref="B703" ca="1" si="567">IF(MOD(ROW()-3,2)=0, INDIRECT("Sheet1!E" &amp;4+((ROW()-3)/2)-2), "")</f>
        <v xml:space="preserve"> مُظاهَرَة</v>
      </c>
    </row>
    <row r="704" spans="1:2" ht="19.5" thickTop="1" x14ac:dyDescent="0.25">
      <c r="A704" s="57" t="str">
        <f t="shared" ref="A704" ca="1" si="568">IF(MOD(ROW()-2,2)=0, INDIRECT("Sheet1!B" &amp;4+((ROW()-2)/2)-2), "")</f>
        <v>Protests</v>
      </c>
      <c r="B704" s="48" t="str">
        <f t="shared" ca="1" si="521"/>
        <v>mouzaharat</v>
      </c>
    </row>
    <row r="705" spans="1:2" ht="15.75" customHeight="1" thickBot="1" x14ac:dyDescent="0.3">
      <c r="A705" s="56"/>
      <c r="B705" s="47" t="str">
        <f t="shared" ca="1" si="522"/>
        <v xml:space="preserve"> مُظاهَرات</v>
      </c>
    </row>
    <row r="706" spans="1:2" ht="19.5" thickTop="1" x14ac:dyDescent="0.25">
      <c r="A706" s="49" t="str">
        <f t="shared" ref="A706" ca="1" si="569">IF(MOD(ROW()-2,2)=0, INDIRECT("Sheet1!B" &amp;4+((ROW()-2)/2)-2), "")</f>
        <v>Martyr</v>
      </c>
      <c r="B706" s="45" t="str">
        <f t="shared" ca="1" si="524"/>
        <v>shaheed</v>
      </c>
    </row>
    <row r="707" spans="1:2" ht="15.75" customHeight="1" thickBot="1" x14ac:dyDescent="0.3">
      <c r="A707" s="50"/>
      <c r="B707" s="46" t="str">
        <f t="shared" ca="1" si="525"/>
        <v>شهيد</v>
      </c>
    </row>
    <row r="708" spans="1:2" ht="31.5" customHeight="1" thickTop="1" x14ac:dyDescent="0.25">
      <c r="A708" s="57" t="str">
        <f t="shared" ref="A708" ca="1" si="570">IF(MOD(ROW()-2,2)=0, INDIRECT("Sheet1!B" &amp;4+((ROW()-2)/2)-2), "")</f>
        <v>There is a garbage crisis in lebanon, and the government did not find a solution yet.</v>
      </c>
      <c r="B708" s="48" t="str">
        <f t="shared" ca="1" si="527"/>
        <v>fi azmit nifeiyeit bi lebnen, wl Hkoumeh ba3ed ma le'yit Hall</v>
      </c>
    </row>
    <row r="709" spans="1:2" ht="36.75" thickBot="1" x14ac:dyDescent="0.3">
      <c r="A709" s="56"/>
      <c r="B709" s="47" t="str">
        <f t="shared" ca="1" si="528"/>
        <v>في أزمِة نفِايات بِلبنان، والحكومِة بَعد ما لقيت حَلّ</v>
      </c>
    </row>
    <row r="710" spans="1:2" ht="38.25" customHeight="1" thickTop="1" x14ac:dyDescent="0.25">
      <c r="A710" s="49" t="str">
        <f t="shared" ref="A710" ca="1" si="571">IF(MOD(ROW()-2,2)=0, INDIRECT("Sheet1!B" &amp;4+((ROW()-2)/2)-2), "")</f>
        <v>Every municipality is responsible for waste sorting</v>
      </c>
      <c r="B710" s="45" t="str">
        <f t="shared" ca="1" si="530"/>
        <v>kel baladiyyeh, mas'ouleh 3an farez el nifeiyeit</v>
      </c>
    </row>
    <row r="711" spans="1:2" ht="15.75" customHeight="1" thickBot="1" x14ac:dyDescent="0.3">
      <c r="A711" s="50"/>
      <c r="B711" s="46" t="str">
        <f t="shared" ca="1" si="531"/>
        <v>كِلّ بَلَدِيّة، مَسؤولِة عَن فَرز النِفايات</v>
      </c>
    </row>
    <row r="712" spans="1:2" ht="63" customHeight="1" thickTop="1" x14ac:dyDescent="0.25">
      <c r="A712" s="57" t="str">
        <f t="shared" ref="A712" ca="1" si="572">IF(MOD(ROW()-2,2)=0, INDIRECT("Sheet1!B" &amp;4+((ROW()-2)/2)-2), "")</f>
        <v>There are ongoing peacful protests in the lebanese capital demanding the resignation of the minister of the environment</v>
      </c>
      <c r="B712" s="48" t="str">
        <f t="shared" ca="1" si="533"/>
        <v>fi mouzaharat selmiyyeh moustamerra bil 3asmeh el lebneniyeh, 3am bettalib bi esti'alit wazeer el bee'a</v>
      </c>
    </row>
    <row r="713" spans="1:2" ht="54.75" thickBot="1" x14ac:dyDescent="0.3">
      <c r="A713" s="56"/>
      <c r="B713" s="47" t="str">
        <f t="shared" ca="1" si="534"/>
        <v>في مُظاهرات سِلميّة مُستمرّة بالعاصمة اللبنانية، عَم بطالِب بإستقالة وَزير البيئة</v>
      </c>
    </row>
    <row r="714" spans="1:2" ht="31.5" customHeight="1" thickTop="1" x14ac:dyDescent="0.25">
      <c r="A714" s="49" t="str">
        <f t="shared" ref="A714" ca="1" si="573">IF(MOD(ROW()-2,2)=0, INDIRECT("Sheet1!B" &amp;4+((ROW()-2)/2)-2), "")</f>
        <v>Today, fifty people were killed as a result of an explosion</v>
      </c>
      <c r="B714" s="45" t="str">
        <f t="shared" ca="1" si="536"/>
        <v>el yom, khamseen shakhes meito nateejit enfijar</v>
      </c>
    </row>
    <row r="715" spans="1:2" ht="15.75" customHeight="1" thickBot="1" x14ac:dyDescent="0.3">
      <c r="A715" s="50"/>
      <c r="B715" s="46" t="str">
        <f t="shared" ca="1" si="537"/>
        <v>اليَوم، خَمسين شَخص ماتوا نَتيجِة إنفجار</v>
      </c>
    </row>
    <row r="716" spans="1:2" ht="47.25" customHeight="1" thickTop="1" x14ac:dyDescent="0.25">
      <c r="A716" s="57" t="str">
        <f t="shared" ref="A716" ca="1" si="574">IF(MOD(ROW()-2,2)=0, INDIRECT("Sheet1!B" &amp;4+((ROW()-2)/2)-2), "")</f>
        <v>In 2013, the parliament ammended the constitution to be able to extend their term</v>
      </c>
      <c r="B716" s="48" t="str">
        <f t="shared" ref="B716" ca="1" si="575">IF(MOD(ROW()-2,2)=0, INDIRECT("Sheet1!D" &amp;4+((ROW()-2)/2)-2), "")</f>
        <v>bil alfein w tleta3sh, majlis el nouwweib 3addalo el doustour, ta ye'daro ymaddido la nafsoun</v>
      </c>
    </row>
    <row r="717" spans="1:2" ht="54.75" thickBot="1" x14ac:dyDescent="0.3">
      <c r="A717" s="56"/>
      <c r="B717" s="47" t="str">
        <f t="shared" ref="B717" ca="1" si="576">IF(MOD(ROW()-3,2)=0, INDIRECT("Sheet1!E" &amp;4+((ROW()-3)/2)-2), "")</f>
        <v>بل ألفين وتلاتعش مَجلِس النّواب عَدَّلوا الدُستور، تَ يقدَروا يمَدّدوا لَ نَفسُن</v>
      </c>
    </row>
    <row r="718" spans="1:2" ht="38.25" thickTop="1" x14ac:dyDescent="0.25">
      <c r="A718" s="49" t="str">
        <f t="shared" ref="A718" ca="1" si="577">IF(MOD(ROW()-2,2)=0, INDIRECT("Sheet1!B" &amp;4+((ROW()-2)/2)-2), "")</f>
        <v>Good luck</v>
      </c>
      <c r="B718" s="45" t="str">
        <f t="shared" ref="B718:B774" ca="1" si="578">IF(MOD(ROW()-2,2)=0, INDIRECT("Sheet1!D" &amp;4+((ROW()-2)/2)-2), "")</f>
        <v>mwaffa'/ mwaffa'a/ mwaffa'een</v>
      </c>
    </row>
    <row r="719" spans="1:2" ht="15.75" customHeight="1" thickBot="1" x14ac:dyDescent="0.3">
      <c r="A719" s="50"/>
      <c r="B719" s="46" t="str">
        <f t="shared" ref="B719:B775" ca="1" si="579">IF(MOD(ROW()-3,2)=0, INDIRECT("Sheet1!E" &amp;4+((ROW()-3)/2)-2), "")</f>
        <v>موَفَق/ موَفَقَة/ موَفَقين</v>
      </c>
    </row>
    <row r="720" spans="1:2" ht="19.5" thickTop="1" x14ac:dyDescent="0.25">
      <c r="A720" s="57" t="str">
        <f t="shared" ref="A720" ca="1" si="580">IF(MOD(ROW()-2,2)=0, INDIRECT("Sheet1!B" &amp;4+((ROW()-2)/2)-2), "")</f>
        <v>Go with peace</v>
      </c>
      <c r="B720" s="48" t="str">
        <f t="shared" ref="B720:B776" ca="1" si="581">IF(MOD(ROW()-2,2)=0, INDIRECT("Sheet1!D" &amp;4+((ROW()-2)/2)-2), "")</f>
        <v>ma3 el saleimeh</v>
      </c>
    </row>
    <row r="721" spans="1:2" ht="15.75" customHeight="1" thickBot="1" x14ac:dyDescent="0.3">
      <c r="A721" s="56"/>
      <c r="B721" s="47" t="str">
        <f t="shared" ref="B721:B777" ca="1" si="582">IF(MOD(ROW()-3,2)=0, INDIRECT("Sheet1!E" &amp;4+((ROW()-3)/2)-2), "")</f>
        <v>مَع السَلامة</v>
      </c>
    </row>
    <row r="722" spans="1:2" ht="38.25" thickTop="1" x14ac:dyDescent="0.25">
      <c r="A722" s="49" t="str">
        <f t="shared" ref="A722" ca="1" si="583">IF(MOD(ROW()-2,2)=0, INDIRECT("Sheet1!B" &amp;4+((ROW()-2)/2)-2), "")</f>
        <v>Stay</v>
      </c>
      <c r="B722" s="45" t="str">
        <f t="shared" ref="B722:B778" ca="1" si="584">IF(MOD(ROW()-2,2)=0, INDIRECT("Sheet1!D" &amp;4+((ROW()-2)/2)-2), "")</f>
        <v>khalleek/ khalleekeh/ khalleekoun</v>
      </c>
    </row>
    <row r="723" spans="1:2" ht="15.75" customHeight="1" thickBot="1" x14ac:dyDescent="0.3">
      <c r="A723" s="50"/>
      <c r="B723" s="46" t="str">
        <f t="shared" ref="B723:B779" ca="1" si="585">IF(MOD(ROW()-3,2)=0, INDIRECT("Sheet1!E" &amp;4+((ROW()-3)/2)-2), "")</f>
        <v>خَلّيك/ خَلّيكي/ خَلّيكُن</v>
      </c>
    </row>
    <row r="724" spans="1:2" ht="19.5" thickTop="1" x14ac:dyDescent="0.25">
      <c r="A724" s="57" t="str">
        <f t="shared" ref="A724" ca="1" si="586">IF(MOD(ROW()-2,2)=0, INDIRECT("Sheet1!B" &amp;4+((ROW()-2)/2)-2), "")</f>
        <v>Stay a little more</v>
      </c>
      <c r="B724" s="48" t="str">
        <f t="shared" ref="B724:B780" ca="1" si="587">IF(MOD(ROW()-2,2)=0, INDIRECT("Sheet1!D" &amp;4+((ROW()-2)/2)-2), "")</f>
        <v>khalleek (b'a) ba3d shwey</v>
      </c>
    </row>
    <row r="725" spans="1:2" ht="15.75" customHeight="1" thickBot="1" x14ac:dyDescent="0.3">
      <c r="A725" s="56"/>
      <c r="B725" s="47" t="str">
        <f t="shared" ref="B725:B781" ca="1" si="588">IF(MOD(ROW()-3,2)=0, INDIRECT("Sheet1!E" &amp;4+((ROW()-3)/2)-2), "")</f>
        <v xml:space="preserve"> خَلّيك (بقا) بَعد شوي</v>
      </c>
    </row>
    <row r="726" spans="1:2" ht="38.25" thickTop="1" x14ac:dyDescent="0.25">
      <c r="A726" s="49" t="str">
        <f t="shared" ref="A726" ca="1" si="589">IF(MOD(ROW()-2,2)=0, INDIRECT("Sheet1!B" &amp;4+((ROW()-2)/2)-2), "")</f>
        <v>God is with you</v>
      </c>
      <c r="B726" s="45" t="str">
        <f t="shared" ref="B726:B782" ca="1" si="590">IF(MOD(ROW()-2,2)=0, INDIRECT("Sheet1!D" &amp;4+((ROW()-2)/2)-2), "")</f>
        <v>allah ma3ak/ ma3ik/ ma3koun</v>
      </c>
    </row>
    <row r="727" spans="1:2" ht="15.75" customHeight="1" thickBot="1" x14ac:dyDescent="0.3">
      <c r="A727" s="50"/>
      <c r="B727" s="46" t="str">
        <f t="shared" ref="B727:B783" ca="1" si="591">IF(MOD(ROW()-3,2)=0, INDIRECT("Sheet1!E" &amp;4+((ROW()-3)/2)-2), "")</f>
        <v>الله مَعَك/ مَعِك/ مَعكُن</v>
      </c>
    </row>
    <row r="728" spans="1:2" ht="38.25" thickTop="1" x14ac:dyDescent="0.25">
      <c r="A728" s="57" t="str">
        <f t="shared" ref="A728" ca="1" si="592">IF(MOD(ROW()-2,2)=0, INDIRECT("Sheet1!B" &amp;4+((ROW()-2)/2)-2), "")</f>
        <v>Drop by soon</v>
      </c>
      <c r="B728" s="48" t="str">
        <f t="shared" ref="B728:B784" ca="1" si="593">IF(MOD(ROW()-2,2)=0, INDIRECT("Sheet1!D" &amp;4+((ROW()-2)/2)-2), "")</f>
        <v>teb'a toll/ teb'eh tolleh/ teb'o tollo</v>
      </c>
    </row>
    <row r="729" spans="1:2" ht="15.75" customHeight="1" thickBot="1" x14ac:dyDescent="0.3">
      <c r="A729" s="56"/>
      <c r="B729" s="47" t="str">
        <f t="shared" ref="B729:B785" ca="1" si="594">IF(MOD(ROW()-3,2)=0, INDIRECT("Sheet1!E" &amp;4+((ROW()-3)/2)-2), "")</f>
        <v>تبقَ طُلّ/ تبقي طُلّي/ تبقو طُلّو</v>
      </c>
    </row>
    <row r="730" spans="1:2" ht="19.5" thickTop="1" x14ac:dyDescent="0.25">
      <c r="A730" s="49" t="str">
        <f t="shared" ref="A730" ca="1" si="595">IF(MOD(ROW()-2,2)=0, INDIRECT("Sheet1!B" &amp;4+((ROW()-2)/2)-2), "")</f>
        <v>Drop by</v>
      </c>
      <c r="B730" s="45" t="str">
        <f t="shared" ref="B730" ca="1" si="596">IF(MOD(ROW()-2,2)=0, INDIRECT("Sheet1!D" &amp;4+((ROW()-2)/2)-2), "")</f>
        <v>mayyil/ mayleh/ maylo</v>
      </c>
    </row>
    <row r="731" spans="1:2" ht="15.75" customHeight="1" thickBot="1" x14ac:dyDescent="0.3">
      <c r="A731" s="50"/>
      <c r="B731" s="46" t="str">
        <f t="shared" ref="B731" ca="1" si="597">IF(MOD(ROW()-3,2)=0, INDIRECT("Sheet1!E" &amp;4+((ROW()-3)/2)-2), "")</f>
        <v>مَيّل/ مَيلي/ مَيلو</v>
      </c>
    </row>
    <row r="732" spans="1:2" ht="19.5" thickTop="1" x14ac:dyDescent="0.25">
      <c r="A732" s="57" t="str">
        <f t="shared" ref="A732" ca="1" si="598">IF(MOD(ROW()-2,2)=0, INDIRECT("Sheet1!B" &amp;4+((ROW()-2)/2)-2), "")</f>
        <v>Come back again</v>
      </c>
      <c r="B732" s="48" t="str">
        <f t="shared" ca="1" si="578"/>
        <v>3eeda/ 3idiya/ 3idouwa</v>
      </c>
    </row>
    <row r="733" spans="1:2" ht="15.75" customHeight="1" thickBot="1" x14ac:dyDescent="0.3">
      <c r="A733" s="56"/>
      <c r="B733" s="47" t="str">
        <f t="shared" ca="1" si="579"/>
        <v>عيدا/ عيديا/ عيدووا</v>
      </c>
    </row>
    <row r="734" spans="1:2" ht="19.5" thickTop="1" x14ac:dyDescent="0.25">
      <c r="A734" s="49" t="str">
        <f t="shared" ref="A734" ca="1" si="599">IF(MOD(ROW()-2,2)=0, INDIRECT("Sheet1!B" &amp;4+((ROW()-2)/2)-2), "")</f>
        <v xml:space="preserve">Where are you going? </v>
      </c>
      <c r="B734" s="45" t="str">
        <f t="shared" ca="1" si="581"/>
        <v>la wein?</v>
      </c>
    </row>
    <row r="735" spans="1:2" ht="15.75" customHeight="1" thickBot="1" x14ac:dyDescent="0.3">
      <c r="A735" s="50"/>
      <c r="B735" s="46" t="str">
        <f t="shared" ca="1" si="582"/>
        <v xml:space="preserve"> ?لَوين</v>
      </c>
    </row>
    <row r="736" spans="1:2" ht="15.75" customHeight="1" thickTop="1" x14ac:dyDescent="0.25">
      <c r="A736" s="57" t="str">
        <f t="shared" ref="A736" ca="1" si="600">IF(MOD(ROW()-2,2)=0, INDIRECT("Sheet1!B" &amp;4+((ROW()-2)/2)-2), "")</f>
        <v>Come again: (for men, woman and groups)</v>
      </c>
      <c r="B736" s="48" t="str">
        <f t="shared" ca="1" si="584"/>
        <v>min3adeh</v>
      </c>
    </row>
    <row r="737" spans="1:2" ht="15.75" customHeight="1" thickBot="1" x14ac:dyDescent="0.3">
      <c r="A737" s="56"/>
      <c r="B737" s="47" t="str">
        <f t="shared" ca="1" si="585"/>
        <v>مِنعادة</v>
      </c>
    </row>
    <row r="738" spans="1:2" ht="38.25" thickTop="1" x14ac:dyDescent="0.25">
      <c r="A738" s="49" t="str">
        <f t="shared" ref="A738" ca="1" si="601">IF(MOD(ROW()-2,2)=0, INDIRECT("Sheet1!B" &amp;4+((ROW()-2)/2)-2), "")</f>
        <v>Good night</v>
      </c>
      <c r="B738" s="45" t="str">
        <f t="shared" ca="1" si="587"/>
        <v>sa3eedeh/ tosbaH 3a kheir</v>
      </c>
    </row>
    <row r="739" spans="1:2" ht="15.75" customHeight="1" thickBot="1" x14ac:dyDescent="0.3">
      <c r="A739" s="50"/>
      <c r="B739" s="46" t="str">
        <f t="shared" ca="1" si="588"/>
        <v>سَعيدة/ تُصبَح ع خَير</v>
      </c>
    </row>
    <row r="740" spans="1:2" ht="38.25" thickTop="1" x14ac:dyDescent="0.25">
      <c r="A740" s="57" t="str">
        <f t="shared" ref="A740" ca="1" si="602">IF(MOD(ROW()-2,2)=0, INDIRECT("Sheet1!B" &amp;4+((ROW()-2)/2)-2), "")</f>
        <v>Good night for you too</v>
      </c>
      <c r="B740" s="48" t="str">
        <f t="shared" ca="1" si="590"/>
        <v>w enta/enteh/ ento min ahlo</v>
      </c>
    </row>
    <row r="741" spans="1:2" ht="15.75" customHeight="1" thickBot="1" x14ac:dyDescent="0.3">
      <c r="A741" s="56"/>
      <c r="B741" s="47" t="str">
        <f t="shared" ca="1" si="591"/>
        <v xml:space="preserve"> و إنتَ/ إنتِ/ إنتو من أهلو</v>
      </c>
    </row>
    <row r="742" spans="1:2" ht="19.5" thickTop="1" x14ac:dyDescent="0.25">
      <c r="A742" s="49" t="str">
        <f t="shared" ref="A742" ca="1" si="603">IF(MOD(ROW()-2,2)=0, INDIRECT("Sheet1!B" &amp;4+((ROW()-2)/2)-2), "")</f>
        <v>Say hi</v>
      </c>
      <c r="B742" s="45" t="str">
        <f t="shared" ca="1" si="593"/>
        <v>sallim/ salmeh/ salmo</v>
      </c>
    </row>
    <row r="743" spans="1:2" ht="15.75" customHeight="1" thickBot="1" x14ac:dyDescent="0.3">
      <c r="A743" s="50"/>
      <c r="B743" s="46" t="str">
        <f t="shared" ca="1" si="594"/>
        <v>سَّلِّم/ سَلمي/ سَلمو</v>
      </c>
    </row>
    <row r="744" spans="1:2" ht="19.5" thickTop="1" x14ac:dyDescent="0.25">
      <c r="A744" s="57" t="str">
        <f t="shared" ref="A744" ca="1" si="604">IF(MOD(ROW()-2,2)=0, INDIRECT("Sheet1!B" &amp;4+((ROW()-2)/2)-2), "")</f>
        <v>Done!</v>
      </c>
      <c r="B744" s="48" t="str">
        <f t="shared" ref="B744" ca="1" si="605">IF(MOD(ROW()-2,2)=0, INDIRECT("Sheet1!D" &amp;4+((ROW()-2)/2)-2), "")</f>
        <v>wosil</v>
      </c>
    </row>
    <row r="745" spans="1:2" ht="15.75" customHeight="1" thickBot="1" x14ac:dyDescent="0.3">
      <c r="A745" s="56"/>
      <c r="B745" s="47" t="str">
        <f t="shared" ref="B745" ca="1" si="606">IF(MOD(ROW()-3,2)=0, INDIRECT("Sheet1!E" &amp;4+((ROW()-3)/2)-2), "")</f>
        <v>وُصِل</v>
      </c>
    </row>
    <row r="746" spans="1:2" ht="19.5" thickTop="1" x14ac:dyDescent="0.25">
      <c r="A746" s="49" t="str">
        <f t="shared" ref="A746" ca="1" si="607">IF(MOD(ROW()-2,2)=0, INDIRECT("Sheet1!B" &amp;4+((ROW()-2)/2)-2), "")</f>
        <v>Ok, i have to go</v>
      </c>
      <c r="B746" s="45" t="str">
        <f t="shared" ca="1" si="578"/>
        <v>yalla, sar lezim emsheh</v>
      </c>
    </row>
    <row r="747" spans="1:2" ht="15.75" customHeight="1" thickBot="1" x14ac:dyDescent="0.3">
      <c r="A747" s="50"/>
      <c r="B747" s="46" t="str">
        <f t="shared" ca="1" si="579"/>
        <v>يَلاّ صار لازِم إمشي</v>
      </c>
    </row>
    <row r="748" spans="1:2" ht="15.75" customHeight="1" thickTop="1" x14ac:dyDescent="0.25">
      <c r="A748" s="57" t="str">
        <f t="shared" ref="A748" ca="1" si="608">IF(MOD(ROW()-2,2)=0, INDIRECT("Sheet1!B" &amp;4+((ROW()-2)/2)-2), "")</f>
        <v>Ok we saw you  (we have to leave)</v>
      </c>
      <c r="B748" s="48" t="str">
        <f t="shared" ca="1" si="581"/>
        <v>yalla shefneikoun</v>
      </c>
    </row>
    <row r="749" spans="1:2" ht="15.75" customHeight="1" thickBot="1" x14ac:dyDescent="0.3">
      <c r="A749" s="56"/>
      <c r="B749" s="47" t="str">
        <f t="shared" ca="1" si="582"/>
        <v>يلاّ شفناكُن</v>
      </c>
    </row>
    <row r="750" spans="1:2" ht="38.25" thickTop="1" x14ac:dyDescent="0.25">
      <c r="A750" s="49" t="str">
        <f t="shared" ref="A750" ca="1" si="609">IF(MOD(ROW()-2,2)=0, INDIRECT("Sheet1!B" &amp;4+((ROW()-2)/2)-2), "")</f>
        <v>Do you want somenthing?</v>
      </c>
      <c r="B750" s="45" t="str">
        <f t="shared" ca="1" si="584"/>
        <v>baddak, baddik, badkoun shi?</v>
      </c>
    </row>
    <row r="751" spans="1:2" ht="15.75" customHeight="1" thickBot="1" x14ac:dyDescent="0.3">
      <c r="A751" s="50"/>
      <c r="B751" s="46" t="str">
        <f t="shared" ca="1" si="585"/>
        <v>بَدَّك/ بَدِّك/ بَدكُن شي؟</v>
      </c>
    </row>
    <row r="752" spans="1:2" ht="19.5" thickTop="1" x14ac:dyDescent="0.25">
      <c r="A752" s="57" t="str">
        <f t="shared" ref="A752" ca="1" si="610">IF(MOD(ROW()-2,2)=0, INDIRECT("Sheet1!B" &amp;4+((ROW()-2)/2)-2), "")</f>
        <v>We're happy we saw you</v>
      </c>
      <c r="B752" s="48" t="str">
        <f t="shared" ca="1" si="587"/>
        <v>mbasatna shefneikoun</v>
      </c>
    </row>
    <row r="753" spans="1:2" ht="15.75" customHeight="1" thickBot="1" x14ac:dyDescent="0.3">
      <c r="A753" s="56"/>
      <c r="B753" s="47" t="str">
        <f t="shared" ca="1" si="588"/>
        <v>مبسَطنا شفناكُن</v>
      </c>
    </row>
    <row r="754" spans="1:2" ht="19.5" thickTop="1" x14ac:dyDescent="0.25">
      <c r="A754" s="49" t="str">
        <f t="shared" ref="A754" ca="1" si="611">IF(MOD(ROW()-2,2)=0, INDIRECT("Sheet1!B" &amp;4+((ROW()-2)/2)-2), "")</f>
        <v>We will come back again</v>
      </c>
      <c r="B754" s="45" t="str">
        <f t="shared" ca="1" si="590"/>
        <v>min3eeda gheir marra</v>
      </c>
    </row>
    <row r="755" spans="1:2" ht="15.75" customHeight="1" thickBot="1" x14ac:dyDescent="0.3">
      <c r="A755" s="50"/>
      <c r="B755" s="46" t="str">
        <f t="shared" ca="1" si="591"/>
        <v>منعيدا غَير مَرّا</v>
      </c>
    </row>
    <row r="756" spans="1:2" ht="19.5" thickTop="1" x14ac:dyDescent="0.25">
      <c r="A756" s="76" t="str">
        <f t="shared" ref="A756" ca="1" si="612">IF(MOD(ROW()-2,2)=0, INDIRECT("Sheet1!B" &amp;4+((ROW()-2)/2)-2), "")</f>
        <v>Please</v>
      </c>
      <c r="B756" s="48" t="str">
        <f t="shared" ca="1" si="593"/>
        <v>3mol/3meleh ma3rouf</v>
      </c>
    </row>
    <row r="757" spans="1:2" ht="15.75" customHeight="1" thickBot="1" x14ac:dyDescent="0.3">
      <c r="A757" s="77"/>
      <c r="B757" s="47" t="str">
        <f t="shared" ca="1" si="594"/>
        <v>عمول/ عميلي مَعروف</v>
      </c>
    </row>
    <row r="758" spans="1:2" ht="19.5" thickTop="1" x14ac:dyDescent="0.25">
      <c r="A758" s="77"/>
      <c r="B758" s="45" t="str">
        <f t="shared" ref="B758" ca="1" si="613">IF(MOD(ROW()-2,2)=0, INDIRECT("Sheet1!D" &amp;4+((ROW()-2)/2)-2), "")</f>
        <v>min fadlak/ min fadlik</v>
      </c>
    </row>
    <row r="759" spans="1:2" ht="15.75" customHeight="1" thickBot="1" x14ac:dyDescent="0.3">
      <c r="A759" s="77"/>
      <c r="B759" s="46" t="str">
        <f t="shared" ref="B759" ca="1" si="614">IF(MOD(ROW()-3,2)=0, INDIRECT("Sheet1!E" &amp;4+((ROW()-3)/2)-2), "")</f>
        <v>مِن فَضلَك/ فَضلِك</v>
      </c>
    </row>
    <row r="760" spans="1:2" ht="19.5" thickTop="1" x14ac:dyDescent="0.25">
      <c r="A760" s="77"/>
      <c r="B760" s="48" t="str">
        <f t="shared" ca="1" si="578"/>
        <v>Bi sharafak/bi sharafik</v>
      </c>
    </row>
    <row r="761" spans="1:2" ht="15.75" customHeight="1" thickBot="1" x14ac:dyDescent="0.3">
      <c r="A761" s="77"/>
      <c r="B761" s="47" t="str">
        <f t="shared" ca="1" si="579"/>
        <v>بِشَرَفَك/ بِشَرَفِك</v>
      </c>
    </row>
    <row r="762" spans="1:2" ht="19.5" thickTop="1" x14ac:dyDescent="0.25">
      <c r="A762" s="77"/>
      <c r="B762" s="45" t="str">
        <f t="shared" ca="1" si="581"/>
        <v xml:space="preserve">ma tosghar </v>
      </c>
    </row>
    <row r="763" spans="1:2" ht="15.75" customHeight="1" thickBot="1" x14ac:dyDescent="0.3">
      <c r="A763" s="77"/>
      <c r="B763" s="46" t="str">
        <f t="shared" ca="1" si="582"/>
        <v>ما تُصغَر</v>
      </c>
    </row>
    <row r="764" spans="1:2" ht="19.5" thickTop="1" x14ac:dyDescent="0.25">
      <c r="A764" s="77"/>
      <c r="B764" s="48" t="str">
        <f t="shared" ca="1" si="584"/>
        <v xml:space="preserve">iza btreed/ btreedeh </v>
      </c>
    </row>
    <row r="765" spans="1:2" ht="15.75" customHeight="1" thickBot="1" x14ac:dyDescent="0.3">
      <c r="A765" s="78"/>
      <c r="B765" s="47" t="str">
        <f t="shared" ca="1" si="585"/>
        <v>إذا بتريد/ بتريدي</v>
      </c>
    </row>
    <row r="766" spans="1:2" ht="19.5" thickTop="1" x14ac:dyDescent="0.25">
      <c r="A766" s="79" t="str">
        <f t="shared" ref="A766" ca="1" si="615">IF(MOD(ROW()-2,2)=0, INDIRECT("Sheet1!B" &amp;4+((ROW()-2)/2)-2), "")</f>
        <v xml:space="preserve">Excuse me </v>
      </c>
      <c r="B766" s="45" t="str">
        <f t="shared" ca="1" si="587"/>
        <v>3afwan</v>
      </c>
    </row>
    <row r="767" spans="1:2" ht="15.75" customHeight="1" thickBot="1" x14ac:dyDescent="0.3">
      <c r="A767" s="80"/>
      <c r="B767" s="46" t="str">
        <f t="shared" ca="1" si="588"/>
        <v>عَفوا"</v>
      </c>
    </row>
    <row r="768" spans="1:2" ht="19.5" thickTop="1" x14ac:dyDescent="0.25">
      <c r="A768" s="80"/>
      <c r="B768" s="48" t="str">
        <f t="shared" ca="1" si="590"/>
        <v>b3azbak/b3azbik</v>
      </c>
    </row>
    <row r="769" spans="1:2" ht="15.75" customHeight="1" thickBot="1" x14ac:dyDescent="0.3">
      <c r="A769" s="80"/>
      <c r="B769" s="47" t="str">
        <f t="shared" ca="1" si="591"/>
        <v>بعَزبَك/ بعَزبِك</v>
      </c>
    </row>
    <row r="770" spans="1:2" ht="38.25" thickTop="1" x14ac:dyDescent="0.25">
      <c r="A770" s="80"/>
      <c r="B770" s="45" t="str">
        <f t="shared" ca="1" si="593"/>
        <v xml:space="preserve">law samaHet/ law samaHteh </v>
      </c>
    </row>
    <row r="771" spans="1:2" ht="15.75" customHeight="1" thickBot="1" x14ac:dyDescent="0.3">
      <c r="A771" s="80"/>
      <c r="B771" s="46" t="str">
        <f t="shared" ca="1" si="594"/>
        <v>لَو سَمَحت/ لَو سَمَحتي</v>
      </c>
    </row>
    <row r="772" spans="1:2" ht="38.25" thickTop="1" x14ac:dyDescent="0.25">
      <c r="A772" s="80"/>
      <c r="B772" s="48" t="str">
        <f t="shared" ref="B772" ca="1" si="616">IF(MOD(ROW()-2,2)=0, INDIRECT("Sheet1!D" &amp;4+((ROW()-2)/2)-2), "")</f>
        <v xml:space="preserve">ma twekhezneh/ ma twekhzeeneh </v>
      </c>
    </row>
    <row r="773" spans="1:2" ht="15.75" customHeight="1" thickBot="1" x14ac:dyDescent="0.3">
      <c r="A773" s="80"/>
      <c r="B773" s="47" t="str">
        <f t="shared" ref="B773" ca="1" si="617">IF(MOD(ROW()-3,2)=0, INDIRECT("Sheet1!E" &amp;4+((ROW()-3)/2)-2), "")</f>
        <v>ما تواخزني/ تواخزيني</v>
      </c>
    </row>
    <row r="774" spans="1:2" ht="19.5" thickTop="1" x14ac:dyDescent="0.25">
      <c r="A774" s="80"/>
      <c r="B774" s="45" t="str">
        <f t="shared" ca="1" si="578"/>
        <v xml:space="preserve">min ba3ed eznak/ eznik </v>
      </c>
    </row>
    <row r="775" spans="1:2" ht="15.75" customHeight="1" thickBot="1" x14ac:dyDescent="0.3">
      <c r="A775" s="81"/>
      <c r="B775" s="46" t="str">
        <f t="shared" ca="1" si="579"/>
        <v>مِن بَعد إذنَك/ إذنِك</v>
      </c>
    </row>
    <row r="776" spans="1:2" ht="19.5" thickTop="1" x14ac:dyDescent="0.25">
      <c r="A776" s="76" t="str">
        <f t="shared" ref="A776" ca="1" si="618">IF(MOD(ROW()-2,2)=0, INDIRECT("Sheet1!B" &amp;4+((ROW()-2)/2)-2), "")</f>
        <v xml:space="preserve">You're welcome </v>
      </c>
      <c r="B776" s="48" t="str">
        <f t="shared" ca="1" si="581"/>
        <v>tekram 3aynak/3aynik</v>
      </c>
    </row>
    <row r="777" spans="1:2" ht="15.75" customHeight="1" thickBot="1" x14ac:dyDescent="0.3">
      <c r="A777" s="77"/>
      <c r="B777" s="47" t="str">
        <f t="shared" ca="1" si="582"/>
        <v>تكرَم عَينَك/ عَينِك</v>
      </c>
    </row>
    <row r="778" spans="1:2" ht="19.5" thickTop="1" x14ac:dyDescent="0.25">
      <c r="A778" s="77"/>
      <c r="B778" s="45" t="str">
        <f t="shared" ca="1" si="584"/>
        <v>tekram/ tekrameh</v>
      </c>
    </row>
    <row r="779" spans="1:2" ht="15.75" customHeight="1" thickBot="1" x14ac:dyDescent="0.3">
      <c r="A779" s="77"/>
      <c r="B779" s="46" t="str">
        <f t="shared" ca="1" si="585"/>
        <v>تِكرَم/ تِكرَمي</v>
      </c>
    </row>
    <row r="780" spans="1:2" ht="19.5" thickTop="1" x14ac:dyDescent="0.25">
      <c r="A780" s="77"/>
      <c r="B780" s="48" t="str">
        <f t="shared" ca="1" si="587"/>
        <v xml:space="preserve">ahla </v>
      </c>
    </row>
    <row r="781" spans="1:2" ht="15.75" customHeight="1" thickBot="1" x14ac:dyDescent="0.3">
      <c r="A781" s="77"/>
      <c r="B781" s="47" t="str">
        <f t="shared" ca="1" si="588"/>
        <v>أهلا</v>
      </c>
    </row>
    <row r="782" spans="1:2" ht="19.5" thickTop="1" x14ac:dyDescent="0.25">
      <c r="A782" s="77"/>
      <c r="B782" s="45" t="str">
        <f t="shared" ca="1" si="590"/>
        <v xml:space="preserve">ya 3eib el shoum </v>
      </c>
    </row>
    <row r="783" spans="1:2" ht="15.75" customHeight="1" thickBot="1" x14ac:dyDescent="0.3">
      <c r="A783" s="77"/>
      <c r="B783" s="46" t="str">
        <f t="shared" ca="1" si="591"/>
        <v>يا عَيب الشوم</v>
      </c>
    </row>
    <row r="784" spans="1:2" ht="19.5" thickTop="1" x14ac:dyDescent="0.25">
      <c r="A784" s="77"/>
      <c r="B784" s="48" t="str">
        <f t="shared" ca="1" si="593"/>
        <v>la 3younak/ 3younik</v>
      </c>
    </row>
    <row r="785" spans="1:2" ht="15.75" customHeight="1" thickBot="1" x14ac:dyDescent="0.3">
      <c r="A785" s="78"/>
      <c r="B785" s="47" t="str">
        <f t="shared" ca="1" si="594"/>
        <v>لَعيونَك/ لَعيونِك</v>
      </c>
    </row>
    <row r="786" spans="1:2" ht="19.5" thickTop="1" x14ac:dyDescent="0.25">
      <c r="A786" s="79" t="str">
        <f t="shared" ref="A786" ca="1" si="619">IF(MOD(ROW()-2,2)=0, INDIRECT("Sheet1!B" &amp;4+((ROW()-2)/2)-2), "")</f>
        <v xml:space="preserve">Don't mention it </v>
      </c>
      <c r="B786" s="45" t="str">
        <f t="shared" ref="B786" ca="1" si="620">IF(MOD(ROW()-2,2)=0, INDIRECT("Sheet1!D" &amp;4+((ROW()-2)/2)-2), "")</f>
        <v>mish bayneitna</v>
      </c>
    </row>
    <row r="787" spans="1:2" ht="15.75" customHeight="1" thickBot="1" x14ac:dyDescent="0.3">
      <c r="A787" s="80"/>
      <c r="B787" s="46" t="str">
        <f t="shared" ref="B787" ca="1" si="621">IF(MOD(ROW()-3,2)=0, INDIRECT("Sheet1!E" &amp;4+((ROW()-3)/2)-2), "")</f>
        <v>مِش بيناتنا</v>
      </c>
    </row>
    <row r="788" spans="1:2" ht="19.5" thickTop="1" x14ac:dyDescent="0.25">
      <c r="A788" s="80"/>
      <c r="B788" s="48" t="str">
        <f t="shared" ref="B788:B844" ca="1" si="622">IF(MOD(ROW()-2,2)=0, INDIRECT("Sheet1!D" &amp;4+((ROW()-2)/2)-2), "")</f>
        <v>walaw</v>
      </c>
    </row>
    <row r="789" spans="1:2" ht="15.75" customHeight="1" thickBot="1" x14ac:dyDescent="0.3">
      <c r="A789" s="81"/>
      <c r="B789" s="47" t="str">
        <f t="shared" ref="B789:B845" ca="1" si="623">IF(MOD(ROW()-3,2)=0, INDIRECT("Sheet1!E" &amp;4+((ROW()-3)/2)-2), "")</f>
        <v>وَلَو</v>
      </c>
    </row>
    <row r="790" spans="1:2" ht="19.5" thickTop="1" x14ac:dyDescent="0.25">
      <c r="A790" s="79" t="str">
        <f t="shared" ref="A790" ca="1" si="624">IF(MOD(ROW()-2,2)=0, INDIRECT("Sheet1!B" &amp;4+((ROW()-2)/2)-2), "")</f>
        <v>Thank you</v>
      </c>
      <c r="B790" s="45" t="str">
        <f t="shared" ref="B790:B846" ca="1" si="625">IF(MOD(ROW()-2,2)=0, INDIRECT("Sheet1!D" &amp;4+((ROW()-2)/2)-2), "")</f>
        <v>yeslamo</v>
      </c>
    </row>
    <row r="791" spans="1:2" ht="15.75" customHeight="1" thickBot="1" x14ac:dyDescent="0.3">
      <c r="A791" s="80"/>
      <c r="B791" s="46" t="str">
        <f t="shared" ref="B791:B847" ca="1" si="626">IF(MOD(ROW()-3,2)=0, INDIRECT("Sheet1!E" &amp;4+((ROW()-3)/2)-2), "")</f>
        <v>يِسلَمو</v>
      </c>
    </row>
    <row r="792" spans="1:2" ht="19.5" thickTop="1" x14ac:dyDescent="0.25">
      <c r="A792" s="80"/>
      <c r="B792" s="48" t="str">
        <f t="shared" ref="B792:B848" ca="1" si="627">IF(MOD(ROW()-2,2)=0, INDIRECT("Sheet1!D" &amp;4+((ROW()-2)/2)-2), "")</f>
        <v>ysallemoun</v>
      </c>
    </row>
    <row r="793" spans="1:2" ht="15.75" customHeight="1" thickBot="1" x14ac:dyDescent="0.3">
      <c r="A793" s="80"/>
      <c r="B793" s="47" t="str">
        <f t="shared" ref="B793:B849" ca="1" si="628">IF(MOD(ROW()-3,2)=0, INDIRECT("Sheet1!E" &amp;4+((ROW()-3)/2)-2), "")</f>
        <v>يسلّمُن</v>
      </c>
    </row>
    <row r="794" spans="1:2" ht="19.5" thickTop="1" x14ac:dyDescent="0.25">
      <c r="A794" s="80"/>
      <c r="B794" s="45" t="str">
        <f t="shared" ref="B794:B850" ca="1" si="629">IF(MOD(ROW()-2,2)=0, INDIRECT("Sheet1!D" &amp;4+((ROW()-2)/2)-2), "")</f>
        <v>teslam</v>
      </c>
    </row>
    <row r="795" spans="1:2" ht="15.75" customHeight="1" thickBot="1" x14ac:dyDescent="0.3">
      <c r="A795" s="80"/>
      <c r="B795" s="46" t="str">
        <f t="shared" ref="B795:B851" ca="1" si="630">IF(MOD(ROW()-3,2)=0, INDIRECT("Sheet1!E" &amp;4+((ROW()-3)/2)-2), "")</f>
        <v>تسلَم</v>
      </c>
    </row>
    <row r="796" spans="1:2" ht="19.5" thickTop="1" x14ac:dyDescent="0.25">
      <c r="A796" s="80"/>
      <c r="B796" s="48" t="str">
        <f t="shared" ref="B796:B852" ca="1" si="631">IF(MOD(ROW()-2,2)=0, INDIRECT("Sheet1!D" &amp;4+((ROW()-2)/2)-2), "")</f>
        <v>yeslamo hal idein</v>
      </c>
    </row>
    <row r="797" spans="1:2" ht="15.75" customHeight="1" thickBot="1" x14ac:dyDescent="0.3">
      <c r="A797" s="80"/>
      <c r="B797" s="47" t="str">
        <f t="shared" ref="B797:B853" ca="1" si="632">IF(MOD(ROW()-3,2)=0, INDIRECT("Sheet1!E" &amp;4+((ROW()-3)/2)-2), "")</f>
        <v>يسلَمو هَل إدين</v>
      </c>
    </row>
    <row r="798" spans="1:2" ht="19.5" thickTop="1" x14ac:dyDescent="0.25">
      <c r="A798" s="80"/>
      <c r="B798" s="45" t="str">
        <f t="shared" ref="B798:B854" ca="1" si="633">IF(MOD(ROW()-2,2)=0, INDIRECT("Sheet1!D" &amp;4+((ROW()-2)/2)-2), "")</f>
        <v>shoukran</v>
      </c>
    </row>
    <row r="799" spans="1:2" ht="15.75" customHeight="1" thickBot="1" x14ac:dyDescent="0.3">
      <c r="A799" s="80"/>
      <c r="B799" s="46" t="str">
        <f t="shared" ref="B799:B855" ca="1" si="634">IF(MOD(ROW()-3,2)=0, INDIRECT("Sheet1!E" &amp;4+((ROW()-3)/2)-2), "")</f>
        <v>شُكرا"</v>
      </c>
    </row>
    <row r="800" spans="1:2" ht="19.5" thickTop="1" x14ac:dyDescent="0.25">
      <c r="A800" s="80"/>
      <c r="B800" s="48" t="str">
        <f t="shared" ref="B800" ca="1" si="635">IF(MOD(ROW()-2,2)=0, INDIRECT("Sheet1!D" &amp;4+((ROW()-2)/2)-2), "")</f>
        <v>mashkour / mashkoura</v>
      </c>
    </row>
    <row r="801" spans="1:2" ht="15.75" customHeight="1" thickBot="1" x14ac:dyDescent="0.3">
      <c r="A801" s="80"/>
      <c r="B801" s="47" t="str">
        <f t="shared" ref="B801" ca="1" si="636">IF(MOD(ROW()-3,2)=0, INDIRECT("Sheet1!E" &amp;4+((ROW()-3)/2)-2), "")</f>
        <v>مَشكور/ مَشكورَة</v>
      </c>
    </row>
    <row r="802" spans="1:2" ht="19.5" thickTop="1" x14ac:dyDescent="0.25">
      <c r="A802" s="80"/>
      <c r="B802" s="45" t="str">
        <f t="shared" ca="1" si="622"/>
        <v>kellak/ kellik zo'</v>
      </c>
    </row>
    <row r="803" spans="1:2" ht="15.75" customHeight="1" thickBot="1" x14ac:dyDescent="0.3">
      <c r="A803" s="80"/>
      <c r="B803" s="46" t="str">
        <f t="shared" ca="1" si="623"/>
        <v>كِلَّك/ كِلِّك زوق</v>
      </c>
    </row>
    <row r="804" spans="1:2" ht="19.5" customHeight="1" thickTop="1" x14ac:dyDescent="0.25">
      <c r="A804" s="80"/>
      <c r="B804" s="48" t="str">
        <f t="shared" ca="1" si="625"/>
        <v>khajjaltna/ khajjalteena</v>
      </c>
    </row>
    <row r="805" spans="1:2" ht="15.75" customHeight="1" thickBot="1" x14ac:dyDescent="0.3">
      <c r="A805" s="81"/>
      <c r="B805" s="47" t="str">
        <f t="shared" ca="1" si="626"/>
        <v>خَجَلتنا/ خَجَلتينا</v>
      </c>
    </row>
    <row r="806" spans="1:2" ht="19.5" customHeight="1" thickTop="1" x14ac:dyDescent="0.25">
      <c r="A806" s="79" t="str">
        <f t="shared" ref="A806" ca="1" si="637">IF(MOD(ROW()-2,2)=0, INDIRECT("Sheet1!B" &amp;4+((ROW()-2)/2)-2), "")</f>
        <v xml:space="preserve">Salutation/ may you be well </v>
      </c>
      <c r="B806" s="45" t="str">
        <f t="shared" ca="1" si="627"/>
        <v>ykhaleelna yeik/ yeikeh</v>
      </c>
    </row>
    <row r="807" spans="1:2" ht="15.75" customHeight="1" thickBot="1" x14ac:dyDescent="0.3">
      <c r="A807" s="80"/>
      <c r="B807" s="46" t="str">
        <f t="shared" ca="1" si="628"/>
        <v>يخَليلنا ياك</v>
      </c>
    </row>
    <row r="808" spans="1:2" ht="19.5" customHeight="1" thickTop="1" x14ac:dyDescent="0.25">
      <c r="A808" s="80"/>
      <c r="B808" s="48" t="str">
        <f t="shared" ca="1" si="629"/>
        <v>ykhaleek/ ykhaleekeh fo' rasna</v>
      </c>
    </row>
    <row r="809" spans="1:2" ht="15.75" customHeight="1" thickBot="1" x14ac:dyDescent="0.3">
      <c r="A809" s="80"/>
      <c r="B809" s="47" t="str">
        <f t="shared" ca="1" si="630"/>
        <v>يخلّيك/ يخَلّيكي فوق راسنا</v>
      </c>
    </row>
    <row r="810" spans="1:2" ht="19.5" customHeight="1" thickTop="1" x14ac:dyDescent="0.25">
      <c r="A810" s="80"/>
      <c r="B810" s="45" t="str">
        <f t="shared" ca="1" si="631"/>
        <v>allah yoHfazak</v>
      </c>
    </row>
    <row r="811" spans="1:2" ht="15.75" customHeight="1" thickBot="1" x14ac:dyDescent="0.3">
      <c r="A811" s="80"/>
      <c r="B811" s="46" t="str">
        <f t="shared" ca="1" si="632"/>
        <v>الله يُحفَظَك/ يُحفَظِك</v>
      </c>
    </row>
    <row r="812" spans="1:2" ht="19.5" customHeight="1" thickTop="1" x14ac:dyDescent="0.25">
      <c r="A812" s="80"/>
      <c r="B812" s="48" t="str">
        <f t="shared" ca="1" si="633"/>
        <v>allah ykhalleek</v>
      </c>
    </row>
    <row r="813" spans="1:2" ht="15.75" customHeight="1" thickBot="1" x14ac:dyDescent="0.3">
      <c r="A813" s="80"/>
      <c r="B813" s="47" t="str">
        <f t="shared" ca="1" si="634"/>
        <v>الله يخَلّيك/ يخَلّيكي</v>
      </c>
    </row>
    <row r="814" spans="1:2" ht="19.5" customHeight="1" thickTop="1" x14ac:dyDescent="0.25">
      <c r="A814" s="80"/>
      <c r="B814" s="45" t="str">
        <f t="shared" ref="B814" ca="1" si="638">IF(MOD(ROW()-2,2)=0, INDIRECT("Sheet1!D" &amp;4+((ROW()-2)/2)-2), "")</f>
        <v>ya3teek/ ya3teekeh el 3afyeh</v>
      </c>
    </row>
    <row r="815" spans="1:2" ht="15.75" customHeight="1" thickBot="1" x14ac:dyDescent="0.3">
      <c r="A815" s="80"/>
      <c r="B815" s="46" t="str">
        <f t="shared" ref="B815" ca="1" si="639">IF(MOD(ROW()-3,2)=0, INDIRECT("Sheet1!E" &amp;4+((ROW()-3)/2)-2), "")</f>
        <v>يَعطيك/ يَعطيكي العافية</v>
      </c>
    </row>
    <row r="816" spans="1:2" ht="19.5" customHeight="1" thickTop="1" x14ac:dyDescent="0.25">
      <c r="A816" s="80"/>
      <c r="B816" s="48" t="str">
        <f t="shared" ca="1" si="622"/>
        <v xml:space="preserve">allah y3afeek/ y3afeekeh </v>
      </c>
    </row>
    <row r="817" spans="1:2" ht="15.75" customHeight="1" thickBot="1" x14ac:dyDescent="0.3">
      <c r="A817" s="81"/>
      <c r="B817" s="47" t="str">
        <f t="shared" ca="1" si="623"/>
        <v>الله يعافيك: يعافيكي</v>
      </c>
    </row>
    <row r="818" spans="1:2" ht="19.5" thickTop="1" x14ac:dyDescent="0.25">
      <c r="A818" s="49" t="str">
        <f t="shared" ref="A818" ca="1" si="640">IF(MOD(ROW()-2,2)=0, INDIRECT("Sheet1!B" &amp;4+((ROW()-2)/2)-2), "")</f>
        <v>Your wish is my command</v>
      </c>
      <c r="B818" s="45" t="str">
        <f t="shared" ca="1" si="625"/>
        <v>b amrak/ b amrik</v>
      </c>
    </row>
    <row r="819" spans="1:2" ht="15.75" customHeight="1" thickBot="1" x14ac:dyDescent="0.3">
      <c r="A819" s="50"/>
      <c r="B819" s="46" t="str">
        <f t="shared" ca="1" si="626"/>
        <v>بِأمرَك</v>
      </c>
    </row>
    <row r="820" spans="1:2" ht="19.5" thickTop="1" x14ac:dyDescent="0.25">
      <c r="A820" s="57" t="str">
        <f t="shared" ref="A820" ca="1" si="641">IF(MOD(ROW()-2,2)=0, INDIRECT("Sheet1!B" &amp;4+((ROW()-2)/2)-2), "")</f>
        <v>Is it ok?</v>
      </c>
      <c r="B820" s="48" t="str">
        <f t="shared" ca="1" si="627"/>
        <v>ma3leh iza?</v>
      </c>
    </row>
    <row r="821" spans="1:2" ht="15.75" customHeight="1" thickBot="1" x14ac:dyDescent="0.3">
      <c r="A821" s="56"/>
      <c r="B821" s="47" t="str">
        <f t="shared" ca="1" si="628"/>
        <v>مَعلي إذا؟</v>
      </c>
    </row>
    <row r="822" spans="1:2" ht="19.5" thickTop="1" x14ac:dyDescent="0.25">
      <c r="A822" s="49" t="str">
        <f t="shared" ref="A822" ca="1" si="642">IF(MOD(ROW()-2,2)=0, INDIRECT("Sheet1!B" &amp;4+((ROW()-2)/2)-2), "")</f>
        <v>Do you have a problem?</v>
      </c>
      <c r="B822" s="45" t="str">
        <f t="shared" ca="1" si="629"/>
        <v>3andak/3andik meshkleh?</v>
      </c>
    </row>
    <row r="823" spans="1:2" ht="15.75" customHeight="1" thickBot="1" x14ac:dyDescent="0.3">
      <c r="A823" s="50"/>
      <c r="B823" s="46" t="str">
        <f t="shared" ca="1" si="630"/>
        <v>عَندَك/ عَندِك مشكلة؟</v>
      </c>
    </row>
    <row r="824" spans="1:2" ht="19.5" thickTop="1" x14ac:dyDescent="0.25">
      <c r="A824" s="57" t="str">
        <f t="shared" ref="A824" ca="1" si="643">IF(MOD(ROW()-2,2)=0, INDIRECT("Sheet1!B" &amp;4+((ROW()-2)/2)-2), "")</f>
        <v xml:space="preserve">No problem </v>
      </c>
      <c r="B824" s="48" t="str">
        <f t="shared" ca="1" si="631"/>
        <v xml:space="preserve">mish meshkleh </v>
      </c>
    </row>
    <row r="825" spans="1:2" ht="15.75" customHeight="1" thickBot="1" x14ac:dyDescent="0.3">
      <c r="A825" s="56"/>
      <c r="B825" s="47" t="str">
        <f t="shared" ca="1" si="632"/>
        <v xml:space="preserve">مِش مشكلة </v>
      </c>
    </row>
    <row r="826" spans="1:2" ht="19.5" thickTop="1" x14ac:dyDescent="0.25">
      <c r="A826" s="49" t="str">
        <f t="shared" ref="A826" ca="1" si="644">IF(MOD(ROW()-2,2)=0, INDIRECT("Sheet1!B" &amp;4+((ROW()-2)/2)-2), "")</f>
        <v xml:space="preserve">It doesn't matter </v>
      </c>
      <c r="B826" s="45" t="str">
        <f t="shared" ca="1" si="633"/>
        <v xml:space="preserve">ma bi'assir </v>
      </c>
    </row>
    <row r="827" spans="1:2" ht="15.75" customHeight="1" thickBot="1" x14ac:dyDescent="0.3">
      <c r="A827" s="50"/>
      <c r="B827" s="46" t="str">
        <f t="shared" ca="1" si="634"/>
        <v>ما بِأسّر</v>
      </c>
    </row>
    <row r="828" spans="1:2" ht="38.25" thickTop="1" x14ac:dyDescent="0.25">
      <c r="A828" s="57" t="str">
        <f t="shared" ref="A828" ca="1" si="645">IF(MOD(ROW()-2,2)=0, INDIRECT("Sheet1!B" &amp;4+((ROW()-2)/2)-2), "")</f>
        <v>Team</v>
      </c>
      <c r="B828" s="48" t="str">
        <f t="shared" ref="B828" ca="1" si="646">IF(MOD(ROW()-2,2)=0, INDIRECT("Sheet1!D" &amp;4+((ROW()-2)/2)-2), "")</f>
        <v>faree'</v>
      </c>
    </row>
    <row r="829" spans="1:2" ht="15.75" customHeight="1" thickBot="1" x14ac:dyDescent="0.3">
      <c r="A829" s="56"/>
      <c r="B829" s="47" t="str">
        <f t="shared" ref="B829" ca="1" si="647">IF(MOD(ROW()-3,2)=0, INDIRECT("Sheet1!E" &amp;4+((ROW()-3)/2)-2), "")</f>
        <v>فَريق</v>
      </c>
    </row>
    <row r="830" spans="1:2" ht="19.5" thickTop="1" x14ac:dyDescent="0.25">
      <c r="A830" s="49" t="str">
        <f t="shared" ref="A830" ca="1" si="648">IF(MOD(ROW()-2,2)=0, INDIRECT("Sheet1!B" &amp;4+((ROW()-2)/2)-2), "")</f>
        <v>Player/s</v>
      </c>
      <c r="B830" s="45" t="str">
        <f t="shared" ca="1" si="622"/>
        <v>lei3ib/lei3beh/la3eebeh</v>
      </c>
    </row>
    <row r="831" spans="1:2" ht="15.75" customHeight="1" thickBot="1" x14ac:dyDescent="0.3">
      <c r="A831" s="50"/>
      <c r="B831" s="46" t="str">
        <f t="shared" ca="1" si="623"/>
        <v>لاعِب/لاعبي/ لَعّيبي</v>
      </c>
    </row>
    <row r="832" spans="1:2" ht="19.5" thickTop="1" x14ac:dyDescent="0.25">
      <c r="A832" s="57" t="str">
        <f t="shared" ref="A832" ca="1" si="649">IF(MOD(ROW()-2,2)=0, INDIRECT("Sheet1!B" &amp;4+((ROW()-2)/2)-2), "")</f>
        <v xml:space="preserve">I'am with </v>
      </c>
      <c r="B832" s="48" t="str">
        <f t="shared" ca="1" si="625"/>
        <v>ana ma3</v>
      </c>
    </row>
    <row r="833" spans="1:2" ht="15.75" customHeight="1" thickBot="1" x14ac:dyDescent="0.3">
      <c r="A833" s="56"/>
      <c r="B833" s="47" t="str">
        <f t="shared" ca="1" si="626"/>
        <v>أنا مَع</v>
      </c>
    </row>
    <row r="834" spans="1:2" ht="19.5" thickTop="1" x14ac:dyDescent="0.25">
      <c r="A834" s="49" t="str">
        <f t="shared" ref="A834" ca="1" si="650">IF(MOD(ROW()-2,2)=0, INDIRECT("Sheet1!B" &amp;4+((ROW()-2)/2)-2), "")</f>
        <v xml:space="preserve">I'am against </v>
      </c>
      <c r="B834" s="45" t="str">
        <f t="shared" ca="1" si="627"/>
        <v>ana dodd</v>
      </c>
    </row>
    <row r="835" spans="1:2" ht="15.75" customHeight="1" thickBot="1" x14ac:dyDescent="0.3">
      <c r="A835" s="50"/>
      <c r="B835" s="46" t="str">
        <f t="shared" ca="1" si="628"/>
        <v>أنا ضُد</v>
      </c>
    </row>
    <row r="836" spans="1:2" ht="19.5" thickTop="1" x14ac:dyDescent="0.25">
      <c r="A836" s="57" t="str">
        <f t="shared" ref="A836" ca="1" si="651">IF(MOD(ROW()-2,2)=0, INDIRECT("Sheet1!B" &amp;4+((ROW()-2)/2)-2), "")</f>
        <v xml:space="preserve">Gain </v>
      </c>
      <c r="B836" s="48" t="str">
        <f t="shared" ca="1" si="629"/>
        <v>rebeH</v>
      </c>
    </row>
    <row r="837" spans="1:2" ht="15.75" customHeight="1" thickBot="1" x14ac:dyDescent="0.3">
      <c r="A837" s="56"/>
      <c r="B837" s="47" t="str">
        <f t="shared" ca="1" si="630"/>
        <v>ربح</v>
      </c>
    </row>
    <row r="838" spans="1:2" ht="19.5" thickTop="1" x14ac:dyDescent="0.25">
      <c r="A838" s="49" t="str">
        <f t="shared" ref="A838" ca="1" si="652">IF(MOD(ROW()-2,2)=0, INDIRECT("Sheet1!B" &amp;4+((ROW()-2)/2)-2), "")</f>
        <v>Loss</v>
      </c>
      <c r="B838" s="45" t="str">
        <f t="shared" ca="1" si="631"/>
        <v>khsara</v>
      </c>
    </row>
    <row r="839" spans="1:2" ht="15.75" customHeight="1" thickBot="1" x14ac:dyDescent="0.3">
      <c r="A839" s="50"/>
      <c r="B839" s="46" t="str">
        <f t="shared" ca="1" si="632"/>
        <v>خسارَة</v>
      </c>
    </row>
    <row r="840" spans="1:2" ht="19.5" thickTop="1" x14ac:dyDescent="0.25">
      <c r="A840" s="57" t="str">
        <f t="shared" ref="A840" ca="1" si="653">IF(MOD(ROW()-2,2)=0, INDIRECT("Sheet1!B" &amp;4+((ROW()-2)/2)-2), "")</f>
        <v>Spanish team</v>
      </c>
      <c r="B840" s="48" t="str">
        <f t="shared" ca="1" si="633"/>
        <v>faree' espaneh</v>
      </c>
    </row>
    <row r="841" spans="1:2" ht="15.75" customHeight="1" thickBot="1" x14ac:dyDescent="0.3">
      <c r="A841" s="56"/>
      <c r="B841" s="47" t="str">
        <f t="shared" ca="1" si="634"/>
        <v>فَريق إسباني</v>
      </c>
    </row>
    <row r="842" spans="1:2" ht="19.5" thickTop="1" x14ac:dyDescent="0.25">
      <c r="A842" s="49" t="str">
        <f t="shared" ref="A842" ca="1" si="654">IF(MOD(ROW()-2,2)=0, INDIRECT("Sheet1!B" &amp;4+((ROW()-2)/2)-2), "")</f>
        <v>Brazilian team</v>
      </c>
      <c r="B842" s="45" t="str">
        <f t="shared" ref="B842" ca="1" si="655">IF(MOD(ROW()-2,2)=0, INDIRECT("Sheet1!D" &amp;4+((ROW()-2)/2)-2), "")</f>
        <v>faree' brazeeleh</v>
      </c>
    </row>
    <row r="843" spans="1:2" ht="15.75" customHeight="1" thickBot="1" x14ac:dyDescent="0.3">
      <c r="A843" s="50"/>
      <c r="B843" s="46" t="str">
        <f t="shared" ref="B843" ca="1" si="656">IF(MOD(ROW()-3,2)=0, INDIRECT("Sheet1!E" &amp;4+((ROW()-3)/2)-2), "")</f>
        <v>فَريق برازيلي</v>
      </c>
    </row>
    <row r="844" spans="1:2" ht="19.5" thickTop="1" x14ac:dyDescent="0.25">
      <c r="A844" s="57" t="str">
        <f t="shared" ref="A844" ca="1" si="657">IF(MOD(ROW()-2,2)=0, INDIRECT("Sheet1!B" &amp;4+((ROW()-2)/2)-2), "")</f>
        <v>Italian team</v>
      </c>
      <c r="B844" s="48" t="str">
        <f t="shared" ca="1" si="622"/>
        <v>faree' telyeineh (or italeh)</v>
      </c>
    </row>
    <row r="845" spans="1:2" ht="15.75" customHeight="1" thickBot="1" x14ac:dyDescent="0.3">
      <c r="A845" s="56"/>
      <c r="B845" s="47" t="str">
        <f t="shared" ca="1" si="623"/>
        <v xml:space="preserve">فَريق طلياني/ إطالي </v>
      </c>
    </row>
    <row r="846" spans="1:2" ht="19.5" thickTop="1" x14ac:dyDescent="0.25">
      <c r="A846" s="49" t="str">
        <f t="shared" ref="A846" ca="1" si="658">IF(MOD(ROW()-2,2)=0, INDIRECT("Sheet1!B" &amp;4+((ROW()-2)/2)-2), "")</f>
        <v>Germanic team</v>
      </c>
      <c r="B846" s="45" t="str">
        <f t="shared" ca="1" si="625"/>
        <v>faree' almaneh</v>
      </c>
    </row>
    <row r="847" spans="1:2" ht="15.75" customHeight="1" thickBot="1" x14ac:dyDescent="0.3">
      <c r="A847" s="50"/>
      <c r="B847" s="46" t="str">
        <f t="shared" ca="1" si="626"/>
        <v>فَريق ألماني</v>
      </c>
    </row>
    <row r="848" spans="1:2" ht="19.5" thickTop="1" x14ac:dyDescent="0.25">
      <c r="A848" s="57" t="str">
        <f t="shared" ref="A848" ca="1" si="659">IF(MOD(ROW()-2,2)=0, INDIRECT("Sheet1!B" &amp;4+((ROW()-2)/2)-2), "")</f>
        <v>French team</v>
      </c>
      <c r="B848" s="48" t="str">
        <f t="shared" ca="1" si="627"/>
        <v>faree' faranseh (or frenseiweh)</v>
      </c>
    </row>
    <row r="849" spans="1:2" ht="15.75" customHeight="1" thickBot="1" x14ac:dyDescent="0.3">
      <c r="A849" s="56"/>
      <c r="B849" s="47" t="str">
        <f t="shared" ca="1" si="628"/>
        <v xml:space="preserve">فَريق فَرَنسي/ فرنساوي </v>
      </c>
    </row>
    <row r="850" spans="1:2" ht="19.5" thickTop="1" x14ac:dyDescent="0.25">
      <c r="A850" s="49" t="str">
        <f t="shared" ref="A850" ca="1" si="660">IF(MOD(ROW()-2,2)=0, INDIRECT("Sheet1!B" &amp;4+((ROW()-2)/2)-2), "")</f>
        <v>Mondial</v>
      </c>
      <c r="B850" s="45" t="str">
        <f t="shared" ca="1" si="629"/>
        <v>ka'es el 3alam/ mondial</v>
      </c>
    </row>
    <row r="851" spans="1:2" ht="15.75" customHeight="1" thickBot="1" x14ac:dyDescent="0.3">
      <c r="A851" s="50"/>
      <c r="B851" s="46" t="str">
        <f t="shared" ca="1" si="630"/>
        <v>كأس العالَم</v>
      </c>
    </row>
    <row r="852" spans="1:2" ht="38.25" thickTop="1" x14ac:dyDescent="0.25">
      <c r="A852" s="57" t="str">
        <f t="shared" ref="A852" ca="1" si="661">IF(MOD(ROW()-2,2)=0, INDIRECT("Sheet1!B" &amp;4+((ROW()-2)/2)-2), "")</f>
        <v>What team do you support</v>
      </c>
      <c r="B852" s="48" t="str">
        <f t="shared" ca="1" si="631"/>
        <v>enta/enteh ma3 ayya faree'/ aya faree' btshaji3/btshaj3eh</v>
      </c>
    </row>
    <row r="853" spans="1:2" ht="15.75" customHeight="1" thickBot="1" x14ac:dyDescent="0.3">
      <c r="A853" s="56"/>
      <c r="B853" s="47" t="str">
        <f t="shared" ca="1" si="632"/>
        <v>إنتَ/إنتِ أيّا فريق بتشَجِّع/ بتشَجعي</v>
      </c>
    </row>
    <row r="854" spans="1:2" ht="19.5" thickTop="1" x14ac:dyDescent="0.25">
      <c r="A854" s="49" t="str">
        <f t="shared" ref="A854" ca="1" si="662">IF(MOD(ROW()-2,2)=0, INDIRECT("Sheet1!B" &amp;4+((ROW()-2)/2)-2), "")</f>
        <v>This year, the world cup is in brezil</v>
      </c>
      <c r="B854" s="45" t="str">
        <f t="shared" ca="1" si="633"/>
        <v>heydeh el seneh, ka'es el 3alam bil brazeel</v>
      </c>
    </row>
    <row r="855" spans="1:2" ht="15.75" customHeight="1" thickBot="1" x14ac:dyDescent="0.3">
      <c r="A855" s="50"/>
      <c r="B855" s="46" t="str">
        <f t="shared" ca="1" si="634"/>
        <v>هَيدي السنة، كأس العالم بالبرازيل</v>
      </c>
    </row>
    <row r="856" spans="1:2" ht="57" thickTop="1" x14ac:dyDescent="0.25">
      <c r="A856" s="57" t="str">
        <f t="shared" ref="A856" ca="1" si="663">IF(MOD(ROW()-2,2)=0, INDIRECT("Sheet1!B" &amp;4+((ROW()-2)/2)-2), "")</f>
        <v>Four years ago, it was in south africa</v>
      </c>
      <c r="B856" s="48" t="str">
        <f t="shared" ref="B856" ca="1" si="664">IF(MOD(ROW()-2,2)=0, INDIRECT("Sheet1!D" &amp;4+((ROW()-2)/2)-2), "")</f>
        <v>min arba3 sneen, kein bi afree'ya el jnoubiyeh</v>
      </c>
    </row>
    <row r="857" spans="1:2" ht="15.75" customHeight="1" thickBot="1" x14ac:dyDescent="0.3">
      <c r="A857" s="56"/>
      <c r="B857" s="47" t="str">
        <f t="shared" ref="B857" ca="1" si="665">IF(MOD(ROW()-3,2)=0, INDIRECT("Sheet1!E" &amp;4+((ROW()-3)/2)-2), "")</f>
        <v>مِن أربَع سنين، كان بأفريقيا الجنوبيّة</v>
      </c>
    </row>
    <row r="858" spans="1:2" ht="38.25" thickTop="1" x14ac:dyDescent="0.25">
      <c r="A858" s="49" t="str">
        <f t="shared" ref="A858" ca="1" si="666">IF(MOD(ROW()-2,2)=0, INDIRECT("Sheet1!B" &amp;4+((ROW()-2)/2)-2), "")</f>
        <v>She is with the spanish team</v>
      </c>
      <c r="B858" s="45" t="str">
        <f t="shared" ref="B858" ca="1" si="667">IF(MOD(ROW()-2,2)=0, INDIRECT("Sheet1!D" &amp;4+((ROW()-2)/2)-2), "")</f>
        <v>hiyeh ma3 el faree' el espaneh</v>
      </c>
    </row>
    <row r="859" spans="1:2" ht="15.75" customHeight="1" thickBot="1" x14ac:dyDescent="0.3">
      <c r="A859" s="50"/>
      <c r="B859" s="46" t="str">
        <f t="shared" ref="B859" ca="1" si="668">IF(MOD(ROW()-3,2)=0, INDIRECT("Sheet1!E" &amp;4+((ROW()-3)/2)-2), "")</f>
        <v>هيّ مَع الفَريق الأسباني</v>
      </c>
    </row>
    <row r="860" spans="1:2" ht="38.25" thickTop="1" x14ac:dyDescent="0.25">
      <c r="A860" s="57" t="str">
        <f t="shared" ref="A860" ca="1" si="669">IF(MOD(ROW()-2,2)=0, INDIRECT("Sheet1!B" &amp;4+((ROW()-2)/2)-2), "")</f>
        <v>This year i don't support any team</v>
      </c>
      <c r="B860" s="48" t="str">
        <f t="shared" ref="B860" ca="1" si="670">IF(MOD(ROW()-2,2)=0, INDIRECT("Sheet1!D" &amp;4+((ROW()-2)/2)-2), "")</f>
        <v>heydeh el seneh, ana manneh ma3 wala faree'</v>
      </c>
    </row>
    <row r="861" spans="1:2" ht="15.75" customHeight="1" thickBot="1" x14ac:dyDescent="0.3">
      <c r="A861" s="56"/>
      <c r="B861" s="47" t="str">
        <f t="shared" ref="B861" ca="1" si="671">IF(MOD(ROW()-3,2)=0, INDIRECT("Sheet1!E" &amp;4+((ROW()-3)/2)-2), "")</f>
        <v>هَيدي السنة، أنا مَنّي مَع ولا فَريق</v>
      </c>
    </row>
    <row r="862" spans="1:2" ht="38.25" thickTop="1" x14ac:dyDescent="0.25">
      <c r="A862" s="49" t="str">
        <f t="shared" ref="A862" ca="1" si="672">IF(MOD(ROW()-2,2)=0, INDIRECT("Sheet1!B" &amp;4+((ROW()-2)/2)-2), "")</f>
        <v>My team will win</v>
      </c>
      <c r="B862" s="45" t="str">
        <f t="shared" ref="B862" ca="1" si="673">IF(MOD(ROW()-2,2)=0, INDIRECT("Sheet1!D" &amp;4+((ROW()-2)/2)-2), "")</f>
        <v>faree'eh raH yerbaH</v>
      </c>
    </row>
    <row r="863" spans="1:2" ht="15.75" customHeight="1" thickBot="1" x14ac:dyDescent="0.3">
      <c r="A863" s="50"/>
      <c r="B863" s="46" t="str">
        <f t="shared" ref="B863" ca="1" si="674">IF(MOD(ROW()-3,2)=0, INDIRECT("Sheet1!E" &amp;4+((ROW()-3)/2)-2), "")</f>
        <v>فَريقي رَح يربَح</v>
      </c>
    </row>
    <row r="864" spans="1:2" ht="38.25" thickTop="1" x14ac:dyDescent="0.25">
      <c r="A864" s="57" t="str">
        <f t="shared" ref="A864" ca="1" si="675">IF(MOD(ROW()-2,2)=0, INDIRECT("Sheet1!B" &amp;4+((ROW()-2)/2)-2), "")</f>
        <v xml:space="preserve">I hope your team loses </v>
      </c>
      <c r="B864" s="48" t="str">
        <f t="shared" ref="B864" ca="1" si="676">IF(MOD(ROW()-2,2)=0, INDIRECT("Sheet1!D" &amp;4+((ROW()-2)/2)-2), "")</f>
        <v>betmanna faree'ak/faree'ik yekhsar</v>
      </c>
    </row>
    <row r="865" spans="1:2" ht="15.75" customHeight="1" thickBot="1" x14ac:dyDescent="0.3">
      <c r="A865" s="56"/>
      <c r="B865" s="47" t="str">
        <f t="shared" ref="B865" ca="1" si="677">IF(MOD(ROW()-3,2)=0, INDIRECT("Sheet1!E" &amp;4+((ROW()-3)/2)-2), "")</f>
        <v>بتمنّى فريقَك/ فَريقِك يخسَر</v>
      </c>
    </row>
    <row r="866" spans="1:2" ht="19.5" thickTop="1" x14ac:dyDescent="0.25">
      <c r="A866" s="49">
        <f t="shared" ref="A866" ca="1" si="678">IF(MOD(ROW()-2,2)=0, INDIRECT("Sheet1!B" &amp;4+((ROW()-2)/2)-2), "")</f>
        <v>0</v>
      </c>
      <c r="B866" s="45">
        <f t="shared" ref="B866" ca="1" si="679">IF(MOD(ROW()-2,2)=0, INDIRECT("Sheet1!D" &amp;4+((ROW()-2)/2)-2), "")</f>
        <v>0</v>
      </c>
    </row>
    <row r="867" spans="1:2" ht="15.75" customHeight="1" thickBot="1" x14ac:dyDescent="0.3">
      <c r="A867" s="50"/>
      <c r="B867" s="46">
        <f t="shared" ref="B867" ca="1" si="680">IF(MOD(ROW()-3,2)=0, INDIRECT("Sheet1!E" &amp;4+((ROW()-3)/2)-2), "")</f>
        <v>0</v>
      </c>
    </row>
    <row r="868" spans="1:2" ht="38.25" thickTop="1" x14ac:dyDescent="0.25">
      <c r="A868" s="57">
        <f t="shared" ref="A868" ca="1" si="681">IF(MOD(ROW()-2,2)=0, INDIRECT("Sheet1!B" &amp;4+((ROW()-2)/2)-2), "")</f>
        <v>0</v>
      </c>
      <c r="B868" s="48">
        <f t="shared" ref="B868" ca="1" si="682">IF(MOD(ROW()-2,2)=0, INDIRECT("Sheet1!D" &amp;4+((ROW()-2)/2)-2), "")</f>
        <v>0</v>
      </c>
    </row>
    <row r="869" spans="1:2" ht="15.75" customHeight="1" thickBot="1" x14ac:dyDescent="0.3">
      <c r="A869" s="56"/>
      <c r="B869" s="47">
        <f t="shared" ref="B869" ca="1" si="683">IF(MOD(ROW()-3,2)=0, INDIRECT("Sheet1!E" &amp;4+((ROW()-3)/2)-2), "")</f>
        <v>0</v>
      </c>
    </row>
    <row r="870" spans="1:2" ht="15.75" thickTop="1" x14ac:dyDescent="0.25">
      <c r="A870" s="43"/>
    </row>
    <row r="871" spans="1:2" x14ac:dyDescent="0.25">
      <c r="A871" s="43"/>
    </row>
    <row r="872" spans="1:2" x14ac:dyDescent="0.25">
      <c r="A872" s="43"/>
    </row>
    <row r="873" spans="1:2" x14ac:dyDescent="0.25">
      <c r="A873" s="43"/>
    </row>
    <row r="874" spans="1:2" x14ac:dyDescent="0.25">
      <c r="A874" s="43"/>
    </row>
    <row r="875" spans="1:2" x14ac:dyDescent="0.25">
      <c r="A875" s="43"/>
    </row>
    <row r="876" spans="1:2" x14ac:dyDescent="0.25">
      <c r="A876" s="43"/>
    </row>
    <row r="877" spans="1:2" x14ac:dyDescent="0.25">
      <c r="A877" s="43"/>
    </row>
    <row r="878" spans="1:2" x14ac:dyDescent="0.25">
      <c r="A878" s="43"/>
    </row>
    <row r="879" spans="1:2" x14ac:dyDescent="0.25">
      <c r="A879" s="43"/>
    </row>
    <row r="880" spans="1:2" x14ac:dyDescent="0.25">
      <c r="A880" s="43"/>
    </row>
    <row r="881" spans="1:1" x14ac:dyDescent="0.25">
      <c r="A881" s="43"/>
    </row>
    <row r="882" spans="1:1" x14ac:dyDescent="0.25">
      <c r="A882" s="43"/>
    </row>
    <row r="883" spans="1:1" x14ac:dyDescent="0.25">
      <c r="A883" s="43"/>
    </row>
    <row r="884" spans="1:1" x14ac:dyDescent="0.25">
      <c r="A884" s="43"/>
    </row>
    <row r="885" spans="1:1" x14ac:dyDescent="0.25">
      <c r="A885" s="43"/>
    </row>
    <row r="886" spans="1:1" x14ac:dyDescent="0.25">
      <c r="A886" s="43"/>
    </row>
    <row r="887" spans="1:1" x14ac:dyDescent="0.25">
      <c r="A887" s="43"/>
    </row>
    <row r="888" spans="1:1" x14ac:dyDescent="0.25">
      <c r="A888" s="43"/>
    </row>
    <row r="889" spans="1:1" x14ac:dyDescent="0.25">
      <c r="A889" s="43"/>
    </row>
    <row r="890" spans="1:1" x14ac:dyDescent="0.25">
      <c r="A890" s="43"/>
    </row>
    <row r="891" spans="1:1" x14ac:dyDescent="0.25">
      <c r="A891" s="43"/>
    </row>
    <row r="892" spans="1:1" x14ac:dyDescent="0.25">
      <c r="A892" s="43"/>
    </row>
    <row r="893" spans="1:1" x14ac:dyDescent="0.25">
      <c r="A893" s="43"/>
    </row>
    <row r="894" spans="1:1" x14ac:dyDescent="0.25">
      <c r="A894" s="43"/>
    </row>
    <row r="895" spans="1:1" x14ac:dyDescent="0.25">
      <c r="A895" s="43"/>
    </row>
    <row r="896" spans="1:1" x14ac:dyDescent="0.25">
      <c r="A896" s="43"/>
    </row>
    <row r="897" spans="1:1" x14ac:dyDescent="0.25">
      <c r="A897" s="43"/>
    </row>
    <row r="898" spans="1:1" x14ac:dyDescent="0.25">
      <c r="A898" s="43"/>
    </row>
    <row r="899" spans="1:1" x14ac:dyDescent="0.25">
      <c r="A899" s="43"/>
    </row>
    <row r="900" spans="1:1" x14ac:dyDescent="0.25">
      <c r="A900" s="43"/>
    </row>
    <row r="901" spans="1:1" x14ac:dyDescent="0.25">
      <c r="A901" s="43"/>
    </row>
    <row r="902" spans="1:1" x14ac:dyDescent="0.25">
      <c r="A902" s="43"/>
    </row>
    <row r="903" spans="1:1" x14ac:dyDescent="0.25">
      <c r="A903" s="43"/>
    </row>
    <row r="904" spans="1:1" x14ac:dyDescent="0.25">
      <c r="A904" s="43"/>
    </row>
    <row r="905" spans="1:1" x14ac:dyDescent="0.25">
      <c r="A905" s="43"/>
    </row>
    <row r="906" spans="1:1" x14ac:dyDescent="0.25">
      <c r="A906" s="43"/>
    </row>
    <row r="907" spans="1:1" x14ac:dyDescent="0.25">
      <c r="A907" s="43"/>
    </row>
    <row r="908" spans="1:1" x14ac:dyDescent="0.25">
      <c r="A908" s="43"/>
    </row>
    <row r="909" spans="1:1" x14ac:dyDescent="0.25">
      <c r="A909" s="43"/>
    </row>
    <row r="910" spans="1:1" x14ac:dyDescent="0.25">
      <c r="A910" s="43"/>
    </row>
    <row r="911" spans="1:1" x14ac:dyDescent="0.25">
      <c r="A911" s="43"/>
    </row>
    <row r="912" spans="1:1" x14ac:dyDescent="0.25">
      <c r="A912" s="43"/>
    </row>
    <row r="913" spans="1:1" x14ac:dyDescent="0.25">
      <c r="A913" s="43"/>
    </row>
    <row r="914" spans="1:1" x14ac:dyDescent="0.25">
      <c r="A914" s="43"/>
    </row>
    <row r="915" spans="1:1" x14ac:dyDescent="0.25">
      <c r="A915" s="43"/>
    </row>
    <row r="916" spans="1:1" x14ac:dyDescent="0.25">
      <c r="A916" s="43"/>
    </row>
    <row r="917" spans="1:1" x14ac:dyDescent="0.25">
      <c r="A917" s="43"/>
    </row>
    <row r="918" spans="1:1" x14ac:dyDescent="0.25">
      <c r="A918" s="43"/>
    </row>
    <row r="919" spans="1:1" x14ac:dyDescent="0.25">
      <c r="A919" s="43"/>
    </row>
    <row r="920" spans="1:1" x14ac:dyDescent="0.25">
      <c r="A920" s="43"/>
    </row>
    <row r="921" spans="1:1" x14ac:dyDescent="0.25">
      <c r="A921" s="43"/>
    </row>
    <row r="922" spans="1:1" x14ac:dyDescent="0.25">
      <c r="A922" s="43"/>
    </row>
    <row r="923" spans="1:1" x14ac:dyDescent="0.25">
      <c r="A923" s="43"/>
    </row>
    <row r="924" spans="1:1" x14ac:dyDescent="0.25">
      <c r="A924" s="43"/>
    </row>
    <row r="925" spans="1:1" x14ac:dyDescent="0.25">
      <c r="A925" s="43"/>
    </row>
    <row r="926" spans="1:1" x14ac:dyDescent="0.25">
      <c r="A926" s="43"/>
    </row>
    <row r="927" spans="1:1" x14ac:dyDescent="0.25">
      <c r="A927" s="43"/>
    </row>
    <row r="928" spans="1:1" x14ac:dyDescent="0.25">
      <c r="A928" s="43"/>
    </row>
    <row r="929" spans="1:1" x14ac:dyDescent="0.25">
      <c r="A929" s="43"/>
    </row>
    <row r="930" spans="1:1" x14ac:dyDescent="0.25">
      <c r="A930" s="43"/>
    </row>
    <row r="931" spans="1:1" x14ac:dyDescent="0.25">
      <c r="A931" s="43"/>
    </row>
    <row r="932" spans="1:1" x14ac:dyDescent="0.25">
      <c r="A932" s="43"/>
    </row>
    <row r="933" spans="1:1" x14ac:dyDescent="0.25">
      <c r="A933" s="43"/>
    </row>
    <row r="934" spans="1:1" x14ac:dyDescent="0.25">
      <c r="A934" s="43"/>
    </row>
    <row r="935" spans="1:1" x14ac:dyDescent="0.25">
      <c r="A935" s="43"/>
    </row>
    <row r="936" spans="1:1" x14ac:dyDescent="0.25">
      <c r="A936" s="43"/>
    </row>
    <row r="937" spans="1:1" x14ac:dyDescent="0.25">
      <c r="A937" s="43"/>
    </row>
    <row r="938" spans="1:1" x14ac:dyDescent="0.25">
      <c r="A938" s="43"/>
    </row>
    <row r="939" spans="1:1" x14ac:dyDescent="0.25">
      <c r="A939" s="43"/>
    </row>
    <row r="940" spans="1:1" x14ac:dyDescent="0.25">
      <c r="A940" s="43"/>
    </row>
    <row r="941" spans="1:1" x14ac:dyDescent="0.25">
      <c r="A941" s="43"/>
    </row>
    <row r="942" spans="1:1" x14ac:dyDescent="0.25">
      <c r="A942" s="43"/>
    </row>
    <row r="943" spans="1:1" x14ac:dyDescent="0.25">
      <c r="A943" s="43"/>
    </row>
    <row r="944" spans="1:1" x14ac:dyDescent="0.25">
      <c r="A944" s="43"/>
    </row>
    <row r="945" spans="1:1" x14ac:dyDescent="0.25">
      <c r="A945" s="43"/>
    </row>
    <row r="946" spans="1:1" x14ac:dyDescent="0.25">
      <c r="A946" s="43"/>
    </row>
    <row r="947" spans="1:1" x14ac:dyDescent="0.25">
      <c r="A947" s="43"/>
    </row>
    <row r="948" spans="1:1" x14ac:dyDescent="0.25">
      <c r="A948" s="43"/>
    </row>
    <row r="949" spans="1:1" x14ac:dyDescent="0.25">
      <c r="A949" s="43"/>
    </row>
    <row r="950" spans="1:1" x14ac:dyDescent="0.25">
      <c r="A950" s="43"/>
    </row>
    <row r="951" spans="1:1" x14ac:dyDescent="0.25">
      <c r="A951" s="43"/>
    </row>
    <row r="952" spans="1:1" x14ac:dyDescent="0.25">
      <c r="A952" s="43"/>
    </row>
    <row r="953" spans="1:1" x14ac:dyDescent="0.25">
      <c r="A953" s="43"/>
    </row>
    <row r="954" spans="1:1" x14ac:dyDescent="0.25">
      <c r="A954" s="43"/>
    </row>
    <row r="955" spans="1:1" x14ac:dyDescent="0.25">
      <c r="A955" s="43"/>
    </row>
    <row r="956" spans="1:1" x14ac:dyDescent="0.25">
      <c r="A956" s="43"/>
    </row>
    <row r="957" spans="1:1" x14ac:dyDescent="0.25">
      <c r="A957" s="43"/>
    </row>
    <row r="958" spans="1:1" x14ac:dyDescent="0.25">
      <c r="A958" s="43"/>
    </row>
    <row r="959" spans="1:1" x14ac:dyDescent="0.25">
      <c r="A959" s="43"/>
    </row>
    <row r="960" spans="1:1" x14ac:dyDescent="0.25">
      <c r="A960" s="43"/>
    </row>
    <row r="961" spans="1:1" x14ac:dyDescent="0.25">
      <c r="A961" s="43"/>
    </row>
    <row r="962" spans="1:1" x14ac:dyDescent="0.25">
      <c r="A962" s="43"/>
    </row>
    <row r="963" spans="1:1" x14ac:dyDescent="0.25">
      <c r="A963" s="43"/>
    </row>
    <row r="964" spans="1:1" x14ac:dyDescent="0.25">
      <c r="A964" s="43"/>
    </row>
    <row r="965" spans="1:1" x14ac:dyDescent="0.25">
      <c r="A965" s="43"/>
    </row>
    <row r="966" spans="1:1" x14ac:dyDescent="0.25">
      <c r="A966" s="43"/>
    </row>
    <row r="967" spans="1:1" x14ac:dyDescent="0.25">
      <c r="A967" s="43"/>
    </row>
    <row r="968" spans="1:1" x14ac:dyDescent="0.25">
      <c r="A968" s="43"/>
    </row>
    <row r="969" spans="1:1" x14ac:dyDescent="0.25">
      <c r="A969" s="43"/>
    </row>
    <row r="970" spans="1:1" x14ac:dyDescent="0.25">
      <c r="A970" s="43"/>
    </row>
    <row r="971" spans="1:1" x14ac:dyDescent="0.25">
      <c r="A971" s="43"/>
    </row>
    <row r="972" spans="1:1" x14ac:dyDescent="0.25">
      <c r="A972" s="43"/>
    </row>
    <row r="973" spans="1:1" x14ac:dyDescent="0.25">
      <c r="A973" s="43"/>
    </row>
    <row r="974" spans="1:1" x14ac:dyDescent="0.25">
      <c r="A974" s="43"/>
    </row>
    <row r="975" spans="1:1" x14ac:dyDescent="0.25">
      <c r="A975" s="43"/>
    </row>
    <row r="976" spans="1:1" x14ac:dyDescent="0.25">
      <c r="A976" s="43"/>
    </row>
    <row r="977" spans="1:1" x14ac:dyDescent="0.25">
      <c r="A977" s="43"/>
    </row>
    <row r="978" spans="1:1" x14ac:dyDescent="0.25">
      <c r="A978" s="43"/>
    </row>
    <row r="979" spans="1:1" x14ac:dyDescent="0.25">
      <c r="A979" s="43"/>
    </row>
    <row r="980" spans="1:1" x14ac:dyDescent="0.25">
      <c r="A980" s="43"/>
    </row>
    <row r="981" spans="1:1" x14ac:dyDescent="0.25">
      <c r="A981" s="43"/>
    </row>
    <row r="982" spans="1:1" x14ac:dyDescent="0.25">
      <c r="A982" s="43"/>
    </row>
    <row r="983" spans="1:1" x14ac:dyDescent="0.25">
      <c r="A983" s="43"/>
    </row>
    <row r="984" spans="1:1" x14ac:dyDescent="0.25">
      <c r="A984" s="43"/>
    </row>
    <row r="985" spans="1:1" x14ac:dyDescent="0.25">
      <c r="A985" s="43"/>
    </row>
    <row r="986" spans="1:1" x14ac:dyDescent="0.25">
      <c r="A986" s="43"/>
    </row>
    <row r="987" spans="1:1" x14ac:dyDescent="0.25">
      <c r="A987" s="43"/>
    </row>
    <row r="988" spans="1:1" x14ac:dyDescent="0.25">
      <c r="A988" s="43"/>
    </row>
    <row r="989" spans="1:1" x14ac:dyDescent="0.25">
      <c r="A989" s="43"/>
    </row>
    <row r="990" spans="1:1" x14ac:dyDescent="0.25">
      <c r="A990" s="43"/>
    </row>
    <row r="991" spans="1:1" x14ac:dyDescent="0.25">
      <c r="A991" s="43"/>
    </row>
    <row r="992" spans="1:1" x14ac:dyDescent="0.25">
      <c r="A992" s="43"/>
    </row>
    <row r="993" spans="1:1" x14ac:dyDescent="0.25">
      <c r="A993" s="43"/>
    </row>
    <row r="994" spans="1:1" x14ac:dyDescent="0.25">
      <c r="A994" s="43"/>
    </row>
    <row r="995" spans="1:1" x14ac:dyDescent="0.25">
      <c r="A995" s="43"/>
    </row>
    <row r="996" spans="1:1" x14ac:dyDescent="0.25">
      <c r="A996" s="43"/>
    </row>
    <row r="997" spans="1:1" x14ac:dyDescent="0.25">
      <c r="A997" s="43"/>
    </row>
    <row r="998" spans="1:1" x14ac:dyDescent="0.25">
      <c r="A998" s="43"/>
    </row>
    <row r="999" spans="1:1" x14ac:dyDescent="0.25">
      <c r="A999" s="43"/>
    </row>
    <row r="1000" spans="1:1" x14ac:dyDescent="0.25">
      <c r="A1000" s="43"/>
    </row>
    <row r="1001" spans="1:1" x14ac:dyDescent="0.25">
      <c r="A1001" s="43"/>
    </row>
    <row r="1002" spans="1:1" x14ac:dyDescent="0.25">
      <c r="A1002" s="43"/>
    </row>
    <row r="1003" spans="1:1" x14ac:dyDescent="0.25">
      <c r="A1003" s="43"/>
    </row>
    <row r="1004" spans="1:1" x14ac:dyDescent="0.25">
      <c r="A1004" s="43"/>
    </row>
    <row r="1005" spans="1:1" x14ac:dyDescent="0.25">
      <c r="A1005" s="43"/>
    </row>
    <row r="1006" spans="1:1" x14ac:dyDescent="0.25">
      <c r="A1006" s="43"/>
    </row>
    <row r="1007" spans="1:1" x14ac:dyDescent="0.25">
      <c r="A1007" s="43"/>
    </row>
    <row r="1008" spans="1:1" x14ac:dyDescent="0.25">
      <c r="A1008" s="43"/>
    </row>
    <row r="1009" spans="1:1" x14ac:dyDescent="0.25">
      <c r="A1009" s="43"/>
    </row>
    <row r="1010" spans="1:1" x14ac:dyDescent="0.25">
      <c r="A1010" s="43"/>
    </row>
    <row r="1011" spans="1:1" x14ac:dyDescent="0.25">
      <c r="A1011" s="43"/>
    </row>
    <row r="1012" spans="1:1" x14ac:dyDescent="0.25">
      <c r="A1012" s="43"/>
    </row>
    <row r="1013" spans="1:1" x14ac:dyDescent="0.25">
      <c r="A1013" s="43"/>
    </row>
    <row r="1014" spans="1:1" x14ac:dyDescent="0.25">
      <c r="A1014" s="43"/>
    </row>
    <row r="1015" spans="1:1" x14ac:dyDescent="0.25">
      <c r="A1015" s="43"/>
    </row>
    <row r="1016" spans="1:1" x14ac:dyDescent="0.25">
      <c r="A1016" s="43"/>
    </row>
    <row r="1017" spans="1:1" x14ac:dyDescent="0.25">
      <c r="A1017" s="43"/>
    </row>
    <row r="1018" spans="1:1" x14ac:dyDescent="0.25">
      <c r="A1018" s="43"/>
    </row>
    <row r="1019" spans="1:1" x14ac:dyDescent="0.25">
      <c r="A1019" s="43"/>
    </row>
    <row r="1020" spans="1:1" x14ac:dyDescent="0.25">
      <c r="A1020" s="43"/>
    </row>
    <row r="1021" spans="1:1" x14ac:dyDescent="0.25">
      <c r="A1021" s="43"/>
    </row>
    <row r="1022" spans="1:1" x14ac:dyDescent="0.25">
      <c r="A1022" s="43"/>
    </row>
    <row r="1023" spans="1:1" x14ac:dyDescent="0.25">
      <c r="A1023" s="43"/>
    </row>
    <row r="1024" spans="1:1" x14ac:dyDescent="0.25">
      <c r="A1024" s="43"/>
    </row>
    <row r="1025" spans="1:1" x14ac:dyDescent="0.25">
      <c r="A1025" s="43"/>
    </row>
    <row r="1026" spans="1:1" x14ac:dyDescent="0.25">
      <c r="A1026" s="43"/>
    </row>
    <row r="1027" spans="1:1" x14ac:dyDescent="0.25">
      <c r="A1027" s="43"/>
    </row>
    <row r="1028" spans="1:1" x14ac:dyDescent="0.25">
      <c r="A1028" s="43"/>
    </row>
    <row r="1029" spans="1:1" x14ac:dyDescent="0.25">
      <c r="A1029" s="43"/>
    </row>
    <row r="1030" spans="1:1" x14ac:dyDescent="0.25">
      <c r="A1030" s="43"/>
    </row>
    <row r="1031" spans="1:1" x14ac:dyDescent="0.25">
      <c r="A1031" s="43"/>
    </row>
    <row r="1032" spans="1:1" x14ac:dyDescent="0.25">
      <c r="A1032" s="43"/>
    </row>
    <row r="1033" spans="1:1" x14ac:dyDescent="0.25">
      <c r="A1033" s="43"/>
    </row>
    <row r="1034" spans="1:1" x14ac:dyDescent="0.25">
      <c r="A1034" s="43"/>
    </row>
    <row r="1035" spans="1:1" x14ac:dyDescent="0.25">
      <c r="A1035" s="43"/>
    </row>
    <row r="1036" spans="1:1" x14ac:dyDescent="0.25">
      <c r="A1036" s="43"/>
    </row>
    <row r="1037" spans="1:1" x14ac:dyDescent="0.25">
      <c r="A1037" s="43"/>
    </row>
    <row r="1038" spans="1:1" x14ac:dyDescent="0.25">
      <c r="A1038" s="43"/>
    </row>
    <row r="1039" spans="1:1" x14ac:dyDescent="0.25">
      <c r="A1039" s="43"/>
    </row>
    <row r="1040" spans="1:1" x14ac:dyDescent="0.25">
      <c r="A1040" s="43"/>
    </row>
    <row r="1041" spans="1:1" x14ac:dyDescent="0.25">
      <c r="A1041" s="43"/>
    </row>
    <row r="1042" spans="1:1" x14ac:dyDescent="0.25">
      <c r="A1042" s="43"/>
    </row>
    <row r="1043" spans="1:1" x14ac:dyDescent="0.25">
      <c r="A1043" s="43"/>
    </row>
    <row r="1044" spans="1:1" x14ac:dyDescent="0.25">
      <c r="A1044" s="43"/>
    </row>
    <row r="1045" spans="1:1" x14ac:dyDescent="0.25">
      <c r="A1045" s="43"/>
    </row>
    <row r="1046" spans="1:1" x14ac:dyDescent="0.25">
      <c r="A1046" s="43"/>
    </row>
    <row r="1047" spans="1:1" x14ac:dyDescent="0.25">
      <c r="A1047" s="43"/>
    </row>
    <row r="1048" spans="1:1" x14ac:dyDescent="0.25">
      <c r="A1048" s="43"/>
    </row>
    <row r="1049" spans="1:1" x14ac:dyDescent="0.25">
      <c r="A1049" s="43"/>
    </row>
    <row r="1050" spans="1:1" x14ac:dyDescent="0.25">
      <c r="A1050" s="43"/>
    </row>
    <row r="1051" spans="1:1" x14ac:dyDescent="0.25">
      <c r="A1051" s="43"/>
    </row>
    <row r="1052" spans="1:1" x14ac:dyDescent="0.25">
      <c r="A1052" s="43"/>
    </row>
    <row r="1053" spans="1:1" x14ac:dyDescent="0.25">
      <c r="A1053" s="43"/>
    </row>
    <row r="1054" spans="1:1" x14ac:dyDescent="0.25">
      <c r="A1054" s="43"/>
    </row>
    <row r="1055" spans="1:1" x14ac:dyDescent="0.25">
      <c r="A1055" s="43"/>
    </row>
    <row r="1056" spans="1:1" x14ac:dyDescent="0.25">
      <c r="A1056" s="43"/>
    </row>
    <row r="1057" spans="1:1" x14ac:dyDescent="0.25">
      <c r="A1057" s="43"/>
    </row>
    <row r="1058" spans="1:1" x14ac:dyDescent="0.25">
      <c r="A1058" s="43"/>
    </row>
    <row r="1059" spans="1:1" x14ac:dyDescent="0.25">
      <c r="A1059" s="43"/>
    </row>
    <row r="1060" spans="1:1" x14ac:dyDescent="0.25">
      <c r="A1060" s="43"/>
    </row>
    <row r="1061" spans="1:1" x14ac:dyDescent="0.25">
      <c r="A1061" s="43"/>
    </row>
    <row r="1062" spans="1:1" x14ac:dyDescent="0.25">
      <c r="A1062" s="43"/>
    </row>
    <row r="1063" spans="1:1" x14ac:dyDescent="0.25">
      <c r="A1063" s="43"/>
    </row>
    <row r="1064" spans="1:1" x14ac:dyDescent="0.25">
      <c r="A1064" s="43"/>
    </row>
    <row r="1065" spans="1:1" x14ac:dyDescent="0.25">
      <c r="A1065" s="43"/>
    </row>
    <row r="1066" spans="1:1" x14ac:dyDescent="0.25">
      <c r="A1066" s="43"/>
    </row>
    <row r="1067" spans="1:1" x14ac:dyDescent="0.25">
      <c r="A1067" s="43"/>
    </row>
    <row r="1068" spans="1:1" x14ac:dyDescent="0.25">
      <c r="A1068" s="43"/>
    </row>
    <row r="1069" spans="1:1" x14ac:dyDescent="0.25">
      <c r="A1069" s="43"/>
    </row>
    <row r="1070" spans="1:1" x14ac:dyDescent="0.25">
      <c r="A1070" s="43"/>
    </row>
    <row r="1071" spans="1:1" x14ac:dyDescent="0.25">
      <c r="A1071" s="43"/>
    </row>
    <row r="1072" spans="1:1" x14ac:dyDescent="0.25">
      <c r="A1072" s="43"/>
    </row>
    <row r="1073" spans="1:1" x14ac:dyDescent="0.25">
      <c r="A1073" s="43"/>
    </row>
    <row r="1074" spans="1:1" x14ac:dyDescent="0.25">
      <c r="A1074" s="43"/>
    </row>
    <row r="1075" spans="1:1" x14ac:dyDescent="0.25">
      <c r="A1075" s="43"/>
    </row>
    <row r="1076" spans="1:1" x14ac:dyDescent="0.25">
      <c r="A1076" s="43"/>
    </row>
    <row r="1077" spans="1:1" x14ac:dyDescent="0.25">
      <c r="A1077" s="43"/>
    </row>
    <row r="1078" spans="1:1" x14ac:dyDescent="0.25">
      <c r="A1078" s="43"/>
    </row>
    <row r="1079" spans="1:1" x14ac:dyDescent="0.25">
      <c r="A1079" s="43"/>
    </row>
    <row r="1080" spans="1:1" x14ac:dyDescent="0.25">
      <c r="A1080" s="43"/>
    </row>
    <row r="1081" spans="1:1" x14ac:dyDescent="0.25">
      <c r="A1081" s="43"/>
    </row>
    <row r="1082" spans="1:1" x14ac:dyDescent="0.25">
      <c r="A1082" s="43"/>
    </row>
    <row r="1083" spans="1:1" x14ac:dyDescent="0.25">
      <c r="A1083" s="43"/>
    </row>
    <row r="1084" spans="1:1" x14ac:dyDescent="0.25">
      <c r="A1084" s="43"/>
    </row>
    <row r="1085" spans="1:1" x14ac:dyDescent="0.25">
      <c r="A1085" s="43"/>
    </row>
    <row r="1086" spans="1:1" x14ac:dyDescent="0.25">
      <c r="A1086" s="43"/>
    </row>
    <row r="1087" spans="1:1" x14ac:dyDescent="0.25">
      <c r="A1087" s="43"/>
    </row>
    <row r="1088" spans="1:1" x14ac:dyDescent="0.25">
      <c r="A1088" s="43"/>
    </row>
    <row r="1089" spans="1:1" x14ac:dyDescent="0.25">
      <c r="A1089" s="43"/>
    </row>
    <row r="1090" spans="1:1" x14ac:dyDescent="0.25">
      <c r="A1090" s="43"/>
    </row>
    <row r="1091" spans="1:1" x14ac:dyDescent="0.25">
      <c r="A1091" s="43"/>
    </row>
    <row r="1092" spans="1:1" x14ac:dyDescent="0.25">
      <c r="A1092" s="43"/>
    </row>
    <row r="1093" spans="1:1" x14ac:dyDescent="0.25">
      <c r="A1093" s="43"/>
    </row>
    <row r="1094" spans="1:1" x14ac:dyDescent="0.25">
      <c r="A1094" s="43"/>
    </row>
    <row r="1095" spans="1:1" x14ac:dyDescent="0.25">
      <c r="A1095" s="43"/>
    </row>
    <row r="1096" spans="1:1" x14ac:dyDescent="0.25">
      <c r="A1096" s="43"/>
    </row>
    <row r="1097" spans="1:1" x14ac:dyDescent="0.25">
      <c r="A1097" s="43"/>
    </row>
    <row r="1098" spans="1:1" x14ac:dyDescent="0.25">
      <c r="A1098" s="43"/>
    </row>
    <row r="1099" spans="1:1" x14ac:dyDescent="0.25">
      <c r="A1099" s="43"/>
    </row>
    <row r="1100" spans="1:1" x14ac:dyDescent="0.25">
      <c r="A1100" s="43"/>
    </row>
    <row r="1101" spans="1:1" x14ac:dyDescent="0.25">
      <c r="A1101" s="43"/>
    </row>
    <row r="1102" spans="1:1" x14ac:dyDescent="0.25">
      <c r="A1102" s="43"/>
    </row>
    <row r="1103" spans="1:1" x14ac:dyDescent="0.25">
      <c r="A1103" s="43"/>
    </row>
    <row r="1104" spans="1:1" x14ac:dyDescent="0.25">
      <c r="A1104" s="43"/>
    </row>
    <row r="1105" spans="1:1" x14ac:dyDescent="0.25">
      <c r="A1105" s="43"/>
    </row>
    <row r="1106" spans="1:1" x14ac:dyDescent="0.25">
      <c r="A1106" s="43"/>
    </row>
    <row r="1107" spans="1:1" x14ac:dyDescent="0.25">
      <c r="A1107" s="43"/>
    </row>
    <row r="1108" spans="1:1" x14ac:dyDescent="0.25">
      <c r="A1108" s="43"/>
    </row>
    <row r="1109" spans="1:1" x14ac:dyDescent="0.25">
      <c r="A1109" s="43"/>
    </row>
    <row r="1110" spans="1:1" x14ac:dyDescent="0.25">
      <c r="A1110" s="43"/>
    </row>
    <row r="1111" spans="1:1" x14ac:dyDescent="0.25">
      <c r="A1111" s="43"/>
    </row>
    <row r="1112" spans="1:1" x14ac:dyDescent="0.25">
      <c r="A1112" s="43"/>
    </row>
    <row r="1113" spans="1:1" x14ac:dyDescent="0.25">
      <c r="A1113" s="43"/>
    </row>
    <row r="1114" spans="1:1" x14ac:dyDescent="0.25">
      <c r="A1114" s="43"/>
    </row>
    <row r="1115" spans="1:1" x14ac:dyDescent="0.25">
      <c r="A1115" s="43"/>
    </row>
    <row r="1116" spans="1:1" x14ac:dyDescent="0.25">
      <c r="A1116" s="43"/>
    </row>
    <row r="1117" spans="1:1" x14ac:dyDescent="0.25">
      <c r="A1117" s="43"/>
    </row>
    <row r="1118" spans="1:1" x14ac:dyDescent="0.25">
      <c r="A1118" s="43"/>
    </row>
    <row r="1119" spans="1:1" x14ac:dyDescent="0.25">
      <c r="A1119" s="43"/>
    </row>
    <row r="1120" spans="1:1" x14ac:dyDescent="0.25">
      <c r="A1120" s="43"/>
    </row>
    <row r="1121" spans="1:1" x14ac:dyDescent="0.25">
      <c r="A1121" s="43"/>
    </row>
    <row r="1122" spans="1:1" x14ac:dyDescent="0.25">
      <c r="A1122" s="43"/>
    </row>
    <row r="1123" spans="1:1" x14ac:dyDescent="0.25">
      <c r="A1123" s="43"/>
    </row>
    <row r="1124" spans="1:1" x14ac:dyDescent="0.25">
      <c r="A1124" s="43"/>
    </row>
    <row r="1125" spans="1:1" x14ac:dyDescent="0.25">
      <c r="A1125" s="43"/>
    </row>
    <row r="1126" spans="1:1" x14ac:dyDescent="0.25">
      <c r="A1126" s="43"/>
    </row>
    <row r="1127" spans="1:1" x14ac:dyDescent="0.25">
      <c r="A1127" s="43"/>
    </row>
    <row r="1128" spans="1:1" x14ac:dyDescent="0.25">
      <c r="A1128" s="43"/>
    </row>
    <row r="1129" spans="1:1" x14ac:dyDescent="0.25">
      <c r="A1129" s="43"/>
    </row>
    <row r="1130" spans="1:1" x14ac:dyDescent="0.25">
      <c r="A1130" s="43"/>
    </row>
    <row r="1131" spans="1:1" x14ac:dyDescent="0.25">
      <c r="A1131" s="43"/>
    </row>
    <row r="1132" spans="1:1" x14ac:dyDescent="0.25">
      <c r="A1132" s="43"/>
    </row>
    <row r="1133" spans="1:1" x14ac:dyDescent="0.25">
      <c r="A1133" s="43"/>
    </row>
    <row r="1134" spans="1:1" x14ac:dyDescent="0.25">
      <c r="A1134" s="43"/>
    </row>
    <row r="1135" spans="1:1" x14ac:dyDescent="0.25">
      <c r="A1135" s="43"/>
    </row>
    <row r="1136" spans="1:1" x14ac:dyDescent="0.25">
      <c r="A1136" s="43"/>
    </row>
    <row r="1137" spans="1:1" x14ac:dyDescent="0.25">
      <c r="A1137" s="43"/>
    </row>
    <row r="1138" spans="1:1" x14ac:dyDescent="0.25">
      <c r="A1138" s="43"/>
    </row>
    <row r="1139" spans="1:1" x14ac:dyDescent="0.25">
      <c r="A1139" s="43"/>
    </row>
    <row r="1140" spans="1:1" x14ac:dyDescent="0.25">
      <c r="A1140" s="43"/>
    </row>
    <row r="1141" spans="1:1" x14ac:dyDescent="0.25">
      <c r="A1141" s="43"/>
    </row>
    <row r="1142" spans="1:1" x14ac:dyDescent="0.25">
      <c r="A1142" s="43"/>
    </row>
    <row r="1143" spans="1:1" x14ac:dyDescent="0.25">
      <c r="A1143" s="43"/>
    </row>
    <row r="1144" spans="1:1" x14ac:dyDescent="0.25">
      <c r="A1144" s="43"/>
    </row>
    <row r="1145" spans="1:1" x14ac:dyDescent="0.25">
      <c r="A1145" s="43"/>
    </row>
    <row r="1146" spans="1:1" x14ac:dyDescent="0.25">
      <c r="A1146" s="43"/>
    </row>
    <row r="1147" spans="1:1" x14ac:dyDescent="0.25">
      <c r="A1147" s="43"/>
    </row>
    <row r="1148" spans="1:1" x14ac:dyDescent="0.25">
      <c r="A1148" s="43"/>
    </row>
    <row r="1149" spans="1:1" x14ac:dyDescent="0.25">
      <c r="A1149" s="43"/>
    </row>
    <row r="1150" spans="1:1" x14ac:dyDescent="0.25">
      <c r="A1150" s="43"/>
    </row>
    <row r="1151" spans="1:1" x14ac:dyDescent="0.25">
      <c r="A1151" s="43"/>
    </row>
    <row r="1152" spans="1:1" x14ac:dyDescent="0.25">
      <c r="A1152" s="43"/>
    </row>
    <row r="1153" spans="1:1" x14ac:dyDescent="0.25">
      <c r="A1153" s="43"/>
    </row>
    <row r="1154" spans="1:1" x14ac:dyDescent="0.25">
      <c r="A1154" s="43"/>
    </row>
    <row r="1155" spans="1:1" x14ac:dyDescent="0.25">
      <c r="A1155" s="43"/>
    </row>
    <row r="1156" spans="1:1" x14ac:dyDescent="0.25">
      <c r="A1156" s="43"/>
    </row>
    <row r="1157" spans="1:1" x14ac:dyDescent="0.25">
      <c r="A1157" s="43"/>
    </row>
    <row r="1158" spans="1:1" x14ac:dyDescent="0.25">
      <c r="A1158" s="43"/>
    </row>
    <row r="1159" spans="1:1" x14ac:dyDescent="0.25">
      <c r="A1159" s="43"/>
    </row>
    <row r="1160" spans="1:1" x14ac:dyDescent="0.25">
      <c r="A1160" s="43"/>
    </row>
    <row r="1161" spans="1:1" x14ac:dyDescent="0.25">
      <c r="A1161" s="43"/>
    </row>
    <row r="1162" spans="1:1" x14ac:dyDescent="0.25">
      <c r="A1162" s="43"/>
    </row>
    <row r="1163" spans="1:1" x14ac:dyDescent="0.25">
      <c r="A1163" s="43"/>
    </row>
    <row r="1164" spans="1:1" x14ac:dyDescent="0.25">
      <c r="A1164" s="43"/>
    </row>
    <row r="1165" spans="1:1" x14ac:dyDescent="0.25">
      <c r="A1165" s="43"/>
    </row>
    <row r="1166" spans="1:1" x14ac:dyDescent="0.25">
      <c r="A1166" s="43"/>
    </row>
    <row r="1167" spans="1:1" x14ac:dyDescent="0.25">
      <c r="A1167" s="43"/>
    </row>
    <row r="1168" spans="1:1" x14ac:dyDescent="0.25">
      <c r="A1168" s="43"/>
    </row>
    <row r="1169" spans="1:1" x14ac:dyDescent="0.25">
      <c r="A1169" s="43"/>
    </row>
    <row r="1170" spans="1:1" x14ac:dyDescent="0.25">
      <c r="A1170" s="43"/>
    </row>
    <row r="1171" spans="1:1" x14ac:dyDescent="0.25">
      <c r="A1171" s="43"/>
    </row>
    <row r="1172" spans="1:1" x14ac:dyDescent="0.25">
      <c r="A1172" s="43"/>
    </row>
    <row r="1173" spans="1:1" x14ac:dyDescent="0.25">
      <c r="A1173" s="43"/>
    </row>
    <row r="1174" spans="1:1" x14ac:dyDescent="0.25">
      <c r="A1174" s="43"/>
    </row>
    <row r="1175" spans="1:1" x14ac:dyDescent="0.25">
      <c r="A1175" s="43"/>
    </row>
    <row r="1176" spans="1:1" x14ac:dyDescent="0.25">
      <c r="A1176" s="43"/>
    </row>
    <row r="1177" spans="1:1" x14ac:dyDescent="0.25">
      <c r="A1177" s="43"/>
    </row>
    <row r="1178" spans="1:1" x14ac:dyDescent="0.25">
      <c r="A1178" s="43"/>
    </row>
    <row r="1179" spans="1:1" x14ac:dyDescent="0.25">
      <c r="A1179" s="43"/>
    </row>
    <row r="1180" spans="1:1" x14ac:dyDescent="0.25">
      <c r="A1180" s="43"/>
    </row>
    <row r="1181" spans="1:1" x14ac:dyDescent="0.25">
      <c r="A1181" s="43"/>
    </row>
    <row r="1182" spans="1:1" x14ac:dyDescent="0.25">
      <c r="A1182" s="43"/>
    </row>
    <row r="1183" spans="1:1" x14ac:dyDescent="0.25">
      <c r="A1183" s="43"/>
    </row>
    <row r="1184" spans="1:1" x14ac:dyDescent="0.25">
      <c r="A1184" s="43"/>
    </row>
    <row r="1185" spans="1:1" x14ac:dyDescent="0.25">
      <c r="A1185" s="43"/>
    </row>
    <row r="1186" spans="1:1" x14ac:dyDescent="0.25">
      <c r="A1186" s="43"/>
    </row>
    <row r="1187" spans="1:1" x14ac:dyDescent="0.25">
      <c r="A1187" s="43"/>
    </row>
    <row r="1188" spans="1:1" x14ac:dyDescent="0.25">
      <c r="A1188" s="43"/>
    </row>
    <row r="1189" spans="1:1" x14ac:dyDescent="0.25">
      <c r="A1189" s="43"/>
    </row>
    <row r="1190" spans="1:1" x14ac:dyDescent="0.25">
      <c r="A1190" s="43"/>
    </row>
    <row r="1191" spans="1:1" x14ac:dyDescent="0.25">
      <c r="A1191" s="43"/>
    </row>
    <row r="1192" spans="1:1" x14ac:dyDescent="0.25">
      <c r="A1192" s="43"/>
    </row>
    <row r="1193" spans="1:1" x14ac:dyDescent="0.25">
      <c r="A1193" s="43"/>
    </row>
    <row r="1194" spans="1:1" x14ac:dyDescent="0.25">
      <c r="A1194" s="43"/>
    </row>
    <row r="1195" spans="1:1" x14ac:dyDescent="0.25">
      <c r="A1195" s="43"/>
    </row>
    <row r="1196" spans="1:1" x14ac:dyDescent="0.25">
      <c r="A1196" s="43"/>
    </row>
    <row r="1197" spans="1:1" x14ac:dyDescent="0.25">
      <c r="A1197" s="43"/>
    </row>
    <row r="1198" spans="1:1" x14ac:dyDescent="0.25">
      <c r="A1198" s="43"/>
    </row>
    <row r="1199" spans="1:1" x14ac:dyDescent="0.25">
      <c r="A1199" s="43"/>
    </row>
    <row r="1200" spans="1:1" x14ac:dyDescent="0.25">
      <c r="A1200" s="43"/>
    </row>
    <row r="1201" spans="1:1" x14ac:dyDescent="0.25">
      <c r="A1201" s="43"/>
    </row>
    <row r="1202" spans="1:1" x14ac:dyDescent="0.25">
      <c r="A1202" s="43"/>
    </row>
    <row r="1203" spans="1:1" x14ac:dyDescent="0.25">
      <c r="A1203" s="43"/>
    </row>
    <row r="1204" spans="1:1" x14ac:dyDescent="0.25">
      <c r="A1204" s="43"/>
    </row>
    <row r="1205" spans="1:1" x14ac:dyDescent="0.25">
      <c r="A1205" s="43"/>
    </row>
    <row r="1206" spans="1:1" x14ac:dyDescent="0.25">
      <c r="A1206" s="43"/>
    </row>
    <row r="1207" spans="1:1" x14ac:dyDescent="0.25">
      <c r="A1207" s="43"/>
    </row>
    <row r="1208" spans="1:1" x14ac:dyDescent="0.25">
      <c r="A1208" s="43"/>
    </row>
    <row r="1209" spans="1:1" x14ac:dyDescent="0.25">
      <c r="A1209" s="43"/>
    </row>
    <row r="1210" spans="1:1" x14ac:dyDescent="0.25">
      <c r="A1210" s="43"/>
    </row>
    <row r="1211" spans="1:1" x14ac:dyDescent="0.25">
      <c r="A1211" s="43"/>
    </row>
    <row r="1212" spans="1:1" x14ac:dyDescent="0.25">
      <c r="A1212" s="43"/>
    </row>
    <row r="1213" spans="1:1" x14ac:dyDescent="0.25">
      <c r="A1213" s="43"/>
    </row>
    <row r="1214" spans="1:1" x14ac:dyDescent="0.25">
      <c r="A1214" s="43"/>
    </row>
    <row r="1215" spans="1:1" x14ac:dyDescent="0.25">
      <c r="A1215" s="43"/>
    </row>
    <row r="1216" spans="1:1" x14ac:dyDescent="0.25">
      <c r="A1216" s="43"/>
    </row>
    <row r="1217" spans="1:1" x14ac:dyDescent="0.25">
      <c r="A1217" s="43"/>
    </row>
    <row r="1218" spans="1:1" x14ac:dyDescent="0.25">
      <c r="A1218" s="43"/>
    </row>
    <row r="1219" spans="1:1" x14ac:dyDescent="0.25">
      <c r="A1219" s="43"/>
    </row>
    <row r="1220" spans="1:1" x14ac:dyDescent="0.25">
      <c r="A1220" s="43"/>
    </row>
    <row r="1221" spans="1:1" x14ac:dyDescent="0.25">
      <c r="A1221" s="43"/>
    </row>
    <row r="1222" spans="1:1" x14ac:dyDescent="0.25">
      <c r="A1222" s="43"/>
    </row>
    <row r="1223" spans="1:1" x14ac:dyDescent="0.25">
      <c r="A1223" s="43"/>
    </row>
    <row r="1224" spans="1:1" x14ac:dyDescent="0.25">
      <c r="A1224" s="43"/>
    </row>
    <row r="1225" spans="1:1" x14ac:dyDescent="0.25">
      <c r="A1225" s="43"/>
    </row>
    <row r="1226" spans="1:1" x14ac:dyDescent="0.25">
      <c r="A1226" s="43"/>
    </row>
    <row r="1227" spans="1:1" x14ac:dyDescent="0.25">
      <c r="A1227" s="43"/>
    </row>
    <row r="1228" spans="1:1" x14ac:dyDescent="0.25">
      <c r="A1228" s="43"/>
    </row>
    <row r="1229" spans="1:1" x14ac:dyDescent="0.25">
      <c r="A1229" s="43"/>
    </row>
    <row r="1230" spans="1:1" x14ac:dyDescent="0.25">
      <c r="A1230" s="43"/>
    </row>
    <row r="1231" spans="1:1" x14ac:dyDescent="0.25">
      <c r="A1231" s="43"/>
    </row>
    <row r="1232" spans="1:1" x14ac:dyDescent="0.25">
      <c r="A1232" s="43"/>
    </row>
    <row r="1233" spans="1:1" x14ac:dyDescent="0.25">
      <c r="A1233" s="43"/>
    </row>
    <row r="1234" spans="1:1" x14ac:dyDescent="0.25">
      <c r="A1234" s="43"/>
    </row>
    <row r="1235" spans="1:1" x14ac:dyDescent="0.25">
      <c r="A1235" s="43"/>
    </row>
    <row r="1236" spans="1:1" x14ac:dyDescent="0.25">
      <c r="A1236" s="43"/>
    </row>
    <row r="1237" spans="1:1" x14ac:dyDescent="0.25">
      <c r="A1237" s="43"/>
    </row>
    <row r="1238" spans="1:1" x14ac:dyDescent="0.25">
      <c r="A1238" s="43"/>
    </row>
    <row r="1239" spans="1:1" x14ac:dyDescent="0.25">
      <c r="A1239" s="43"/>
    </row>
    <row r="1240" spans="1:1" x14ac:dyDescent="0.25">
      <c r="A1240" s="43"/>
    </row>
    <row r="1241" spans="1:1" x14ac:dyDescent="0.25">
      <c r="A1241" s="43"/>
    </row>
    <row r="1242" spans="1:1" x14ac:dyDescent="0.25">
      <c r="A1242" s="43"/>
    </row>
    <row r="1243" spans="1:1" x14ac:dyDescent="0.25">
      <c r="A1243" s="43"/>
    </row>
    <row r="1244" spans="1:1" x14ac:dyDescent="0.25">
      <c r="A1244" s="43"/>
    </row>
    <row r="1245" spans="1:1" x14ac:dyDescent="0.25">
      <c r="A1245" s="43"/>
    </row>
    <row r="1246" spans="1:1" x14ac:dyDescent="0.25">
      <c r="A1246" s="43"/>
    </row>
    <row r="1247" spans="1:1" x14ac:dyDescent="0.25">
      <c r="A1247" s="43"/>
    </row>
    <row r="1248" spans="1:1" x14ac:dyDescent="0.25">
      <c r="A1248" s="43"/>
    </row>
    <row r="1249" spans="1:1" x14ac:dyDescent="0.25">
      <c r="A1249" s="43"/>
    </row>
    <row r="1250" spans="1:1" x14ac:dyDescent="0.25">
      <c r="A1250" s="43"/>
    </row>
    <row r="1251" spans="1:1" x14ac:dyDescent="0.25">
      <c r="A1251" s="43"/>
    </row>
    <row r="1252" spans="1:1" x14ac:dyDescent="0.25">
      <c r="A1252" s="43"/>
    </row>
    <row r="1253" spans="1:1" x14ac:dyDescent="0.25">
      <c r="A1253" s="43"/>
    </row>
    <row r="1254" spans="1:1" x14ac:dyDescent="0.25">
      <c r="A1254" s="43"/>
    </row>
    <row r="1255" spans="1:1" x14ac:dyDescent="0.25">
      <c r="A1255" s="43"/>
    </row>
    <row r="1256" spans="1:1" x14ac:dyDescent="0.25">
      <c r="A1256" s="43"/>
    </row>
    <row r="1257" spans="1:1" x14ac:dyDescent="0.25">
      <c r="A1257" s="43"/>
    </row>
    <row r="1258" spans="1:1" x14ac:dyDescent="0.25">
      <c r="A1258" s="43"/>
    </row>
    <row r="1259" spans="1:1" x14ac:dyDescent="0.25">
      <c r="A1259" s="43"/>
    </row>
    <row r="1260" spans="1:1" x14ac:dyDescent="0.25">
      <c r="A1260" s="43"/>
    </row>
    <row r="1261" spans="1:1" x14ac:dyDescent="0.25">
      <c r="A1261" s="43"/>
    </row>
    <row r="1262" spans="1:1" x14ac:dyDescent="0.25">
      <c r="A1262" s="43"/>
    </row>
    <row r="1263" spans="1:1" x14ac:dyDescent="0.25">
      <c r="A1263" s="43"/>
    </row>
    <row r="1264" spans="1:1" x14ac:dyDescent="0.25">
      <c r="A1264" s="43"/>
    </row>
    <row r="1265" spans="1:1" x14ac:dyDescent="0.25">
      <c r="A1265" s="43"/>
    </row>
    <row r="1266" spans="1:1" x14ac:dyDescent="0.25">
      <c r="A1266" s="43"/>
    </row>
    <row r="1267" spans="1:1" x14ac:dyDescent="0.25">
      <c r="A1267" s="43"/>
    </row>
    <row r="1268" spans="1:1" x14ac:dyDescent="0.25">
      <c r="A1268" s="43"/>
    </row>
    <row r="1269" spans="1:1" x14ac:dyDescent="0.25">
      <c r="A1269" s="43"/>
    </row>
    <row r="1270" spans="1:1" x14ac:dyDescent="0.25">
      <c r="A1270" s="43"/>
    </row>
    <row r="1271" spans="1:1" x14ac:dyDescent="0.25">
      <c r="A1271" s="43"/>
    </row>
    <row r="1272" spans="1:1" x14ac:dyDescent="0.25">
      <c r="A1272" s="43"/>
    </row>
    <row r="1273" spans="1:1" x14ac:dyDescent="0.25">
      <c r="A1273" s="43"/>
    </row>
    <row r="1274" spans="1:1" x14ac:dyDescent="0.25">
      <c r="A1274" s="43"/>
    </row>
    <row r="1275" spans="1:1" x14ac:dyDescent="0.25">
      <c r="A1275" s="43"/>
    </row>
    <row r="1276" spans="1:1" x14ac:dyDescent="0.25">
      <c r="A1276" s="43"/>
    </row>
    <row r="1277" spans="1:1" x14ac:dyDescent="0.25">
      <c r="A1277" s="43"/>
    </row>
    <row r="1278" spans="1:1" x14ac:dyDescent="0.25">
      <c r="A1278" s="43"/>
    </row>
    <row r="1279" spans="1:1" x14ac:dyDescent="0.25">
      <c r="A1279" s="43"/>
    </row>
    <row r="1280" spans="1:1" x14ac:dyDescent="0.25">
      <c r="A1280" s="43"/>
    </row>
    <row r="1281" spans="1:1" x14ac:dyDescent="0.25">
      <c r="A1281" s="43"/>
    </row>
    <row r="1282" spans="1:1" x14ac:dyDescent="0.25">
      <c r="A1282" s="43"/>
    </row>
    <row r="1283" spans="1:1" x14ac:dyDescent="0.25">
      <c r="A1283" s="43"/>
    </row>
    <row r="1284" spans="1:1" x14ac:dyDescent="0.25">
      <c r="A1284" s="43"/>
    </row>
    <row r="1285" spans="1:1" x14ac:dyDescent="0.25">
      <c r="A1285" s="43"/>
    </row>
    <row r="1286" spans="1:1" x14ac:dyDescent="0.25">
      <c r="A1286" s="43"/>
    </row>
    <row r="1287" spans="1:1" x14ac:dyDescent="0.25">
      <c r="A1287" s="43"/>
    </row>
    <row r="1288" spans="1:1" x14ac:dyDescent="0.25">
      <c r="A1288" s="43"/>
    </row>
    <row r="1289" spans="1:1" x14ac:dyDescent="0.25">
      <c r="A1289" s="43"/>
    </row>
    <row r="1290" spans="1:1" x14ac:dyDescent="0.25">
      <c r="A1290" s="43"/>
    </row>
    <row r="1291" spans="1:1" x14ac:dyDescent="0.25">
      <c r="A1291" s="43"/>
    </row>
    <row r="1292" spans="1:1" x14ac:dyDescent="0.25">
      <c r="A1292" s="43"/>
    </row>
    <row r="1293" spans="1:1" x14ac:dyDescent="0.25">
      <c r="A1293" s="43"/>
    </row>
    <row r="1294" spans="1:1" x14ac:dyDescent="0.25">
      <c r="A1294" s="43"/>
    </row>
    <row r="1295" spans="1:1" x14ac:dyDescent="0.25">
      <c r="A1295" s="43"/>
    </row>
    <row r="1296" spans="1:1" x14ac:dyDescent="0.25">
      <c r="A1296" s="43"/>
    </row>
    <row r="1297" spans="1:1" x14ac:dyDescent="0.25">
      <c r="A1297" s="43"/>
    </row>
    <row r="1298" spans="1:1" x14ac:dyDescent="0.25">
      <c r="A1298" s="43"/>
    </row>
    <row r="1299" spans="1:1" x14ac:dyDescent="0.25">
      <c r="A1299" s="43"/>
    </row>
    <row r="1300" spans="1:1" x14ac:dyDescent="0.25">
      <c r="A1300" s="43"/>
    </row>
    <row r="1301" spans="1:1" x14ac:dyDescent="0.25">
      <c r="A1301" s="43"/>
    </row>
    <row r="1302" spans="1:1" x14ac:dyDescent="0.25">
      <c r="A1302" s="43"/>
    </row>
    <row r="1303" spans="1:1" x14ac:dyDescent="0.25">
      <c r="A1303" s="43"/>
    </row>
  </sheetData>
  <mergeCells count="409">
    <mergeCell ref="A776:A785"/>
    <mergeCell ref="A786:A789"/>
    <mergeCell ref="A790:A805"/>
    <mergeCell ref="A806:A817"/>
    <mergeCell ref="A708:A709"/>
    <mergeCell ref="A710:A711"/>
    <mergeCell ref="A712:A713"/>
    <mergeCell ref="A738:A739"/>
    <mergeCell ref="A740:A741"/>
    <mergeCell ref="A742:A743"/>
    <mergeCell ref="A744:A745"/>
    <mergeCell ref="A746:A747"/>
    <mergeCell ref="A748:A749"/>
    <mergeCell ref="A722:A723"/>
    <mergeCell ref="A716:A717"/>
    <mergeCell ref="A718:A719"/>
    <mergeCell ref="A720:A721"/>
    <mergeCell ref="A642:A643"/>
    <mergeCell ref="A644:A645"/>
    <mergeCell ref="A646:A647"/>
    <mergeCell ref="A648:A649"/>
    <mergeCell ref="A650:A651"/>
    <mergeCell ref="A652:A653"/>
    <mergeCell ref="A678:A679"/>
    <mergeCell ref="A680:A681"/>
    <mergeCell ref="A682:A683"/>
    <mergeCell ref="A654:A655"/>
    <mergeCell ref="A656:A657"/>
    <mergeCell ref="A658:A659"/>
    <mergeCell ref="A660:A661"/>
    <mergeCell ref="A662:A663"/>
    <mergeCell ref="A666:A667"/>
    <mergeCell ref="A668:A669"/>
    <mergeCell ref="A670:A671"/>
    <mergeCell ref="A672:A673"/>
    <mergeCell ref="A674:A675"/>
    <mergeCell ref="A676:A677"/>
    <mergeCell ref="A664:A665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0:A641"/>
    <mergeCell ref="A528:A529"/>
    <mergeCell ref="A530:A531"/>
    <mergeCell ref="A532:A533"/>
    <mergeCell ref="A558:A559"/>
    <mergeCell ref="A560:A561"/>
    <mergeCell ref="A562:A563"/>
    <mergeCell ref="A564:A565"/>
    <mergeCell ref="A566:A567"/>
    <mergeCell ref="A568:A56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474:A475"/>
    <mergeCell ref="A476:A477"/>
    <mergeCell ref="A478:A479"/>
    <mergeCell ref="A498:A499"/>
    <mergeCell ref="A500:A501"/>
    <mergeCell ref="A502:A503"/>
    <mergeCell ref="A504:A505"/>
    <mergeCell ref="A506:A507"/>
    <mergeCell ref="A508:A509"/>
    <mergeCell ref="A484:A485"/>
    <mergeCell ref="A486:A487"/>
    <mergeCell ref="A488:A489"/>
    <mergeCell ref="A490:A491"/>
    <mergeCell ref="A492:A493"/>
    <mergeCell ref="A494:A495"/>
    <mergeCell ref="A496:A497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04:A405"/>
    <mergeCell ref="A406:A407"/>
    <mergeCell ref="A408:A409"/>
    <mergeCell ref="A426:A427"/>
    <mergeCell ref="A428:A429"/>
    <mergeCell ref="A418:A419"/>
    <mergeCell ref="A420:A421"/>
    <mergeCell ref="A422:A423"/>
    <mergeCell ref="A424:A42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344:A345"/>
    <mergeCell ref="A346:A347"/>
    <mergeCell ref="A348:A349"/>
    <mergeCell ref="A374:A375"/>
    <mergeCell ref="A376:A377"/>
    <mergeCell ref="A378:A379"/>
    <mergeCell ref="A380:A381"/>
    <mergeCell ref="A382:A383"/>
    <mergeCell ref="A384:A38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276:A277"/>
    <mergeCell ref="A278:A279"/>
    <mergeCell ref="A280:A281"/>
    <mergeCell ref="A282:A283"/>
    <mergeCell ref="A284:A285"/>
    <mergeCell ref="A286:A287"/>
    <mergeCell ref="A288:A289"/>
    <mergeCell ref="A314:A315"/>
    <mergeCell ref="A316:A317"/>
    <mergeCell ref="A290:A291"/>
    <mergeCell ref="A292:A293"/>
    <mergeCell ref="A294:A295"/>
    <mergeCell ref="A296:A297"/>
    <mergeCell ref="A298:A299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104:A105"/>
    <mergeCell ref="A106:A107"/>
    <mergeCell ref="A108:A109"/>
    <mergeCell ref="A110:A111"/>
    <mergeCell ref="A112:A113"/>
    <mergeCell ref="A134:A135"/>
    <mergeCell ref="A136:A137"/>
    <mergeCell ref="A138:A139"/>
    <mergeCell ref="A140:A141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828:A829"/>
    <mergeCell ref="A830:A831"/>
    <mergeCell ref="A832:A833"/>
    <mergeCell ref="A48:A49"/>
    <mergeCell ref="A50:A51"/>
    <mergeCell ref="A52:A53"/>
    <mergeCell ref="A54:A55"/>
    <mergeCell ref="A56:A57"/>
    <mergeCell ref="A60:A61"/>
    <mergeCell ref="A62:A63"/>
    <mergeCell ref="A64:A65"/>
    <mergeCell ref="A66:A67"/>
    <mergeCell ref="A58:A59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18:A819"/>
    <mergeCell ref="A820:A821"/>
    <mergeCell ref="A822:A823"/>
    <mergeCell ref="A824:A825"/>
    <mergeCell ref="A826:A827"/>
    <mergeCell ref="A684:A685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4:A705"/>
    <mergeCell ref="A706:A707"/>
    <mergeCell ref="A534:A535"/>
    <mergeCell ref="A536:A537"/>
    <mergeCell ref="A538:A539"/>
    <mergeCell ref="A540:A541"/>
    <mergeCell ref="A542:A543"/>
    <mergeCell ref="A714:A715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2:A593"/>
    <mergeCell ref="A618:A619"/>
    <mergeCell ref="A620:A621"/>
    <mergeCell ref="A622:A623"/>
    <mergeCell ref="A230:A231"/>
    <mergeCell ref="A232:A233"/>
    <mergeCell ref="A234:A235"/>
    <mergeCell ref="A236:A237"/>
    <mergeCell ref="A238:A239"/>
    <mergeCell ref="A480:A481"/>
    <mergeCell ref="A482:A483"/>
    <mergeCell ref="A410:A411"/>
    <mergeCell ref="A412:A413"/>
    <mergeCell ref="A414:A415"/>
    <mergeCell ref="A416:A417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254:A255"/>
    <mergeCell ref="A724:A725"/>
    <mergeCell ref="A726:A727"/>
    <mergeCell ref="A728:A729"/>
    <mergeCell ref="A730:A731"/>
    <mergeCell ref="A732:A733"/>
    <mergeCell ref="A734:A735"/>
    <mergeCell ref="A736:A737"/>
    <mergeCell ref="A750:A751"/>
    <mergeCell ref="A752:A753"/>
    <mergeCell ref="A754:A755"/>
    <mergeCell ref="A756:A765"/>
    <mergeCell ref="A766:A775"/>
    <mergeCell ref="A858:A859"/>
    <mergeCell ref="A860:A861"/>
    <mergeCell ref="A862:A863"/>
    <mergeCell ref="A864:A865"/>
    <mergeCell ref="A866:A867"/>
    <mergeCell ref="A868:A869"/>
    <mergeCell ref="A844:A845"/>
    <mergeCell ref="A846:A847"/>
    <mergeCell ref="A848:A849"/>
    <mergeCell ref="A850:A851"/>
    <mergeCell ref="A852:A853"/>
    <mergeCell ref="A854:A855"/>
    <mergeCell ref="A856:A857"/>
    <mergeCell ref="A834:A835"/>
    <mergeCell ref="A836:A837"/>
    <mergeCell ref="A838:A839"/>
    <mergeCell ref="A840:A841"/>
    <mergeCell ref="A842:A843"/>
    <mergeCell ref="A604:A605"/>
    <mergeCell ref="A606:A607"/>
    <mergeCell ref="A608:A609"/>
    <mergeCell ref="A610:A611"/>
    <mergeCell ref="A612:A613"/>
    <mergeCell ref="A614:A615"/>
    <mergeCell ref="A616:A617"/>
    <mergeCell ref="A544:A545"/>
    <mergeCell ref="A546:A547"/>
    <mergeCell ref="A548:A549"/>
    <mergeCell ref="A550:A551"/>
    <mergeCell ref="A552:A553"/>
    <mergeCell ref="A554:A555"/>
    <mergeCell ref="A556:A557"/>
    <mergeCell ref="A594:A595"/>
    <mergeCell ref="A596:A597"/>
    <mergeCell ref="A598:A599"/>
    <mergeCell ref="A600:A601"/>
    <mergeCell ref="A602:A603"/>
    <mergeCell ref="A448:A449"/>
    <mergeCell ref="A450:A451"/>
    <mergeCell ref="A452:A453"/>
    <mergeCell ref="A454:A455"/>
    <mergeCell ref="A300:A301"/>
    <mergeCell ref="A302:A303"/>
    <mergeCell ref="A304:A305"/>
    <mergeCell ref="A306:A307"/>
    <mergeCell ref="A308:A309"/>
    <mergeCell ref="A310:A311"/>
    <mergeCell ref="A312:A313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318:A319"/>
    <mergeCell ref="A320:A321"/>
    <mergeCell ref="A322:A323"/>
    <mergeCell ref="A324:A325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180:A181"/>
    <mergeCell ref="A182:A183"/>
    <mergeCell ref="A184:A185"/>
    <mergeCell ref="A186:A187"/>
    <mergeCell ref="A188:A189"/>
    <mergeCell ref="A190:A191"/>
    <mergeCell ref="A192:A193"/>
    <mergeCell ref="A240:A241"/>
    <mergeCell ref="A242:A243"/>
    <mergeCell ref="A244:A245"/>
    <mergeCell ref="A246:A247"/>
    <mergeCell ref="A248:A249"/>
    <mergeCell ref="A250:A251"/>
    <mergeCell ref="A252:A253"/>
    <mergeCell ref="A256:A257"/>
    <mergeCell ref="A258:A259"/>
    <mergeCell ref="A170:A171"/>
    <mergeCell ref="A172:A173"/>
    <mergeCell ref="A174:A175"/>
    <mergeCell ref="A176:A177"/>
    <mergeCell ref="A178:A179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38:A39"/>
    <mergeCell ref="A40:A41"/>
    <mergeCell ref="A42:A43"/>
    <mergeCell ref="A44:A45"/>
    <mergeCell ref="A46:A47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" right="0.7" top="0.75" bottom="0.75" header="0.3" footer="0.3"/>
  <pageSetup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A29" sqref="A29:A30"/>
    </sheetView>
  </sheetViews>
  <sheetFormatPr defaultRowHeight="15" x14ac:dyDescent="0.25"/>
  <sheetData>
    <row r="1" spans="1:7" ht="15.75" thickBot="1" x14ac:dyDescent="0.3">
      <c r="A1" s="68" t="s">
        <v>115</v>
      </c>
      <c r="B1" s="70" t="s">
        <v>116</v>
      </c>
      <c r="C1" s="70" t="s">
        <v>117</v>
      </c>
      <c r="D1" s="72" t="s">
        <v>118</v>
      </c>
      <c r="E1" s="73"/>
      <c r="F1" s="74"/>
      <c r="G1" s="68" t="s">
        <v>119</v>
      </c>
    </row>
    <row r="2" spans="1:7" ht="15.75" thickBot="1" x14ac:dyDescent="0.3">
      <c r="A2" s="69"/>
      <c r="B2" s="71"/>
      <c r="C2" s="71"/>
      <c r="D2" s="1" t="s">
        <v>120</v>
      </c>
      <c r="E2" s="1" t="s">
        <v>121</v>
      </c>
      <c r="F2" s="1" t="s">
        <v>122</v>
      </c>
      <c r="G2" s="69"/>
    </row>
    <row r="3" spans="1:7" x14ac:dyDescent="0.25">
      <c r="A3" s="60" t="s">
        <v>123</v>
      </c>
      <c r="B3" s="62" t="s">
        <v>124</v>
      </c>
      <c r="C3" s="2" t="s">
        <v>125</v>
      </c>
      <c r="D3" s="64" t="s">
        <v>127</v>
      </c>
      <c r="E3" s="64" t="s">
        <v>127</v>
      </c>
      <c r="F3" s="64" t="s">
        <v>128</v>
      </c>
      <c r="G3" s="66" t="s">
        <v>128</v>
      </c>
    </row>
    <row r="4" spans="1:7" ht="30.75" thickBot="1" x14ac:dyDescent="0.3">
      <c r="A4" s="61"/>
      <c r="B4" s="63"/>
      <c r="C4" s="3" t="s">
        <v>126</v>
      </c>
      <c r="D4" s="65"/>
      <c r="E4" s="65"/>
      <c r="F4" s="65"/>
      <c r="G4" s="67"/>
    </row>
    <row r="5" spans="1:7" x14ac:dyDescent="0.25">
      <c r="A5" s="60" t="s">
        <v>129</v>
      </c>
      <c r="B5" s="62" t="s">
        <v>130</v>
      </c>
      <c r="C5" s="4" t="s">
        <v>131</v>
      </c>
      <c r="D5" s="64" t="s">
        <v>133</v>
      </c>
      <c r="E5" s="64" t="s">
        <v>134</v>
      </c>
      <c r="F5" s="64" t="s">
        <v>135</v>
      </c>
      <c r="G5" s="66" t="s">
        <v>136</v>
      </c>
    </row>
    <row r="6" spans="1:7" ht="55.5" thickBot="1" x14ac:dyDescent="0.3">
      <c r="A6" s="61"/>
      <c r="B6" s="63"/>
      <c r="C6" s="5" t="s">
        <v>132</v>
      </c>
      <c r="D6" s="65"/>
      <c r="E6" s="65"/>
      <c r="F6" s="65"/>
      <c r="G6" s="67"/>
    </row>
    <row r="7" spans="1:7" ht="24" thickBot="1" x14ac:dyDescent="0.4">
      <c r="A7" s="6" t="s">
        <v>137</v>
      </c>
      <c r="B7" s="7" t="s">
        <v>138</v>
      </c>
      <c r="C7" s="8" t="s">
        <v>139</v>
      </c>
      <c r="D7" s="9" t="s">
        <v>140</v>
      </c>
      <c r="E7" s="9" t="s">
        <v>141</v>
      </c>
      <c r="F7" s="9" t="s">
        <v>142</v>
      </c>
      <c r="G7" s="8" t="s">
        <v>143</v>
      </c>
    </row>
    <row r="8" spans="1:7" ht="24" thickBot="1" x14ac:dyDescent="0.4">
      <c r="A8" s="6" t="s">
        <v>144</v>
      </c>
      <c r="B8" s="7" t="s">
        <v>145</v>
      </c>
      <c r="C8" s="8" t="s">
        <v>146</v>
      </c>
      <c r="D8" s="9" t="s">
        <v>147</v>
      </c>
      <c r="E8" s="9" t="s">
        <v>148</v>
      </c>
      <c r="F8" s="9" t="s">
        <v>149</v>
      </c>
      <c r="G8" s="8" t="s">
        <v>150</v>
      </c>
    </row>
    <row r="9" spans="1:7" ht="30" thickBot="1" x14ac:dyDescent="0.4">
      <c r="A9" s="6" t="s">
        <v>151</v>
      </c>
      <c r="B9" s="7" t="s">
        <v>152</v>
      </c>
      <c r="C9" s="6" t="s">
        <v>153</v>
      </c>
      <c r="D9" s="9" t="s">
        <v>154</v>
      </c>
      <c r="E9" s="9" t="s">
        <v>155</v>
      </c>
      <c r="F9" s="9" t="s">
        <v>156</v>
      </c>
      <c r="G9" s="8" t="s">
        <v>157</v>
      </c>
    </row>
    <row r="10" spans="1:7" ht="24" thickBot="1" x14ac:dyDescent="0.4">
      <c r="A10" s="6" t="s">
        <v>158</v>
      </c>
      <c r="B10" s="7" t="s">
        <v>159</v>
      </c>
      <c r="C10" s="8" t="s">
        <v>160</v>
      </c>
      <c r="D10" s="9" t="s">
        <v>161</v>
      </c>
      <c r="E10" s="9" t="s">
        <v>162</v>
      </c>
      <c r="F10" s="9" t="s">
        <v>163</v>
      </c>
      <c r="G10" s="8" t="s">
        <v>164</v>
      </c>
    </row>
    <row r="11" spans="1:7" ht="28.5" thickBot="1" x14ac:dyDescent="0.4">
      <c r="A11" s="6" t="s">
        <v>165</v>
      </c>
      <c r="B11" s="7" t="s">
        <v>166</v>
      </c>
      <c r="C11" s="8" t="s">
        <v>167</v>
      </c>
      <c r="D11" s="9" t="s">
        <v>168</v>
      </c>
      <c r="E11" s="9" t="s">
        <v>169</v>
      </c>
      <c r="F11" s="9" t="s">
        <v>170</v>
      </c>
      <c r="G11" s="8" t="s">
        <v>171</v>
      </c>
    </row>
    <row r="12" spans="1:7" ht="24" thickBot="1" x14ac:dyDescent="0.4">
      <c r="A12" s="6" t="s">
        <v>172</v>
      </c>
      <c r="B12" s="7" t="s">
        <v>173</v>
      </c>
      <c r="C12" s="8" t="s">
        <v>174</v>
      </c>
      <c r="D12" s="9" t="s">
        <v>175</v>
      </c>
      <c r="E12" s="9" t="s">
        <v>175</v>
      </c>
      <c r="F12" s="9" t="s">
        <v>176</v>
      </c>
      <c r="G12" s="8" t="s">
        <v>176</v>
      </c>
    </row>
    <row r="13" spans="1:7" ht="28.5" thickBot="1" x14ac:dyDescent="0.4">
      <c r="A13" s="6" t="s">
        <v>177</v>
      </c>
      <c r="B13" s="7" t="s">
        <v>178</v>
      </c>
      <c r="C13" s="8" t="s">
        <v>179</v>
      </c>
      <c r="D13" s="9" t="s">
        <v>180</v>
      </c>
      <c r="E13" s="9" t="s">
        <v>180</v>
      </c>
      <c r="F13" s="9" t="s">
        <v>181</v>
      </c>
      <c r="G13" s="8" t="s">
        <v>181</v>
      </c>
    </row>
    <row r="14" spans="1:7" ht="24" thickBot="1" x14ac:dyDescent="0.4">
      <c r="A14" s="6" t="s">
        <v>182</v>
      </c>
      <c r="B14" s="7" t="s">
        <v>183</v>
      </c>
      <c r="C14" s="8" t="s">
        <v>184</v>
      </c>
      <c r="D14" s="9" t="s">
        <v>185</v>
      </c>
      <c r="E14" s="9" t="s">
        <v>185</v>
      </c>
      <c r="F14" s="9" t="s">
        <v>186</v>
      </c>
      <c r="G14" s="8" t="s">
        <v>186</v>
      </c>
    </row>
    <row r="15" spans="1:7" ht="24" thickBot="1" x14ac:dyDescent="0.4">
      <c r="A15" s="6" t="s">
        <v>187</v>
      </c>
      <c r="B15" s="7" t="s">
        <v>188</v>
      </c>
      <c r="C15" s="8" t="s">
        <v>189</v>
      </c>
      <c r="D15" s="9" t="s">
        <v>190</v>
      </c>
      <c r="E15" s="9" t="s">
        <v>190</v>
      </c>
      <c r="F15" s="9" t="s">
        <v>191</v>
      </c>
      <c r="G15" s="8" t="s">
        <v>191</v>
      </c>
    </row>
    <row r="16" spans="1:7" ht="24" thickBot="1" x14ac:dyDescent="0.4">
      <c r="A16" s="6" t="s">
        <v>192</v>
      </c>
      <c r="B16" s="7" t="s">
        <v>193</v>
      </c>
      <c r="C16" s="8" t="s">
        <v>194</v>
      </c>
      <c r="D16" s="9" t="s">
        <v>195</v>
      </c>
      <c r="E16" s="9" t="s">
        <v>196</v>
      </c>
      <c r="F16" s="9" t="s">
        <v>197</v>
      </c>
      <c r="G16" s="8" t="s">
        <v>198</v>
      </c>
    </row>
    <row r="17" spans="1:7" ht="28.5" thickBot="1" x14ac:dyDescent="0.4">
      <c r="A17" s="6" t="s">
        <v>199</v>
      </c>
      <c r="B17" s="7" t="s">
        <v>200</v>
      </c>
      <c r="C17" s="8" t="s">
        <v>201</v>
      </c>
      <c r="D17" s="9" t="s">
        <v>202</v>
      </c>
      <c r="E17" s="9" t="s">
        <v>203</v>
      </c>
      <c r="F17" s="9" t="s">
        <v>204</v>
      </c>
      <c r="G17" s="8" t="s">
        <v>205</v>
      </c>
    </row>
    <row r="18" spans="1:7" ht="24" thickBot="1" x14ac:dyDescent="0.4">
      <c r="A18" s="6" t="s">
        <v>206</v>
      </c>
      <c r="B18" s="7" t="s">
        <v>207</v>
      </c>
      <c r="C18" s="8" t="s">
        <v>208</v>
      </c>
      <c r="D18" s="9" t="s">
        <v>209</v>
      </c>
      <c r="E18" s="9" t="s">
        <v>210</v>
      </c>
      <c r="F18" s="9" t="s">
        <v>211</v>
      </c>
      <c r="G18" s="8" t="s">
        <v>212</v>
      </c>
    </row>
    <row r="19" spans="1:7" ht="24" thickBot="1" x14ac:dyDescent="0.4">
      <c r="A19" s="6" t="s">
        <v>213</v>
      </c>
      <c r="B19" s="7" t="s">
        <v>214</v>
      </c>
      <c r="C19" s="8" t="s">
        <v>215</v>
      </c>
      <c r="D19" s="9" t="s">
        <v>216</v>
      </c>
      <c r="E19" s="9" t="s">
        <v>217</v>
      </c>
      <c r="F19" s="9" t="s">
        <v>218</v>
      </c>
      <c r="G19" s="8" t="s">
        <v>219</v>
      </c>
    </row>
    <row r="20" spans="1:7" ht="24" thickBot="1" x14ac:dyDescent="0.4">
      <c r="A20" s="6" t="s">
        <v>220</v>
      </c>
      <c r="B20" s="7" t="s">
        <v>221</v>
      </c>
      <c r="C20" s="8" t="s">
        <v>222</v>
      </c>
      <c r="D20" s="9" t="s">
        <v>223</v>
      </c>
      <c r="E20" s="9" t="s">
        <v>224</v>
      </c>
      <c r="F20" s="9" t="s">
        <v>225</v>
      </c>
      <c r="G20" s="8" t="s">
        <v>226</v>
      </c>
    </row>
    <row r="21" spans="1:7" ht="24" thickBot="1" x14ac:dyDescent="0.4">
      <c r="A21" s="6" t="s">
        <v>227</v>
      </c>
      <c r="B21" s="7" t="s">
        <v>228</v>
      </c>
      <c r="C21" s="6" t="s">
        <v>229</v>
      </c>
      <c r="D21" s="9" t="s">
        <v>230</v>
      </c>
      <c r="E21" s="9" t="s">
        <v>231</v>
      </c>
      <c r="F21" s="9" t="s">
        <v>232</v>
      </c>
      <c r="G21" s="8" t="s">
        <v>233</v>
      </c>
    </row>
    <row r="22" spans="1:7" ht="33" thickBot="1" x14ac:dyDescent="0.4">
      <c r="A22" s="6" t="s">
        <v>234</v>
      </c>
      <c r="B22" s="10" t="s">
        <v>235</v>
      </c>
      <c r="C22" s="8" t="s">
        <v>236</v>
      </c>
      <c r="D22" s="9" t="s">
        <v>237</v>
      </c>
      <c r="E22" s="9" t="s">
        <v>238</v>
      </c>
      <c r="F22" s="9" t="s">
        <v>239</v>
      </c>
      <c r="G22" s="8" t="s">
        <v>240</v>
      </c>
    </row>
    <row r="23" spans="1:7" x14ac:dyDescent="0.25">
      <c r="A23" s="60" t="s">
        <v>241</v>
      </c>
      <c r="B23" s="62" t="s">
        <v>242</v>
      </c>
      <c r="C23" s="4" t="s">
        <v>243</v>
      </c>
      <c r="D23" s="64" t="s">
        <v>245</v>
      </c>
      <c r="E23" s="64" t="s">
        <v>246</v>
      </c>
      <c r="F23" s="64" t="s">
        <v>247</v>
      </c>
      <c r="G23" s="66" t="s">
        <v>248</v>
      </c>
    </row>
    <row r="24" spans="1:7" ht="55.5" thickBot="1" x14ac:dyDescent="0.3">
      <c r="A24" s="61"/>
      <c r="B24" s="63"/>
      <c r="C24" s="5" t="s">
        <v>244</v>
      </c>
      <c r="D24" s="65"/>
      <c r="E24" s="65"/>
      <c r="F24" s="65"/>
      <c r="G24" s="67"/>
    </row>
    <row r="25" spans="1:7" x14ac:dyDescent="0.25">
      <c r="A25" s="60" t="s">
        <v>249</v>
      </c>
      <c r="B25" s="62" t="s">
        <v>250</v>
      </c>
      <c r="C25" s="4" t="s">
        <v>251</v>
      </c>
      <c r="D25" s="64" t="s">
        <v>253</v>
      </c>
      <c r="E25" s="64" t="s">
        <v>254</v>
      </c>
      <c r="F25" s="64" t="s">
        <v>255</v>
      </c>
      <c r="G25" s="58" t="s">
        <v>256</v>
      </c>
    </row>
    <row r="26" spans="1:7" ht="55.5" thickBot="1" x14ac:dyDescent="0.3">
      <c r="A26" s="61"/>
      <c r="B26" s="63"/>
      <c r="C26" s="5" t="s">
        <v>252</v>
      </c>
      <c r="D26" s="65"/>
      <c r="E26" s="65"/>
      <c r="F26" s="65"/>
      <c r="G26" s="59"/>
    </row>
    <row r="27" spans="1:7" x14ac:dyDescent="0.25">
      <c r="A27" s="60" t="s">
        <v>257</v>
      </c>
      <c r="B27" s="62" t="s">
        <v>258</v>
      </c>
      <c r="C27" s="4" t="s">
        <v>259</v>
      </c>
      <c r="D27" s="64" t="s">
        <v>260</v>
      </c>
      <c r="E27" s="64" t="s">
        <v>261</v>
      </c>
      <c r="F27" s="64" t="s">
        <v>262</v>
      </c>
      <c r="G27" s="58" t="s">
        <v>263</v>
      </c>
    </row>
    <row r="28" spans="1:7" ht="55.5" thickBot="1" x14ac:dyDescent="0.3">
      <c r="A28" s="61"/>
      <c r="B28" s="63"/>
      <c r="C28" s="5" t="s">
        <v>244</v>
      </c>
      <c r="D28" s="65"/>
      <c r="E28" s="65"/>
      <c r="F28" s="65"/>
      <c r="G28" s="59"/>
    </row>
    <row r="29" spans="1:7" x14ac:dyDescent="0.25">
      <c r="A29" s="60" t="s">
        <v>264</v>
      </c>
      <c r="B29" s="62" t="s">
        <v>265</v>
      </c>
      <c r="C29" s="4" t="s">
        <v>266</v>
      </c>
      <c r="D29" s="64" t="s">
        <v>267</v>
      </c>
      <c r="E29" s="64" t="s">
        <v>268</v>
      </c>
      <c r="F29" s="64" t="s">
        <v>269</v>
      </c>
      <c r="G29" s="66" t="s">
        <v>270</v>
      </c>
    </row>
    <row r="30" spans="1:7" ht="55.5" thickBot="1" x14ac:dyDescent="0.3">
      <c r="A30" s="61"/>
      <c r="B30" s="63"/>
      <c r="C30" s="5" t="s">
        <v>244</v>
      </c>
      <c r="D30" s="65"/>
      <c r="E30" s="65"/>
      <c r="F30" s="65"/>
      <c r="G30" s="67"/>
    </row>
    <row r="31" spans="1:7" ht="24" thickBot="1" x14ac:dyDescent="0.4">
      <c r="A31" s="6" t="s">
        <v>271</v>
      </c>
      <c r="B31" s="7" t="s">
        <v>272</v>
      </c>
      <c r="C31" s="8" t="s">
        <v>273</v>
      </c>
      <c r="D31" s="9" t="s">
        <v>274</v>
      </c>
      <c r="E31" s="9" t="s">
        <v>275</v>
      </c>
      <c r="F31" s="9" t="s">
        <v>276</v>
      </c>
      <c r="G31" s="8" t="s">
        <v>277</v>
      </c>
    </row>
    <row r="32" spans="1:7" ht="24" thickBot="1" x14ac:dyDescent="0.4">
      <c r="A32" s="6" t="s">
        <v>278</v>
      </c>
      <c r="B32" s="7" t="s">
        <v>279</v>
      </c>
      <c r="C32" s="8" t="s">
        <v>280</v>
      </c>
      <c r="D32" s="9" t="s">
        <v>281</v>
      </c>
      <c r="E32" s="9" t="s">
        <v>282</v>
      </c>
      <c r="F32" s="9" t="s">
        <v>283</v>
      </c>
      <c r="G32" s="8" t="s">
        <v>284</v>
      </c>
    </row>
    <row r="33" spans="1:7" ht="24" thickBot="1" x14ac:dyDescent="0.4">
      <c r="A33" s="6" t="s">
        <v>285</v>
      </c>
      <c r="B33" s="7" t="s">
        <v>286</v>
      </c>
      <c r="C33" s="8" t="s">
        <v>287</v>
      </c>
      <c r="D33" s="9" t="s">
        <v>288</v>
      </c>
      <c r="E33" s="9" t="s">
        <v>289</v>
      </c>
      <c r="F33" s="9" t="s">
        <v>290</v>
      </c>
      <c r="G33" s="8" t="s">
        <v>291</v>
      </c>
    </row>
    <row r="34" spans="1:7" ht="24" thickBot="1" x14ac:dyDescent="0.4">
      <c r="A34" s="6" t="s">
        <v>292</v>
      </c>
      <c r="B34" s="7" t="s">
        <v>293</v>
      </c>
      <c r="C34" s="8" t="s">
        <v>294</v>
      </c>
      <c r="D34" s="9" t="s">
        <v>295</v>
      </c>
      <c r="E34" s="9" t="s">
        <v>296</v>
      </c>
      <c r="F34" s="9" t="s">
        <v>297</v>
      </c>
      <c r="G34" s="8" t="s">
        <v>298</v>
      </c>
    </row>
    <row r="35" spans="1:7" ht="30" x14ac:dyDescent="0.25">
      <c r="A35" s="60" t="s">
        <v>299</v>
      </c>
      <c r="B35" s="62" t="s">
        <v>300</v>
      </c>
      <c r="C35" s="4" t="s">
        <v>301</v>
      </c>
      <c r="D35" s="64" t="s">
        <v>303</v>
      </c>
      <c r="E35" s="64" t="s">
        <v>303</v>
      </c>
      <c r="F35" s="64" t="s">
        <v>304</v>
      </c>
      <c r="G35" s="66" t="s">
        <v>304</v>
      </c>
    </row>
    <row r="36" spans="1:7" ht="52.5" thickBot="1" x14ac:dyDescent="0.3">
      <c r="A36" s="61"/>
      <c r="B36" s="63"/>
      <c r="C36" s="5" t="s">
        <v>302</v>
      </c>
      <c r="D36" s="65"/>
      <c r="E36" s="65"/>
      <c r="F36" s="65"/>
      <c r="G36" s="67"/>
    </row>
    <row r="37" spans="1:7" ht="30" x14ac:dyDescent="0.25">
      <c r="A37" s="60" t="s">
        <v>305</v>
      </c>
      <c r="B37" s="62" t="s">
        <v>306</v>
      </c>
      <c r="C37" s="4" t="s">
        <v>307</v>
      </c>
      <c r="D37" s="64" t="s">
        <v>309</v>
      </c>
      <c r="E37" s="64" t="s">
        <v>310</v>
      </c>
      <c r="F37" s="64" t="s">
        <v>311</v>
      </c>
      <c r="G37" s="58" t="s">
        <v>312</v>
      </c>
    </row>
    <row r="38" spans="1:7" ht="52.5" thickBot="1" x14ac:dyDescent="0.3">
      <c r="A38" s="61"/>
      <c r="B38" s="63"/>
      <c r="C38" s="5" t="s">
        <v>308</v>
      </c>
      <c r="D38" s="65"/>
      <c r="E38" s="65"/>
      <c r="F38" s="65"/>
      <c r="G38" s="59"/>
    </row>
  </sheetData>
  <mergeCells count="53">
    <mergeCell ref="A1:A2"/>
    <mergeCell ref="B1:B2"/>
    <mergeCell ref="C1:C2"/>
    <mergeCell ref="D1:F1"/>
    <mergeCell ref="G1:G2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1"/>
  <sheetViews>
    <sheetView topLeftCell="A865" workbookViewId="0">
      <selection activeCell="D2" sqref="D2:E869"/>
    </sheetView>
  </sheetViews>
  <sheetFormatPr defaultColWidth="9.125" defaultRowHeight="15.75" x14ac:dyDescent="0.25"/>
  <cols>
    <col min="1" max="2" width="25.75" style="29" customWidth="1"/>
    <col min="3" max="16384" width="9.125" style="27"/>
  </cols>
  <sheetData>
    <row r="1" spans="1:7" x14ac:dyDescent="0.25">
      <c r="A1" s="28" t="str">
        <f t="shared" ref="A1" ca="1" si="0">IF(MOD(ROW()-2,3)=0, INDIRECT("Sheet1!A" &amp;4+((ROW()-2)/3)-2), "")</f>
        <v/>
      </c>
    </row>
    <row r="2" spans="1:7" x14ac:dyDescent="0.25">
      <c r="A2" s="27"/>
      <c r="B2" s="27"/>
      <c r="D2" s="75" t="str">
        <f ca="1">IF(MOD(ROW()-2,2)=0, INDIRECT("Sheet1!A" &amp;4+((ROW()-2)/2)-2), "")</f>
        <v>Time</v>
      </c>
      <c r="E2" s="40" t="str">
        <f ca="1">IF(MOD(ROW()-2,2)=0, INDIRECT("Sheet1!D" &amp;4+((ROW()-2)/2)-2), "")</f>
        <v>wa'et</v>
      </c>
    </row>
    <row r="3" spans="1:7" ht="15" customHeight="1" thickBot="1" x14ac:dyDescent="0.3">
      <c r="A3" s="27"/>
      <c r="B3" s="27"/>
      <c r="D3" s="75"/>
      <c r="E3" s="41" t="str">
        <f ca="1">IF(MOD(ROW()-3,2)=0, INDIRECT("Sheet1!E" &amp;4+((ROW()-3)/2)-2), "")</f>
        <v>وَقت</v>
      </c>
    </row>
    <row r="4" spans="1:7" ht="16.5" thickTop="1" x14ac:dyDescent="0.25">
      <c r="A4" s="37" t="str">
        <f t="shared" ref="A4:A6" ca="1" si="1">IF(MOD(ROW()-2,2)=0, INDIRECT("Sheet1!A" &amp;4+((ROW()-2)/2)-2), "")</f>
        <v>Timing</v>
      </c>
      <c r="B4" s="30" t="str">
        <f t="shared" ref="B4" ca="1" si="2">IF(MOD(ROW()-2,2)=0, INDIRECT("Sheet1!D" &amp;4+((ROW()-2)/2)-2), "")</f>
        <v>touw'eet</v>
      </c>
      <c r="D4" s="75" t="str">
        <f t="shared" ref="D4" ca="1" si="3">IF(MOD(ROW()-2,2)=0, INDIRECT("Sheet1!A" &amp;4+((ROW()-2)/2)-2), "")</f>
        <v>Timing</v>
      </c>
      <c r="E4" s="40" t="str">
        <f t="shared" ref="E4" ca="1" si="4">IF(MOD(ROW()-2,2)=0, INDIRECT("Sheet1!D" &amp;4+((ROW()-2)/2)-2), "")</f>
        <v>touw'eet</v>
      </c>
      <c r="G4" s="42"/>
    </row>
    <row r="5" spans="1:7" ht="15" customHeight="1" x14ac:dyDescent="0.25">
      <c r="A5" s="37" t="str">
        <f t="shared" ca="1" si="1"/>
        <v/>
      </c>
      <c r="B5" s="31" t="str">
        <f t="shared" ref="B5" ca="1" si="5">IF(MOD(ROW()-3,2)=0, INDIRECT("Sheet1!E" &amp;4+((ROW()-3)/2)-2), "")</f>
        <v>توقيت</v>
      </c>
      <c r="D5" s="75"/>
      <c r="E5" s="41" t="str">
        <f t="shared" ref="E5" ca="1" si="6">IF(MOD(ROW()-3,2)=0, INDIRECT("Sheet1!E" &amp;4+((ROW()-3)/2)-2), "")</f>
        <v>توقيت</v>
      </c>
    </row>
    <row r="6" spans="1:7" x14ac:dyDescent="0.25">
      <c r="A6" s="37" t="str">
        <f t="shared" ca="1" si="1"/>
        <v>Hour</v>
      </c>
      <c r="B6" s="30" t="str">
        <f t="shared" ref="B6" ca="1" si="7">IF(MOD(ROW()-2,2)=0, INDIRECT("Sheet1!D" &amp;4+((ROW()-2)/2)-2), "")</f>
        <v>sei3a</v>
      </c>
      <c r="D6" s="75" t="str">
        <f t="shared" ref="D6" ca="1" si="8">IF(MOD(ROW()-2,2)=0, INDIRECT("Sheet1!A" &amp;4+((ROW()-2)/2)-2), "")</f>
        <v>Hour</v>
      </c>
      <c r="E6" s="40" t="str">
        <f t="shared" ref="E6" ca="1" si="9">IF(MOD(ROW()-2,2)=0, INDIRECT("Sheet1!D" &amp;4+((ROW()-2)/2)-2), "")</f>
        <v>sei3a</v>
      </c>
    </row>
    <row r="7" spans="1:7" ht="15" customHeight="1" x14ac:dyDescent="0.25">
      <c r="A7" s="38"/>
      <c r="B7" s="31" t="str">
        <f t="shared" ref="B7" ca="1" si="10">IF(MOD(ROW()-3,2)=0, INDIRECT("Sheet1!E" &amp;4+((ROW()-3)/2)-2), "")</f>
        <v>ساعَة</v>
      </c>
      <c r="D7" s="75"/>
      <c r="E7" s="41" t="str">
        <f t="shared" ref="E7" ca="1" si="11">IF(MOD(ROW()-3,2)=0, INDIRECT("Sheet1!E" &amp;4+((ROW()-3)/2)-2), "")</f>
        <v>ساعَة</v>
      </c>
    </row>
    <row r="8" spans="1:7" x14ac:dyDescent="0.25">
      <c r="A8" s="38"/>
      <c r="B8" s="30" t="str">
        <f t="shared" ref="B8" ca="1" si="12">IF(MOD(ROW()-2,2)=0, INDIRECT("Sheet1!D" &amp;4+((ROW()-2)/2)-2), "")</f>
        <v>se3tein</v>
      </c>
      <c r="D8" s="75" t="str">
        <f t="shared" ref="D8" ca="1" si="13">IF(MOD(ROW()-2,2)=0, INDIRECT("Sheet1!A" &amp;4+((ROW()-2)/2)-2), "")</f>
        <v>2 hours</v>
      </c>
      <c r="E8" s="40" t="str">
        <f t="shared" ref="E8" ca="1" si="14">IF(MOD(ROW()-2,2)=0, INDIRECT("Sheet1!D" &amp;4+((ROW()-2)/2)-2), "")</f>
        <v>se3tein</v>
      </c>
    </row>
    <row r="9" spans="1:7" ht="15" customHeight="1" x14ac:dyDescent="0.25">
      <c r="A9" s="38"/>
      <c r="B9" s="31" t="str">
        <f t="shared" ref="B9" ca="1" si="15">IF(MOD(ROW()-3,2)=0, INDIRECT("Sheet1!E" &amp;4+((ROW()-3)/2)-2), "")</f>
        <v xml:space="preserve">ساعتين </v>
      </c>
      <c r="D9" s="75"/>
      <c r="E9" s="41" t="str">
        <f t="shared" ref="E9" ca="1" si="16">IF(MOD(ROW()-3,2)=0, INDIRECT("Sheet1!E" &amp;4+((ROW()-3)/2)-2), "")</f>
        <v xml:space="preserve">ساعتين </v>
      </c>
    </row>
    <row r="10" spans="1:7" x14ac:dyDescent="0.25">
      <c r="A10" s="38"/>
      <c r="B10" s="30" t="str">
        <f t="shared" ref="B10" ca="1" si="17">IF(MOD(ROW()-2,2)=0, INDIRECT("Sheet1!D" &amp;4+((ROW()-2)/2)-2), "")</f>
        <v>se3at</v>
      </c>
      <c r="D10" s="75" t="str">
        <f t="shared" ref="D10" ca="1" si="18">IF(MOD(ROW()-2,2)=0, INDIRECT("Sheet1!A" &amp;4+((ROW()-2)/2)-2), "")</f>
        <v xml:space="preserve">Hours </v>
      </c>
      <c r="E10" s="40" t="str">
        <f t="shared" ref="E10" ca="1" si="19">IF(MOD(ROW()-2,2)=0, INDIRECT("Sheet1!D" &amp;4+((ROW()-2)/2)-2), "")</f>
        <v>se3at</v>
      </c>
    </row>
    <row r="11" spans="1:7" ht="15" customHeight="1" x14ac:dyDescent="0.25">
      <c r="A11" s="38"/>
      <c r="B11" s="31" t="str">
        <f t="shared" ref="B11" ca="1" si="20">IF(MOD(ROW()-3,2)=0, INDIRECT("Sheet1!E" &amp;4+((ROW()-3)/2)-2), "")</f>
        <v xml:space="preserve">ساعات </v>
      </c>
      <c r="D11" s="75"/>
      <c r="E11" s="41" t="str">
        <f t="shared" ref="E11" ca="1" si="21">IF(MOD(ROW()-3,2)=0, INDIRECT("Sheet1!E" &amp;4+((ROW()-3)/2)-2), "")</f>
        <v xml:space="preserve">ساعات </v>
      </c>
    </row>
    <row r="12" spans="1:7" x14ac:dyDescent="0.25">
      <c r="A12" s="38"/>
      <c r="B12" s="30" t="str">
        <f t="shared" ref="B12" ca="1" si="22">IF(MOD(ROW()-2,2)=0, INDIRECT("Sheet1!D" &amp;4+((ROW()-2)/2)-2), "")</f>
        <v>d'i'a</v>
      </c>
      <c r="D12" s="75" t="str">
        <f t="shared" ref="D12" ca="1" si="23">IF(MOD(ROW()-2,2)=0, INDIRECT("Sheet1!A" &amp;4+((ROW()-2)/2)-2), "")</f>
        <v xml:space="preserve">Minute </v>
      </c>
      <c r="E12" s="40" t="str">
        <f t="shared" ref="E12" ca="1" si="24">IF(MOD(ROW()-2,2)=0, INDIRECT("Sheet1!D" &amp;4+((ROW()-2)/2)-2), "")</f>
        <v>d'i'a</v>
      </c>
    </row>
    <row r="13" spans="1:7" ht="15" customHeight="1" x14ac:dyDescent="0.25">
      <c r="A13" s="38"/>
      <c r="B13" s="31" t="str">
        <f t="shared" ref="B13" ca="1" si="25">IF(MOD(ROW()-3,2)=0, INDIRECT("Sheet1!E" &amp;4+((ROW()-3)/2)-2), "")</f>
        <v>دقيقَة</v>
      </c>
      <c r="D13" s="75"/>
      <c r="E13" s="41" t="str">
        <f t="shared" ref="E13" ca="1" si="26">IF(MOD(ROW()-3,2)=0, INDIRECT("Sheet1!E" &amp;4+((ROW()-3)/2)-2), "")</f>
        <v>دقيقَة</v>
      </c>
    </row>
    <row r="14" spans="1:7" x14ac:dyDescent="0.25">
      <c r="A14" s="38"/>
      <c r="B14" s="30" t="str">
        <f t="shared" ref="B14:B74" ca="1" si="27">IF(MOD(ROW()-2,2)=0, INDIRECT("Sheet1!D" &amp;4+((ROW()-2)/2)-2), "")</f>
        <v>d'i'tein</v>
      </c>
      <c r="D14" s="75" t="str">
        <f t="shared" ref="D14" ca="1" si="28">IF(MOD(ROW()-2,2)=0, INDIRECT("Sheet1!A" &amp;4+((ROW()-2)/2)-2), "")</f>
        <v xml:space="preserve">2 minutes </v>
      </c>
      <c r="E14" s="40" t="str">
        <f t="shared" ref="E14" ca="1" si="29">IF(MOD(ROW()-2,2)=0, INDIRECT("Sheet1!D" &amp;4+((ROW()-2)/2)-2), "")</f>
        <v>d'i'tein</v>
      </c>
    </row>
    <row r="15" spans="1:7" ht="15" customHeight="1" x14ac:dyDescent="0.25">
      <c r="A15" s="38"/>
      <c r="B15" s="31" t="str">
        <f t="shared" ref="B15:B75" ca="1" si="30">IF(MOD(ROW()-3,2)=0, INDIRECT("Sheet1!E" &amp;4+((ROW()-3)/2)-2), "")</f>
        <v>دقيقتين</v>
      </c>
      <c r="D15" s="75"/>
      <c r="E15" s="41" t="str">
        <f t="shared" ref="E15" ca="1" si="31">IF(MOD(ROW()-3,2)=0, INDIRECT("Sheet1!E" &amp;4+((ROW()-3)/2)-2), "")</f>
        <v>دقيقتين</v>
      </c>
    </row>
    <row r="16" spans="1:7" x14ac:dyDescent="0.25">
      <c r="A16" s="38"/>
      <c r="B16" s="30" t="str">
        <f t="shared" ref="B16:B76" ca="1" si="32">IF(MOD(ROW()-2,2)=0, INDIRECT("Sheet1!D" &amp;4+((ROW()-2)/2)-2), "")</f>
        <v>da'eyi'</v>
      </c>
      <c r="D16" s="75" t="str">
        <f t="shared" ref="D16" ca="1" si="33">IF(MOD(ROW()-2,2)=0, INDIRECT("Sheet1!A" &amp;4+((ROW()-2)/2)-2), "")</f>
        <v xml:space="preserve">Minutes </v>
      </c>
      <c r="E16" s="40" t="str">
        <f t="shared" ref="E16" ca="1" si="34">IF(MOD(ROW()-2,2)=0, INDIRECT("Sheet1!D" &amp;4+((ROW()-2)/2)-2), "")</f>
        <v>da'eyi'</v>
      </c>
    </row>
    <row r="17" spans="1:5" ht="15" customHeight="1" x14ac:dyDescent="0.25">
      <c r="A17" s="38"/>
      <c r="B17" s="31" t="str">
        <f t="shared" ref="B17:B77" ca="1" si="35">IF(MOD(ROW()-3,2)=0, INDIRECT("Sheet1!E" &amp;4+((ROW()-3)/2)-2), "")</f>
        <v>دَقايق</v>
      </c>
      <c r="D17" s="75"/>
      <c r="E17" s="41" t="str">
        <f t="shared" ref="E17" ca="1" si="36">IF(MOD(ROW()-3,2)=0, INDIRECT("Sheet1!E" &amp;4+((ROW()-3)/2)-2), "")</f>
        <v>دَقايق</v>
      </c>
    </row>
    <row r="18" spans="1:5" x14ac:dyDescent="0.25">
      <c r="A18" s="38"/>
      <c r="B18" s="30" t="str">
        <f t="shared" ref="B18:B78" ca="1" si="37">IF(MOD(ROW()-2,2)=0, INDIRECT("Sheet1!D" &amp;4+((ROW()-2)/2)-2), "")</f>
        <v>seinyeh</v>
      </c>
      <c r="D18" s="75" t="str">
        <f t="shared" ref="D18:D74" ca="1" si="38">IF(MOD(ROW()-2,2)=0, INDIRECT("Sheet1!A" &amp;4+((ROW()-2)/2)-2), "")</f>
        <v xml:space="preserve">Second </v>
      </c>
      <c r="E18" s="40" t="str">
        <f t="shared" ref="E18:E74" ca="1" si="39">IF(MOD(ROW()-2,2)=0, INDIRECT("Sheet1!D" &amp;4+((ROW()-2)/2)-2), "")</f>
        <v>seinyeh</v>
      </c>
    </row>
    <row r="19" spans="1:5" ht="15" customHeight="1" x14ac:dyDescent="0.25">
      <c r="A19" s="38"/>
      <c r="B19" s="31" t="str">
        <f t="shared" ref="B19:B79" ca="1" si="40">IF(MOD(ROW()-3,2)=0, INDIRECT("Sheet1!E" &amp;4+((ROW()-3)/2)-2), "")</f>
        <v xml:space="preserve">ثانية </v>
      </c>
      <c r="D19" s="75"/>
      <c r="E19" s="41" t="str">
        <f t="shared" ref="E19:E75" ca="1" si="41">IF(MOD(ROW()-3,2)=0, INDIRECT("Sheet1!E" &amp;4+((ROW()-3)/2)-2), "")</f>
        <v xml:space="preserve">ثانية </v>
      </c>
    </row>
    <row r="20" spans="1:5" x14ac:dyDescent="0.25">
      <c r="A20" s="38"/>
      <c r="B20" s="30" t="str">
        <f t="shared" ref="B20:B80" ca="1" si="42">IF(MOD(ROW()-2,2)=0, INDIRECT("Sheet1!D" &amp;4+((ROW()-2)/2)-2), "")</f>
        <v>senitein</v>
      </c>
      <c r="D20" s="75" t="str">
        <f t="shared" ref="D20:D76" ca="1" si="43">IF(MOD(ROW()-2,2)=0, INDIRECT("Sheet1!A" &amp;4+((ROW()-2)/2)-2), "")</f>
        <v xml:space="preserve">2 seconds </v>
      </c>
      <c r="E20" s="40" t="str">
        <f t="shared" ref="E20:E76" ca="1" si="44">IF(MOD(ROW()-2,2)=0, INDIRECT("Sheet1!D" &amp;4+((ROW()-2)/2)-2), "")</f>
        <v>senitein</v>
      </c>
    </row>
    <row r="21" spans="1:5" ht="15" customHeight="1" x14ac:dyDescent="0.25">
      <c r="A21" s="38"/>
      <c r="B21" s="31" t="str">
        <f t="shared" ref="B21:B81" ca="1" si="45">IF(MOD(ROW()-3,2)=0, INDIRECT("Sheet1!E" &amp;4+((ROW()-3)/2)-2), "")</f>
        <v xml:space="preserve">ثانتين </v>
      </c>
      <c r="D21" s="75"/>
      <c r="E21" s="41" t="str">
        <f t="shared" ref="E21:E77" ca="1" si="46">IF(MOD(ROW()-3,2)=0, INDIRECT("Sheet1!E" &amp;4+((ROW()-3)/2)-2), "")</f>
        <v xml:space="preserve">ثانتين </v>
      </c>
    </row>
    <row r="22" spans="1:5" x14ac:dyDescent="0.25">
      <c r="A22" s="38"/>
      <c r="B22" s="30" t="str">
        <f t="shared" ref="B22" ca="1" si="47">IF(MOD(ROW()-2,2)=0, INDIRECT("Sheet1!D" &amp;4+((ROW()-2)/2)-2), "")</f>
        <v>saweineh</v>
      </c>
      <c r="D22" s="75" t="str">
        <f t="shared" ref="D22:D78" ca="1" si="48">IF(MOD(ROW()-2,2)=0, INDIRECT("Sheet1!A" &amp;4+((ROW()-2)/2)-2), "")</f>
        <v xml:space="preserve">Seconds </v>
      </c>
      <c r="E22" s="40" t="str">
        <f t="shared" ref="E22:E78" ca="1" si="49">IF(MOD(ROW()-2,2)=0, INDIRECT("Sheet1!D" &amp;4+((ROW()-2)/2)-2), "")</f>
        <v>saweineh</v>
      </c>
    </row>
    <row r="23" spans="1:5" ht="15" customHeight="1" x14ac:dyDescent="0.25">
      <c r="A23" s="38"/>
      <c r="B23" s="31" t="str">
        <f t="shared" ref="B23" ca="1" si="50">IF(MOD(ROW()-3,2)=0, INDIRECT("Sheet1!E" &amp;4+((ROW()-3)/2)-2), "")</f>
        <v xml:space="preserve">ثواني </v>
      </c>
      <c r="D23" s="75"/>
      <c r="E23" s="41" t="str">
        <f t="shared" ref="E23:E79" ca="1" si="51">IF(MOD(ROW()-3,2)=0, INDIRECT("Sheet1!E" &amp;4+((ROW()-3)/2)-2), "")</f>
        <v xml:space="preserve">ثواني </v>
      </c>
    </row>
    <row r="24" spans="1:5" ht="31.5" x14ac:dyDescent="0.25">
      <c r="A24" s="38"/>
      <c r="B24" s="30" t="str">
        <f t="shared" ca="1" si="27"/>
        <v>abel el doher</v>
      </c>
      <c r="D24" s="75" t="str">
        <f t="shared" ref="D24:D80" ca="1" si="52">IF(MOD(ROW()-2,2)=0, INDIRECT("Sheet1!A" &amp;4+((ROW()-2)/2)-2), "")</f>
        <v>A.M</v>
      </c>
      <c r="E24" s="40" t="str">
        <f t="shared" ref="E24:E80" ca="1" si="53">IF(MOD(ROW()-2,2)=0, INDIRECT("Sheet1!D" &amp;4+((ROW()-2)/2)-2), "")</f>
        <v>abel el doher</v>
      </c>
    </row>
    <row r="25" spans="1:5" ht="15" customHeight="1" x14ac:dyDescent="0.25">
      <c r="A25" s="38"/>
      <c r="B25" s="31" t="str">
        <f t="shared" ca="1" si="30"/>
        <v>قَبل الضُهر</v>
      </c>
      <c r="D25" s="75"/>
      <c r="E25" s="41" t="str">
        <f t="shared" ref="E25:E81" ca="1" si="54">IF(MOD(ROW()-3,2)=0, INDIRECT("Sheet1!E" &amp;4+((ROW()-3)/2)-2), "")</f>
        <v>قَبل الضُهر</v>
      </c>
    </row>
    <row r="26" spans="1:5" ht="31.5" x14ac:dyDescent="0.25">
      <c r="A26" s="38"/>
      <c r="B26" s="30" t="str">
        <f t="shared" ca="1" si="32"/>
        <v>ba3ed el doher</v>
      </c>
      <c r="D26" s="75" t="str">
        <f t="shared" ref="D26:D82" ca="1" si="55">IF(MOD(ROW()-2,2)=0, INDIRECT("Sheet1!A" &amp;4+((ROW()-2)/2)-2), "")</f>
        <v xml:space="preserve">P.M </v>
      </c>
      <c r="E26" s="40" t="str">
        <f t="shared" ref="E26:E82" ca="1" si="56">IF(MOD(ROW()-2,2)=0, INDIRECT("Sheet1!D" &amp;4+((ROW()-2)/2)-2), "")</f>
        <v>ba3ed el doher</v>
      </c>
    </row>
    <row r="27" spans="1:5" ht="15" customHeight="1" x14ac:dyDescent="0.25">
      <c r="A27" s="38"/>
      <c r="B27" s="31" t="str">
        <f t="shared" ca="1" si="35"/>
        <v xml:space="preserve">بَعد الضُهر </v>
      </c>
      <c r="D27" s="75"/>
      <c r="E27" s="41" t="str">
        <f t="shared" ref="E27:E83" ca="1" si="57">IF(MOD(ROW()-3,2)=0, INDIRECT("Sheet1!E" &amp;4+((ROW()-3)/2)-2), "")</f>
        <v xml:space="preserve">بَعد الضُهر </v>
      </c>
    </row>
    <row r="28" spans="1:5" x14ac:dyDescent="0.25">
      <c r="A28" s="38"/>
      <c r="B28" s="30" t="str">
        <f t="shared" ca="1" si="37"/>
        <v>m'akhar</v>
      </c>
      <c r="D28" s="75" t="str">
        <f t="shared" ref="D28:D84" ca="1" si="58">IF(MOD(ROW()-2,2)=0, INDIRECT("Sheet1!A" &amp;4+((ROW()-2)/2)-2), "")</f>
        <v xml:space="preserve">It's late </v>
      </c>
      <c r="E28" s="40" t="str">
        <f t="shared" ref="E28:E84" ca="1" si="59">IF(MOD(ROW()-2,2)=0, INDIRECT("Sheet1!D" &amp;4+((ROW()-2)/2)-2), "")</f>
        <v>m'akhar</v>
      </c>
    </row>
    <row r="29" spans="1:5" ht="15" customHeight="1" x14ac:dyDescent="0.25">
      <c r="A29" s="38"/>
      <c r="B29" s="31" t="str">
        <f t="shared" ca="1" si="40"/>
        <v xml:space="preserve">مأخَّر </v>
      </c>
      <c r="D29" s="75"/>
      <c r="E29" s="41" t="str">
        <f t="shared" ref="E29:E85" ca="1" si="60">IF(MOD(ROW()-3,2)=0, INDIRECT("Sheet1!E" &amp;4+((ROW()-3)/2)-2), "")</f>
        <v xml:space="preserve">مأخَّر </v>
      </c>
    </row>
    <row r="30" spans="1:5" x14ac:dyDescent="0.25">
      <c r="A30" s="38"/>
      <c r="B30" s="30" t="str">
        <f t="shared" ca="1" si="42"/>
        <v>bakkeer</v>
      </c>
      <c r="D30" s="75" t="str">
        <f t="shared" ref="D30" ca="1" si="61">IF(MOD(ROW()-2,2)=0, INDIRECT("Sheet1!A" &amp;4+((ROW()-2)/2)-2), "")</f>
        <v xml:space="preserve">It's early </v>
      </c>
      <c r="E30" s="40" t="str">
        <f t="shared" ref="E30" ca="1" si="62">IF(MOD(ROW()-2,2)=0, INDIRECT("Sheet1!D" &amp;4+((ROW()-2)/2)-2), "")</f>
        <v>bakkeer</v>
      </c>
    </row>
    <row r="31" spans="1:5" ht="15" customHeight="1" x14ac:dyDescent="0.25">
      <c r="A31" s="38"/>
      <c r="B31" s="31" t="str">
        <f t="shared" ca="1" si="45"/>
        <v xml:space="preserve">بكّير </v>
      </c>
      <c r="D31" s="75"/>
      <c r="E31" s="41" t="str">
        <f t="shared" ref="E31" ca="1" si="63">IF(MOD(ROW()-3,2)=0, INDIRECT("Sheet1!E" &amp;4+((ROW()-3)/2)-2), "")</f>
        <v xml:space="preserve">بكّير </v>
      </c>
    </row>
    <row r="32" spans="1:5" ht="31.5" x14ac:dyDescent="0.25">
      <c r="A32" s="38"/>
      <c r="B32" s="30" t="str">
        <f t="shared" ref="B32" ca="1" si="64">IF(MOD(ROW()-2,2)=0, INDIRECT("Sheet1!D" &amp;4+((ROW()-2)/2)-2), "")</f>
        <v>addeh el sei3a?</v>
      </c>
      <c r="D32" s="75" t="str">
        <f t="shared" ca="1" si="38"/>
        <v>What time is it?</v>
      </c>
      <c r="E32" s="40" t="str">
        <f t="shared" ca="1" si="39"/>
        <v>addeh el sei3a?</v>
      </c>
    </row>
    <row r="33" spans="1:5" ht="15" customHeight="1" x14ac:dyDescent="0.25">
      <c r="A33" s="38"/>
      <c r="B33" s="31" t="str">
        <f t="shared" ref="B33" ca="1" si="65">IF(MOD(ROW()-3,2)=0, INDIRECT("Sheet1!E" &amp;4+((ROW()-3)/2)-2), "")</f>
        <v>أدّي الساعَة؟</v>
      </c>
      <c r="D33" s="75"/>
      <c r="E33" s="41" t="str">
        <f t="shared" ca="1" si="41"/>
        <v>أدّي الساعَة؟</v>
      </c>
    </row>
    <row r="34" spans="1:5" ht="47.25" x14ac:dyDescent="0.25">
      <c r="A34" s="38"/>
      <c r="B34" s="30" t="str">
        <f t="shared" ca="1" si="27"/>
        <v>weHdeh 'ella 3ashra</v>
      </c>
      <c r="D34" s="75" t="str">
        <f t="shared" ca="1" si="43"/>
        <v xml:space="preserve">10 to 1 </v>
      </c>
      <c r="E34" s="40" t="str">
        <f t="shared" ca="1" si="44"/>
        <v>weHdeh 'ella 3ashra</v>
      </c>
    </row>
    <row r="35" spans="1:5" ht="15" customHeight="1" x14ac:dyDescent="0.25">
      <c r="A35" s="38"/>
      <c r="B35" s="31" t="str">
        <f t="shared" ca="1" si="30"/>
        <v xml:space="preserve">وحدة إلاّ عَشرَة </v>
      </c>
      <c r="D35" s="75"/>
      <c r="E35" s="41" t="str">
        <f t="shared" ca="1" si="46"/>
        <v xml:space="preserve">وحدة إلاّ عَشرَة </v>
      </c>
    </row>
    <row r="36" spans="1:5" ht="31.5" x14ac:dyDescent="0.25">
      <c r="A36" s="38"/>
      <c r="B36" s="30" t="str">
        <f t="shared" ca="1" si="32"/>
        <v>setteh w khamseh</v>
      </c>
      <c r="D36" s="75" t="str">
        <f t="shared" ca="1" si="48"/>
        <v xml:space="preserve">5 past 6 </v>
      </c>
      <c r="E36" s="40" t="str">
        <f t="shared" ca="1" si="49"/>
        <v>setteh w khamseh</v>
      </c>
    </row>
    <row r="37" spans="1:5" ht="15" customHeight="1" x14ac:dyDescent="0.25">
      <c r="A37" s="38"/>
      <c r="B37" s="31" t="str">
        <f t="shared" ca="1" si="35"/>
        <v xml:space="preserve">ستّة و خَمسة </v>
      </c>
      <c r="D37" s="75"/>
      <c r="E37" s="41" t="str">
        <f t="shared" ca="1" si="51"/>
        <v xml:space="preserve">ستّة و خَمسة </v>
      </c>
    </row>
    <row r="38" spans="1:5" ht="47.25" x14ac:dyDescent="0.25">
      <c r="A38" s="38"/>
      <c r="B38" s="30" t="str">
        <f t="shared" ca="1" si="37"/>
        <v>setteh 'ella khamseh</v>
      </c>
      <c r="D38" s="75" t="str">
        <f t="shared" ca="1" si="52"/>
        <v xml:space="preserve">5 to 6 </v>
      </c>
      <c r="E38" s="40" t="str">
        <f t="shared" ca="1" si="53"/>
        <v>setteh 'ella khamseh</v>
      </c>
    </row>
    <row r="39" spans="1:5" ht="15" customHeight="1" x14ac:dyDescent="0.25">
      <c r="A39" s="38"/>
      <c r="B39" s="31" t="str">
        <f t="shared" ca="1" si="40"/>
        <v xml:space="preserve">ستّة إلاّ خَمسة </v>
      </c>
      <c r="D39" s="75"/>
      <c r="E39" s="41" t="str">
        <f t="shared" ca="1" si="54"/>
        <v xml:space="preserve">ستّة إلاّ خَمسة </v>
      </c>
    </row>
    <row r="40" spans="1:5" ht="31.5" x14ac:dyDescent="0.25">
      <c r="A40" s="38"/>
      <c r="B40" s="30" t="str">
        <f t="shared" ca="1" si="42"/>
        <v>tna3sh 'ella rebe3</v>
      </c>
      <c r="D40" s="75">
        <f t="shared" ca="1" si="55"/>
        <v>0.48958333333333331</v>
      </c>
      <c r="E40" s="40" t="str">
        <f t="shared" ca="1" si="56"/>
        <v>tna3sh 'ella rebe3</v>
      </c>
    </row>
    <row r="41" spans="1:5" ht="15" customHeight="1" x14ac:dyDescent="0.25">
      <c r="A41" s="38"/>
      <c r="B41" s="31" t="str">
        <f t="shared" ca="1" si="45"/>
        <v xml:space="preserve">تنعش و ربع </v>
      </c>
      <c r="D41" s="75"/>
      <c r="E41" s="41" t="str">
        <f t="shared" ca="1" si="57"/>
        <v xml:space="preserve">تنعش و ربع </v>
      </c>
    </row>
    <row r="42" spans="1:5" ht="47.25" x14ac:dyDescent="0.25">
      <c r="A42" s="38"/>
      <c r="B42" s="30" t="str">
        <f t="shared" ref="B42" ca="1" si="66">IF(MOD(ROW()-2,2)=0, INDIRECT("Sheet1!D" &amp;4+((ROW()-2)/2)-2), "")</f>
        <v>tnein(tentein) w noss</v>
      </c>
      <c r="D42" s="75">
        <f t="shared" ca="1" si="58"/>
        <v>0.10416666666666667</v>
      </c>
      <c r="E42" s="40" t="str">
        <f t="shared" ca="1" si="59"/>
        <v>tnein(tentein) w noss</v>
      </c>
    </row>
    <row r="43" spans="1:5" ht="15" customHeight="1" x14ac:dyDescent="0.25">
      <c r="A43" s="38"/>
      <c r="B43" s="31" t="str">
        <f t="shared" ref="B43" ca="1" si="67">IF(MOD(ROW()-3,2)=0, INDIRECT("Sheet1!E" &amp;4+((ROW()-3)/2)-2), "")</f>
        <v xml:space="preserve">تنين (تنتين)  و نُصّ </v>
      </c>
      <c r="D43" s="75"/>
      <c r="E43" s="41" t="str">
        <f t="shared" ca="1" si="60"/>
        <v xml:space="preserve">تنين (تنتين)  و نُصّ </v>
      </c>
    </row>
    <row r="44" spans="1:5" ht="47.25" x14ac:dyDescent="0.25">
      <c r="A44" s="38"/>
      <c r="B44" s="30" t="str">
        <f t="shared" ca="1" si="27"/>
        <v>tleiteh w noss 'ella khamseh</v>
      </c>
      <c r="D44" s="75">
        <f t="shared" ref="D44" ca="1" si="68">IF(MOD(ROW()-2,2)=0, INDIRECT("Sheet1!A" &amp;4+((ROW()-2)/2)-2), "")</f>
        <v>0.1423611111111111</v>
      </c>
      <c r="E44" s="40" t="str">
        <f t="shared" ref="E44" ca="1" si="69">IF(MOD(ROW()-2,2)=0, INDIRECT("Sheet1!D" &amp;4+((ROW()-2)/2)-2), "")</f>
        <v>tleiteh w noss 'ella khamseh</v>
      </c>
    </row>
    <row r="45" spans="1:5" ht="15" customHeight="1" x14ac:dyDescent="0.25">
      <c r="A45" s="38"/>
      <c r="B45" s="31" t="str">
        <f t="shared" ca="1" si="30"/>
        <v xml:space="preserve">تلاتي و نُصّ إلاّ خَمسة </v>
      </c>
      <c r="D45" s="75"/>
      <c r="E45" s="41" t="str">
        <f t="shared" ref="E45" ca="1" si="70">IF(MOD(ROW()-3,2)=0, INDIRECT("Sheet1!E" &amp;4+((ROW()-3)/2)-2), "")</f>
        <v xml:space="preserve">تلاتي و نُصّ إلاّ خَمسة </v>
      </c>
    </row>
    <row r="46" spans="1:5" ht="47.25" x14ac:dyDescent="0.25">
      <c r="A46" s="38"/>
      <c r="B46" s="30" t="str">
        <f t="shared" ca="1" si="32"/>
        <v>tleiteh w noss w khamseh</v>
      </c>
      <c r="D46" s="75">
        <f t="shared" ca="1" si="38"/>
        <v>0.14930555555555555</v>
      </c>
      <c r="E46" s="40" t="str">
        <f t="shared" ca="1" si="39"/>
        <v>tleiteh w noss w khamseh</v>
      </c>
    </row>
    <row r="47" spans="1:5" ht="15" customHeight="1" x14ac:dyDescent="0.25">
      <c r="A47" s="38"/>
      <c r="B47" s="31" t="str">
        <f t="shared" ca="1" si="35"/>
        <v xml:space="preserve">تلاتي و نُصّ و خَمسة </v>
      </c>
      <c r="D47" s="75"/>
      <c r="E47" s="41" t="str">
        <f t="shared" ca="1" si="41"/>
        <v xml:space="preserve">تلاتي و نُصّ و خَمسة </v>
      </c>
    </row>
    <row r="48" spans="1:5" ht="31.5" x14ac:dyDescent="0.25">
      <c r="A48" s="38"/>
      <c r="B48" s="30" t="str">
        <f t="shared" ca="1" si="37"/>
        <v>tleiteh w rebe3</v>
      </c>
      <c r="D48" s="75">
        <f t="shared" ca="1" si="43"/>
        <v>0.13541666666666666</v>
      </c>
      <c r="E48" s="40" t="str">
        <f t="shared" ca="1" si="44"/>
        <v>tleiteh w rebe3</v>
      </c>
    </row>
    <row r="49" spans="1:5" ht="15" customHeight="1" x14ac:dyDescent="0.25">
      <c r="A49" s="38"/>
      <c r="B49" s="31" t="str">
        <f t="shared" ca="1" si="40"/>
        <v xml:space="preserve">تلاتي و ربع </v>
      </c>
      <c r="D49" s="75"/>
      <c r="E49" s="41" t="str">
        <f t="shared" ca="1" si="46"/>
        <v xml:space="preserve">تلاتي و ربع </v>
      </c>
    </row>
    <row r="50" spans="1:5" ht="31.5" x14ac:dyDescent="0.25">
      <c r="A50" s="38"/>
      <c r="B50" s="30" t="str">
        <f t="shared" ca="1" si="42"/>
        <v>tleiteh w telet</v>
      </c>
      <c r="D50" s="75">
        <f t="shared" ca="1" si="48"/>
        <v>0.1388888888888889</v>
      </c>
      <c r="E50" s="40" t="str">
        <f t="shared" ca="1" si="49"/>
        <v>tleiteh w telet</v>
      </c>
    </row>
    <row r="51" spans="1:5" ht="15" customHeight="1" x14ac:dyDescent="0.25">
      <c r="A51" s="38"/>
      <c r="B51" s="31" t="str">
        <f t="shared" ca="1" si="45"/>
        <v xml:space="preserve">تلاتي و تلت </v>
      </c>
      <c r="D51" s="75"/>
      <c r="E51" s="41" t="str">
        <f t="shared" ca="1" si="51"/>
        <v xml:space="preserve">تلاتي و تلت </v>
      </c>
    </row>
    <row r="52" spans="1:5" ht="31.5" x14ac:dyDescent="0.25">
      <c r="A52" s="38"/>
      <c r="B52" s="30" t="str">
        <f t="shared" ref="B52" ca="1" si="71">IF(MOD(ROW()-2,2)=0, INDIRECT("Sheet1!D" &amp;4+((ROW()-2)/2)-2), "")</f>
        <v>arb3a 'ella telet</v>
      </c>
      <c r="D52" s="75">
        <f t="shared" ca="1" si="52"/>
        <v>0.15277777777777776</v>
      </c>
      <c r="E52" s="40" t="str">
        <f t="shared" ca="1" si="53"/>
        <v>arb3a 'ella telet</v>
      </c>
    </row>
    <row r="53" spans="1:5" ht="15" customHeight="1" x14ac:dyDescent="0.25">
      <c r="A53" s="38"/>
      <c r="B53" s="31" t="str">
        <f t="shared" ref="B53" ca="1" si="72">IF(MOD(ROW()-3,2)=0, INDIRECT("Sheet1!E" &amp;4+((ROW()-3)/2)-2), "")</f>
        <v xml:space="preserve">أربعَة إلاّ تلت </v>
      </c>
      <c r="D53" s="75"/>
      <c r="E53" s="41" t="str">
        <f t="shared" ca="1" si="54"/>
        <v xml:space="preserve">أربعَة إلاّ تلت </v>
      </c>
    </row>
    <row r="54" spans="1:5" ht="63" x14ac:dyDescent="0.25">
      <c r="A54" s="38"/>
      <c r="B54" s="30" t="str">
        <f t="shared" ca="1" si="27"/>
        <v>raH ousal ba3ed sei3a aw se3tein</v>
      </c>
      <c r="D54" s="75" t="str">
        <f t="shared" ca="1" si="55"/>
        <v xml:space="preserve">I'll be there in an hour or two </v>
      </c>
      <c r="E54" s="40" t="str">
        <f t="shared" ca="1" si="56"/>
        <v>raH ousal ba3ed sei3a aw se3tein</v>
      </c>
    </row>
    <row r="55" spans="1:5" ht="15" customHeight="1" x14ac:dyDescent="0.25">
      <c r="A55" s="38"/>
      <c r="B55" s="31" t="str">
        <f t="shared" ca="1" si="30"/>
        <v xml:space="preserve">رَ أوصَل بَعد ساعَة أو ساعتَين </v>
      </c>
      <c r="D55" s="75"/>
      <c r="E55" s="41" t="str">
        <f t="shared" ca="1" si="57"/>
        <v xml:space="preserve">رَ أوصَل بَعد ساعَة أو ساعتَين </v>
      </c>
    </row>
    <row r="56" spans="1:5" ht="47.25" x14ac:dyDescent="0.25">
      <c r="A56" s="38"/>
      <c r="B56" s="30" t="str">
        <f t="shared" ca="1" si="32"/>
        <v>natartak/ natartik noss sei3a</v>
      </c>
      <c r="D56" s="75" t="str">
        <f t="shared" ca="1" si="58"/>
        <v xml:space="preserve">I waited for yu for half an hour </v>
      </c>
      <c r="E56" s="40" t="str">
        <f t="shared" ca="1" si="59"/>
        <v>natartak/ natartik noss sei3a</v>
      </c>
    </row>
    <row r="57" spans="1:5" ht="15" customHeight="1" x14ac:dyDescent="0.25">
      <c r="A57" s="38"/>
      <c r="B57" s="31" t="str">
        <f t="shared" ca="1" si="35"/>
        <v>نَطَرتَك/ نَطَرتِك نُصّ ساعَة</v>
      </c>
      <c r="D57" s="75"/>
      <c r="E57" s="41" t="str">
        <f t="shared" ca="1" si="60"/>
        <v>نَطَرتَك/ نَطَرتِك نُصّ ساعَة</v>
      </c>
    </row>
    <row r="58" spans="1:5" ht="94.5" x14ac:dyDescent="0.25">
      <c r="A58" s="38"/>
      <c r="B58" s="30" t="str">
        <f t="shared" ca="1" si="37"/>
        <v>ekhteh wasleh (raH tousal) ba3ed tleit se3at</v>
      </c>
      <c r="D58" s="75" t="str">
        <f t="shared" ref="D58" ca="1" si="73">IF(MOD(ROW()-2,2)=0, INDIRECT("Sheet1!A" &amp;4+((ROW()-2)/2)-2), "")</f>
        <v xml:space="preserve">My sister is arriving in 3 hours </v>
      </c>
      <c r="E58" s="40" t="str">
        <f t="shared" ref="E58" ca="1" si="74">IF(MOD(ROW()-2,2)=0, INDIRECT("Sheet1!D" &amp;4+((ROW()-2)/2)-2), "")</f>
        <v>ekhteh wasleh (raH tousal) ba3ed tleit se3at</v>
      </c>
    </row>
    <row r="59" spans="1:5" ht="90" x14ac:dyDescent="0.25">
      <c r="A59" s="38"/>
      <c r="B59" s="31" t="str">
        <f t="shared" ca="1" si="40"/>
        <v xml:space="preserve">إختي واصلي (رَح توصَل) بَعد تلات ساعات </v>
      </c>
      <c r="D59" s="75"/>
      <c r="E59" s="41" t="str">
        <f t="shared" ref="E59" ca="1" si="75">IF(MOD(ROW()-3,2)=0, INDIRECT("Sheet1!E" &amp;4+((ROW()-3)/2)-2), "")</f>
        <v xml:space="preserve">إختي واصلي (رَح توصَل) بَعد تلات ساعات </v>
      </c>
    </row>
    <row r="60" spans="1:5" ht="63" x14ac:dyDescent="0.25">
      <c r="A60" s="38"/>
      <c r="B60" s="30" t="str">
        <f t="shared" ca="1" si="42"/>
        <v>d'i'a w bkoun ma3ak/ ma3ik</v>
      </c>
      <c r="D60" s="75" t="str">
        <f t="shared" ca="1" si="38"/>
        <v>1 minute and i will be with you</v>
      </c>
      <c r="E60" s="40" t="str">
        <f t="shared" ca="1" si="39"/>
        <v>d'i'a w bkoun ma3ak/ ma3ik</v>
      </c>
    </row>
    <row r="61" spans="1:5" ht="15" customHeight="1" x14ac:dyDescent="0.25">
      <c r="A61" s="38"/>
      <c r="B61" s="31" t="str">
        <f t="shared" ca="1" si="45"/>
        <v xml:space="preserve">دقيقَة و بكون مَعَك </v>
      </c>
      <c r="D61" s="75"/>
      <c r="E61" s="41" t="str">
        <f t="shared" ca="1" si="41"/>
        <v xml:space="preserve">دقيقَة و بكون مَعَك </v>
      </c>
    </row>
    <row r="62" spans="1:5" ht="63" x14ac:dyDescent="0.25">
      <c r="A62" s="38"/>
      <c r="B62" s="30" t="str">
        <f t="shared" ref="B62" ca="1" si="76">IF(MOD(ROW()-2,2)=0, INDIRECT("Sheet1!D" &amp;4+((ROW()-2)/2)-2), "")</f>
        <v>addeh el sei3a bi touw'eet canada?</v>
      </c>
      <c r="D62" s="75" t="str">
        <f t="shared" ca="1" si="43"/>
        <v>What time is it in Canada time?</v>
      </c>
      <c r="E62" s="40" t="str">
        <f t="shared" ca="1" si="44"/>
        <v>addeh el sei3a bi touw'eet canada?</v>
      </c>
    </row>
    <row r="63" spans="1:5" ht="15" customHeight="1" x14ac:dyDescent="0.25">
      <c r="A63" s="38"/>
      <c r="B63" s="31" t="str">
        <f t="shared" ref="B63" ca="1" si="77">IF(MOD(ROW()-3,2)=0, INDIRECT("Sheet1!E" &amp;4+((ROW()-3)/2)-2), "")</f>
        <v>ادّي الساعَة بتوقيت كَنَدا؟</v>
      </c>
      <c r="D63" s="75"/>
      <c r="E63" s="41" t="str">
        <f t="shared" ca="1" si="46"/>
        <v>ادّي الساعَة بتوقيت كَنَدا؟</v>
      </c>
    </row>
    <row r="64" spans="1:5" ht="126" x14ac:dyDescent="0.25">
      <c r="A64" s="38"/>
      <c r="B64" s="30" t="str">
        <f t="shared" ca="1" si="27"/>
        <v>3andeh ejtimei3/ maw3ad boukra 3al sei3a khamseh ba3ed el doher</v>
      </c>
      <c r="D64" s="75" t="str">
        <f t="shared" ca="1" si="48"/>
        <v xml:space="preserve">I have a meeting tomorrow at 5 pm </v>
      </c>
      <c r="E64" s="40" t="str">
        <f t="shared" ca="1" si="49"/>
        <v>3andeh ejtimei3/ maw3ad boukra 3al sei3a khamseh ba3ed el doher</v>
      </c>
    </row>
    <row r="65" spans="1:5" ht="90" x14ac:dyDescent="0.25">
      <c r="A65" s="38"/>
      <c r="B65" s="31" t="str">
        <f t="shared" ca="1" si="30"/>
        <v xml:space="preserve">عَندي إجتماع/ مَوعَد بُكرا على ساعَة خَمسة بَعد الضٌهر </v>
      </c>
      <c r="D65" s="75"/>
      <c r="E65" s="41" t="str">
        <f t="shared" ca="1" si="51"/>
        <v xml:space="preserve">عَندي إجتماع/ مَوعَد بُكرا على ساعَة خَمسة بَعد الضٌهر </v>
      </c>
    </row>
    <row r="66" spans="1:5" x14ac:dyDescent="0.25">
      <c r="A66" s="38"/>
      <c r="B66" s="30" t="str">
        <f t="shared" ca="1" si="32"/>
        <v>leh/lesh?</v>
      </c>
      <c r="D66" s="75" t="str">
        <f t="shared" ca="1" si="52"/>
        <v>Why</v>
      </c>
      <c r="E66" s="40" t="str">
        <f t="shared" ca="1" si="53"/>
        <v>leh/lesh?</v>
      </c>
    </row>
    <row r="67" spans="1:5" ht="15" customHeight="1" x14ac:dyDescent="0.25">
      <c r="A67" s="38"/>
      <c r="B67" s="31" t="str">
        <f t="shared" ca="1" si="35"/>
        <v xml:space="preserve">ليه/ ليش </v>
      </c>
      <c r="D67" s="75"/>
      <c r="E67" s="41" t="str">
        <f t="shared" ca="1" si="54"/>
        <v xml:space="preserve">ليه/ ليش </v>
      </c>
    </row>
    <row r="68" spans="1:5" x14ac:dyDescent="0.25">
      <c r="A68" s="38"/>
      <c r="B68" s="30" t="str">
        <f t="shared" ca="1" si="37"/>
        <v>eimtan?</v>
      </c>
      <c r="D68" s="75" t="str">
        <f t="shared" ca="1" si="55"/>
        <v xml:space="preserve">When </v>
      </c>
      <c r="E68" s="40" t="str">
        <f t="shared" ca="1" si="56"/>
        <v>eimtan?</v>
      </c>
    </row>
    <row r="69" spans="1:5" ht="15" customHeight="1" x14ac:dyDescent="0.25">
      <c r="A69" s="38"/>
      <c r="B69" s="31" t="str">
        <f t="shared" ca="1" si="40"/>
        <v xml:space="preserve">أمتَن   </v>
      </c>
      <c r="D69" s="75"/>
      <c r="E69" s="41" t="str">
        <f t="shared" ca="1" si="57"/>
        <v xml:space="preserve">أمتَن   </v>
      </c>
    </row>
    <row r="70" spans="1:5" x14ac:dyDescent="0.25">
      <c r="A70" s="38"/>
      <c r="B70" s="30" t="str">
        <f t="shared" ca="1" si="42"/>
        <v>meen?</v>
      </c>
      <c r="D70" s="75" t="str">
        <f t="shared" ca="1" si="58"/>
        <v xml:space="preserve">Who </v>
      </c>
      <c r="E70" s="40" t="str">
        <f t="shared" ca="1" si="59"/>
        <v>meen?</v>
      </c>
    </row>
    <row r="71" spans="1:5" ht="15" customHeight="1" x14ac:dyDescent="0.25">
      <c r="A71" s="38"/>
      <c r="B71" s="31" t="str">
        <f t="shared" ca="1" si="45"/>
        <v xml:space="preserve">مين   </v>
      </c>
      <c r="D71" s="75"/>
      <c r="E71" s="41" t="str">
        <f t="shared" ca="1" si="60"/>
        <v xml:space="preserve">مين   </v>
      </c>
    </row>
    <row r="72" spans="1:5" x14ac:dyDescent="0.25">
      <c r="A72" s="38"/>
      <c r="B72" s="30" t="str">
        <f t="shared" ref="B72" ca="1" si="78">IF(MOD(ROW()-2,2)=0, INDIRECT("Sheet1!D" &amp;4+((ROW()-2)/2)-2), "")</f>
        <v>keef?</v>
      </c>
      <c r="D72" s="75" t="str">
        <f t="shared" ref="D72" ca="1" si="79">IF(MOD(ROW()-2,2)=0, INDIRECT("Sheet1!A" &amp;4+((ROW()-2)/2)-2), "")</f>
        <v xml:space="preserve">How </v>
      </c>
      <c r="E72" s="40" t="str">
        <f t="shared" ref="E72" ca="1" si="80">IF(MOD(ROW()-2,2)=0, INDIRECT("Sheet1!D" &amp;4+((ROW()-2)/2)-2), "")</f>
        <v>keef?</v>
      </c>
    </row>
    <row r="73" spans="1:5" ht="15" customHeight="1" x14ac:dyDescent="0.25">
      <c r="A73" s="38"/>
      <c r="B73" s="31" t="str">
        <f t="shared" ref="B73" ca="1" si="81">IF(MOD(ROW()-3,2)=0, INDIRECT("Sheet1!E" &amp;4+((ROW()-3)/2)-2), "")</f>
        <v>كيف</v>
      </c>
      <c r="D73" s="75"/>
      <c r="E73" s="41" t="str">
        <f t="shared" ref="E73" ca="1" si="82">IF(MOD(ROW()-3,2)=0, INDIRECT("Sheet1!E" &amp;4+((ROW()-3)/2)-2), "")</f>
        <v>كيف</v>
      </c>
    </row>
    <row r="74" spans="1:5" x14ac:dyDescent="0.25">
      <c r="A74" s="38"/>
      <c r="B74" s="30" t="str">
        <f t="shared" ca="1" si="27"/>
        <v>shou?</v>
      </c>
      <c r="D74" s="75" t="str">
        <f t="shared" ca="1" si="38"/>
        <v xml:space="preserve">What </v>
      </c>
      <c r="E74" s="40" t="str">
        <f t="shared" ca="1" si="39"/>
        <v>shou?</v>
      </c>
    </row>
    <row r="75" spans="1:5" ht="15" customHeight="1" x14ac:dyDescent="0.25">
      <c r="A75" s="38"/>
      <c r="B75" s="31" t="str">
        <f t="shared" ca="1" si="30"/>
        <v>شو</v>
      </c>
      <c r="D75" s="75"/>
      <c r="E75" s="41" t="str">
        <f t="shared" ca="1" si="41"/>
        <v>شو</v>
      </c>
    </row>
    <row r="76" spans="1:5" x14ac:dyDescent="0.25">
      <c r="A76" s="38"/>
      <c r="B76" s="30" t="str">
        <f t="shared" ca="1" si="32"/>
        <v>wein?</v>
      </c>
      <c r="D76" s="75" t="str">
        <f t="shared" ca="1" si="43"/>
        <v xml:space="preserve">Where </v>
      </c>
      <c r="E76" s="40" t="str">
        <f t="shared" ca="1" si="44"/>
        <v>wein?</v>
      </c>
    </row>
    <row r="77" spans="1:5" ht="15" customHeight="1" x14ac:dyDescent="0.25">
      <c r="A77" s="38"/>
      <c r="B77" s="31" t="str">
        <f t="shared" ca="1" si="35"/>
        <v xml:space="preserve">وَين   </v>
      </c>
      <c r="D77" s="75"/>
      <c r="E77" s="41" t="str">
        <f t="shared" ca="1" si="46"/>
        <v xml:space="preserve">وَين   </v>
      </c>
    </row>
    <row r="78" spans="1:5" x14ac:dyDescent="0.25">
      <c r="A78" s="38"/>
      <c r="B78" s="30" t="str">
        <f t="shared" ca="1" si="37"/>
        <v>la shou?</v>
      </c>
      <c r="D78" s="75" t="str">
        <f t="shared" ca="1" si="48"/>
        <v xml:space="preserve">What for </v>
      </c>
      <c r="E78" s="40" t="str">
        <f t="shared" ca="1" si="49"/>
        <v>la shou?</v>
      </c>
    </row>
    <row r="79" spans="1:5" ht="15" customHeight="1" x14ac:dyDescent="0.25">
      <c r="A79" s="38"/>
      <c r="B79" s="31" t="str">
        <f t="shared" ca="1" si="40"/>
        <v>لَشو</v>
      </c>
      <c r="D79" s="75"/>
      <c r="E79" s="41" t="str">
        <f t="shared" ca="1" si="51"/>
        <v>لَشو</v>
      </c>
    </row>
    <row r="80" spans="1:5" ht="15.75" customHeight="1" x14ac:dyDescent="0.25">
      <c r="A80" s="38"/>
      <c r="B80" s="30" t="str">
        <f t="shared" ca="1" si="42"/>
        <v>min eimtan?</v>
      </c>
      <c r="D80" s="75" t="str">
        <f t="shared" ca="1" si="52"/>
        <v xml:space="preserve">Since when </v>
      </c>
      <c r="E80" s="40" t="str">
        <f t="shared" ca="1" si="53"/>
        <v>min eimtan?</v>
      </c>
    </row>
    <row r="81" spans="1:5" ht="15" customHeight="1" x14ac:dyDescent="0.25">
      <c r="A81" s="38"/>
      <c r="B81" s="31" t="str">
        <f t="shared" ca="1" si="45"/>
        <v xml:space="preserve">مِن أمتَن    </v>
      </c>
      <c r="D81" s="75"/>
      <c r="E81" s="41" t="str">
        <f t="shared" ca="1" si="54"/>
        <v xml:space="preserve">مِن أمتَن    </v>
      </c>
    </row>
    <row r="82" spans="1:5" ht="31.5" x14ac:dyDescent="0.25">
      <c r="A82" s="38"/>
      <c r="B82" s="30" t="str">
        <f t="shared" ref="B82" ca="1" si="83">IF(MOD(ROW()-2,2)=0, INDIRECT("Sheet1!D" &amp;4+((ROW()-2)/2)-2), "")</f>
        <v>lesh la'/ leh la'?</v>
      </c>
      <c r="D82" s="75" t="str">
        <f t="shared" ca="1" si="55"/>
        <v>Why not</v>
      </c>
      <c r="E82" s="40" t="str">
        <f t="shared" ca="1" si="56"/>
        <v>lesh la'/ leh la'?</v>
      </c>
    </row>
    <row r="83" spans="1:5" ht="15" customHeight="1" x14ac:dyDescent="0.25">
      <c r="A83" s="38"/>
      <c r="B83" s="31" t="str">
        <f t="shared" ref="B83" ca="1" si="84">IF(MOD(ROW()-3,2)=0, INDIRECT("Sheet1!E" &amp;4+((ROW()-3)/2)-2), "")</f>
        <v>ليش لاء</v>
      </c>
      <c r="D83" s="75"/>
      <c r="E83" s="41" t="str">
        <f t="shared" ca="1" si="57"/>
        <v>ليش لاء</v>
      </c>
    </row>
    <row r="84" spans="1:5" ht="31.5" x14ac:dyDescent="0.25">
      <c r="A84" s="38"/>
      <c r="B84" s="30" t="str">
        <f t="shared" ref="B84:B144" ca="1" si="85">IF(MOD(ROW()-2,2)=0, INDIRECT("Sheet1!D" &amp;4+((ROW()-2)/2)-2), "")</f>
        <v>shou kamein?</v>
      </c>
      <c r="D84" s="75" t="str">
        <f t="shared" ca="1" si="58"/>
        <v xml:space="preserve">What else </v>
      </c>
      <c r="E84" s="40" t="str">
        <f t="shared" ca="1" si="59"/>
        <v>shou kamein?</v>
      </c>
    </row>
    <row r="85" spans="1:5" ht="15" customHeight="1" x14ac:dyDescent="0.25">
      <c r="A85" s="38"/>
      <c r="B85" s="31" t="str">
        <f t="shared" ref="B85:B145" ca="1" si="86">IF(MOD(ROW()-3,2)=0, INDIRECT("Sheet1!E" &amp;4+((ROW()-3)/2)-2), "")</f>
        <v xml:space="preserve">شو كَمان   </v>
      </c>
      <c r="D85" s="75"/>
      <c r="E85" s="41" t="str">
        <f t="shared" ca="1" si="60"/>
        <v xml:space="preserve">شو كَمان   </v>
      </c>
    </row>
    <row r="86" spans="1:5" ht="15.75" customHeight="1" x14ac:dyDescent="0.25">
      <c r="A86" s="38"/>
      <c r="B86" s="30" t="str">
        <f t="shared" ref="B86:B146" ca="1" si="87">IF(MOD(ROW()-2,2)=0, INDIRECT("Sheet1!D" &amp;4+((ROW()-2)/2)-2), "")</f>
        <v>keef ta?</v>
      </c>
      <c r="D86" s="75" t="str">
        <f t="shared" ref="D86" ca="1" si="88">IF(MOD(ROW()-2,2)=0, INDIRECT("Sheet1!A" &amp;4+((ROW()-2)/2)-2), "")</f>
        <v>How come</v>
      </c>
      <c r="E86" s="40" t="str">
        <f t="shared" ref="E86" ca="1" si="89">IF(MOD(ROW()-2,2)=0, INDIRECT("Sheet1!D" &amp;4+((ROW()-2)/2)-2), "")</f>
        <v>keef ta?</v>
      </c>
    </row>
    <row r="87" spans="1:5" ht="15" customHeight="1" x14ac:dyDescent="0.25">
      <c r="A87" s="38"/>
      <c r="B87" s="31" t="str">
        <f t="shared" ref="B87:B147" ca="1" si="90">IF(MOD(ROW()-3,2)=0, INDIRECT("Sheet1!E" &amp;4+((ROW()-3)/2)-2), "")</f>
        <v xml:space="preserve">كيف تَ  </v>
      </c>
      <c r="D87" s="75"/>
      <c r="E87" s="41" t="str">
        <f t="shared" ref="E87" ca="1" si="91">IF(MOD(ROW()-3,2)=0, INDIRECT("Sheet1!E" &amp;4+((ROW()-3)/2)-2), "")</f>
        <v xml:space="preserve">كيف تَ  </v>
      </c>
    </row>
    <row r="88" spans="1:5" x14ac:dyDescent="0.25">
      <c r="A88" s="39"/>
      <c r="B88" s="30" t="str">
        <f t="shared" ref="B88:B148" ca="1" si="92">IF(MOD(ROW()-2,2)=0, INDIRECT("Sheet1!D" &amp;4+((ROW()-2)/2)-2), "")</f>
        <v>addeh?</v>
      </c>
      <c r="D88" s="75" t="str">
        <f t="shared" ref="D88:D144" ca="1" si="93">IF(MOD(ROW()-2,2)=0, INDIRECT("Sheet1!A" &amp;4+((ROW()-2)/2)-2), "")</f>
        <v xml:space="preserve">How much </v>
      </c>
      <c r="E88" s="40" t="str">
        <f t="shared" ref="E88:E144" ca="1" si="94">IF(MOD(ROW()-2,2)=0, INDIRECT("Sheet1!D" &amp;4+((ROW()-2)/2)-2), "")</f>
        <v>addeh?</v>
      </c>
    </row>
    <row r="89" spans="1:5" ht="15" customHeight="1" x14ac:dyDescent="0.25">
      <c r="A89" s="34" t="str">
        <f t="shared" ref="A89:A128" ca="1" si="95">IF(MOD(ROW()-2,3)=0, INDIRECT("Sheet1!A" &amp;4+((ROW()-2)/3)-2), "")</f>
        <v>1 minute and i will be with you</v>
      </c>
      <c r="B89" s="31" t="str">
        <f t="shared" ref="B89:B149" ca="1" si="96">IF(MOD(ROW()-3,2)=0, INDIRECT("Sheet1!E" &amp;4+((ROW()-3)/2)-2), "")</f>
        <v>أدّي</v>
      </c>
      <c r="D89" s="75"/>
      <c r="E89" s="41" t="str">
        <f t="shared" ref="E89:E145" ca="1" si="97">IF(MOD(ROW()-3,2)=0, INDIRECT("Sheet1!E" &amp;4+((ROW()-3)/2)-2), "")</f>
        <v>أدّي</v>
      </c>
    </row>
    <row r="90" spans="1:5" ht="94.5" x14ac:dyDescent="0.25">
      <c r="A90" s="35" t="str">
        <f t="shared" ca="1" si="95"/>
        <v/>
      </c>
      <c r="B90" s="30" t="str">
        <f t="shared" ref="B90:B150" ca="1" si="98">IF(MOD(ROW()-2,2)=0, INDIRECT("Sheet1!D" &amp;4+((ROW()-2)/2)-2), "")</f>
        <v>leh m3assab/ m3assbeh/ m3asbeen?</v>
      </c>
      <c r="D90" s="75" t="str">
        <f t="shared" ref="D90:D146" ca="1" si="99">IF(MOD(ROW()-2,2)=0, INDIRECT("Sheet1!A" &amp;4+((ROW()-2)/2)-2), "")</f>
        <v>Why are you angry</v>
      </c>
      <c r="E90" s="40" t="str">
        <f t="shared" ref="E90:E146" ca="1" si="100">IF(MOD(ROW()-2,2)=0, INDIRECT("Sheet1!D" &amp;4+((ROW()-2)/2)-2), "")</f>
        <v>leh m3assab/ m3assbeh/ m3asbeen?</v>
      </c>
    </row>
    <row r="91" spans="1:5" ht="15" customHeight="1" x14ac:dyDescent="0.25">
      <c r="A91" s="36" t="str">
        <f t="shared" ca="1" si="95"/>
        <v/>
      </c>
      <c r="B91" s="31" t="str">
        <f t="shared" ref="B91:B151" ca="1" si="101">IF(MOD(ROW()-3,2)=0, INDIRECT("Sheet1!E" &amp;4+((ROW()-3)/2)-2), "")</f>
        <v>ليع معَّصَّب/ معَصبي/ معَصبين</v>
      </c>
      <c r="D91" s="75"/>
      <c r="E91" s="41" t="str">
        <f t="shared" ref="E91:E147" ca="1" si="102">IF(MOD(ROW()-3,2)=0, INDIRECT("Sheet1!E" &amp;4+((ROW()-3)/2)-2), "")</f>
        <v>ليع معَّصَّب/ معَصبي/ معَصبين</v>
      </c>
    </row>
    <row r="92" spans="1:5" ht="78.75" x14ac:dyDescent="0.25">
      <c r="A92" s="34" t="str">
        <f t="shared" ca="1" si="95"/>
        <v>What time is it in Canada time?</v>
      </c>
      <c r="B92" s="30" t="str">
        <f t="shared" ref="B92" ca="1" si="103">IF(MOD(ROW()-2,2)=0, INDIRECT("Sheet1!D" &amp;4+((ROW()-2)/2)-2), "")</f>
        <v>eimtan mseifar/ mseifra/ mseifreen?</v>
      </c>
      <c r="D92" s="75" t="str">
        <f t="shared" ref="D92:D148" ca="1" si="104">IF(MOD(ROW()-2,2)=0, INDIRECT("Sheet1!A" &amp;4+((ROW()-2)/2)-2), "")</f>
        <v xml:space="preserve">When are you traveling </v>
      </c>
      <c r="E92" s="40" t="str">
        <f t="shared" ref="E92:E148" ca="1" si="105">IF(MOD(ROW()-2,2)=0, INDIRECT("Sheet1!D" &amp;4+((ROW()-2)/2)-2), "")</f>
        <v>eimtan mseifar/ mseifra/ mseifreen?</v>
      </c>
    </row>
    <row r="93" spans="1:5" ht="15" customHeight="1" x14ac:dyDescent="0.25">
      <c r="A93" s="35" t="str">
        <f t="shared" ca="1" si="95"/>
        <v/>
      </c>
      <c r="B93" s="31" t="str">
        <f t="shared" ref="B93" ca="1" si="106">IF(MOD(ROW()-3,2)=0, INDIRECT("Sheet1!E" &amp;4+((ROW()-3)/2)-2), "")</f>
        <v xml:space="preserve">أمتَن مسافَر/ مسافرَة/ مسافرين </v>
      </c>
      <c r="D93" s="75"/>
      <c r="E93" s="41" t="str">
        <f t="shared" ref="E93:E149" ca="1" si="107">IF(MOD(ROW()-3,2)=0, INDIRECT("Sheet1!E" &amp;4+((ROW()-3)/2)-2), "")</f>
        <v xml:space="preserve">أمتَن مسافَر/ مسافرَة/ مسافرين </v>
      </c>
    </row>
    <row r="94" spans="1:5" ht="47.25" x14ac:dyDescent="0.25">
      <c r="A94" s="36" t="str">
        <f t="shared" ca="1" si="95"/>
        <v/>
      </c>
      <c r="B94" s="30" t="str">
        <f t="shared" ca="1" si="85"/>
        <v>meen jeyeh 3al sahra?</v>
      </c>
      <c r="D94" s="75" t="str">
        <f t="shared" ref="D94:D150" ca="1" si="108">IF(MOD(ROW()-2,2)=0, INDIRECT("Sheet1!A" &amp;4+((ROW()-2)/2)-2), "")</f>
        <v xml:space="preserve">Who is coming to the party </v>
      </c>
      <c r="E94" s="40" t="str">
        <f t="shared" ref="E94:E150" ca="1" si="109">IF(MOD(ROW()-2,2)=0, INDIRECT("Sheet1!D" &amp;4+((ROW()-2)/2)-2), "")</f>
        <v>meen jeyeh 3al sahra?</v>
      </c>
    </row>
    <row r="95" spans="1:5" ht="15" customHeight="1" x14ac:dyDescent="0.25">
      <c r="A95" s="34" t="str">
        <f t="shared" ca="1" si="95"/>
        <v xml:space="preserve">I have a meeting tomorrow at 5 pm </v>
      </c>
      <c r="B95" s="31" t="str">
        <f t="shared" ca="1" si="86"/>
        <v xml:space="preserve">مين جليي على سَهرَة </v>
      </c>
      <c r="D95" s="75"/>
      <c r="E95" s="41" t="str">
        <f t="shared" ref="E95:E151" ca="1" si="110">IF(MOD(ROW()-3,2)=0, INDIRECT("Sheet1!E" &amp;4+((ROW()-3)/2)-2), "")</f>
        <v xml:space="preserve">مين جليي على سَهرَة </v>
      </c>
    </row>
    <row r="96" spans="1:5" ht="63" x14ac:dyDescent="0.25">
      <c r="A96" s="35" t="str">
        <f t="shared" ca="1" si="95"/>
        <v/>
      </c>
      <c r="B96" s="30" t="str">
        <f t="shared" ca="1" si="87"/>
        <v>keefak/ keefik/ keefkoun el yom?</v>
      </c>
      <c r="D96" s="75" t="str">
        <f t="shared" ref="D96:D152" ca="1" si="111">IF(MOD(ROW()-2,2)=0, INDIRECT("Sheet1!A" &amp;4+((ROW()-2)/2)-2), "")</f>
        <v xml:space="preserve">How are you today </v>
      </c>
      <c r="E96" s="40" t="str">
        <f t="shared" ref="E96:E152" ca="1" si="112">IF(MOD(ROW()-2,2)=0, INDIRECT("Sheet1!D" &amp;4+((ROW()-2)/2)-2), "")</f>
        <v>keefak/ keefik/ keefkoun el yom?</v>
      </c>
    </row>
    <row r="97" spans="1:5" ht="15" customHeight="1" x14ac:dyDescent="0.25">
      <c r="A97" s="36" t="str">
        <f t="shared" ca="1" si="95"/>
        <v/>
      </c>
      <c r="B97" s="31" t="str">
        <f t="shared" ca="1" si="90"/>
        <v xml:space="preserve">كيفَك/ كيفِك/ كيفكُن </v>
      </c>
      <c r="D97" s="75"/>
      <c r="E97" s="41" t="str">
        <f t="shared" ref="E97:E153" ca="1" si="113">IF(MOD(ROW()-3,2)=0, INDIRECT("Sheet1!E" &amp;4+((ROW()-3)/2)-2), "")</f>
        <v xml:space="preserve">كيفَك/ كيفِك/ كيفكُن </v>
      </c>
    </row>
    <row r="98" spans="1:5" ht="63" x14ac:dyDescent="0.25">
      <c r="A98" s="34" t="str">
        <f t="shared" ca="1" si="95"/>
        <v>Why</v>
      </c>
      <c r="B98" s="30" t="str">
        <f t="shared" ca="1" si="92"/>
        <v>keefo bayyak/ bayyik/ baykoun?</v>
      </c>
      <c r="D98" s="75" t="str">
        <f t="shared" ref="D98:D154" ca="1" si="114">IF(MOD(ROW()-2,2)=0, INDIRECT("Sheet1!A" &amp;4+((ROW()-2)/2)-2), "")</f>
        <v xml:space="preserve">How is your father </v>
      </c>
      <c r="E98" s="40" t="str">
        <f t="shared" ref="E98:E154" ca="1" si="115">IF(MOD(ROW()-2,2)=0, INDIRECT("Sheet1!D" &amp;4+((ROW()-2)/2)-2), "")</f>
        <v>keefo bayyak/ bayyik/ baykoun?</v>
      </c>
    </row>
    <row r="99" spans="1:5" ht="15" customHeight="1" x14ac:dyDescent="0.25">
      <c r="A99" s="35" t="str">
        <f t="shared" ca="1" si="95"/>
        <v/>
      </c>
      <c r="B99" s="31" t="str">
        <f t="shared" ca="1" si="96"/>
        <v xml:space="preserve">كيفو بيَّك/ بيِّك/ بيكُن </v>
      </c>
      <c r="D99" s="75"/>
      <c r="E99" s="41" t="str">
        <f t="shared" ref="E99:E155" ca="1" si="116">IF(MOD(ROW()-3,2)=0, INDIRECT("Sheet1!E" &amp;4+((ROW()-3)/2)-2), "")</f>
        <v xml:space="preserve">كيفو بيَّك/ بيِّك/ بيكُن </v>
      </c>
    </row>
    <row r="100" spans="1:5" ht="63" x14ac:dyDescent="0.25">
      <c r="A100" s="36" t="str">
        <f t="shared" ca="1" si="95"/>
        <v/>
      </c>
      <c r="B100" s="30" t="str">
        <f t="shared" ca="1" si="98"/>
        <v>keefa emmak/ emmik/ emkoun?</v>
      </c>
      <c r="D100" s="75" t="str">
        <f t="shared" ref="D100" ca="1" si="117">IF(MOD(ROW()-2,2)=0, INDIRECT("Sheet1!A" &amp;4+((ROW()-2)/2)-2), "")</f>
        <v xml:space="preserve">How is your mother </v>
      </c>
      <c r="E100" s="40" t="str">
        <f t="shared" ref="E100" ca="1" si="118">IF(MOD(ROW()-2,2)=0, INDIRECT("Sheet1!D" &amp;4+((ROW()-2)/2)-2), "")</f>
        <v>keefa emmak/ emmik/ emkoun?</v>
      </c>
    </row>
    <row r="101" spans="1:5" ht="15" customHeight="1" x14ac:dyDescent="0.25">
      <c r="A101" s="34" t="str">
        <f t="shared" ca="1" si="95"/>
        <v xml:space="preserve">When </v>
      </c>
      <c r="B101" s="31" t="str">
        <f t="shared" ca="1" si="101"/>
        <v xml:space="preserve">كيفا إمَّك/ إمِّك/ إمكُن </v>
      </c>
      <c r="D101" s="75"/>
      <c r="E101" s="41" t="str">
        <f t="shared" ref="E101" ca="1" si="119">IF(MOD(ROW()-3,2)=0, INDIRECT("Sheet1!E" &amp;4+((ROW()-3)/2)-2), "")</f>
        <v xml:space="preserve">كيفا إمَّك/ إمِّك/ إمكُن </v>
      </c>
    </row>
    <row r="102" spans="1:5" ht="78.75" x14ac:dyDescent="0.25">
      <c r="A102" s="35" t="str">
        <f t="shared" ca="1" si="95"/>
        <v/>
      </c>
      <c r="B102" s="30" t="str">
        <f t="shared" ref="B102" ca="1" si="120">IF(MOD(ROW()-2,2)=0, INDIRECT("Sheet1!D" &amp;4+((ROW()-2)/2)-2), "")</f>
        <v>keefoun wleidak/ wleidik/ wleidkoun?</v>
      </c>
      <c r="D102" s="75" t="str">
        <f t="shared" ca="1" si="93"/>
        <v xml:space="preserve">How are your children </v>
      </c>
      <c r="E102" s="40" t="str">
        <f t="shared" ca="1" si="94"/>
        <v>keefoun wleidak/ wleidik/ wleidkoun?</v>
      </c>
    </row>
    <row r="103" spans="1:5" ht="15" customHeight="1" x14ac:dyDescent="0.25">
      <c r="A103" s="36" t="str">
        <f t="shared" ca="1" si="95"/>
        <v/>
      </c>
      <c r="B103" s="31" t="str">
        <f t="shared" ref="B103" ca="1" si="121">IF(MOD(ROW()-3,2)=0, INDIRECT("Sheet1!E" &amp;4+((ROW()-3)/2)-2), "")</f>
        <v xml:space="preserve">كيفُن ولادَك/ ولادِك/ ولادكُن </v>
      </c>
      <c r="D103" s="75"/>
      <c r="E103" s="41" t="str">
        <f t="shared" ca="1" si="97"/>
        <v xml:space="preserve">كيفُن ولادَك/ ولادِك/ ولادكُن </v>
      </c>
    </row>
    <row r="104" spans="1:5" ht="63" x14ac:dyDescent="0.25">
      <c r="A104" s="34" t="str">
        <f t="shared" ca="1" si="95"/>
        <v xml:space="preserve">Who </v>
      </c>
      <c r="B104" s="30" t="str">
        <f t="shared" ca="1" si="85"/>
        <v>shou beik/ bekeh/ bekoun?</v>
      </c>
      <c r="D104" s="75" t="str">
        <f t="shared" ca="1" si="99"/>
        <v xml:space="preserve">what is wrong with you </v>
      </c>
      <c r="E104" s="40" t="str">
        <f t="shared" ca="1" si="100"/>
        <v>shou beik/ bekeh/ bekoun?</v>
      </c>
    </row>
    <row r="105" spans="1:5" ht="15" customHeight="1" x14ac:dyDescent="0.25">
      <c r="A105" s="35" t="str">
        <f t="shared" ca="1" si="95"/>
        <v/>
      </c>
      <c r="B105" s="31" t="str">
        <f t="shared" ca="1" si="86"/>
        <v xml:space="preserve">شو باك/ بكي/ بكُن </v>
      </c>
      <c r="D105" s="75"/>
      <c r="E105" s="41" t="str">
        <f t="shared" ca="1" si="102"/>
        <v xml:space="preserve">شو باك/ بكي/ بكُن </v>
      </c>
    </row>
    <row r="106" spans="1:5" ht="63" x14ac:dyDescent="0.25">
      <c r="A106" s="36" t="str">
        <f t="shared" ca="1" si="95"/>
        <v/>
      </c>
      <c r="B106" s="30" t="str">
        <f t="shared" ca="1" si="87"/>
        <v>wein rayiH/ rayHa/ rayHeen?</v>
      </c>
      <c r="D106" s="75" t="str">
        <f t="shared" ca="1" si="104"/>
        <v>where are you going</v>
      </c>
      <c r="E106" s="40" t="str">
        <f t="shared" ca="1" si="105"/>
        <v>wein rayiH/ rayHa/ rayHeen?</v>
      </c>
    </row>
    <row r="107" spans="1:5" ht="15" customHeight="1" x14ac:dyDescent="0.25">
      <c r="A107" s="34" t="str">
        <f t="shared" ca="1" si="95"/>
        <v xml:space="preserve">How </v>
      </c>
      <c r="B107" s="31" t="str">
        <f t="shared" ca="1" si="90"/>
        <v xml:space="preserve">وَين رايح/ رايحا/ رايحين </v>
      </c>
      <c r="D107" s="75"/>
      <c r="E107" s="41" t="str">
        <f t="shared" ca="1" si="107"/>
        <v xml:space="preserve">وَين رايح/ رايحا/ رايحين </v>
      </c>
    </row>
    <row r="108" spans="1:5" ht="78.75" x14ac:dyDescent="0.25">
      <c r="A108" s="35" t="str">
        <f t="shared" ca="1" si="95"/>
        <v/>
      </c>
      <c r="B108" s="30" t="str">
        <f t="shared" ca="1" si="92"/>
        <v>la shou hawdeh el kebbeiyeit?</v>
      </c>
      <c r="D108" s="75" t="str">
        <f t="shared" ca="1" si="108"/>
        <v xml:space="preserve">what are these mugs for </v>
      </c>
      <c r="E108" s="40" t="str">
        <f t="shared" ca="1" si="109"/>
        <v>la shou hawdeh el kebbeiyeit?</v>
      </c>
    </row>
    <row r="109" spans="1:5" ht="15" customHeight="1" x14ac:dyDescent="0.25">
      <c r="A109" s="36" t="str">
        <f t="shared" ca="1" si="95"/>
        <v/>
      </c>
      <c r="B109" s="31" t="str">
        <f t="shared" ca="1" si="96"/>
        <v xml:space="preserve">اَشو هَودي الكبايات </v>
      </c>
      <c r="D109" s="75"/>
      <c r="E109" s="41" t="str">
        <f t="shared" ca="1" si="110"/>
        <v xml:space="preserve">اَشو هَودي الكبايات </v>
      </c>
    </row>
    <row r="110" spans="1:5" ht="94.5" x14ac:dyDescent="0.25">
      <c r="A110" s="34" t="str">
        <f t="shared" ca="1" si="95"/>
        <v xml:space="preserve">What </v>
      </c>
      <c r="B110" s="30" t="str">
        <f t="shared" ca="1" si="98"/>
        <v>min emtan btelbous/btelbseh/btelbso aswad?</v>
      </c>
      <c r="D110" s="75" t="str">
        <f t="shared" ca="1" si="111"/>
        <v xml:space="preserve">Since when do you wear black </v>
      </c>
      <c r="E110" s="40" t="str">
        <f t="shared" ca="1" si="112"/>
        <v>min emtan btelbous/btelbseh/btelbso aswad?</v>
      </c>
    </row>
    <row r="111" spans="1:5" ht="60" x14ac:dyDescent="0.25">
      <c r="A111" s="35" t="str">
        <f t="shared" ca="1" si="95"/>
        <v/>
      </c>
      <c r="B111" s="31" t="str">
        <f t="shared" ca="1" si="101"/>
        <v>مِن أمتَن بتلبُس/ بتلبسي/ بتلبسوا أسوَد</v>
      </c>
      <c r="D111" s="75"/>
      <c r="E111" s="41" t="str">
        <f t="shared" ca="1" si="113"/>
        <v>مِن أمتَن بتلبُس/ بتلبسي/ بتلبسوا أسوَد</v>
      </c>
    </row>
    <row r="112" spans="1:5" ht="126" x14ac:dyDescent="0.25">
      <c r="A112" s="36" t="str">
        <f t="shared" ca="1" si="95"/>
        <v/>
      </c>
      <c r="B112" s="30" t="str">
        <f t="shared" ref="B112" ca="1" si="122">IF(MOD(ROW()-2,2)=0, INDIRECT("Sheet1!D" &amp;4+((ROW()-2)/2)-2), "")</f>
        <v>shou kamein btoktoriH/ btoktorHeh/ btoktorHo?</v>
      </c>
      <c r="D112" s="75" t="str">
        <f t="shared" ca="1" si="114"/>
        <v xml:space="preserve">What else do you suggest </v>
      </c>
      <c r="E112" s="40" t="str">
        <f t="shared" ca="1" si="115"/>
        <v>shou kamein btoktoriH/ btoktorHeh/ btoktorHo?</v>
      </c>
    </row>
    <row r="113" spans="1:5" ht="60" x14ac:dyDescent="0.25">
      <c r="A113" s="34" t="str">
        <f t="shared" ca="1" si="95"/>
        <v xml:space="preserve">Where </v>
      </c>
      <c r="B113" s="31" t="str">
        <f t="shared" ref="B113" ca="1" si="123">IF(MOD(ROW()-3,2)=0, INDIRECT("Sheet1!E" &amp;4+((ROW()-3)/2)-2), "")</f>
        <v>شو كَمان بتُقطُرِح/ بتٌفطُرحي/ بتُقطُرحوا</v>
      </c>
      <c r="D113" s="75"/>
      <c r="E113" s="41" t="str">
        <f t="shared" ca="1" si="116"/>
        <v>شو كَمان بتُقطُرِح/ بتٌفطُرحي/ بتُقطُرحوا</v>
      </c>
    </row>
    <row r="114" spans="1:5" ht="63" x14ac:dyDescent="0.25">
      <c r="A114" s="35" t="str">
        <f t="shared" ca="1" si="95"/>
        <v/>
      </c>
      <c r="B114" s="30" t="str">
        <f t="shared" ca="1" si="85"/>
        <v>keef ta enta/enteh/ento hon?</v>
      </c>
      <c r="D114" s="75" t="str">
        <f t="shared" ref="D114" ca="1" si="124">IF(MOD(ROW()-2,2)=0, INDIRECT("Sheet1!A" &amp;4+((ROW()-2)/2)-2), "")</f>
        <v xml:space="preserve">How come you are here </v>
      </c>
      <c r="E114" s="40" t="str">
        <f t="shared" ref="E114" ca="1" si="125">IF(MOD(ROW()-2,2)=0, INDIRECT("Sheet1!D" &amp;4+((ROW()-2)/2)-2), "")</f>
        <v>keef ta enta/enteh/ento hon?</v>
      </c>
    </row>
    <row r="115" spans="1:5" ht="15" customHeight="1" x14ac:dyDescent="0.25">
      <c r="A115" s="36" t="str">
        <f t="shared" ca="1" si="95"/>
        <v/>
      </c>
      <c r="B115" s="31" t="str">
        <f t="shared" ca="1" si="86"/>
        <v xml:space="preserve">كيف تَ إنتَ،/ إنتِ/ إنتو هون </v>
      </c>
      <c r="D115" s="75"/>
      <c r="E115" s="41" t="str">
        <f t="shared" ref="E115" ca="1" si="126">IF(MOD(ROW()-3,2)=0, INDIRECT("Sheet1!E" &amp;4+((ROW()-3)/2)-2), "")</f>
        <v xml:space="preserve">كيف تَ إنتَ،/ إنتِ/ إنتو هون </v>
      </c>
    </row>
    <row r="116" spans="1:5" ht="63" x14ac:dyDescent="0.25">
      <c r="A116" s="34" t="str">
        <f t="shared" ca="1" si="95"/>
        <v xml:space="preserve">What for </v>
      </c>
      <c r="B116" s="30" t="str">
        <f t="shared" ca="1" si="87"/>
        <v>addeh Ha'o/ Ha'a/ Ha'oun?</v>
      </c>
      <c r="D116" s="75" t="str">
        <f t="shared" ca="1" si="93"/>
        <v xml:space="preserve">how much does it cost </v>
      </c>
      <c r="E116" s="40" t="str">
        <f t="shared" ca="1" si="94"/>
        <v>addeh Ha'o/ Ha'a/ Ha'oun?</v>
      </c>
    </row>
    <row r="117" spans="1:5" ht="15" customHeight="1" x14ac:dyDescent="0.25">
      <c r="A117" s="35" t="str">
        <f t="shared" ca="1" si="95"/>
        <v/>
      </c>
      <c r="B117" s="31" t="str">
        <f t="shared" ca="1" si="90"/>
        <v>أدّي حَقّو/ حَقّا/ حَقُّن</v>
      </c>
      <c r="D117" s="75"/>
      <c r="E117" s="41" t="str">
        <f t="shared" ca="1" si="97"/>
        <v>أدّي حَقّو/ حَقّا/ حَقُّن</v>
      </c>
    </row>
    <row r="118" spans="1:5" ht="31.5" x14ac:dyDescent="0.25">
      <c r="A118" s="36" t="str">
        <f t="shared" ca="1" si="95"/>
        <v/>
      </c>
      <c r="B118" s="30" t="str">
        <f t="shared" ca="1" si="92"/>
        <v>ana bHebb</v>
      </c>
      <c r="D118" s="75" t="str">
        <f t="shared" ca="1" si="99"/>
        <v>I love</v>
      </c>
      <c r="E118" s="40" t="str">
        <f t="shared" ca="1" si="100"/>
        <v>ana bHebb</v>
      </c>
    </row>
    <row r="119" spans="1:5" ht="15" customHeight="1" x14ac:dyDescent="0.25">
      <c r="A119" s="34" t="str">
        <f t="shared" ca="1" si="95"/>
        <v xml:space="preserve">Since when </v>
      </c>
      <c r="B119" s="31" t="str">
        <f t="shared" ca="1" si="96"/>
        <v>أنا بحبّ</v>
      </c>
      <c r="D119" s="75"/>
      <c r="E119" s="41" t="str">
        <f t="shared" ca="1" si="102"/>
        <v>أنا بحبّ</v>
      </c>
    </row>
    <row r="120" spans="1:5" ht="78.75" x14ac:dyDescent="0.25">
      <c r="A120" s="35" t="str">
        <f t="shared" ca="1" si="95"/>
        <v/>
      </c>
      <c r="B120" s="30" t="str">
        <f t="shared" ca="1" si="98"/>
        <v>enta betHebb/enteh betHebbeh</v>
      </c>
      <c r="D120" s="75" t="str">
        <f t="shared" ca="1" si="104"/>
        <v>you love</v>
      </c>
      <c r="E120" s="40" t="str">
        <f t="shared" ca="1" si="105"/>
        <v>enta betHebb/enteh betHebbeh</v>
      </c>
    </row>
    <row r="121" spans="1:5" ht="15" customHeight="1" x14ac:dyDescent="0.25">
      <c r="A121" s="36" t="str">
        <f t="shared" ca="1" si="95"/>
        <v/>
      </c>
      <c r="B121" s="31" t="str">
        <f t="shared" ca="1" si="101"/>
        <v>إنتَ بتحبّ/ إنتِ بتحبّي</v>
      </c>
      <c r="D121" s="75"/>
      <c r="E121" s="41" t="str">
        <f t="shared" ca="1" si="107"/>
        <v>إنتَ بتحبّ/ إنتِ بتحبّي</v>
      </c>
    </row>
    <row r="122" spans="1:5" ht="31.5" x14ac:dyDescent="0.25">
      <c r="A122" s="34" t="str">
        <f t="shared" ca="1" si="95"/>
        <v>Why not</v>
      </c>
      <c r="B122" s="30" t="str">
        <f t="shared" ref="B122" ca="1" si="127">IF(MOD(ROW()-2,2)=0, INDIRECT("Sheet1!D" &amp;4+((ROW()-2)/2)-2), "")</f>
        <v>howeh biHebb</v>
      </c>
      <c r="D122" s="75" t="str">
        <f t="shared" ca="1" si="108"/>
        <v>he loves</v>
      </c>
      <c r="E122" s="40" t="str">
        <f t="shared" ca="1" si="109"/>
        <v>howeh biHebb</v>
      </c>
    </row>
    <row r="123" spans="1:5" ht="15" customHeight="1" x14ac:dyDescent="0.25">
      <c r="A123" s="35" t="str">
        <f t="shared" ca="1" si="95"/>
        <v/>
      </c>
      <c r="B123" s="31" t="str">
        <f t="shared" ref="B123" ca="1" si="128">IF(MOD(ROW()-3,2)=0, INDIRECT("Sheet1!E" &amp;4+((ROW()-3)/2)-2), "")</f>
        <v>هوّ بِحبّ</v>
      </c>
      <c r="D123" s="75"/>
      <c r="E123" s="41" t="str">
        <f t="shared" ca="1" si="110"/>
        <v>هوّ بِحبّ</v>
      </c>
    </row>
    <row r="124" spans="1:5" ht="31.5" x14ac:dyDescent="0.25">
      <c r="A124" s="36" t="str">
        <f t="shared" ca="1" si="95"/>
        <v/>
      </c>
      <c r="B124" s="30" t="str">
        <f t="shared" ca="1" si="85"/>
        <v>hiyyeh betHebb</v>
      </c>
      <c r="D124" s="75" t="str">
        <f t="shared" ca="1" si="111"/>
        <v>she loves</v>
      </c>
      <c r="E124" s="40" t="str">
        <f t="shared" ca="1" si="112"/>
        <v>hiyyeh betHebb</v>
      </c>
    </row>
    <row r="125" spans="1:5" ht="15" customHeight="1" x14ac:dyDescent="0.25">
      <c r="A125" s="34" t="str">
        <f t="shared" ca="1" si="95"/>
        <v xml:space="preserve">What else </v>
      </c>
      <c r="B125" s="31" t="str">
        <f t="shared" ca="1" si="86"/>
        <v>هِيّ بتحبّ</v>
      </c>
      <c r="D125" s="75"/>
      <c r="E125" s="41" t="str">
        <f t="shared" ca="1" si="113"/>
        <v>هِيّ بتحبّ</v>
      </c>
    </row>
    <row r="126" spans="1:5" ht="31.5" x14ac:dyDescent="0.25">
      <c r="A126" s="35" t="str">
        <f t="shared" ca="1" si="95"/>
        <v/>
      </c>
      <c r="B126" s="30" t="str">
        <f t="shared" ca="1" si="87"/>
        <v>neHna menHebb</v>
      </c>
      <c r="D126" s="75" t="str">
        <f t="shared" ca="1" si="114"/>
        <v>we love</v>
      </c>
      <c r="E126" s="40" t="str">
        <f t="shared" ca="1" si="115"/>
        <v>neHna menHebb</v>
      </c>
    </row>
    <row r="127" spans="1:5" ht="15" customHeight="1" x14ac:dyDescent="0.25">
      <c r="A127" s="36" t="str">
        <f t="shared" ca="1" si="95"/>
        <v/>
      </c>
      <c r="B127" s="31" t="str">
        <f t="shared" ca="1" si="90"/>
        <v>نِحنا منحبّ</v>
      </c>
      <c r="D127" s="75"/>
      <c r="E127" s="41" t="str">
        <f t="shared" ca="1" si="116"/>
        <v>نِحنا منحبّ</v>
      </c>
    </row>
    <row r="128" spans="1:5" ht="31.5" x14ac:dyDescent="0.25">
      <c r="A128" s="34" t="str">
        <f t="shared" ca="1" si="95"/>
        <v>How come</v>
      </c>
      <c r="B128" s="30" t="str">
        <f t="shared" ca="1" si="92"/>
        <v>ento betHebbo</v>
      </c>
      <c r="D128" s="75" t="str">
        <f t="shared" ref="D128" ca="1" si="129">IF(MOD(ROW()-2,2)=0, INDIRECT("Sheet1!A" &amp;4+((ROW()-2)/2)-2), "")</f>
        <v>you love</v>
      </c>
      <c r="E128" s="40" t="str">
        <f t="shared" ref="E128" ca="1" si="130">IF(MOD(ROW()-2,2)=0, INDIRECT("Sheet1!D" &amp;4+((ROW()-2)/2)-2), "")</f>
        <v>ento betHebbo</v>
      </c>
    </row>
    <row r="129" spans="1:5" ht="15" customHeight="1" x14ac:dyDescent="0.25">
      <c r="A129" s="35" t="str">
        <f t="shared" ref="A129:A192" ca="1" si="131">IF(MOD(ROW()-2,3)=0, INDIRECT("Sheet1!A" &amp;4+((ROW()-2)/3)-2), "")</f>
        <v/>
      </c>
      <c r="B129" s="31" t="str">
        <f t="shared" ca="1" si="96"/>
        <v>إنتو بتحبّو</v>
      </c>
      <c r="D129" s="75"/>
      <c r="E129" s="41" t="str">
        <f t="shared" ref="E129" ca="1" si="132">IF(MOD(ROW()-3,2)=0, INDIRECT("Sheet1!E" &amp;4+((ROW()-3)/2)-2), "")</f>
        <v>إنتو بتحبّو</v>
      </c>
    </row>
    <row r="130" spans="1:5" ht="31.5" x14ac:dyDescent="0.25">
      <c r="A130" s="36" t="str">
        <f t="shared" ca="1" si="131"/>
        <v/>
      </c>
      <c r="B130" s="30" t="str">
        <f t="shared" ca="1" si="98"/>
        <v>henneh biHebbo</v>
      </c>
      <c r="D130" s="75" t="str">
        <f t="shared" ca="1" si="93"/>
        <v>they love</v>
      </c>
      <c r="E130" s="40" t="str">
        <f t="shared" ca="1" si="94"/>
        <v>henneh biHebbo</v>
      </c>
    </row>
    <row r="131" spans="1:5" ht="15" customHeight="1" x14ac:dyDescent="0.25">
      <c r="A131" s="34" t="str">
        <f t="shared" ca="1" si="131"/>
        <v xml:space="preserve">How much </v>
      </c>
      <c r="B131" s="31" t="str">
        <f t="shared" ca="1" si="101"/>
        <v xml:space="preserve">هنّي بحبّو </v>
      </c>
      <c r="D131" s="75"/>
      <c r="E131" s="41" t="str">
        <f t="shared" ca="1" si="97"/>
        <v xml:space="preserve">هنّي بحبّو </v>
      </c>
    </row>
    <row r="132" spans="1:5" ht="31.5" x14ac:dyDescent="0.25">
      <c r="A132" s="35" t="str">
        <f t="shared" ca="1" si="131"/>
        <v/>
      </c>
      <c r="B132" s="30" t="str">
        <f t="shared" ref="B132" ca="1" si="133">IF(MOD(ROW()-2,2)=0, INDIRECT("Sheet1!D" &amp;4+((ROW()-2)/2)-2), "")</f>
        <v>ana Habbeit</v>
      </c>
      <c r="D132" s="75" t="str">
        <f t="shared" ca="1" si="99"/>
        <v>I loved</v>
      </c>
      <c r="E132" s="40" t="str">
        <f t="shared" ca="1" si="100"/>
        <v>ana Habbeit</v>
      </c>
    </row>
    <row r="133" spans="1:5" ht="15" customHeight="1" x14ac:dyDescent="0.25">
      <c r="A133" s="36" t="str">
        <f t="shared" ca="1" si="131"/>
        <v/>
      </c>
      <c r="B133" s="31" t="str">
        <f t="shared" ref="B133" ca="1" si="134">IF(MOD(ROW()-3,2)=0, INDIRECT("Sheet1!E" &amp;4+((ROW()-3)/2)-2), "")</f>
        <v>أنا حَبيت</v>
      </c>
      <c r="D133" s="75"/>
      <c r="E133" s="41" t="str">
        <f t="shared" ca="1" si="102"/>
        <v>أنا حَبيت</v>
      </c>
    </row>
    <row r="134" spans="1:5" ht="78.75" x14ac:dyDescent="0.25">
      <c r="A134" s="34" t="str">
        <f t="shared" ca="1" si="131"/>
        <v>Why are you angry</v>
      </c>
      <c r="B134" s="30" t="str">
        <f t="shared" ca="1" si="85"/>
        <v>enta Habbeit/enteh Habbayteh</v>
      </c>
      <c r="D134" s="75" t="str">
        <f t="shared" ca="1" si="104"/>
        <v>you loved</v>
      </c>
      <c r="E134" s="40" t="str">
        <f t="shared" ca="1" si="105"/>
        <v>enta Habbeit/enteh Habbayteh</v>
      </c>
    </row>
    <row r="135" spans="1:5" ht="15" customHeight="1" x14ac:dyDescent="0.25">
      <c r="A135" s="35" t="str">
        <f t="shared" ca="1" si="131"/>
        <v/>
      </c>
      <c r="B135" s="31" t="str">
        <f t="shared" ca="1" si="86"/>
        <v xml:space="preserve">إنتَ حَبيت/ إنتِ حَبيتي </v>
      </c>
      <c r="D135" s="75"/>
      <c r="E135" s="41" t="str">
        <f t="shared" ca="1" si="107"/>
        <v xml:space="preserve">إنتَ حَبيت/ إنتِ حَبيتي </v>
      </c>
    </row>
    <row r="136" spans="1:5" ht="31.5" x14ac:dyDescent="0.25">
      <c r="A136" s="36" t="str">
        <f t="shared" ca="1" si="131"/>
        <v/>
      </c>
      <c r="B136" s="30" t="str">
        <f t="shared" ca="1" si="87"/>
        <v>howeh Habb</v>
      </c>
      <c r="D136" s="75" t="str">
        <f t="shared" ca="1" si="108"/>
        <v>he loved</v>
      </c>
      <c r="E136" s="40" t="str">
        <f t="shared" ca="1" si="109"/>
        <v>howeh Habb</v>
      </c>
    </row>
    <row r="137" spans="1:5" ht="15" customHeight="1" x14ac:dyDescent="0.25">
      <c r="A137" s="34" t="str">
        <f t="shared" ca="1" si="131"/>
        <v xml:space="preserve">When are you traveling </v>
      </c>
      <c r="B137" s="31" t="str">
        <f t="shared" ca="1" si="90"/>
        <v>هوّ حَبّ</v>
      </c>
      <c r="D137" s="75"/>
      <c r="E137" s="41" t="str">
        <f t="shared" ca="1" si="110"/>
        <v>هوّ حَبّ</v>
      </c>
    </row>
    <row r="138" spans="1:5" ht="31.5" x14ac:dyDescent="0.25">
      <c r="A138" s="35" t="str">
        <f t="shared" ca="1" si="131"/>
        <v/>
      </c>
      <c r="B138" s="30" t="str">
        <f t="shared" ca="1" si="92"/>
        <v>hiyeh Habbit</v>
      </c>
      <c r="D138" s="75" t="str">
        <f t="shared" ca="1" si="111"/>
        <v>she loved</v>
      </c>
      <c r="E138" s="40" t="str">
        <f t="shared" ca="1" si="112"/>
        <v>hiyeh Habbit</v>
      </c>
    </row>
    <row r="139" spans="1:5" ht="15" customHeight="1" x14ac:dyDescent="0.25">
      <c r="A139" s="36" t="str">
        <f t="shared" ca="1" si="131"/>
        <v/>
      </c>
      <c r="B139" s="31" t="str">
        <f t="shared" ca="1" si="96"/>
        <v xml:space="preserve">هيّ حَبِّت </v>
      </c>
      <c r="D139" s="75"/>
      <c r="E139" s="41" t="str">
        <f t="shared" ca="1" si="113"/>
        <v xml:space="preserve">هيّ حَبِّت </v>
      </c>
    </row>
    <row r="140" spans="1:5" ht="15.75" customHeight="1" x14ac:dyDescent="0.25">
      <c r="A140" s="34" t="str">
        <f t="shared" ca="1" si="131"/>
        <v xml:space="preserve">Who is coming to the party </v>
      </c>
      <c r="B140" s="30" t="str">
        <f t="shared" ca="1" si="98"/>
        <v>neHna Habbayna</v>
      </c>
      <c r="D140" s="75" t="str">
        <f t="shared" ca="1" si="114"/>
        <v>we loved</v>
      </c>
      <c r="E140" s="40" t="str">
        <f t="shared" ca="1" si="115"/>
        <v>neHna Habbayna</v>
      </c>
    </row>
    <row r="141" spans="1:5" ht="15" customHeight="1" x14ac:dyDescent="0.25">
      <c r="A141" s="35" t="str">
        <f t="shared" ca="1" si="131"/>
        <v/>
      </c>
      <c r="B141" s="31" t="str">
        <f t="shared" ca="1" si="101"/>
        <v>نحنا حَبينا</v>
      </c>
      <c r="D141" s="75"/>
      <c r="E141" s="41" t="str">
        <f t="shared" ca="1" si="116"/>
        <v>نحنا حَبينا</v>
      </c>
    </row>
    <row r="142" spans="1:5" ht="31.5" x14ac:dyDescent="0.25">
      <c r="A142" s="36" t="str">
        <f t="shared" ca="1" si="131"/>
        <v/>
      </c>
      <c r="B142" s="30" t="str">
        <f t="shared" ref="B142" ca="1" si="135">IF(MOD(ROW()-2,2)=0, INDIRECT("Sheet1!D" &amp;4+((ROW()-2)/2)-2), "")</f>
        <v>ento Habbayto</v>
      </c>
      <c r="D142" s="75" t="str">
        <f t="shared" ref="D142" ca="1" si="136">IF(MOD(ROW()-2,2)=0, INDIRECT("Sheet1!A" &amp;4+((ROW()-2)/2)-2), "")</f>
        <v>you loved</v>
      </c>
      <c r="E142" s="40" t="str">
        <f t="shared" ref="E142" ca="1" si="137">IF(MOD(ROW()-2,2)=0, INDIRECT("Sheet1!D" &amp;4+((ROW()-2)/2)-2), "")</f>
        <v>ento Habbayto</v>
      </c>
    </row>
    <row r="143" spans="1:5" ht="15" customHeight="1" x14ac:dyDescent="0.25">
      <c r="A143" s="34" t="str">
        <f t="shared" ca="1" si="131"/>
        <v xml:space="preserve">How are you today </v>
      </c>
      <c r="B143" s="31" t="str">
        <f t="shared" ref="B143" ca="1" si="138">IF(MOD(ROW()-3,2)=0, INDIRECT("Sheet1!E" &amp;4+((ROW()-3)/2)-2), "")</f>
        <v>إنتو حَبيتو</v>
      </c>
      <c r="D143" s="75"/>
      <c r="E143" s="41" t="str">
        <f t="shared" ref="E143" ca="1" si="139">IF(MOD(ROW()-3,2)=0, INDIRECT("Sheet1!E" &amp;4+((ROW()-3)/2)-2), "")</f>
        <v>إنتو حَبيتو</v>
      </c>
    </row>
    <row r="144" spans="1:5" ht="31.5" x14ac:dyDescent="0.25">
      <c r="A144" s="35" t="str">
        <f t="shared" ca="1" si="131"/>
        <v/>
      </c>
      <c r="B144" s="30" t="str">
        <f t="shared" ca="1" si="85"/>
        <v>henneh Habbo</v>
      </c>
      <c r="D144" s="75" t="str">
        <f t="shared" ca="1" si="93"/>
        <v>they loved</v>
      </c>
      <c r="E144" s="40" t="str">
        <f t="shared" ca="1" si="94"/>
        <v>henneh Habbo</v>
      </c>
    </row>
    <row r="145" spans="1:5" ht="15" customHeight="1" x14ac:dyDescent="0.25">
      <c r="A145" s="36" t="str">
        <f t="shared" ca="1" si="131"/>
        <v/>
      </c>
      <c r="B145" s="31" t="str">
        <f t="shared" ca="1" si="86"/>
        <v xml:space="preserve">هني حَبّو </v>
      </c>
      <c r="D145" s="75"/>
      <c r="E145" s="41" t="str">
        <f t="shared" ca="1" si="97"/>
        <v xml:space="preserve">هني حَبّو </v>
      </c>
    </row>
    <row r="146" spans="1:5" ht="31.5" x14ac:dyDescent="0.25">
      <c r="A146" s="34" t="str">
        <f t="shared" ca="1" si="131"/>
        <v xml:space="preserve">How is your father </v>
      </c>
      <c r="B146" s="30" t="str">
        <f t="shared" ca="1" si="87"/>
        <v>ana kenet Hebb</v>
      </c>
      <c r="D146" s="75" t="str">
        <f t="shared" ca="1" si="99"/>
        <v>I used to love</v>
      </c>
      <c r="E146" s="40" t="str">
        <f t="shared" ca="1" si="100"/>
        <v>ana kenet Hebb</v>
      </c>
    </row>
    <row r="147" spans="1:5" ht="15" customHeight="1" x14ac:dyDescent="0.25">
      <c r="A147" s="35" t="str">
        <f t="shared" ca="1" si="131"/>
        <v/>
      </c>
      <c r="B147" s="31" t="str">
        <f t="shared" ca="1" si="90"/>
        <v>أنا كنت حبّ</v>
      </c>
      <c r="D147" s="75"/>
      <c r="E147" s="41" t="str">
        <f t="shared" ca="1" si="102"/>
        <v>أنا كنت حبّ</v>
      </c>
    </row>
    <row r="148" spans="1:5" ht="94.5" x14ac:dyDescent="0.25">
      <c r="A148" s="36" t="str">
        <f t="shared" ca="1" si="131"/>
        <v/>
      </c>
      <c r="B148" s="30" t="str">
        <f t="shared" ca="1" si="92"/>
        <v>enta kenet tHebb/enteh kenteh tHebbeh</v>
      </c>
      <c r="D148" s="75" t="str">
        <f t="shared" ca="1" si="104"/>
        <v>you used to love</v>
      </c>
      <c r="E148" s="40" t="str">
        <f t="shared" ca="1" si="105"/>
        <v>enta kenet tHebb/enteh kenteh tHebbeh</v>
      </c>
    </row>
    <row r="149" spans="1:5" ht="15" customHeight="1" x14ac:dyDescent="0.25">
      <c r="A149" s="34" t="str">
        <f t="shared" ca="1" si="131"/>
        <v xml:space="preserve">How is your mother </v>
      </c>
      <c r="B149" s="31" t="str">
        <f t="shared" ca="1" si="96"/>
        <v xml:space="preserve">إنتَ كنت تحبّ/ إنتِ كنتي تحبّي </v>
      </c>
      <c r="D149" s="75"/>
      <c r="E149" s="41" t="str">
        <f t="shared" ca="1" si="107"/>
        <v xml:space="preserve">إنتَ كنت تحبّ/ إنتِ كنتي تحبّي </v>
      </c>
    </row>
    <row r="150" spans="1:5" ht="47.25" x14ac:dyDescent="0.25">
      <c r="A150" s="35" t="str">
        <f t="shared" ca="1" si="131"/>
        <v/>
      </c>
      <c r="B150" s="30" t="str">
        <f t="shared" ca="1" si="98"/>
        <v>howeh kein yHebb</v>
      </c>
      <c r="D150" s="75" t="str">
        <f t="shared" ca="1" si="108"/>
        <v>he used to love</v>
      </c>
      <c r="E150" s="40" t="str">
        <f t="shared" ca="1" si="109"/>
        <v>howeh kein yHebb</v>
      </c>
    </row>
    <row r="151" spans="1:5" ht="15" customHeight="1" x14ac:dyDescent="0.25">
      <c r="A151" s="36" t="str">
        <f t="shared" ca="1" si="131"/>
        <v/>
      </c>
      <c r="B151" s="31" t="str">
        <f t="shared" ca="1" si="101"/>
        <v xml:space="preserve">هوّ كان يحبّ </v>
      </c>
      <c r="D151" s="75"/>
      <c r="E151" s="41" t="str">
        <f t="shared" ca="1" si="110"/>
        <v xml:space="preserve">هوّ كان يحبّ </v>
      </c>
    </row>
    <row r="152" spans="1:5" ht="47.25" x14ac:dyDescent="0.25">
      <c r="A152" s="34" t="str">
        <f t="shared" ca="1" si="131"/>
        <v xml:space="preserve">How are your children </v>
      </c>
      <c r="B152" s="30" t="str">
        <f t="shared" ref="B152" ca="1" si="140">IF(MOD(ROW()-2,2)=0, INDIRECT("Sheet1!D" &amp;4+((ROW()-2)/2)-2), "")</f>
        <v>hiyyeh keinit tHebb</v>
      </c>
      <c r="D152" s="75" t="str">
        <f t="shared" ca="1" si="111"/>
        <v>she used to love</v>
      </c>
      <c r="E152" s="40" t="str">
        <f t="shared" ca="1" si="112"/>
        <v>hiyyeh keinit tHebb</v>
      </c>
    </row>
    <row r="153" spans="1:5" ht="15" customHeight="1" x14ac:dyDescent="0.25">
      <c r="A153" s="35" t="str">
        <f t="shared" ca="1" si="131"/>
        <v/>
      </c>
      <c r="B153" s="31" t="str">
        <f t="shared" ref="B153" ca="1" si="141">IF(MOD(ROW()-3,2)=0, INDIRECT("Sheet1!E" &amp;4+((ROW()-3)/2)-2), "")</f>
        <v xml:space="preserve">هيّ كانت تحبّ </v>
      </c>
      <c r="D153" s="75"/>
      <c r="E153" s="41" t="str">
        <f t="shared" ca="1" si="113"/>
        <v xml:space="preserve">هيّ كانت تحبّ </v>
      </c>
    </row>
    <row r="154" spans="1:5" ht="47.25" x14ac:dyDescent="0.25">
      <c r="A154" s="36" t="str">
        <f t="shared" ca="1" si="131"/>
        <v/>
      </c>
      <c r="B154" s="30" t="str">
        <f t="shared" ref="B154:B214" ca="1" si="142">IF(MOD(ROW()-2,2)=0, INDIRECT("Sheet1!D" &amp;4+((ROW()-2)/2)-2), "")</f>
        <v>neHna kenna nHebb</v>
      </c>
      <c r="D154" s="75" t="str">
        <f t="shared" ca="1" si="114"/>
        <v>we used to love</v>
      </c>
      <c r="E154" s="40" t="str">
        <f t="shared" ca="1" si="115"/>
        <v>neHna kenna nHebb</v>
      </c>
    </row>
    <row r="155" spans="1:5" ht="15" customHeight="1" x14ac:dyDescent="0.25">
      <c r="A155" s="34" t="str">
        <f t="shared" ca="1" si="131"/>
        <v xml:space="preserve">what is wrong with you </v>
      </c>
      <c r="B155" s="31" t="str">
        <f t="shared" ref="B155:B215" ca="1" si="143">IF(MOD(ROW()-3,2)=0, INDIRECT("Sheet1!E" &amp;4+((ROW()-3)/2)-2), "")</f>
        <v>نحنا كنّا نحبّ</v>
      </c>
      <c r="D155" s="75"/>
      <c r="E155" s="41" t="str">
        <f t="shared" ca="1" si="116"/>
        <v>نحنا كنّا نحبّ</v>
      </c>
    </row>
    <row r="156" spans="1:5" ht="47.25" x14ac:dyDescent="0.25">
      <c r="A156" s="35" t="str">
        <f t="shared" ca="1" si="131"/>
        <v/>
      </c>
      <c r="B156" s="30" t="str">
        <f t="shared" ref="B156:B216" ca="1" si="144">IF(MOD(ROW()-2,2)=0, INDIRECT("Sheet1!D" &amp;4+((ROW()-2)/2)-2), "")</f>
        <v>ento kento tHebbo</v>
      </c>
      <c r="D156" s="75" t="str">
        <f t="shared" ref="D156" ca="1" si="145">IF(MOD(ROW()-2,2)=0, INDIRECT("Sheet1!A" &amp;4+((ROW()-2)/2)-2), "")</f>
        <v>you used to love</v>
      </c>
      <c r="E156" s="40" t="str">
        <f t="shared" ref="E156" ca="1" si="146">IF(MOD(ROW()-2,2)=0, INDIRECT("Sheet1!D" &amp;4+((ROW()-2)/2)-2), "")</f>
        <v>ento kento tHebbo</v>
      </c>
    </row>
    <row r="157" spans="1:5" ht="15" customHeight="1" x14ac:dyDescent="0.25">
      <c r="A157" s="36" t="str">
        <f t="shared" ca="1" si="131"/>
        <v/>
      </c>
      <c r="B157" s="31" t="str">
        <f t="shared" ref="B157:B217" ca="1" si="147">IF(MOD(ROW()-3,2)=0, INDIRECT("Sheet1!E" &amp;4+((ROW()-3)/2)-2), "")</f>
        <v>إنتو كنتو تحبّو</v>
      </c>
      <c r="D157" s="75"/>
      <c r="E157" s="41" t="str">
        <f t="shared" ref="E157" ca="1" si="148">IF(MOD(ROW()-3,2)=0, INDIRECT("Sheet1!E" &amp;4+((ROW()-3)/2)-2), "")</f>
        <v>إنتو كنتو تحبّو</v>
      </c>
    </row>
    <row r="158" spans="1:5" ht="47.25" x14ac:dyDescent="0.25">
      <c r="A158" s="34" t="str">
        <f t="shared" ca="1" si="131"/>
        <v>where are you going</v>
      </c>
      <c r="B158" s="30" t="str">
        <f t="shared" ref="B158:B218" ca="1" si="149">IF(MOD(ROW()-2,2)=0, INDIRECT("Sheet1!D" &amp;4+((ROW()-2)/2)-2), "")</f>
        <v>henneh keino yHebbo</v>
      </c>
      <c r="D158" s="75" t="str">
        <f t="shared" ref="D158:D214" ca="1" si="150">IF(MOD(ROW()-2,2)=0, INDIRECT("Sheet1!A" &amp;4+((ROW()-2)/2)-2), "")</f>
        <v>they used to love</v>
      </c>
      <c r="E158" s="40" t="str">
        <f t="shared" ref="E158:E214" ca="1" si="151">IF(MOD(ROW()-2,2)=0, INDIRECT("Sheet1!D" &amp;4+((ROW()-2)/2)-2), "")</f>
        <v>henneh keino yHebbo</v>
      </c>
    </row>
    <row r="159" spans="1:5" ht="15" customHeight="1" x14ac:dyDescent="0.25">
      <c r="A159" s="35" t="str">
        <f t="shared" ca="1" si="131"/>
        <v/>
      </c>
      <c r="B159" s="31" t="str">
        <f t="shared" ref="B159:B219" ca="1" si="152">IF(MOD(ROW()-3,2)=0, INDIRECT("Sheet1!E" &amp;4+((ROW()-3)/2)-2), "")</f>
        <v xml:space="preserve">هنّي كانو يحبّو </v>
      </c>
      <c r="D159" s="75"/>
      <c r="E159" s="41" t="str">
        <f t="shared" ref="E159:E215" ca="1" si="153">IF(MOD(ROW()-3,2)=0, INDIRECT("Sheet1!E" &amp;4+((ROW()-3)/2)-2), "")</f>
        <v xml:space="preserve">هنّي كانو يحبّو </v>
      </c>
    </row>
    <row r="160" spans="1:5" ht="31.5" x14ac:dyDescent="0.25">
      <c r="A160" s="36" t="str">
        <f t="shared" ca="1" si="131"/>
        <v/>
      </c>
      <c r="B160" s="30" t="str">
        <f t="shared" ref="B160:B220" ca="1" si="154">IF(MOD(ROW()-2,2)=0, INDIRECT("Sheet1!D" &amp;4+((ROW()-2)/2)-2), "")</f>
        <v>ana raH Hebb</v>
      </c>
      <c r="D160" s="75" t="str">
        <f t="shared" ref="D160:D216" ca="1" si="155">IF(MOD(ROW()-2,2)=0, INDIRECT("Sheet1!A" &amp;4+((ROW()-2)/2)-2), "")</f>
        <v>I will love</v>
      </c>
      <c r="E160" s="40" t="str">
        <f t="shared" ref="E160:E216" ca="1" si="156">IF(MOD(ROW()-2,2)=0, INDIRECT("Sheet1!D" &amp;4+((ROW()-2)/2)-2), "")</f>
        <v>ana raH Hebb</v>
      </c>
    </row>
    <row r="161" spans="1:5" ht="15" customHeight="1" x14ac:dyDescent="0.25">
      <c r="A161" s="34" t="str">
        <f t="shared" ca="1" si="131"/>
        <v xml:space="preserve">what are these mugs for </v>
      </c>
      <c r="B161" s="31" t="str">
        <f t="shared" ref="B161:B221" ca="1" si="157">IF(MOD(ROW()-3,2)=0, INDIRECT("Sheet1!E" &amp;4+((ROW()-3)/2)-2), "")</f>
        <v xml:space="preserve">أنا رّح حبّ </v>
      </c>
      <c r="D161" s="75"/>
      <c r="E161" s="41" t="str">
        <f t="shared" ref="E161:E217" ca="1" si="158">IF(MOD(ROW()-3,2)=0, INDIRECT("Sheet1!E" &amp;4+((ROW()-3)/2)-2), "")</f>
        <v xml:space="preserve">أنا رّح حبّ </v>
      </c>
    </row>
    <row r="162" spans="1:5" ht="63" x14ac:dyDescent="0.25">
      <c r="A162" s="35" t="str">
        <f t="shared" ca="1" si="131"/>
        <v/>
      </c>
      <c r="B162" s="30" t="str">
        <f t="shared" ref="B162" ca="1" si="159">IF(MOD(ROW()-2,2)=0, INDIRECT("Sheet1!D" &amp;4+((ROW()-2)/2)-2), "")</f>
        <v>enta raH tHebb/enteh raH tHebbeh</v>
      </c>
      <c r="D162" s="75" t="str">
        <f t="shared" ref="D162:D218" ca="1" si="160">IF(MOD(ROW()-2,2)=0, INDIRECT("Sheet1!A" &amp;4+((ROW()-2)/2)-2), "")</f>
        <v>you will love</v>
      </c>
      <c r="E162" s="40" t="str">
        <f t="shared" ref="E162:E218" ca="1" si="161">IF(MOD(ROW()-2,2)=0, INDIRECT("Sheet1!D" &amp;4+((ROW()-2)/2)-2), "")</f>
        <v>enta raH tHebb/enteh raH tHebbeh</v>
      </c>
    </row>
    <row r="163" spans="1:5" ht="15" customHeight="1" x14ac:dyDescent="0.25">
      <c r="A163" s="36" t="str">
        <f t="shared" ca="1" si="131"/>
        <v/>
      </c>
      <c r="B163" s="31" t="str">
        <f t="shared" ref="B163" ca="1" si="162">IF(MOD(ROW()-3,2)=0, INDIRECT("Sheet1!E" &amp;4+((ROW()-3)/2)-2), "")</f>
        <v xml:space="preserve">إنتَ رَح تحبّ/ إنتي رَح تحبّي </v>
      </c>
      <c r="D163" s="75"/>
      <c r="E163" s="41" t="str">
        <f t="shared" ref="E163:E219" ca="1" si="163">IF(MOD(ROW()-3,2)=0, INDIRECT("Sheet1!E" &amp;4+((ROW()-3)/2)-2), "")</f>
        <v xml:space="preserve">إنتَ رَح تحبّ/ إنتي رَح تحبّي </v>
      </c>
    </row>
    <row r="164" spans="1:5" ht="15.75" customHeight="1" x14ac:dyDescent="0.25">
      <c r="A164" s="34" t="str">
        <f t="shared" ca="1" si="131"/>
        <v xml:space="preserve">Since when do you wear black </v>
      </c>
      <c r="B164" s="30" t="str">
        <f t="shared" ca="1" si="142"/>
        <v>howeh raH yHebb</v>
      </c>
      <c r="D164" s="75" t="str">
        <f t="shared" ref="D164:D220" ca="1" si="164">IF(MOD(ROW()-2,2)=0, INDIRECT("Sheet1!A" &amp;4+((ROW()-2)/2)-2), "")</f>
        <v>he will love</v>
      </c>
      <c r="E164" s="40" t="str">
        <f t="shared" ref="E164:E220" ca="1" si="165">IF(MOD(ROW()-2,2)=0, INDIRECT("Sheet1!D" &amp;4+((ROW()-2)/2)-2), "")</f>
        <v>howeh raH yHebb</v>
      </c>
    </row>
    <row r="165" spans="1:5" ht="15" customHeight="1" x14ac:dyDescent="0.25">
      <c r="A165" s="35" t="str">
        <f t="shared" ca="1" si="131"/>
        <v/>
      </c>
      <c r="B165" s="31" t="str">
        <f t="shared" ca="1" si="143"/>
        <v xml:space="preserve">هوّ رَح يحبّ </v>
      </c>
      <c r="D165" s="75"/>
      <c r="E165" s="41" t="str">
        <f t="shared" ref="E165:E221" ca="1" si="166">IF(MOD(ROW()-3,2)=0, INDIRECT("Sheet1!E" &amp;4+((ROW()-3)/2)-2), "")</f>
        <v xml:space="preserve">هوّ رَح يحبّ </v>
      </c>
    </row>
    <row r="166" spans="1:5" ht="31.5" x14ac:dyDescent="0.25">
      <c r="A166" s="36" t="str">
        <f t="shared" ca="1" si="131"/>
        <v/>
      </c>
      <c r="B166" s="30" t="str">
        <f t="shared" ca="1" si="144"/>
        <v>hiyeh raH tHebb</v>
      </c>
      <c r="D166" s="75" t="str">
        <f t="shared" ref="D166:D222" ca="1" si="167">IF(MOD(ROW()-2,2)=0, INDIRECT("Sheet1!A" &amp;4+((ROW()-2)/2)-2), "")</f>
        <v>she will love</v>
      </c>
      <c r="E166" s="40" t="str">
        <f t="shared" ref="E166:E222" ca="1" si="168">IF(MOD(ROW()-2,2)=0, INDIRECT("Sheet1!D" &amp;4+((ROW()-2)/2)-2), "")</f>
        <v>hiyeh raH tHebb</v>
      </c>
    </row>
    <row r="167" spans="1:5" ht="15" customHeight="1" x14ac:dyDescent="0.25">
      <c r="A167" s="34" t="str">
        <f t="shared" ca="1" si="131"/>
        <v xml:space="preserve">What else do you suggest </v>
      </c>
      <c r="B167" s="31" t="str">
        <f t="shared" ca="1" si="147"/>
        <v xml:space="preserve">هيّ رَح تحبّ </v>
      </c>
      <c r="D167" s="75"/>
      <c r="E167" s="41" t="str">
        <f t="shared" ref="E167:E223" ca="1" si="169">IF(MOD(ROW()-3,2)=0, INDIRECT("Sheet1!E" &amp;4+((ROW()-3)/2)-2), "")</f>
        <v xml:space="preserve">هيّ رَح تحبّ </v>
      </c>
    </row>
    <row r="168" spans="1:5" ht="47.25" x14ac:dyDescent="0.25">
      <c r="A168" s="35" t="str">
        <f t="shared" ca="1" si="131"/>
        <v/>
      </c>
      <c r="B168" s="30" t="str">
        <f t="shared" ca="1" si="149"/>
        <v>neHna raH nHebb</v>
      </c>
      <c r="D168" s="75" t="str">
        <f t="shared" ref="D168:D224" ca="1" si="170">IF(MOD(ROW()-2,2)=0, INDIRECT("Sheet1!A" &amp;4+((ROW()-2)/2)-2), "")</f>
        <v>we will love</v>
      </c>
      <c r="E168" s="40" t="str">
        <f t="shared" ref="E168:E224" ca="1" si="171">IF(MOD(ROW()-2,2)=0, INDIRECT("Sheet1!D" &amp;4+((ROW()-2)/2)-2), "")</f>
        <v>neHna raH nHebb</v>
      </c>
    </row>
    <row r="169" spans="1:5" ht="15" customHeight="1" x14ac:dyDescent="0.25">
      <c r="A169" s="36" t="str">
        <f t="shared" ca="1" si="131"/>
        <v/>
      </c>
      <c r="B169" s="31" t="str">
        <f t="shared" ca="1" si="152"/>
        <v xml:space="preserve">نحنا رَح نحب </v>
      </c>
      <c r="D169" s="75"/>
      <c r="E169" s="41" t="str">
        <f t="shared" ref="E169:E225" ca="1" si="172">IF(MOD(ROW()-3,2)=0, INDIRECT("Sheet1!E" &amp;4+((ROW()-3)/2)-2), "")</f>
        <v xml:space="preserve">نحنا رَح نحب </v>
      </c>
    </row>
    <row r="170" spans="1:5" ht="31.5" x14ac:dyDescent="0.25">
      <c r="A170" s="34" t="str">
        <f t="shared" ca="1" si="131"/>
        <v xml:space="preserve">How come you are here </v>
      </c>
      <c r="B170" s="30" t="str">
        <f t="shared" ca="1" si="154"/>
        <v>ento raH tHebbo</v>
      </c>
      <c r="D170" s="75" t="str">
        <f t="shared" ref="D170" ca="1" si="173">IF(MOD(ROW()-2,2)=0, INDIRECT("Sheet1!A" &amp;4+((ROW()-2)/2)-2), "")</f>
        <v>you will love</v>
      </c>
      <c r="E170" s="40" t="str">
        <f t="shared" ref="E170" ca="1" si="174">IF(MOD(ROW()-2,2)=0, INDIRECT("Sheet1!D" &amp;4+((ROW()-2)/2)-2), "")</f>
        <v>ento raH tHebbo</v>
      </c>
    </row>
    <row r="171" spans="1:5" ht="15" customHeight="1" x14ac:dyDescent="0.25">
      <c r="A171" s="35" t="str">
        <f t="shared" ca="1" si="131"/>
        <v/>
      </c>
      <c r="B171" s="31" t="str">
        <f t="shared" ca="1" si="157"/>
        <v xml:space="preserve">إنتو رَح تحبّو </v>
      </c>
      <c r="D171" s="75"/>
      <c r="E171" s="41" t="str">
        <f t="shared" ref="E171" ca="1" si="175">IF(MOD(ROW()-3,2)=0, INDIRECT("Sheet1!E" &amp;4+((ROW()-3)/2)-2), "")</f>
        <v xml:space="preserve">إنتو رَح تحبّو </v>
      </c>
    </row>
    <row r="172" spans="1:5" ht="47.25" x14ac:dyDescent="0.25">
      <c r="A172" s="36" t="str">
        <f t="shared" ca="1" si="131"/>
        <v/>
      </c>
      <c r="B172" s="30" t="str">
        <f t="shared" ref="B172" ca="1" si="176">IF(MOD(ROW()-2,2)=0, INDIRECT("Sheet1!D" &amp;4+((ROW()-2)/2)-2), "")</f>
        <v>henneh raH yHebbo</v>
      </c>
      <c r="D172" s="75" t="str">
        <f t="shared" ca="1" si="150"/>
        <v>they will love</v>
      </c>
      <c r="E172" s="40" t="str">
        <f t="shared" ca="1" si="151"/>
        <v>henneh raH yHebbo</v>
      </c>
    </row>
    <row r="173" spans="1:5" ht="15" customHeight="1" x14ac:dyDescent="0.25">
      <c r="A173" s="34" t="str">
        <f t="shared" ca="1" si="131"/>
        <v xml:space="preserve">how much does it cost </v>
      </c>
      <c r="B173" s="31" t="str">
        <f t="shared" ref="B173" ca="1" si="177">IF(MOD(ROW()-3,2)=0, INDIRECT("Sheet1!E" &amp;4+((ROW()-3)/2)-2), "")</f>
        <v xml:space="preserve">هِنّي رَح يحبّوا </v>
      </c>
      <c r="D173" s="75"/>
      <c r="E173" s="41" t="str">
        <f t="shared" ca="1" si="153"/>
        <v xml:space="preserve">هِنّي رَح يحبّوا </v>
      </c>
    </row>
    <row r="174" spans="1:5" ht="78.75" x14ac:dyDescent="0.25">
      <c r="A174" s="35" t="str">
        <f t="shared" ca="1" si="131"/>
        <v/>
      </c>
      <c r="B174" s="30" t="str">
        <f t="shared" ca="1" si="142"/>
        <v>ana kenet Hebbak lamma kenna wleid</v>
      </c>
      <c r="D174" s="75" t="str">
        <f t="shared" ca="1" si="155"/>
        <v>I used to love you when we were kids</v>
      </c>
      <c r="E174" s="40" t="str">
        <f t="shared" ca="1" si="156"/>
        <v>ana kenet Hebbak lamma kenna wleid</v>
      </c>
    </row>
    <row r="175" spans="1:5" ht="15" customHeight="1" x14ac:dyDescent="0.25">
      <c r="A175" s="36" t="str">
        <f t="shared" ca="1" si="131"/>
        <v/>
      </c>
      <c r="B175" s="31" t="str">
        <f t="shared" ca="1" si="143"/>
        <v>أنا كنت حبَّك/ حبِّك لَمّا كنا ولاد</v>
      </c>
      <c r="D175" s="75"/>
      <c r="E175" s="41" t="str">
        <f t="shared" ca="1" si="158"/>
        <v>أنا كنت حبَّك/ حبِّك لَمّا كنا ولاد</v>
      </c>
    </row>
    <row r="176" spans="1:5" ht="78.75" x14ac:dyDescent="0.25">
      <c r="A176" s="34" t="str">
        <f t="shared" ca="1" si="131"/>
        <v>I love</v>
      </c>
      <c r="B176" s="30" t="str">
        <f t="shared" ca="1" si="144"/>
        <v>howeh bi'oul enno biHebneh metel abel</v>
      </c>
      <c r="D176" s="75" t="str">
        <f t="shared" ca="1" si="160"/>
        <v>He says he loves me like before</v>
      </c>
      <c r="E176" s="40" t="str">
        <f t="shared" ca="1" si="161"/>
        <v>howeh bi'oul enno biHebneh metel abel</v>
      </c>
    </row>
    <row r="177" spans="1:5" ht="15" customHeight="1" x14ac:dyDescent="0.25">
      <c r="A177" s="35" t="str">
        <f t="shared" ca="1" si="131"/>
        <v/>
      </c>
      <c r="B177" s="31" t="str">
        <f t="shared" ca="1" si="147"/>
        <v xml:space="preserve">هوّ بِقول إنّو بِحبني متل قَبل </v>
      </c>
      <c r="D177" s="75"/>
      <c r="E177" s="41" t="str">
        <f t="shared" ca="1" si="163"/>
        <v xml:space="preserve">هوّ بِقول إنّو بِحبني متل قَبل </v>
      </c>
    </row>
    <row r="178" spans="1:5" ht="126" x14ac:dyDescent="0.25">
      <c r="A178" s="36" t="str">
        <f t="shared" ca="1" si="131"/>
        <v/>
      </c>
      <c r="B178" s="30" t="str">
        <f t="shared" ca="1" si="149"/>
        <v>ana akeedeh raH tHebb Jbeil bas trouH/trouHeh/trouHo</v>
      </c>
      <c r="D178" s="75" t="str">
        <f t="shared" ca="1" si="164"/>
        <v>I'm sure you'll love Byblos when you go</v>
      </c>
      <c r="E178" s="40" t="str">
        <f t="shared" ca="1" si="165"/>
        <v>ana akeedeh raH tHebb Jbeil bas trouH/trouHeh/trouHo</v>
      </c>
    </row>
    <row r="179" spans="1:5" ht="105" x14ac:dyDescent="0.25">
      <c r="A179" s="34" t="str">
        <f t="shared" ca="1" si="131"/>
        <v>you love</v>
      </c>
      <c r="B179" s="31" t="str">
        <f t="shared" ca="1" si="152"/>
        <v xml:space="preserve">أنا أكيد/ أكيدة رَح تحبّ جبيل بس تروح/ رح تحبّي جبيل بَس تروحي </v>
      </c>
      <c r="D179" s="75"/>
      <c r="E179" s="41" t="str">
        <f t="shared" ca="1" si="166"/>
        <v xml:space="preserve">أنا أكيد/ أكيدة رَح تحبّ جبيل بس تروح/ رح تحبّي جبيل بَس تروحي </v>
      </c>
    </row>
    <row r="180" spans="1:5" x14ac:dyDescent="0.25">
      <c r="A180" s="35" t="str">
        <f t="shared" ca="1" si="131"/>
        <v/>
      </c>
      <c r="B180" s="30" t="str">
        <f t="shared" ca="1" si="154"/>
        <v>ana bseifir</v>
      </c>
      <c r="D180" s="75" t="str">
        <f t="shared" ca="1" si="167"/>
        <v>I travel</v>
      </c>
      <c r="E180" s="40" t="str">
        <f t="shared" ca="1" si="168"/>
        <v>ana bseifir</v>
      </c>
    </row>
    <row r="181" spans="1:5" ht="15" customHeight="1" x14ac:dyDescent="0.25">
      <c r="A181" s="36" t="str">
        <f t="shared" ca="1" si="131"/>
        <v/>
      </c>
      <c r="B181" s="31" t="str">
        <f t="shared" ca="1" si="157"/>
        <v>انا بسافِر</v>
      </c>
      <c r="D181" s="75"/>
      <c r="E181" s="41" t="str">
        <f t="shared" ca="1" si="169"/>
        <v>انا بسافِر</v>
      </c>
    </row>
    <row r="182" spans="1:5" ht="63" x14ac:dyDescent="0.25">
      <c r="A182" s="34" t="str">
        <f t="shared" ca="1" si="131"/>
        <v>he loves</v>
      </c>
      <c r="B182" s="30" t="str">
        <f t="shared" ref="B182" ca="1" si="178">IF(MOD(ROW()-2,2)=0, INDIRECT("Sheet1!D" &amp;4+((ROW()-2)/2)-2), "")</f>
        <v>enta btseifir/ enteh btseifreh</v>
      </c>
      <c r="D182" s="75" t="str">
        <f t="shared" ca="1" si="170"/>
        <v>You travel</v>
      </c>
      <c r="E182" s="40" t="str">
        <f t="shared" ca="1" si="171"/>
        <v>enta btseifir/ enteh btseifreh</v>
      </c>
    </row>
    <row r="183" spans="1:5" ht="15" customHeight="1" x14ac:dyDescent="0.25">
      <c r="A183" s="35" t="str">
        <f t="shared" ca="1" si="131"/>
        <v/>
      </c>
      <c r="B183" s="31" t="str">
        <f t="shared" ref="B183" ca="1" si="179">IF(MOD(ROW()-3,2)=0, INDIRECT("Sheet1!E" &amp;4+((ROW()-3)/2)-2), "")</f>
        <v>إنتَ بتسافِر/ إنتِ بتسافري</v>
      </c>
      <c r="D183" s="75"/>
      <c r="E183" s="41" t="str">
        <f t="shared" ca="1" si="172"/>
        <v>إنتَ بتسافِر/ إنتِ بتسافري</v>
      </c>
    </row>
    <row r="184" spans="1:5" ht="31.5" x14ac:dyDescent="0.25">
      <c r="A184" s="36" t="str">
        <f t="shared" ca="1" si="131"/>
        <v/>
      </c>
      <c r="B184" s="30" t="str">
        <f t="shared" ca="1" si="142"/>
        <v>houwweh biseifir</v>
      </c>
      <c r="D184" s="75" t="str">
        <f t="shared" ref="D184" ca="1" si="180">IF(MOD(ROW()-2,2)=0, INDIRECT("Sheet1!A" &amp;4+((ROW()-2)/2)-2), "")</f>
        <v>He travels</v>
      </c>
      <c r="E184" s="40" t="str">
        <f t="shared" ref="E184" ca="1" si="181">IF(MOD(ROW()-2,2)=0, INDIRECT("Sheet1!D" &amp;4+((ROW()-2)/2)-2), "")</f>
        <v>houwweh biseifir</v>
      </c>
    </row>
    <row r="185" spans="1:5" ht="15" customHeight="1" x14ac:dyDescent="0.25">
      <c r="A185" s="34" t="str">
        <f t="shared" ca="1" si="131"/>
        <v>she loves</v>
      </c>
      <c r="B185" s="31" t="str">
        <f t="shared" ca="1" si="143"/>
        <v>هُوّ بسافِر</v>
      </c>
      <c r="D185" s="75"/>
      <c r="E185" s="41" t="str">
        <f t="shared" ref="E185" ca="1" si="182">IF(MOD(ROW()-3,2)=0, INDIRECT("Sheet1!E" &amp;4+((ROW()-3)/2)-2), "")</f>
        <v>هُوّ بسافِر</v>
      </c>
    </row>
    <row r="186" spans="1:5" ht="31.5" x14ac:dyDescent="0.25">
      <c r="A186" s="35" t="str">
        <f t="shared" ca="1" si="131"/>
        <v/>
      </c>
      <c r="B186" s="30" t="str">
        <f t="shared" ca="1" si="144"/>
        <v>hiyyeh btseifir</v>
      </c>
      <c r="D186" s="75" t="str">
        <f t="shared" ca="1" si="150"/>
        <v>She travels</v>
      </c>
      <c r="E186" s="40" t="str">
        <f t="shared" ca="1" si="151"/>
        <v>hiyyeh btseifir</v>
      </c>
    </row>
    <row r="187" spans="1:5" ht="15" customHeight="1" x14ac:dyDescent="0.25">
      <c r="A187" s="36" t="str">
        <f t="shared" ca="1" si="131"/>
        <v/>
      </c>
      <c r="B187" s="31" t="str">
        <f t="shared" ca="1" si="147"/>
        <v>هِيّ بتسافِر</v>
      </c>
      <c r="D187" s="75"/>
      <c r="E187" s="41" t="str">
        <f t="shared" ca="1" si="153"/>
        <v>هِيّ بتسافِر</v>
      </c>
    </row>
    <row r="188" spans="1:5" ht="31.5" x14ac:dyDescent="0.25">
      <c r="A188" s="34" t="str">
        <f t="shared" ca="1" si="131"/>
        <v>we love</v>
      </c>
      <c r="B188" s="30" t="str">
        <f t="shared" ca="1" si="149"/>
        <v>neHna mnseifir</v>
      </c>
      <c r="D188" s="75" t="str">
        <f t="shared" ca="1" si="155"/>
        <v>we travel</v>
      </c>
      <c r="E188" s="40" t="str">
        <f t="shared" ca="1" si="156"/>
        <v>neHna mnseifir</v>
      </c>
    </row>
    <row r="189" spans="1:5" ht="15" customHeight="1" x14ac:dyDescent="0.25">
      <c r="A189" s="35" t="str">
        <f t="shared" ca="1" si="131"/>
        <v/>
      </c>
      <c r="B189" s="31" t="str">
        <f t="shared" ca="1" si="152"/>
        <v>نِحنا منسافِر</v>
      </c>
      <c r="D189" s="75"/>
      <c r="E189" s="41" t="str">
        <f t="shared" ca="1" si="158"/>
        <v>نِحنا منسافِر</v>
      </c>
    </row>
    <row r="190" spans="1:5" ht="31.5" x14ac:dyDescent="0.25">
      <c r="A190" s="36" t="str">
        <f t="shared" ca="1" si="131"/>
        <v/>
      </c>
      <c r="B190" s="30" t="str">
        <f t="shared" ca="1" si="154"/>
        <v>ento btseifro</v>
      </c>
      <c r="D190" s="75" t="str">
        <f t="shared" ca="1" si="160"/>
        <v>you travel</v>
      </c>
      <c r="E190" s="40" t="str">
        <f t="shared" ca="1" si="161"/>
        <v>ento btseifro</v>
      </c>
    </row>
    <row r="191" spans="1:5" ht="15" customHeight="1" x14ac:dyDescent="0.25">
      <c r="A191" s="34" t="str">
        <f t="shared" ca="1" si="131"/>
        <v>you love</v>
      </c>
      <c r="B191" s="31" t="str">
        <f t="shared" ca="1" si="157"/>
        <v>إنتو بتسافرو</v>
      </c>
      <c r="D191" s="75"/>
      <c r="E191" s="41" t="str">
        <f t="shared" ca="1" si="163"/>
        <v>إنتو بتسافرو</v>
      </c>
    </row>
    <row r="192" spans="1:5" ht="31.5" x14ac:dyDescent="0.25">
      <c r="A192" s="35" t="str">
        <f t="shared" ca="1" si="131"/>
        <v/>
      </c>
      <c r="B192" s="30" t="str">
        <f t="shared" ref="B192" ca="1" si="183">IF(MOD(ROW()-2,2)=0, INDIRECT("Sheet1!D" &amp;4+((ROW()-2)/2)-2), "")</f>
        <v>henneh biseifro</v>
      </c>
      <c r="D192" s="75" t="str">
        <f t="shared" ca="1" si="164"/>
        <v>They travel</v>
      </c>
      <c r="E192" s="40" t="str">
        <f t="shared" ca="1" si="165"/>
        <v>henneh biseifro</v>
      </c>
    </row>
    <row r="193" spans="1:5" ht="15" customHeight="1" x14ac:dyDescent="0.25">
      <c r="A193" s="36" t="str">
        <f t="shared" ref="A193:A256" ca="1" si="184">IF(MOD(ROW()-2,3)=0, INDIRECT("Sheet1!A" &amp;4+((ROW()-2)/3)-2), "")</f>
        <v/>
      </c>
      <c r="B193" s="31" t="str">
        <f t="shared" ref="B193" ca="1" si="185">IF(MOD(ROW()-3,2)=0, INDIRECT("Sheet1!E" &amp;4+((ROW()-3)/2)-2), "")</f>
        <v>هِنّي بسافرو</v>
      </c>
      <c r="D193" s="75"/>
      <c r="E193" s="41" t="str">
        <f t="shared" ca="1" si="166"/>
        <v>هِنّي بسافرو</v>
      </c>
    </row>
    <row r="194" spans="1:5" ht="47.25" x14ac:dyDescent="0.25">
      <c r="A194" s="34" t="str">
        <f t="shared" ca="1" si="184"/>
        <v>they love</v>
      </c>
      <c r="B194" s="30" t="str">
        <f t="shared" ca="1" si="142"/>
        <v>ana mseifar/ mseifra</v>
      </c>
      <c r="D194" s="75" t="str">
        <f t="shared" ca="1" si="167"/>
        <v>I'm traveling</v>
      </c>
      <c r="E194" s="40" t="str">
        <f t="shared" ca="1" si="168"/>
        <v>ana mseifar/ mseifra</v>
      </c>
    </row>
    <row r="195" spans="1:5" ht="15" customHeight="1" x14ac:dyDescent="0.25">
      <c r="A195" s="35" t="str">
        <f t="shared" ca="1" si="184"/>
        <v/>
      </c>
      <c r="B195" s="31" t="str">
        <f t="shared" ca="1" si="143"/>
        <v xml:space="preserve">أنا مسافَر/ مسافرَة </v>
      </c>
      <c r="D195" s="75"/>
      <c r="E195" s="41" t="str">
        <f t="shared" ca="1" si="169"/>
        <v xml:space="preserve">أنا مسافَر/ مسافرَة </v>
      </c>
    </row>
    <row r="196" spans="1:5" ht="63" x14ac:dyDescent="0.25">
      <c r="A196" s="36" t="str">
        <f t="shared" ca="1" si="184"/>
        <v/>
      </c>
      <c r="B196" s="30" t="str">
        <f t="shared" ca="1" si="144"/>
        <v>enta mseifar/ enteh mseifra</v>
      </c>
      <c r="D196" s="75" t="str">
        <f t="shared" ca="1" si="170"/>
        <v>You're traveling</v>
      </c>
      <c r="E196" s="40" t="str">
        <f t="shared" ca="1" si="171"/>
        <v>enta mseifar/ enteh mseifra</v>
      </c>
    </row>
    <row r="197" spans="1:5" ht="15" customHeight="1" x14ac:dyDescent="0.25">
      <c r="A197" s="34" t="str">
        <f t="shared" ca="1" si="184"/>
        <v>I loved</v>
      </c>
      <c r="B197" s="31" t="str">
        <f t="shared" ca="1" si="147"/>
        <v>إنتَ مسافَر/ إنتِ مسافرَة</v>
      </c>
      <c r="D197" s="75"/>
      <c r="E197" s="41" t="str">
        <f t="shared" ca="1" si="172"/>
        <v>إنتَ مسافَر/ إنتِ مسافرَة</v>
      </c>
    </row>
    <row r="198" spans="1:5" ht="31.5" x14ac:dyDescent="0.25">
      <c r="A198" s="35" t="str">
        <f t="shared" ca="1" si="184"/>
        <v/>
      </c>
      <c r="B198" s="30" t="str">
        <f t="shared" ca="1" si="149"/>
        <v>houwweh mseifar</v>
      </c>
      <c r="D198" s="75" t="str">
        <f t="shared" ref="D198" ca="1" si="186">IF(MOD(ROW()-2,2)=0, INDIRECT("Sheet1!A" &amp;4+((ROW()-2)/2)-2), "")</f>
        <v>he's traveling</v>
      </c>
      <c r="E198" s="40" t="str">
        <f t="shared" ref="E198" ca="1" si="187">IF(MOD(ROW()-2,2)=0, INDIRECT("Sheet1!D" &amp;4+((ROW()-2)/2)-2), "")</f>
        <v>houwweh mseifar</v>
      </c>
    </row>
    <row r="199" spans="1:5" ht="15" customHeight="1" x14ac:dyDescent="0.25">
      <c r="A199" s="36" t="str">
        <f t="shared" ca="1" si="184"/>
        <v/>
      </c>
      <c r="B199" s="31" t="str">
        <f t="shared" ca="1" si="152"/>
        <v>هُوّ مسافَر</v>
      </c>
      <c r="D199" s="75"/>
      <c r="E199" s="41" t="str">
        <f t="shared" ref="E199" ca="1" si="188">IF(MOD(ROW()-3,2)=0, INDIRECT("Sheet1!E" &amp;4+((ROW()-3)/2)-2), "")</f>
        <v>هُوّ مسافَر</v>
      </c>
    </row>
    <row r="200" spans="1:5" ht="31.5" x14ac:dyDescent="0.25">
      <c r="A200" s="34" t="str">
        <f t="shared" ca="1" si="184"/>
        <v>you loved</v>
      </c>
      <c r="B200" s="30" t="str">
        <f t="shared" ca="1" si="154"/>
        <v>hiyyeh mseifra</v>
      </c>
      <c r="D200" s="75" t="str">
        <f t="shared" ca="1" si="150"/>
        <v>She's traveling</v>
      </c>
      <c r="E200" s="40" t="str">
        <f t="shared" ca="1" si="151"/>
        <v>hiyyeh mseifra</v>
      </c>
    </row>
    <row r="201" spans="1:5" ht="15" customHeight="1" x14ac:dyDescent="0.25">
      <c r="A201" s="35" t="str">
        <f t="shared" ca="1" si="184"/>
        <v/>
      </c>
      <c r="B201" s="31" t="str">
        <f t="shared" ca="1" si="157"/>
        <v>هِيّ مسافرَة</v>
      </c>
      <c r="D201" s="75"/>
      <c r="E201" s="41" t="str">
        <f t="shared" ca="1" si="153"/>
        <v>هِيّ مسافرَة</v>
      </c>
    </row>
    <row r="202" spans="1:5" ht="31.5" x14ac:dyDescent="0.25">
      <c r="A202" s="36" t="str">
        <f t="shared" ca="1" si="184"/>
        <v/>
      </c>
      <c r="B202" s="30" t="str">
        <f t="shared" ref="B202" ca="1" si="189">IF(MOD(ROW()-2,2)=0, INDIRECT("Sheet1!D" &amp;4+((ROW()-2)/2)-2), "")</f>
        <v>neHna mseifreen</v>
      </c>
      <c r="D202" s="75" t="str">
        <f t="shared" ca="1" si="155"/>
        <v>We're traveling</v>
      </c>
      <c r="E202" s="40" t="str">
        <f t="shared" ca="1" si="156"/>
        <v>neHna mseifreen</v>
      </c>
    </row>
    <row r="203" spans="1:5" ht="15" customHeight="1" x14ac:dyDescent="0.25">
      <c r="A203" s="34" t="str">
        <f t="shared" ca="1" si="184"/>
        <v>he loved</v>
      </c>
      <c r="B203" s="31" t="str">
        <f t="shared" ref="B203" ca="1" si="190">IF(MOD(ROW()-3,2)=0, INDIRECT("Sheet1!E" &amp;4+((ROW()-3)/2)-2), "")</f>
        <v xml:space="preserve">نحنا مسافرين </v>
      </c>
      <c r="D203" s="75"/>
      <c r="E203" s="41" t="str">
        <f t="shared" ca="1" si="158"/>
        <v xml:space="preserve">نحنا مسافرين </v>
      </c>
    </row>
    <row r="204" spans="1:5" ht="31.5" x14ac:dyDescent="0.25">
      <c r="A204" s="35" t="str">
        <f t="shared" ca="1" si="184"/>
        <v/>
      </c>
      <c r="B204" s="30" t="str">
        <f t="shared" ca="1" si="142"/>
        <v>ento mseifreen</v>
      </c>
      <c r="D204" s="75" t="str">
        <f t="shared" ca="1" si="160"/>
        <v>you're traveling</v>
      </c>
      <c r="E204" s="40" t="str">
        <f t="shared" ca="1" si="161"/>
        <v>ento mseifreen</v>
      </c>
    </row>
    <row r="205" spans="1:5" ht="15" customHeight="1" x14ac:dyDescent="0.25">
      <c r="A205" s="36" t="str">
        <f t="shared" ca="1" si="184"/>
        <v/>
      </c>
      <c r="B205" s="31" t="str">
        <f t="shared" ca="1" si="143"/>
        <v>إنتو مسافرين</v>
      </c>
      <c r="D205" s="75"/>
      <c r="E205" s="41" t="str">
        <f t="shared" ca="1" si="163"/>
        <v>إنتو مسافرين</v>
      </c>
    </row>
    <row r="206" spans="1:5" ht="31.5" x14ac:dyDescent="0.25">
      <c r="A206" s="34" t="str">
        <f t="shared" ca="1" si="184"/>
        <v>she loved</v>
      </c>
      <c r="B206" s="30" t="str">
        <f t="shared" ca="1" si="144"/>
        <v>henneh mseifreen</v>
      </c>
      <c r="D206" s="75" t="str">
        <f t="shared" ca="1" si="164"/>
        <v>They're traveling</v>
      </c>
      <c r="E206" s="40" t="str">
        <f t="shared" ca="1" si="165"/>
        <v>henneh mseifreen</v>
      </c>
    </row>
    <row r="207" spans="1:5" ht="15" customHeight="1" x14ac:dyDescent="0.25">
      <c r="A207" s="35" t="str">
        <f t="shared" ca="1" si="184"/>
        <v/>
      </c>
      <c r="B207" s="31" t="str">
        <f t="shared" ca="1" si="147"/>
        <v>هِنّي مسافرين</v>
      </c>
      <c r="D207" s="75"/>
      <c r="E207" s="41" t="str">
        <f t="shared" ca="1" si="166"/>
        <v>هِنّي مسافرين</v>
      </c>
    </row>
    <row r="208" spans="1:5" ht="31.5" x14ac:dyDescent="0.25">
      <c r="A208" s="36" t="str">
        <f t="shared" ca="1" si="184"/>
        <v/>
      </c>
      <c r="B208" s="30" t="str">
        <f t="shared" ca="1" si="149"/>
        <v>ana seifaret</v>
      </c>
      <c r="D208" s="75" t="str">
        <f t="shared" ca="1" si="167"/>
        <v>I traveled</v>
      </c>
      <c r="E208" s="40" t="str">
        <f t="shared" ca="1" si="168"/>
        <v>ana seifaret</v>
      </c>
    </row>
    <row r="209" spans="1:5" ht="15" customHeight="1" x14ac:dyDescent="0.25">
      <c r="A209" s="34" t="str">
        <f t="shared" ca="1" si="184"/>
        <v>we loved</v>
      </c>
      <c r="B209" s="31" t="str">
        <f t="shared" ca="1" si="152"/>
        <v>أنا سافَرت</v>
      </c>
      <c r="D209" s="75"/>
      <c r="E209" s="41" t="str">
        <f t="shared" ca="1" si="169"/>
        <v>أنا سافَرت</v>
      </c>
    </row>
    <row r="210" spans="1:5" ht="63" x14ac:dyDescent="0.25">
      <c r="A210" s="35" t="str">
        <f t="shared" ca="1" si="184"/>
        <v/>
      </c>
      <c r="B210" s="30" t="str">
        <f t="shared" ca="1" si="154"/>
        <v>enta seifaret/ enteh seifarteh</v>
      </c>
      <c r="D210" s="75" t="str">
        <f t="shared" ca="1" si="170"/>
        <v>You traveled</v>
      </c>
      <c r="E210" s="40" t="str">
        <f t="shared" ca="1" si="171"/>
        <v>enta seifaret/ enteh seifarteh</v>
      </c>
    </row>
    <row r="211" spans="1:5" ht="15" customHeight="1" x14ac:dyDescent="0.25">
      <c r="A211" s="36" t="str">
        <f t="shared" ca="1" si="184"/>
        <v/>
      </c>
      <c r="B211" s="31" t="str">
        <f t="shared" ca="1" si="157"/>
        <v>إنتّ سافَرت/ إنتِ سافَرتي</v>
      </c>
      <c r="D211" s="75"/>
      <c r="E211" s="41" t="str">
        <f t="shared" ca="1" si="172"/>
        <v>إنتّ سافَرت/ إنتِ سافَرتي</v>
      </c>
    </row>
    <row r="212" spans="1:5" ht="31.5" x14ac:dyDescent="0.25">
      <c r="A212" s="34" t="str">
        <f t="shared" ca="1" si="184"/>
        <v>you loved</v>
      </c>
      <c r="B212" s="30" t="str">
        <f t="shared" ref="B212" ca="1" si="191">IF(MOD(ROW()-2,2)=0, INDIRECT("Sheet1!D" &amp;4+((ROW()-2)/2)-2), "")</f>
        <v>houwweh seifar</v>
      </c>
      <c r="D212" s="75" t="str">
        <f t="shared" ref="D212" ca="1" si="192">IF(MOD(ROW()-2,2)=0, INDIRECT("Sheet1!A" &amp;4+((ROW()-2)/2)-2), "")</f>
        <v>He traveled</v>
      </c>
      <c r="E212" s="40" t="str">
        <f t="shared" ref="E212" ca="1" si="193">IF(MOD(ROW()-2,2)=0, INDIRECT("Sheet1!D" &amp;4+((ROW()-2)/2)-2), "")</f>
        <v>houwweh seifar</v>
      </c>
    </row>
    <row r="213" spans="1:5" ht="15" customHeight="1" x14ac:dyDescent="0.25">
      <c r="A213" s="35" t="str">
        <f t="shared" ca="1" si="184"/>
        <v/>
      </c>
      <c r="B213" s="31" t="str">
        <f t="shared" ref="B213" ca="1" si="194">IF(MOD(ROW()-3,2)=0, INDIRECT("Sheet1!E" &amp;4+((ROW()-3)/2)-2), "")</f>
        <v>هُوّ سافَر</v>
      </c>
      <c r="D213" s="75"/>
      <c r="E213" s="41" t="str">
        <f t="shared" ref="E213" ca="1" si="195">IF(MOD(ROW()-3,2)=0, INDIRECT("Sheet1!E" &amp;4+((ROW()-3)/2)-2), "")</f>
        <v>هُوّ سافَر</v>
      </c>
    </row>
    <row r="214" spans="1:5" ht="31.5" x14ac:dyDescent="0.25">
      <c r="A214" s="36" t="str">
        <f t="shared" ca="1" si="184"/>
        <v/>
      </c>
      <c r="B214" s="30" t="str">
        <f t="shared" ca="1" si="142"/>
        <v>hiyyeh seifarit</v>
      </c>
      <c r="D214" s="75" t="str">
        <f t="shared" ca="1" si="150"/>
        <v>She traveled</v>
      </c>
      <c r="E214" s="40" t="str">
        <f t="shared" ca="1" si="151"/>
        <v>hiyyeh seifarit</v>
      </c>
    </row>
    <row r="215" spans="1:5" ht="15" customHeight="1" x14ac:dyDescent="0.25">
      <c r="A215" s="34" t="str">
        <f t="shared" ca="1" si="184"/>
        <v>they loved</v>
      </c>
      <c r="B215" s="31" t="str">
        <f t="shared" ca="1" si="143"/>
        <v>هِيّ سافَرِت</v>
      </c>
      <c r="D215" s="75"/>
      <c r="E215" s="41" t="str">
        <f t="shared" ca="1" si="153"/>
        <v>هِيّ سافَرِت</v>
      </c>
    </row>
    <row r="216" spans="1:5" ht="31.5" x14ac:dyDescent="0.25">
      <c r="A216" s="35" t="str">
        <f t="shared" ca="1" si="184"/>
        <v/>
      </c>
      <c r="B216" s="30" t="str">
        <f t="shared" ca="1" si="144"/>
        <v>neHna seifarna</v>
      </c>
      <c r="D216" s="75" t="str">
        <f t="shared" ca="1" si="155"/>
        <v>We traveled</v>
      </c>
      <c r="E216" s="40" t="str">
        <f t="shared" ca="1" si="156"/>
        <v>neHna seifarna</v>
      </c>
    </row>
    <row r="217" spans="1:5" ht="15" customHeight="1" x14ac:dyDescent="0.25">
      <c r="A217" s="36" t="str">
        <f t="shared" ca="1" si="184"/>
        <v/>
      </c>
      <c r="B217" s="31" t="str">
        <f t="shared" ca="1" si="147"/>
        <v>نِحنا سافَرنا</v>
      </c>
      <c r="D217" s="75"/>
      <c r="E217" s="41" t="str">
        <f t="shared" ca="1" si="158"/>
        <v>نِحنا سافَرنا</v>
      </c>
    </row>
    <row r="218" spans="1:5" ht="31.5" x14ac:dyDescent="0.25">
      <c r="A218" s="34" t="str">
        <f t="shared" ca="1" si="184"/>
        <v>I used to love</v>
      </c>
      <c r="B218" s="30" t="str">
        <f t="shared" ca="1" si="149"/>
        <v>ento seifarto</v>
      </c>
      <c r="D218" s="75" t="str">
        <f t="shared" ca="1" si="160"/>
        <v>You traveled</v>
      </c>
      <c r="E218" s="40" t="str">
        <f t="shared" ca="1" si="161"/>
        <v>ento seifarto</v>
      </c>
    </row>
    <row r="219" spans="1:5" ht="15" customHeight="1" x14ac:dyDescent="0.25">
      <c r="A219" s="35" t="str">
        <f t="shared" ca="1" si="184"/>
        <v/>
      </c>
      <c r="B219" s="31" t="str">
        <f t="shared" ca="1" si="152"/>
        <v>إنتو سافَرتو</v>
      </c>
      <c r="D219" s="75"/>
      <c r="E219" s="41" t="str">
        <f t="shared" ca="1" si="163"/>
        <v>إنتو سافَرتو</v>
      </c>
    </row>
    <row r="220" spans="1:5" ht="31.5" x14ac:dyDescent="0.25">
      <c r="A220" s="36" t="str">
        <f t="shared" ca="1" si="184"/>
        <v/>
      </c>
      <c r="B220" s="30" t="str">
        <f t="shared" ca="1" si="154"/>
        <v>henneh seifaro</v>
      </c>
      <c r="D220" s="75" t="str">
        <f t="shared" ca="1" si="164"/>
        <v>They traveled</v>
      </c>
      <c r="E220" s="40" t="str">
        <f t="shared" ca="1" si="165"/>
        <v>henneh seifaro</v>
      </c>
    </row>
    <row r="221" spans="1:5" ht="15" customHeight="1" x14ac:dyDescent="0.25">
      <c r="A221" s="34" t="str">
        <f t="shared" ca="1" si="184"/>
        <v>you used to love</v>
      </c>
      <c r="B221" s="31" t="str">
        <f t="shared" ca="1" si="157"/>
        <v>هِنّي سافَرو</v>
      </c>
      <c r="D221" s="75"/>
      <c r="E221" s="41" t="str">
        <f t="shared" ca="1" si="166"/>
        <v>هِنّي سافَرو</v>
      </c>
    </row>
    <row r="222" spans="1:5" ht="31.5" x14ac:dyDescent="0.25">
      <c r="A222" s="35" t="str">
        <f t="shared" ca="1" si="184"/>
        <v/>
      </c>
      <c r="B222" s="30" t="str">
        <f t="shared" ref="B222" ca="1" si="196">IF(MOD(ROW()-2,2)=0, INDIRECT("Sheet1!D" &amp;4+((ROW()-2)/2)-2), "")</f>
        <v>ana kenet seifir</v>
      </c>
      <c r="D222" s="75" t="str">
        <f t="shared" ca="1" si="167"/>
        <v>I used to travel</v>
      </c>
      <c r="E222" s="40" t="str">
        <f t="shared" ca="1" si="168"/>
        <v>ana kenet seifir</v>
      </c>
    </row>
    <row r="223" spans="1:5" ht="15" customHeight="1" x14ac:dyDescent="0.25">
      <c r="A223" s="36" t="str">
        <f t="shared" ca="1" si="184"/>
        <v/>
      </c>
      <c r="B223" s="31" t="str">
        <f t="shared" ref="B223" ca="1" si="197">IF(MOD(ROW()-3,2)=0, INDIRECT("Sheet1!E" &amp;4+((ROW()-3)/2)-2), "")</f>
        <v>أنا كنت سافِر</v>
      </c>
      <c r="D223" s="75"/>
      <c r="E223" s="41" t="str">
        <f t="shared" ca="1" si="169"/>
        <v>أنا كنت سافِر</v>
      </c>
    </row>
    <row r="224" spans="1:5" ht="94.5" x14ac:dyDescent="0.25">
      <c r="A224" s="34" t="str">
        <f t="shared" ca="1" si="184"/>
        <v>he used to love</v>
      </c>
      <c r="B224" s="30" t="str">
        <f t="shared" ref="B224:B284" ca="1" si="198">IF(MOD(ROW()-2,2)=0, INDIRECT("Sheet1!D" &amp;4+((ROW()-2)/2)-2), "")</f>
        <v>houwweh kein yseifir/ hiyyeh kenit tseifir</v>
      </c>
      <c r="D224" s="75" t="str">
        <f t="shared" ca="1" si="170"/>
        <v>You used to travel</v>
      </c>
      <c r="E224" s="40" t="str">
        <f t="shared" ca="1" si="171"/>
        <v>houwweh kein yseifir/ hiyyeh kenit tseifir</v>
      </c>
    </row>
    <row r="225" spans="1:5" ht="45" x14ac:dyDescent="0.25">
      <c r="A225" s="35" t="str">
        <f t="shared" ca="1" si="184"/>
        <v/>
      </c>
      <c r="B225" s="31" t="str">
        <f t="shared" ref="B225:B285" ca="1" si="199">IF(MOD(ROW()-3,2)=0, INDIRECT("Sheet1!E" &amp;4+((ROW()-3)/2)-2), "")</f>
        <v>إنتَ كنت تسافِر/ إنتِ كنتِ تسافري</v>
      </c>
      <c r="D225" s="75"/>
      <c r="E225" s="41" t="str">
        <f t="shared" ca="1" si="172"/>
        <v>إنتَ كنت تسافِر/ إنتِ كنتِ تسافري</v>
      </c>
    </row>
    <row r="226" spans="1:5" ht="47.25" x14ac:dyDescent="0.25">
      <c r="A226" s="36" t="str">
        <f t="shared" ca="1" si="184"/>
        <v/>
      </c>
      <c r="B226" s="30" t="str">
        <f t="shared" ref="B226:B286" ca="1" si="200">IF(MOD(ROW()-2,2)=0, INDIRECT("Sheet1!D" &amp;4+((ROW()-2)/2)-2), "")</f>
        <v>houwweh kein yseifir</v>
      </c>
      <c r="D226" s="75" t="str">
        <f t="shared" ref="D226" ca="1" si="201">IF(MOD(ROW()-2,2)=0, INDIRECT("Sheet1!A" &amp;4+((ROW()-2)/2)-2), "")</f>
        <v>He used to travel</v>
      </c>
      <c r="E226" s="40" t="str">
        <f t="shared" ref="E226" ca="1" si="202">IF(MOD(ROW()-2,2)=0, INDIRECT("Sheet1!D" &amp;4+((ROW()-2)/2)-2), "")</f>
        <v>houwweh kein yseifir</v>
      </c>
    </row>
    <row r="227" spans="1:5" ht="15" customHeight="1" x14ac:dyDescent="0.25">
      <c r="A227" s="34" t="str">
        <f t="shared" ca="1" si="184"/>
        <v>she used to love</v>
      </c>
      <c r="B227" s="31" t="str">
        <f t="shared" ref="B227:B287" ca="1" si="203">IF(MOD(ROW()-3,2)=0, INDIRECT("Sheet1!E" &amp;4+((ROW()-3)/2)-2), "")</f>
        <v>هُوّ كان يسافِر</v>
      </c>
      <c r="D227" s="75"/>
      <c r="E227" s="41" t="str">
        <f t="shared" ref="E227" ca="1" si="204">IF(MOD(ROW()-3,2)=0, INDIRECT("Sheet1!E" &amp;4+((ROW()-3)/2)-2), "")</f>
        <v>هُوّ كان يسافِر</v>
      </c>
    </row>
    <row r="228" spans="1:5" ht="47.25" x14ac:dyDescent="0.25">
      <c r="A228" s="35" t="str">
        <f t="shared" ca="1" si="184"/>
        <v/>
      </c>
      <c r="B228" s="30" t="str">
        <f t="shared" ref="B228:B288" ca="1" si="205">IF(MOD(ROW()-2,2)=0, INDIRECT("Sheet1!D" &amp;4+((ROW()-2)/2)-2), "")</f>
        <v>hiyyeh keinit tseifir</v>
      </c>
      <c r="D228" s="75" t="str">
        <f t="shared" ref="D228:D284" ca="1" si="206">IF(MOD(ROW()-2,2)=0, INDIRECT("Sheet1!A" &amp;4+((ROW()-2)/2)-2), "")</f>
        <v>She used to travel</v>
      </c>
      <c r="E228" s="40" t="str">
        <f t="shared" ref="E228:E284" ca="1" si="207">IF(MOD(ROW()-2,2)=0, INDIRECT("Sheet1!D" &amp;4+((ROW()-2)/2)-2), "")</f>
        <v>hiyyeh keinit tseifir</v>
      </c>
    </row>
    <row r="229" spans="1:5" ht="15" customHeight="1" x14ac:dyDescent="0.25">
      <c r="A229" s="36" t="str">
        <f t="shared" ca="1" si="184"/>
        <v/>
      </c>
      <c r="B229" s="31" t="str">
        <f t="shared" ref="B229:B289" ca="1" si="208">IF(MOD(ROW()-3,2)=0, INDIRECT("Sheet1!E" &amp;4+((ROW()-3)/2)-2), "")</f>
        <v>هِيّ كانِت تسافِر</v>
      </c>
      <c r="D229" s="75"/>
      <c r="E229" s="41" t="str">
        <f t="shared" ref="E229:E285" ca="1" si="209">IF(MOD(ROW()-3,2)=0, INDIRECT("Sheet1!E" &amp;4+((ROW()-3)/2)-2), "")</f>
        <v>هِيّ كانِت تسافِر</v>
      </c>
    </row>
    <row r="230" spans="1:5" ht="47.25" x14ac:dyDescent="0.25">
      <c r="A230" s="34" t="str">
        <f t="shared" ca="1" si="184"/>
        <v>we used to love</v>
      </c>
      <c r="B230" s="30" t="str">
        <f t="shared" ref="B230:B290" ca="1" si="210">IF(MOD(ROW()-2,2)=0, INDIRECT("Sheet1!D" &amp;4+((ROW()-2)/2)-2), "")</f>
        <v>neHna kenna nseifir</v>
      </c>
      <c r="D230" s="75" t="str">
        <f t="shared" ref="D230:D286" ca="1" si="211">IF(MOD(ROW()-2,2)=0, INDIRECT("Sheet1!A" &amp;4+((ROW()-2)/2)-2), "")</f>
        <v>We used to travel</v>
      </c>
      <c r="E230" s="40" t="str">
        <f t="shared" ref="E230:E286" ca="1" si="212">IF(MOD(ROW()-2,2)=0, INDIRECT("Sheet1!D" &amp;4+((ROW()-2)/2)-2), "")</f>
        <v>neHna kenna nseifir</v>
      </c>
    </row>
    <row r="231" spans="1:5" ht="15" customHeight="1" x14ac:dyDescent="0.25">
      <c r="A231" s="35" t="str">
        <f t="shared" ca="1" si="184"/>
        <v/>
      </c>
      <c r="B231" s="31" t="str">
        <f t="shared" ref="B231:B291" ca="1" si="213">IF(MOD(ROW()-3,2)=0, INDIRECT("Sheet1!E" &amp;4+((ROW()-3)/2)-2), "")</f>
        <v>نِحنا كِنّا نسافِر</v>
      </c>
      <c r="D231" s="75"/>
      <c r="E231" s="41" t="str">
        <f t="shared" ref="E231:E287" ca="1" si="214">IF(MOD(ROW()-3,2)=0, INDIRECT("Sheet1!E" &amp;4+((ROW()-3)/2)-2), "")</f>
        <v>نِحنا كِنّا نسافِر</v>
      </c>
    </row>
    <row r="232" spans="1:5" ht="47.25" x14ac:dyDescent="0.25">
      <c r="A232" s="36" t="str">
        <f t="shared" ca="1" si="184"/>
        <v/>
      </c>
      <c r="B232" s="30" t="str">
        <f t="shared" ref="B232" ca="1" si="215">IF(MOD(ROW()-2,2)=0, INDIRECT("Sheet1!D" &amp;4+((ROW()-2)/2)-2), "")</f>
        <v>ento kento tseifro</v>
      </c>
      <c r="D232" s="75" t="str">
        <f t="shared" ref="D232:D288" ca="1" si="216">IF(MOD(ROW()-2,2)=0, INDIRECT("Sheet1!A" &amp;4+((ROW()-2)/2)-2), "")</f>
        <v>You used to travel</v>
      </c>
      <c r="E232" s="40" t="str">
        <f t="shared" ref="E232:E288" ca="1" si="217">IF(MOD(ROW()-2,2)=0, INDIRECT("Sheet1!D" &amp;4+((ROW()-2)/2)-2), "")</f>
        <v>ento kento tseifro</v>
      </c>
    </row>
    <row r="233" spans="1:5" ht="15" customHeight="1" x14ac:dyDescent="0.25">
      <c r="A233" s="34" t="str">
        <f t="shared" ca="1" si="184"/>
        <v>you used to love</v>
      </c>
      <c r="B233" s="31" t="str">
        <f t="shared" ref="B233" ca="1" si="218">IF(MOD(ROW()-3,2)=0, INDIRECT("Sheet1!E" &amp;4+((ROW()-3)/2)-2), "")</f>
        <v>إنتو كنتو تسافرو</v>
      </c>
      <c r="D233" s="75"/>
      <c r="E233" s="41" t="str">
        <f t="shared" ref="E233:E289" ca="1" si="219">IF(MOD(ROW()-3,2)=0, INDIRECT("Sheet1!E" &amp;4+((ROW()-3)/2)-2), "")</f>
        <v>إنتو كنتو تسافرو</v>
      </c>
    </row>
    <row r="234" spans="1:5" ht="47.25" x14ac:dyDescent="0.25">
      <c r="A234" s="35" t="str">
        <f t="shared" ca="1" si="184"/>
        <v/>
      </c>
      <c r="B234" s="30" t="str">
        <f t="shared" ca="1" si="198"/>
        <v>henneh keino yseifro</v>
      </c>
      <c r="D234" s="75" t="str">
        <f t="shared" ref="D234:D290" ca="1" si="220">IF(MOD(ROW()-2,2)=0, INDIRECT("Sheet1!A" &amp;4+((ROW()-2)/2)-2), "")</f>
        <v>They used to travel</v>
      </c>
      <c r="E234" s="40" t="str">
        <f t="shared" ref="E234:E290" ca="1" si="221">IF(MOD(ROW()-2,2)=0, INDIRECT("Sheet1!D" &amp;4+((ROW()-2)/2)-2), "")</f>
        <v>henneh keino yseifro</v>
      </c>
    </row>
    <row r="235" spans="1:5" ht="15" customHeight="1" x14ac:dyDescent="0.25">
      <c r="A235" s="36" t="str">
        <f t="shared" ca="1" si="184"/>
        <v/>
      </c>
      <c r="B235" s="31" t="str">
        <f t="shared" ca="1" si="199"/>
        <v>هِنّي كانو يسافرو</v>
      </c>
      <c r="D235" s="75"/>
      <c r="E235" s="41" t="str">
        <f t="shared" ref="E235:E291" ca="1" si="222">IF(MOD(ROW()-3,2)=0, INDIRECT("Sheet1!E" &amp;4+((ROW()-3)/2)-2), "")</f>
        <v>هِنّي كانو يسافرو</v>
      </c>
    </row>
    <row r="236" spans="1:5" ht="31.5" x14ac:dyDescent="0.25">
      <c r="A236" s="34" t="str">
        <f t="shared" ca="1" si="184"/>
        <v>they used to love</v>
      </c>
      <c r="B236" s="30" t="str">
        <f t="shared" ca="1" si="200"/>
        <v>ana raH seifir</v>
      </c>
      <c r="D236" s="75" t="str">
        <f t="shared" ref="D236:D292" ca="1" si="223">IF(MOD(ROW()-2,2)=0, INDIRECT("Sheet1!A" &amp;4+((ROW()-2)/2)-2), "")</f>
        <v>I'll travel</v>
      </c>
      <c r="E236" s="40" t="str">
        <f t="shared" ref="E236:E292" ca="1" si="224">IF(MOD(ROW()-2,2)=0, INDIRECT("Sheet1!D" &amp;4+((ROW()-2)/2)-2), "")</f>
        <v>ana raH seifir</v>
      </c>
    </row>
    <row r="237" spans="1:5" ht="15" customHeight="1" x14ac:dyDescent="0.25">
      <c r="A237" s="35" t="str">
        <f t="shared" ca="1" si="184"/>
        <v/>
      </c>
      <c r="B237" s="31" t="str">
        <f t="shared" ca="1" si="203"/>
        <v>أنا رَح سافِر</v>
      </c>
      <c r="D237" s="75"/>
      <c r="E237" s="41" t="str">
        <f t="shared" ref="E237:E293" ca="1" si="225">IF(MOD(ROW()-3,2)=0, INDIRECT("Sheet1!E" &amp;4+((ROW()-3)/2)-2), "")</f>
        <v>أنا رَح سافِر</v>
      </c>
    </row>
    <row r="238" spans="1:5" ht="78.75" x14ac:dyDescent="0.25">
      <c r="A238" s="36" t="str">
        <f t="shared" ca="1" si="184"/>
        <v/>
      </c>
      <c r="B238" s="30" t="str">
        <f t="shared" ca="1" si="205"/>
        <v>enta raH tseifir/ enteh raH tseifreh</v>
      </c>
      <c r="D238" s="75" t="str">
        <f t="shared" ref="D238:D294" ca="1" si="226">IF(MOD(ROW()-2,2)=0, INDIRECT("Sheet1!A" &amp;4+((ROW()-2)/2)-2), "")</f>
        <v>You'll travel</v>
      </c>
      <c r="E238" s="40" t="str">
        <f t="shared" ref="E238:E294" ca="1" si="227">IF(MOD(ROW()-2,2)=0, INDIRECT("Sheet1!D" &amp;4+((ROW()-2)/2)-2), "")</f>
        <v>enta raH tseifir/ enteh raH tseifreh</v>
      </c>
    </row>
    <row r="239" spans="1:5" ht="15" customHeight="1" x14ac:dyDescent="0.25">
      <c r="A239" s="34" t="str">
        <f t="shared" ca="1" si="184"/>
        <v>I will love</v>
      </c>
      <c r="B239" s="31" t="str">
        <f t="shared" ca="1" si="208"/>
        <v>إنتَ رَح تسافِر/ إنتِ رَح تسافري</v>
      </c>
      <c r="D239" s="75"/>
      <c r="E239" s="41" t="str">
        <f t="shared" ref="E239:E295" ca="1" si="228">IF(MOD(ROW()-3,2)=0, INDIRECT("Sheet1!E" &amp;4+((ROW()-3)/2)-2), "")</f>
        <v>إنتَ رَح تسافِر/ إنتِ رَح تسافري</v>
      </c>
    </row>
    <row r="240" spans="1:5" ht="31.5" x14ac:dyDescent="0.25">
      <c r="A240" s="35" t="str">
        <f t="shared" ca="1" si="184"/>
        <v/>
      </c>
      <c r="B240" s="30" t="str">
        <f t="shared" ca="1" si="210"/>
        <v>houwweh raH yseifir</v>
      </c>
      <c r="D240" s="75" t="str">
        <f t="shared" ref="D240" ca="1" si="229">IF(MOD(ROW()-2,2)=0, INDIRECT("Sheet1!A" &amp;4+((ROW()-2)/2)-2), "")</f>
        <v>He'll travel</v>
      </c>
      <c r="E240" s="40" t="str">
        <f t="shared" ref="E240" ca="1" si="230">IF(MOD(ROW()-2,2)=0, INDIRECT("Sheet1!D" &amp;4+((ROW()-2)/2)-2), "")</f>
        <v>houwweh raH yseifir</v>
      </c>
    </row>
    <row r="241" spans="1:5" ht="15" customHeight="1" x14ac:dyDescent="0.25">
      <c r="A241" s="36" t="str">
        <f t="shared" ca="1" si="184"/>
        <v/>
      </c>
      <c r="B241" s="31" t="str">
        <f t="shared" ca="1" si="213"/>
        <v>هُوّ رَح يسافِر</v>
      </c>
      <c r="D241" s="75"/>
      <c r="E241" s="41" t="str">
        <f t="shared" ref="E241" ca="1" si="231">IF(MOD(ROW()-3,2)=0, INDIRECT("Sheet1!E" &amp;4+((ROW()-3)/2)-2), "")</f>
        <v>هُوّ رَح يسافِر</v>
      </c>
    </row>
    <row r="242" spans="1:5" ht="31.5" x14ac:dyDescent="0.25">
      <c r="A242" s="34" t="str">
        <f t="shared" ca="1" si="184"/>
        <v>you will love</v>
      </c>
      <c r="B242" s="30" t="str">
        <f t="shared" ref="B242" ca="1" si="232">IF(MOD(ROW()-2,2)=0, INDIRECT("Sheet1!D" &amp;4+((ROW()-2)/2)-2), "")</f>
        <v>hiyyeh raH tseifir</v>
      </c>
      <c r="D242" s="75" t="str">
        <f t="shared" ca="1" si="206"/>
        <v>She'll travel</v>
      </c>
      <c r="E242" s="40" t="str">
        <f t="shared" ca="1" si="207"/>
        <v>hiyyeh raH tseifir</v>
      </c>
    </row>
    <row r="243" spans="1:5" ht="15" customHeight="1" x14ac:dyDescent="0.25">
      <c r="A243" s="35" t="str">
        <f t="shared" ca="1" si="184"/>
        <v/>
      </c>
      <c r="B243" s="31" t="str">
        <f t="shared" ref="B243" ca="1" si="233">IF(MOD(ROW()-3,2)=0, INDIRECT("Sheet1!E" &amp;4+((ROW()-3)/2)-2), "")</f>
        <v>هِيّ رَح تسافِر</v>
      </c>
      <c r="D243" s="75"/>
      <c r="E243" s="41" t="str">
        <f t="shared" ca="1" si="209"/>
        <v>هِيّ رَح تسافِر</v>
      </c>
    </row>
    <row r="244" spans="1:5" ht="47.25" x14ac:dyDescent="0.25">
      <c r="A244" s="36" t="str">
        <f t="shared" ca="1" si="184"/>
        <v/>
      </c>
      <c r="B244" s="30" t="str">
        <f t="shared" ca="1" si="198"/>
        <v>neHna raH nseifir</v>
      </c>
      <c r="D244" s="75" t="str">
        <f t="shared" ca="1" si="211"/>
        <v>We'll travel</v>
      </c>
      <c r="E244" s="40" t="str">
        <f t="shared" ca="1" si="212"/>
        <v>neHna raH nseifir</v>
      </c>
    </row>
    <row r="245" spans="1:5" ht="15" customHeight="1" x14ac:dyDescent="0.25">
      <c r="A245" s="34" t="str">
        <f t="shared" ca="1" si="184"/>
        <v>he will love</v>
      </c>
      <c r="B245" s="31" t="str">
        <f t="shared" ca="1" si="199"/>
        <v>نِحنا رَح نسافِر</v>
      </c>
      <c r="D245" s="75"/>
      <c r="E245" s="41" t="str">
        <f t="shared" ca="1" si="214"/>
        <v>نِحنا رَح نسافِر</v>
      </c>
    </row>
    <row r="246" spans="1:5" ht="31.5" x14ac:dyDescent="0.25">
      <c r="A246" s="35" t="str">
        <f t="shared" ca="1" si="184"/>
        <v/>
      </c>
      <c r="B246" s="30" t="str">
        <f t="shared" ca="1" si="200"/>
        <v>ento raH tseifro</v>
      </c>
      <c r="D246" s="75" t="str">
        <f t="shared" ca="1" si="216"/>
        <v>You'll tavel</v>
      </c>
      <c r="E246" s="40" t="str">
        <f t="shared" ca="1" si="217"/>
        <v>ento raH tseifro</v>
      </c>
    </row>
    <row r="247" spans="1:5" ht="15" customHeight="1" x14ac:dyDescent="0.25">
      <c r="A247" s="36" t="str">
        <f t="shared" ca="1" si="184"/>
        <v/>
      </c>
      <c r="B247" s="31" t="str">
        <f t="shared" ca="1" si="203"/>
        <v>إنتو رَح تسافرو</v>
      </c>
      <c r="D247" s="75"/>
      <c r="E247" s="41" t="str">
        <f t="shared" ca="1" si="219"/>
        <v>إنتو رَح تسافرو</v>
      </c>
    </row>
    <row r="248" spans="1:5" ht="47.25" x14ac:dyDescent="0.25">
      <c r="A248" s="34" t="str">
        <f t="shared" ca="1" si="184"/>
        <v>she will love</v>
      </c>
      <c r="B248" s="30" t="str">
        <f t="shared" ca="1" si="205"/>
        <v>henneh raH yseifro</v>
      </c>
      <c r="D248" s="75" t="str">
        <f t="shared" ca="1" si="220"/>
        <v>They'll travel</v>
      </c>
      <c r="E248" s="40" t="str">
        <f t="shared" ca="1" si="221"/>
        <v>henneh raH yseifro</v>
      </c>
    </row>
    <row r="249" spans="1:5" ht="15" customHeight="1" x14ac:dyDescent="0.25">
      <c r="A249" s="35" t="str">
        <f t="shared" ca="1" si="184"/>
        <v/>
      </c>
      <c r="B249" s="31" t="str">
        <f t="shared" ca="1" si="208"/>
        <v>هِنّي رَح يسافرو</v>
      </c>
      <c r="D249" s="75"/>
      <c r="E249" s="41" t="str">
        <f t="shared" ca="1" si="222"/>
        <v>هِنّي رَح يسافرو</v>
      </c>
    </row>
    <row r="250" spans="1:5" ht="94.5" x14ac:dyDescent="0.25">
      <c r="A250" s="36" t="str">
        <f t="shared" ca="1" si="184"/>
        <v/>
      </c>
      <c r="B250" s="30" t="str">
        <f t="shared" ca="1" si="210"/>
        <v>ana mseifar/ mseifra 3ala beireez el yom</v>
      </c>
      <c r="D250" s="75" t="str">
        <f t="shared" ca="1" si="223"/>
        <v>I'm traveling to Paris today</v>
      </c>
      <c r="E250" s="40" t="str">
        <f t="shared" ca="1" si="224"/>
        <v>ana mseifar/ mseifra 3ala beireez el yom</v>
      </c>
    </row>
    <row r="251" spans="1:5" ht="45" x14ac:dyDescent="0.25">
      <c r="A251" s="34" t="str">
        <f t="shared" ca="1" si="184"/>
        <v>we will love</v>
      </c>
      <c r="B251" s="31" t="str">
        <f t="shared" ca="1" si="213"/>
        <v>أنا مسافَر/ مسافرَة عَلى باريز اليوم</v>
      </c>
      <c r="D251" s="75"/>
      <c r="E251" s="41" t="str">
        <f t="shared" ca="1" si="225"/>
        <v>أنا مسافَر/ مسافرَة عَلى باريز اليوم</v>
      </c>
    </row>
    <row r="252" spans="1:5" ht="63" x14ac:dyDescent="0.25">
      <c r="A252" s="35" t="str">
        <f t="shared" ca="1" si="184"/>
        <v/>
      </c>
      <c r="B252" s="30" t="str">
        <f t="shared" ref="B252" ca="1" si="234">IF(MOD(ROW()-2,2)=0, INDIRECT("Sheet1!D" &amp;4+((ROW()-2)/2)-2), "")</f>
        <v>ana bseifir kel seif/ sayfiyyeh</v>
      </c>
      <c r="D252" s="75" t="str">
        <f t="shared" ca="1" si="226"/>
        <v>I travel every summer</v>
      </c>
      <c r="E252" s="40" t="str">
        <f t="shared" ca="1" si="227"/>
        <v>ana bseifir kel seif/ sayfiyyeh</v>
      </c>
    </row>
    <row r="253" spans="1:5" ht="15" customHeight="1" x14ac:dyDescent="0.25">
      <c r="A253" s="36" t="str">
        <f t="shared" ca="1" si="184"/>
        <v/>
      </c>
      <c r="B253" s="31" t="str">
        <f t="shared" ref="B253" ca="1" si="235">IF(MOD(ROW()-3,2)=0, INDIRECT("Sheet1!E" &amp;4+((ROW()-3)/2)-2), "")</f>
        <v>أنا بسافِر كِلّ صَيف/ صَيفيّة</v>
      </c>
      <c r="D253" s="75"/>
      <c r="E253" s="41" t="str">
        <f t="shared" ca="1" si="228"/>
        <v>أنا بسافِر كِلّ صَيف/ صَيفيّة</v>
      </c>
    </row>
    <row r="254" spans="1:5" ht="126" x14ac:dyDescent="0.25">
      <c r="A254" s="34" t="str">
        <f t="shared" ca="1" si="184"/>
        <v>you will love</v>
      </c>
      <c r="B254" s="30" t="str">
        <f t="shared" ca="1" si="198"/>
        <v>khayyeh w bayyeh, seifaro el shaher el madeh 3ala el brazeel</v>
      </c>
      <c r="D254" s="75" t="str">
        <f t="shared" ref="D254" ca="1" si="236">IF(MOD(ROW()-2,2)=0, INDIRECT("Sheet1!A" &amp;4+((ROW()-2)/2)-2), "")</f>
        <v>My brother and father, traveled last month, to Brezil</v>
      </c>
      <c r="E254" s="40" t="str">
        <f t="shared" ref="E254" ca="1" si="237">IF(MOD(ROW()-2,2)=0, INDIRECT("Sheet1!D" &amp;4+((ROW()-2)/2)-2), "")</f>
        <v>khayyeh w bayyeh, seifaro el shaher el madeh 3ala el brazeel</v>
      </c>
    </row>
    <row r="255" spans="1:5" ht="90" x14ac:dyDescent="0.25">
      <c r="A255" s="35" t="str">
        <f t="shared" ca="1" si="184"/>
        <v/>
      </c>
      <c r="B255" s="31" t="str">
        <f t="shared" ca="1" si="199"/>
        <v>خَيِّ و بَيِّ، سافَروا الشَهر الماضي، عَلى البرازيل</v>
      </c>
      <c r="D255" s="75"/>
      <c r="E255" s="41" t="str">
        <f t="shared" ref="E255" ca="1" si="238">IF(MOD(ROW()-3,2)=0, INDIRECT("Sheet1!E" &amp;4+((ROW()-3)/2)-2), "")</f>
        <v>خَيِّ و بَيِّ، سافَروا الشَهر الماضي، عَلى البرازيل</v>
      </c>
    </row>
    <row r="256" spans="1:5" ht="63" x14ac:dyDescent="0.25">
      <c r="A256" s="36" t="str">
        <f t="shared" ca="1" si="184"/>
        <v/>
      </c>
      <c r="B256" s="30" t="str">
        <f t="shared" ca="1" si="200"/>
        <v>neHna kenna nseifir kel seneh</v>
      </c>
      <c r="D256" s="75" t="str">
        <f t="shared" ca="1" si="206"/>
        <v>We used to travel every year</v>
      </c>
      <c r="E256" s="40" t="str">
        <f t="shared" ca="1" si="207"/>
        <v>neHna kenna nseifir kel seneh</v>
      </c>
    </row>
    <row r="257" spans="1:5" ht="15" customHeight="1" x14ac:dyDescent="0.25">
      <c r="A257" s="34" t="str">
        <f t="shared" ref="A257:A320" ca="1" si="239">IF(MOD(ROW()-2,3)=0, INDIRECT("Sheet1!A" &amp;4+((ROW()-2)/3)-2), "")</f>
        <v>they will love</v>
      </c>
      <c r="B257" s="31" t="str">
        <f t="shared" ca="1" si="203"/>
        <v xml:space="preserve"> نِحنا كِنّا نسافِر كِلّ سنة</v>
      </c>
      <c r="D257" s="75"/>
      <c r="E257" s="41" t="str">
        <f t="shared" ca="1" si="209"/>
        <v xml:space="preserve"> نِحنا كِنّا نسافِر كِلّ سنة</v>
      </c>
    </row>
    <row r="258" spans="1:5" ht="47.25" x14ac:dyDescent="0.25">
      <c r="A258" s="35" t="str">
        <f t="shared" ca="1" si="239"/>
        <v/>
      </c>
      <c r="B258" s="30" t="str">
        <f t="shared" ca="1" si="205"/>
        <v>eimtan raH tseifro?</v>
      </c>
      <c r="D258" s="75" t="str">
        <f t="shared" ca="1" si="211"/>
        <v>When will you travel?</v>
      </c>
      <c r="E258" s="40" t="str">
        <f t="shared" ca="1" si="212"/>
        <v>eimtan raH tseifro?</v>
      </c>
    </row>
    <row r="259" spans="1:5" ht="15" customHeight="1" x14ac:dyDescent="0.25">
      <c r="A259" s="36" t="str">
        <f t="shared" ca="1" si="239"/>
        <v/>
      </c>
      <c r="B259" s="31" t="str">
        <f t="shared" ca="1" si="208"/>
        <v>أمتَن رَح تسافرو؟</v>
      </c>
      <c r="D259" s="75"/>
      <c r="E259" s="41" t="str">
        <f t="shared" ca="1" si="214"/>
        <v>أمتَن رَح تسافرو؟</v>
      </c>
    </row>
    <row r="260" spans="1:5" ht="15.75" customHeight="1" x14ac:dyDescent="0.25">
      <c r="A260" s="34" t="str">
        <f t="shared" ca="1" si="239"/>
        <v>I used to love you when we were kids</v>
      </c>
      <c r="B260" s="30" t="str">
        <f t="shared" ca="1" si="210"/>
        <v>beit</v>
      </c>
      <c r="D260" s="75" t="str">
        <f t="shared" ca="1" si="216"/>
        <v>home</v>
      </c>
      <c r="E260" s="40" t="str">
        <f t="shared" ca="1" si="217"/>
        <v>beit</v>
      </c>
    </row>
    <row r="261" spans="1:5" ht="15" customHeight="1" x14ac:dyDescent="0.25">
      <c r="A261" s="35" t="str">
        <f t="shared" ca="1" si="239"/>
        <v/>
      </c>
      <c r="B261" s="31" t="str">
        <f t="shared" ca="1" si="213"/>
        <v xml:space="preserve"> بَيْت</v>
      </c>
      <c r="D261" s="75"/>
      <c r="E261" s="41" t="str">
        <f t="shared" ca="1" si="219"/>
        <v xml:space="preserve"> بَيْت</v>
      </c>
    </row>
    <row r="262" spans="1:5" x14ac:dyDescent="0.25">
      <c r="A262" s="36" t="str">
        <f t="shared" ca="1" si="239"/>
        <v/>
      </c>
      <c r="B262" s="30" t="str">
        <f t="shared" ref="B262" ca="1" si="240">IF(MOD(ROW()-2,2)=0, INDIRECT("Sheet1!D" &amp;4+((ROW()-2)/2)-2), "")</f>
        <v>bineyeh</v>
      </c>
      <c r="D262" s="75" t="str">
        <f t="shared" ca="1" si="220"/>
        <v>building</v>
      </c>
      <c r="E262" s="40" t="str">
        <f t="shared" ca="1" si="221"/>
        <v>bineyeh</v>
      </c>
    </row>
    <row r="263" spans="1:5" ht="15" customHeight="1" x14ac:dyDescent="0.25">
      <c r="A263" s="34" t="str">
        <f t="shared" ca="1" si="239"/>
        <v>He says he loves me like before</v>
      </c>
      <c r="B263" s="31" t="str">
        <f t="shared" ref="B263" ca="1" si="241">IF(MOD(ROW()-3,2)=0, INDIRECT("Sheet1!E" &amp;4+((ROW()-3)/2)-2), "")</f>
        <v xml:space="preserve"> بناية</v>
      </c>
      <c r="D263" s="75"/>
      <c r="E263" s="41" t="str">
        <f t="shared" ca="1" si="222"/>
        <v xml:space="preserve"> بناية</v>
      </c>
    </row>
    <row r="264" spans="1:5" ht="31.5" x14ac:dyDescent="0.25">
      <c r="A264" s="35" t="str">
        <f t="shared" ca="1" si="239"/>
        <v/>
      </c>
      <c r="B264" s="30" t="str">
        <f t="shared" ca="1" si="198"/>
        <v>tabe'/ tawabe'</v>
      </c>
      <c r="D264" s="75" t="str">
        <f t="shared" ca="1" si="223"/>
        <v>Floor</v>
      </c>
      <c r="E264" s="40" t="str">
        <f t="shared" ca="1" si="224"/>
        <v>tabe'/ tawabe'</v>
      </c>
    </row>
    <row r="265" spans="1:5" ht="15" customHeight="1" x14ac:dyDescent="0.25">
      <c r="A265" s="36" t="str">
        <f t="shared" ca="1" si="239"/>
        <v/>
      </c>
      <c r="B265" s="31" t="str">
        <f t="shared" ca="1" si="199"/>
        <v xml:space="preserve"> طابقِ/ طَوابِق</v>
      </c>
      <c r="D265" s="75"/>
      <c r="E265" s="41" t="str">
        <f t="shared" ca="1" si="225"/>
        <v xml:space="preserve"> طابقِ/ طَوابِق</v>
      </c>
    </row>
    <row r="266" spans="1:5" ht="15.75" customHeight="1" x14ac:dyDescent="0.25">
      <c r="A266" s="34" t="str">
        <f t="shared" ca="1" si="239"/>
        <v>I'm sure you'll love Byblos when you go</v>
      </c>
      <c r="B266" s="30" t="str">
        <f t="shared" ca="1" si="200"/>
        <v>oudit el nom</v>
      </c>
      <c r="D266" s="75" t="str">
        <f t="shared" ca="1" si="226"/>
        <v>bedroom</v>
      </c>
      <c r="E266" s="40" t="str">
        <f t="shared" ca="1" si="227"/>
        <v>oudit el nom</v>
      </c>
    </row>
    <row r="267" spans="1:5" ht="15" customHeight="1" x14ac:dyDescent="0.25">
      <c r="A267" s="35" t="str">
        <f t="shared" ca="1" si="239"/>
        <v/>
      </c>
      <c r="B267" s="31" t="str">
        <f t="shared" ca="1" si="203"/>
        <v xml:space="preserve"> قوضِة النَوْم</v>
      </c>
      <c r="D267" s="75"/>
      <c r="E267" s="41" t="str">
        <f t="shared" ca="1" si="228"/>
        <v xml:space="preserve"> قوضِة النَوْم</v>
      </c>
    </row>
    <row r="268" spans="1:5" ht="31.5" x14ac:dyDescent="0.25">
      <c r="A268" s="36" t="str">
        <f t="shared" ca="1" si="239"/>
        <v/>
      </c>
      <c r="B268" s="30" t="str">
        <f t="shared" ca="1" si="205"/>
        <v>oudit el a3deh</v>
      </c>
      <c r="D268" s="75" t="str">
        <f t="shared" ref="D268" ca="1" si="242">IF(MOD(ROW()-2,2)=0, INDIRECT("Sheet1!A" &amp;4+((ROW()-2)/2)-2), "")</f>
        <v>living room</v>
      </c>
      <c r="E268" s="40" t="str">
        <f t="shared" ref="E268" ca="1" si="243">IF(MOD(ROW()-2,2)=0, INDIRECT("Sheet1!D" &amp;4+((ROW()-2)/2)-2), "")</f>
        <v>oudit el a3deh</v>
      </c>
    </row>
    <row r="269" spans="1:5" ht="15" customHeight="1" x14ac:dyDescent="0.25">
      <c r="A269" s="34" t="str">
        <f t="shared" ca="1" si="239"/>
        <v>I travel</v>
      </c>
      <c r="B269" s="31" t="str">
        <f t="shared" ca="1" si="208"/>
        <v>قوضِة القَعْدِة</v>
      </c>
      <c r="D269" s="75"/>
      <c r="E269" s="41" t="str">
        <f t="shared" ref="E269" ca="1" si="244">IF(MOD(ROW()-3,2)=0, INDIRECT("Sheet1!E" &amp;4+((ROW()-3)/2)-2), "")</f>
        <v>قوضِة القَعْدِة</v>
      </c>
    </row>
    <row r="270" spans="1:5" x14ac:dyDescent="0.25">
      <c r="A270" s="35" t="str">
        <f t="shared" ca="1" si="239"/>
        <v/>
      </c>
      <c r="B270" s="30" t="str">
        <f t="shared" ca="1" si="210"/>
        <v>matbakh</v>
      </c>
      <c r="D270" s="75" t="str">
        <f t="shared" ca="1" si="206"/>
        <v>kitchen</v>
      </c>
      <c r="E270" s="40" t="str">
        <f t="shared" ca="1" si="207"/>
        <v>matbakh</v>
      </c>
    </row>
    <row r="271" spans="1:5" ht="15" customHeight="1" x14ac:dyDescent="0.25">
      <c r="A271" s="36" t="str">
        <f t="shared" ca="1" si="239"/>
        <v/>
      </c>
      <c r="B271" s="31" t="str">
        <f t="shared" ca="1" si="213"/>
        <v xml:space="preserve"> مَطبَخ</v>
      </c>
      <c r="D271" s="75"/>
      <c r="E271" s="41" t="str">
        <f t="shared" ca="1" si="209"/>
        <v xml:space="preserve"> مَطبَخ</v>
      </c>
    </row>
    <row r="272" spans="1:5" x14ac:dyDescent="0.25">
      <c r="A272" s="34" t="str">
        <f t="shared" ca="1" si="239"/>
        <v>You travel</v>
      </c>
      <c r="B272" s="30" t="str">
        <f t="shared" ref="B272" ca="1" si="245">IF(MOD(ROW()-2,2)=0, INDIRECT("Sheet1!D" &amp;4+((ROW()-2)/2)-2), "")</f>
        <v>Hemmem</v>
      </c>
      <c r="D272" s="75" t="str">
        <f t="shared" ca="1" si="211"/>
        <v>bathroom</v>
      </c>
      <c r="E272" s="40" t="str">
        <f t="shared" ca="1" si="212"/>
        <v>Hemmem</v>
      </c>
    </row>
    <row r="273" spans="1:5" ht="15" customHeight="1" x14ac:dyDescent="0.25">
      <c r="A273" s="35" t="str">
        <f t="shared" ca="1" si="239"/>
        <v/>
      </c>
      <c r="B273" s="31" t="str">
        <f t="shared" ref="B273" ca="1" si="246">IF(MOD(ROW()-3,2)=0, INDIRECT("Sheet1!E" &amp;4+((ROW()-3)/2)-2), "")</f>
        <v xml:space="preserve"> حَمّام</v>
      </c>
      <c r="D273" s="75"/>
      <c r="E273" s="41" t="str">
        <f t="shared" ca="1" si="214"/>
        <v xml:space="preserve"> حَمّام</v>
      </c>
    </row>
    <row r="274" spans="1:5" x14ac:dyDescent="0.25">
      <c r="A274" s="36" t="str">
        <f t="shared" ca="1" si="239"/>
        <v/>
      </c>
      <c r="B274" s="30" t="str">
        <f t="shared" ca="1" si="198"/>
        <v>takhet</v>
      </c>
      <c r="D274" s="75" t="str">
        <f t="shared" ca="1" si="216"/>
        <v>bed</v>
      </c>
      <c r="E274" s="40" t="str">
        <f t="shared" ca="1" si="217"/>
        <v>takhet</v>
      </c>
    </row>
    <row r="275" spans="1:5" ht="15" customHeight="1" x14ac:dyDescent="0.25">
      <c r="A275" s="34" t="str">
        <f t="shared" ca="1" si="239"/>
        <v>He travels</v>
      </c>
      <c r="B275" s="31" t="str">
        <f t="shared" ca="1" si="199"/>
        <v xml:space="preserve"> تَخْت</v>
      </c>
      <c r="D275" s="75"/>
      <c r="E275" s="41" t="str">
        <f t="shared" ca="1" si="219"/>
        <v xml:space="preserve"> تَخْت</v>
      </c>
    </row>
    <row r="276" spans="1:5" x14ac:dyDescent="0.25">
      <c r="A276" s="35" t="str">
        <f t="shared" ca="1" si="239"/>
        <v/>
      </c>
      <c r="B276" s="30" t="str">
        <f t="shared" ca="1" si="200"/>
        <v>khzeineh</v>
      </c>
      <c r="D276" s="75" t="str">
        <f t="shared" ca="1" si="220"/>
        <v>closet</v>
      </c>
      <c r="E276" s="40" t="str">
        <f t="shared" ca="1" si="221"/>
        <v>khzeineh</v>
      </c>
    </row>
    <row r="277" spans="1:5" ht="15" customHeight="1" x14ac:dyDescent="0.25">
      <c r="A277" s="36" t="str">
        <f t="shared" ca="1" si="239"/>
        <v/>
      </c>
      <c r="B277" s="31" t="str">
        <f t="shared" ca="1" si="203"/>
        <v xml:space="preserve"> خْزانة</v>
      </c>
      <c r="D277" s="75"/>
      <c r="E277" s="41" t="str">
        <f t="shared" ca="1" si="222"/>
        <v xml:space="preserve"> خْزانة</v>
      </c>
    </row>
    <row r="278" spans="1:5" x14ac:dyDescent="0.25">
      <c r="A278" s="34" t="str">
        <f t="shared" ca="1" si="239"/>
        <v>She travels</v>
      </c>
      <c r="B278" s="30" t="str">
        <f t="shared" ca="1" si="205"/>
        <v>tyeib</v>
      </c>
      <c r="D278" s="75" t="str">
        <f t="shared" ca="1" si="223"/>
        <v>clothes</v>
      </c>
      <c r="E278" s="40" t="str">
        <f t="shared" ca="1" si="224"/>
        <v>tyeib</v>
      </c>
    </row>
    <row r="279" spans="1:5" ht="15" customHeight="1" x14ac:dyDescent="0.25">
      <c r="A279" s="35" t="str">
        <f t="shared" ca="1" si="239"/>
        <v/>
      </c>
      <c r="B279" s="31" t="str">
        <f t="shared" ca="1" si="208"/>
        <v xml:space="preserve"> تياب</v>
      </c>
      <c r="D279" s="75"/>
      <c r="E279" s="41" t="str">
        <f t="shared" ca="1" si="225"/>
        <v xml:space="preserve"> تياب</v>
      </c>
    </row>
    <row r="280" spans="1:5" ht="31.5" x14ac:dyDescent="0.25">
      <c r="A280" s="36" t="str">
        <f t="shared" ca="1" si="239"/>
        <v/>
      </c>
      <c r="B280" s="30" t="str">
        <f t="shared" ca="1" si="210"/>
        <v>manshafeh</v>
      </c>
      <c r="D280" s="75" t="str">
        <f t="shared" ca="1" si="226"/>
        <v>towel</v>
      </c>
      <c r="E280" s="40" t="str">
        <f t="shared" ca="1" si="227"/>
        <v>manshafeh</v>
      </c>
    </row>
    <row r="281" spans="1:5" ht="15" customHeight="1" x14ac:dyDescent="0.25">
      <c r="A281" s="34" t="str">
        <f t="shared" ca="1" si="239"/>
        <v>we travel</v>
      </c>
      <c r="B281" s="31" t="str">
        <f t="shared" ca="1" si="213"/>
        <v xml:space="preserve"> مَنشَفة</v>
      </c>
      <c r="D281" s="75"/>
      <c r="E281" s="41" t="str">
        <f t="shared" ca="1" si="228"/>
        <v xml:space="preserve"> مَنشَفة</v>
      </c>
    </row>
    <row r="282" spans="1:5" x14ac:dyDescent="0.25">
      <c r="A282" s="35" t="str">
        <f t="shared" ca="1" si="239"/>
        <v/>
      </c>
      <c r="B282" s="30" t="str">
        <f t="shared" ref="B282" ca="1" si="247">IF(MOD(ROW()-2,2)=0, INDIRECT("Sheet1!D" &amp;4+((ROW()-2)/2)-2), "")</f>
        <v>saboun</v>
      </c>
      <c r="D282" s="75" t="str">
        <f t="shared" ref="D282" ca="1" si="248">IF(MOD(ROW()-2,2)=0, INDIRECT("Sheet1!A" &amp;4+((ROW()-2)/2)-2), "")</f>
        <v>soap</v>
      </c>
      <c r="E282" s="40" t="str">
        <f t="shared" ref="E282" ca="1" si="249">IF(MOD(ROW()-2,2)=0, INDIRECT("Sheet1!D" &amp;4+((ROW()-2)/2)-2), "")</f>
        <v>saboun</v>
      </c>
    </row>
    <row r="283" spans="1:5" ht="15" customHeight="1" x14ac:dyDescent="0.25">
      <c r="A283" s="36" t="str">
        <f t="shared" ca="1" si="239"/>
        <v/>
      </c>
      <c r="B283" s="31" t="str">
        <f t="shared" ref="B283" ca="1" si="250">IF(MOD(ROW()-3,2)=0, INDIRECT("Sheet1!E" &amp;4+((ROW()-3)/2)-2), "")</f>
        <v xml:space="preserve"> صابون</v>
      </c>
      <c r="D283" s="75"/>
      <c r="E283" s="41" t="str">
        <f t="shared" ref="E283" ca="1" si="251">IF(MOD(ROW()-3,2)=0, INDIRECT("Sheet1!E" &amp;4+((ROW()-3)/2)-2), "")</f>
        <v xml:space="preserve"> صابون</v>
      </c>
    </row>
    <row r="284" spans="1:5" x14ac:dyDescent="0.25">
      <c r="A284" s="34" t="str">
        <f t="shared" ca="1" si="239"/>
        <v>you travel</v>
      </c>
      <c r="B284" s="30" t="str">
        <f t="shared" ca="1" si="198"/>
        <v>foren</v>
      </c>
      <c r="D284" s="75" t="str">
        <f t="shared" ca="1" si="206"/>
        <v>oven/bakery</v>
      </c>
      <c r="E284" s="40" t="str">
        <f t="shared" ca="1" si="207"/>
        <v>foren</v>
      </c>
    </row>
    <row r="285" spans="1:5" ht="15" customHeight="1" x14ac:dyDescent="0.25">
      <c r="A285" s="35" t="str">
        <f t="shared" ca="1" si="239"/>
        <v/>
      </c>
      <c r="B285" s="31" t="str">
        <f t="shared" ca="1" si="199"/>
        <v xml:space="preserve"> فُرن</v>
      </c>
      <c r="D285" s="75"/>
      <c r="E285" s="41" t="str">
        <f t="shared" ca="1" si="209"/>
        <v xml:space="preserve"> فُرن</v>
      </c>
    </row>
    <row r="286" spans="1:5" x14ac:dyDescent="0.25">
      <c r="A286" s="36" t="str">
        <f t="shared" ca="1" si="239"/>
        <v/>
      </c>
      <c r="B286" s="30" t="str">
        <f t="shared" ca="1" si="200"/>
        <v>majla</v>
      </c>
      <c r="D286" s="75" t="str">
        <f t="shared" ca="1" si="211"/>
        <v>sink</v>
      </c>
      <c r="E286" s="40" t="str">
        <f t="shared" ca="1" si="212"/>
        <v>majla</v>
      </c>
    </row>
    <row r="287" spans="1:5" ht="15" customHeight="1" x14ac:dyDescent="0.25">
      <c r="A287" s="34" t="str">
        <f t="shared" ca="1" si="239"/>
        <v>They travel</v>
      </c>
      <c r="B287" s="31" t="str">
        <f t="shared" ca="1" si="203"/>
        <v xml:space="preserve"> مَجلَى</v>
      </c>
      <c r="D287" s="75"/>
      <c r="E287" s="41" t="str">
        <f t="shared" ca="1" si="214"/>
        <v xml:space="preserve"> مَجلَى</v>
      </c>
    </row>
    <row r="288" spans="1:5" x14ac:dyDescent="0.25">
      <c r="A288" s="35" t="str">
        <f t="shared" ca="1" si="239"/>
        <v/>
      </c>
      <c r="B288" s="30" t="str">
        <f t="shared" ca="1" si="205"/>
        <v>saHen</v>
      </c>
      <c r="D288" s="75" t="str">
        <f t="shared" ca="1" si="216"/>
        <v>dishe</v>
      </c>
      <c r="E288" s="40" t="str">
        <f t="shared" ca="1" si="217"/>
        <v>saHen</v>
      </c>
    </row>
    <row r="289" spans="1:5" ht="15" customHeight="1" x14ac:dyDescent="0.25">
      <c r="A289" s="36" t="str">
        <f t="shared" ca="1" si="239"/>
        <v/>
      </c>
      <c r="B289" s="31" t="str">
        <f t="shared" ca="1" si="208"/>
        <v xml:space="preserve"> صَحْن</v>
      </c>
      <c r="D289" s="75"/>
      <c r="E289" s="41" t="str">
        <f t="shared" ca="1" si="219"/>
        <v xml:space="preserve"> صَحْن</v>
      </c>
    </row>
    <row r="290" spans="1:5" x14ac:dyDescent="0.25">
      <c r="A290" s="34" t="str">
        <f t="shared" ca="1" si="239"/>
        <v>I'm traveling</v>
      </c>
      <c r="B290" s="30" t="str">
        <f t="shared" ca="1" si="210"/>
        <v>shawkeh</v>
      </c>
      <c r="D290" s="75" t="str">
        <f t="shared" ca="1" si="220"/>
        <v>fork</v>
      </c>
      <c r="E290" s="40" t="str">
        <f t="shared" ca="1" si="221"/>
        <v>shawkeh</v>
      </c>
    </row>
    <row r="291" spans="1:5" ht="15" customHeight="1" x14ac:dyDescent="0.25">
      <c r="A291" s="35" t="str">
        <f t="shared" ca="1" si="239"/>
        <v/>
      </c>
      <c r="B291" s="31" t="str">
        <f t="shared" ca="1" si="213"/>
        <v xml:space="preserve"> شَوْكِة</v>
      </c>
      <c r="D291" s="75"/>
      <c r="E291" s="41" t="str">
        <f t="shared" ca="1" si="222"/>
        <v xml:space="preserve"> شَوْكِة</v>
      </c>
    </row>
    <row r="292" spans="1:5" x14ac:dyDescent="0.25">
      <c r="A292" s="36" t="str">
        <f t="shared" ca="1" si="239"/>
        <v/>
      </c>
      <c r="B292" s="30" t="str">
        <f t="shared" ref="B292" ca="1" si="252">IF(MOD(ROW()-2,2)=0, INDIRECT("Sheet1!D" &amp;4+((ROW()-2)/2)-2), "")</f>
        <v>sekkeen</v>
      </c>
      <c r="D292" s="75" t="str">
        <f t="shared" ca="1" si="223"/>
        <v>knife</v>
      </c>
      <c r="E292" s="40" t="str">
        <f t="shared" ca="1" si="224"/>
        <v>sekkeen</v>
      </c>
    </row>
    <row r="293" spans="1:5" ht="15" customHeight="1" x14ac:dyDescent="0.25">
      <c r="A293" s="34" t="str">
        <f t="shared" ca="1" si="239"/>
        <v>You're traveling</v>
      </c>
      <c r="B293" s="31" t="str">
        <f t="shared" ref="B293" ca="1" si="253">IF(MOD(ROW()-3,2)=0, INDIRECT("Sheet1!E" &amp;4+((ROW()-3)/2)-2), "")</f>
        <v xml:space="preserve"> سِكّين</v>
      </c>
      <c r="D293" s="75"/>
      <c r="E293" s="41" t="str">
        <f t="shared" ca="1" si="225"/>
        <v xml:space="preserve"> سِكّين</v>
      </c>
    </row>
    <row r="294" spans="1:5" x14ac:dyDescent="0.25">
      <c r="A294" s="35" t="str">
        <f t="shared" ca="1" si="239"/>
        <v/>
      </c>
      <c r="B294" s="30" t="str">
        <f t="shared" ref="B294:B354" ca="1" si="254">IF(MOD(ROW()-2,2)=0, INDIRECT("Sheet1!D" &amp;4+((ROW()-2)/2)-2), "")</f>
        <v>mal3a'a</v>
      </c>
      <c r="D294" s="75" t="str">
        <f t="shared" ca="1" si="226"/>
        <v>spoon</v>
      </c>
      <c r="E294" s="40" t="str">
        <f t="shared" ca="1" si="227"/>
        <v>mal3a'a</v>
      </c>
    </row>
    <row r="295" spans="1:5" ht="15" customHeight="1" x14ac:dyDescent="0.25">
      <c r="A295" s="36" t="str">
        <f t="shared" ca="1" si="239"/>
        <v/>
      </c>
      <c r="B295" s="31" t="str">
        <f t="shared" ref="B295:B355" ca="1" si="255">IF(MOD(ROW()-3,2)=0, INDIRECT("Sheet1!E" &amp;4+((ROW()-3)/2)-2), "")</f>
        <v xml:space="preserve"> مَلْعقة</v>
      </c>
      <c r="D295" s="75"/>
      <c r="E295" s="41" t="str">
        <f t="shared" ca="1" si="228"/>
        <v xml:space="preserve"> مَلْعقة</v>
      </c>
    </row>
    <row r="296" spans="1:5" x14ac:dyDescent="0.25">
      <c r="A296" s="34" t="str">
        <f t="shared" ca="1" si="239"/>
        <v>he's traveling</v>
      </c>
      <c r="B296" s="30" t="str">
        <f t="shared" ref="B296:B356" ca="1" si="256">IF(MOD(ROW()-2,2)=0, INDIRECT("Sheet1!D" &amp;4+((ROW()-2)/2)-2), "")</f>
        <v>kebbeyeh</v>
      </c>
      <c r="D296" s="75" t="str">
        <f t="shared" ref="D296" ca="1" si="257">IF(MOD(ROW()-2,2)=0, INDIRECT("Sheet1!A" &amp;4+((ROW()-2)/2)-2), "")</f>
        <v>cup</v>
      </c>
      <c r="E296" s="40" t="str">
        <f t="shared" ref="E296" ca="1" si="258">IF(MOD(ROW()-2,2)=0, INDIRECT("Sheet1!D" &amp;4+((ROW()-2)/2)-2), "")</f>
        <v>kebbeyeh</v>
      </c>
    </row>
    <row r="297" spans="1:5" ht="15" customHeight="1" x14ac:dyDescent="0.25">
      <c r="A297" s="35" t="str">
        <f t="shared" ca="1" si="239"/>
        <v/>
      </c>
      <c r="B297" s="31" t="str">
        <f t="shared" ref="B297:B357" ca="1" si="259">IF(MOD(ROW()-3,2)=0, INDIRECT("Sheet1!E" &amp;4+((ROW()-3)/2)-2), "")</f>
        <v xml:space="preserve"> كَبَاية</v>
      </c>
      <c r="D297" s="75"/>
      <c r="E297" s="41" t="str">
        <f t="shared" ref="E297" ca="1" si="260">IF(MOD(ROW()-3,2)=0, INDIRECT("Sheet1!E" &amp;4+((ROW()-3)/2)-2), "")</f>
        <v xml:space="preserve"> كَبَاية</v>
      </c>
    </row>
    <row r="298" spans="1:5" ht="31.5" x14ac:dyDescent="0.25">
      <c r="A298" s="36" t="str">
        <f t="shared" ca="1" si="239"/>
        <v/>
      </c>
      <c r="B298" s="30" t="str">
        <f t="shared" ref="B298:B358" ca="1" si="261">IF(MOD(ROW()-2,2)=0, INDIRECT("Sheet1!D" &amp;4+((ROW()-2)/2)-2), "")</f>
        <v>kanabeyeh</v>
      </c>
      <c r="D298" s="75" t="str">
        <f t="shared" ref="D298:D354" ca="1" si="262">IF(MOD(ROW()-2,2)=0, INDIRECT("Sheet1!A" &amp;4+((ROW()-2)/2)-2), "")</f>
        <v>couches</v>
      </c>
      <c r="E298" s="40" t="str">
        <f t="shared" ref="E298:E354" ca="1" si="263">IF(MOD(ROW()-2,2)=0, INDIRECT("Sheet1!D" &amp;4+((ROW()-2)/2)-2), "")</f>
        <v>kanabeyeh</v>
      </c>
    </row>
    <row r="299" spans="1:5" ht="15" customHeight="1" x14ac:dyDescent="0.25">
      <c r="A299" s="34" t="str">
        <f t="shared" ca="1" si="239"/>
        <v>She's traveling</v>
      </c>
      <c r="B299" s="31" t="str">
        <f t="shared" ref="B299:B359" ca="1" si="264">IF(MOD(ROW()-3,2)=0, INDIRECT("Sheet1!E" &amp;4+((ROW()-3)/2)-2), "")</f>
        <v xml:space="preserve"> كَنَبايِة</v>
      </c>
      <c r="D299" s="75"/>
      <c r="E299" s="41" t="str">
        <f t="shared" ref="E299:E355" ca="1" si="265">IF(MOD(ROW()-3,2)=0, INDIRECT("Sheet1!E" &amp;4+((ROW()-3)/2)-2), "")</f>
        <v xml:space="preserve"> كَنَبايِة</v>
      </c>
    </row>
    <row r="300" spans="1:5" ht="31.5" x14ac:dyDescent="0.25">
      <c r="A300" s="35" t="str">
        <f t="shared" ca="1" si="239"/>
        <v/>
      </c>
      <c r="B300" s="30" t="str">
        <f t="shared" ref="B300:B360" ca="1" si="266">IF(MOD(ROW()-2,2)=0, INDIRECT("Sheet1!D" &amp;4+((ROW()-2)/2)-2), "")</f>
        <v>tawleh/ tawleit</v>
      </c>
      <c r="D300" s="75" t="str">
        <f t="shared" ref="D300:D356" ca="1" si="267">IF(MOD(ROW()-2,2)=0, INDIRECT("Sheet1!A" &amp;4+((ROW()-2)/2)-2), "")</f>
        <v>table(s)</v>
      </c>
      <c r="E300" s="40" t="str">
        <f t="shared" ref="E300:E356" ca="1" si="268">IF(MOD(ROW()-2,2)=0, INDIRECT("Sheet1!D" &amp;4+((ROW()-2)/2)-2), "")</f>
        <v>tawleh/ tawleit</v>
      </c>
    </row>
    <row r="301" spans="1:5" ht="15" customHeight="1" x14ac:dyDescent="0.25">
      <c r="A301" s="36" t="str">
        <f t="shared" ca="1" si="239"/>
        <v/>
      </c>
      <c r="B301" s="31" t="str">
        <f t="shared" ref="B301:B361" ca="1" si="269">IF(MOD(ROW()-3,2)=0, INDIRECT("Sheet1!E" &amp;4+((ROW()-3)/2)-2), "")</f>
        <v>طَاوْلِة/ طاولات</v>
      </c>
      <c r="D301" s="75"/>
      <c r="E301" s="41" t="str">
        <f t="shared" ref="E301:E357" ca="1" si="270">IF(MOD(ROW()-3,2)=0, INDIRECT("Sheet1!E" &amp;4+((ROW()-3)/2)-2), "")</f>
        <v>طَاوْلِة/ طاولات</v>
      </c>
    </row>
    <row r="302" spans="1:5" ht="31.5" x14ac:dyDescent="0.25">
      <c r="A302" s="34" t="str">
        <f t="shared" ca="1" si="239"/>
        <v>We're traveling</v>
      </c>
      <c r="B302" s="30" t="str">
        <f t="shared" ref="B302" ca="1" si="271">IF(MOD(ROW()-2,2)=0, INDIRECT("Sheet1!D" &amp;4+((ROW()-2)/2)-2), "")</f>
        <v>kerseh/ karaseh</v>
      </c>
      <c r="D302" s="75" t="str">
        <f t="shared" ref="D302:D358" ca="1" si="272">IF(MOD(ROW()-2,2)=0, INDIRECT("Sheet1!A" &amp;4+((ROW()-2)/2)-2), "")</f>
        <v>chair(s)</v>
      </c>
      <c r="E302" s="40" t="str">
        <f t="shared" ref="E302:E358" ca="1" si="273">IF(MOD(ROW()-2,2)=0, INDIRECT("Sheet1!D" &amp;4+((ROW()-2)/2)-2), "")</f>
        <v>kerseh/ karaseh</v>
      </c>
    </row>
    <row r="303" spans="1:5" ht="15" customHeight="1" x14ac:dyDescent="0.25">
      <c r="A303" s="35" t="str">
        <f t="shared" ca="1" si="239"/>
        <v/>
      </c>
      <c r="B303" s="31" t="str">
        <f t="shared" ref="B303" ca="1" si="274">IF(MOD(ROW()-3,2)=0, INDIRECT("Sheet1!E" &amp;4+((ROW()-3)/2)-2), "")</f>
        <v xml:space="preserve"> كِرسِي/ كَراسِي</v>
      </c>
      <c r="D303" s="75"/>
      <c r="E303" s="41" t="str">
        <f t="shared" ref="E303:E359" ca="1" si="275">IF(MOD(ROW()-3,2)=0, INDIRECT("Sheet1!E" &amp;4+((ROW()-3)/2)-2), "")</f>
        <v xml:space="preserve"> كِرسِي/ كَراسِي</v>
      </c>
    </row>
    <row r="304" spans="1:5" ht="47.25" x14ac:dyDescent="0.25">
      <c r="A304" s="36" t="str">
        <f t="shared" ca="1" si="239"/>
        <v/>
      </c>
      <c r="B304" s="30" t="str">
        <f t="shared" ca="1" si="254"/>
        <v>arb3a w 3eshreen shbat</v>
      </c>
      <c r="D304" s="75" t="str">
        <f t="shared" ref="D304:D360" ca="1" si="276">IF(MOD(ROW()-2,2)=0, INDIRECT("Sheet1!A" &amp;4+((ROW()-2)/2)-2), "")</f>
        <v>24th february</v>
      </c>
      <c r="E304" s="40" t="str">
        <f t="shared" ref="E304:E360" ca="1" si="277">IF(MOD(ROW()-2,2)=0, INDIRECT("Sheet1!D" &amp;4+((ROW()-2)/2)-2), "")</f>
        <v>arb3a w 3eshreen shbat</v>
      </c>
    </row>
    <row r="305" spans="1:5" ht="15" customHeight="1" x14ac:dyDescent="0.25">
      <c r="A305" s="34" t="str">
        <f t="shared" ca="1" si="239"/>
        <v>you're traveling</v>
      </c>
      <c r="B305" s="31" t="str">
        <f t="shared" ca="1" si="255"/>
        <v>أربعَة و عشرين شباط</v>
      </c>
      <c r="D305" s="75"/>
      <c r="E305" s="41" t="str">
        <f t="shared" ref="E305:E361" ca="1" si="278">IF(MOD(ROW()-3,2)=0, INDIRECT("Sheet1!E" &amp;4+((ROW()-3)/2)-2), "")</f>
        <v>أربعَة و عشرين شباط</v>
      </c>
    </row>
    <row r="306" spans="1:5" ht="78.75" x14ac:dyDescent="0.25">
      <c r="A306" s="35" t="str">
        <f t="shared" ca="1" si="239"/>
        <v/>
      </c>
      <c r="B306" s="30" t="str">
        <f t="shared" ca="1" si="256"/>
        <v>bi ayya tabe' enta 3ayesh/ enteh 3aysheh?</v>
      </c>
      <c r="D306" s="75" t="str">
        <f t="shared" ref="D306:D362" ca="1" si="279">IF(MOD(ROW()-2,2)=0, INDIRECT("Sheet1!A" &amp;4+((ROW()-2)/2)-2), "")</f>
        <v>On which floor do you live?</v>
      </c>
      <c r="E306" s="40" t="str">
        <f t="shared" ref="E306:E362" ca="1" si="280">IF(MOD(ROW()-2,2)=0, INDIRECT("Sheet1!D" &amp;4+((ROW()-2)/2)-2), "")</f>
        <v>bi ayya tabe' enta 3ayesh/ enteh 3aysheh?</v>
      </c>
    </row>
    <row r="307" spans="1:5" ht="45" x14ac:dyDescent="0.25">
      <c r="A307" s="36" t="str">
        <f t="shared" ca="1" si="239"/>
        <v/>
      </c>
      <c r="B307" s="31" t="str">
        <f t="shared" ca="1" si="259"/>
        <v xml:space="preserve"> بأيّ طابِق إنتَ عايش/ إنتِ عايشي؟</v>
      </c>
      <c r="D307" s="75"/>
      <c r="E307" s="41" t="str">
        <f t="shared" ref="E307:E363" ca="1" si="281">IF(MOD(ROW()-3,2)=0, INDIRECT("Sheet1!E" &amp;4+((ROW()-3)/2)-2), "")</f>
        <v xml:space="preserve"> بأيّ طابِق إنتَ عايش/ إنتِ عايشي؟</v>
      </c>
    </row>
    <row r="308" spans="1:5" ht="47.25" x14ac:dyDescent="0.25">
      <c r="A308" s="34" t="str">
        <f t="shared" ca="1" si="239"/>
        <v>They're traveling</v>
      </c>
      <c r="B308" s="30" t="str">
        <f t="shared" ca="1" si="261"/>
        <v>shou 3am totbokh/ totbkheh?</v>
      </c>
      <c r="D308" s="75" t="str">
        <f t="shared" ref="D308:D364" ca="1" si="282">IF(MOD(ROW()-2,2)=0, INDIRECT("Sheet1!A" &amp;4+((ROW()-2)/2)-2), "")</f>
        <v>What are you cooking</v>
      </c>
      <c r="E308" s="40" t="str">
        <f t="shared" ref="E308:E364" ca="1" si="283">IF(MOD(ROW()-2,2)=0, INDIRECT("Sheet1!D" &amp;4+((ROW()-2)/2)-2), "")</f>
        <v>shou 3am totbokh/ totbkheh?</v>
      </c>
    </row>
    <row r="309" spans="1:5" ht="15" customHeight="1" x14ac:dyDescent="0.25">
      <c r="A309" s="35" t="str">
        <f t="shared" ca="1" si="239"/>
        <v/>
      </c>
      <c r="B309" s="31" t="str">
        <f t="shared" ca="1" si="264"/>
        <v xml:space="preserve"> شو عَم تُطبُخ/ تُطُبخي؟</v>
      </c>
      <c r="D309" s="75"/>
      <c r="E309" s="41" t="str">
        <f t="shared" ref="E309:E365" ca="1" si="284">IF(MOD(ROW()-3,2)=0, INDIRECT("Sheet1!E" &amp;4+((ROW()-3)/2)-2), "")</f>
        <v xml:space="preserve"> شو عَم تُطبُخ/ تُطُبخي؟</v>
      </c>
    </row>
    <row r="310" spans="1:5" ht="47.25" x14ac:dyDescent="0.25">
      <c r="A310" s="36" t="str">
        <f t="shared" ca="1" si="239"/>
        <v/>
      </c>
      <c r="B310" s="30" t="str">
        <f t="shared" ca="1" si="266"/>
        <v>el sobeH bghassil wejjeh</v>
      </c>
      <c r="D310" s="75" t="str">
        <f t="shared" ref="D310" ca="1" si="285">IF(MOD(ROW()-2,2)=0, INDIRECT("Sheet1!A" &amp;4+((ROW()-2)/2)-2), "")</f>
        <v>In the morning I wash my face</v>
      </c>
      <c r="E310" s="40" t="str">
        <f t="shared" ref="E310" ca="1" si="286">IF(MOD(ROW()-2,2)=0, INDIRECT("Sheet1!D" &amp;4+((ROW()-2)/2)-2), "")</f>
        <v>el sobeH bghassil wejjeh</v>
      </c>
    </row>
    <row r="311" spans="1:5" ht="15" customHeight="1" x14ac:dyDescent="0.25">
      <c r="A311" s="34" t="str">
        <f t="shared" ca="1" si="239"/>
        <v>I traveled</v>
      </c>
      <c r="B311" s="31" t="str">
        <f t="shared" ca="1" si="269"/>
        <v xml:space="preserve"> الصُبُح بغَسِّل وِجِّي</v>
      </c>
      <c r="D311" s="75"/>
      <c r="E311" s="41" t="str">
        <f t="shared" ref="E311" ca="1" si="287">IF(MOD(ROW()-3,2)=0, INDIRECT("Sheet1!E" &amp;4+((ROW()-3)/2)-2), "")</f>
        <v xml:space="preserve"> الصُبُح بغَسِّل وِجِّي</v>
      </c>
    </row>
    <row r="312" spans="1:5" ht="110.25" x14ac:dyDescent="0.25">
      <c r="A312" s="35" t="str">
        <f t="shared" ca="1" si="239"/>
        <v/>
      </c>
      <c r="B312" s="30" t="str">
        <f t="shared" ref="B312" ca="1" si="288">IF(MOD(ROW()-2,2)=0, INDIRECT("Sheet1!D" &amp;4+((ROW()-2)/2)-2), "")</f>
        <v>kam marra btfarsheh sneinak/ sneinik/ sneinkoun bil nhar?</v>
      </c>
      <c r="D312" s="75" t="str">
        <f t="shared" ca="1" si="262"/>
        <v>How many times a day do you brush your teeth?</v>
      </c>
      <c r="E312" s="40" t="str">
        <f t="shared" ca="1" si="263"/>
        <v>kam marra btfarsheh sneinak/ sneinik/ sneinkoun bil nhar?</v>
      </c>
    </row>
    <row r="313" spans="1:5" ht="90" x14ac:dyDescent="0.25">
      <c r="A313" s="36" t="str">
        <f t="shared" ca="1" si="239"/>
        <v/>
      </c>
      <c r="B313" s="31" t="str">
        <f t="shared" ref="B313" ca="1" si="289">IF(MOD(ROW()-3,2)=0, INDIRECT("Sheet1!E" &amp;4+((ROW()-3)/2)-2), "")</f>
        <v>كَم مَرًّة بتفَرشي سنانَك/ سنانِك/ سنانكُن بالنهار؟</v>
      </c>
      <c r="D313" s="75"/>
      <c r="E313" s="41" t="str">
        <f t="shared" ca="1" si="265"/>
        <v>كَم مَرًّة بتفَرشي سنانَك/ سنانِك/ سنانكُن بالنهار؟</v>
      </c>
    </row>
    <row r="314" spans="1:5" ht="94.5" x14ac:dyDescent="0.25">
      <c r="A314" s="34" t="str">
        <f t="shared" ca="1" si="239"/>
        <v>You traveled</v>
      </c>
      <c r="B314" s="30" t="str">
        <f t="shared" ca="1" si="254"/>
        <v>el sobeH mnrouH 3al foren ta neshtreh mne'eesh</v>
      </c>
      <c r="D314" s="75" t="str">
        <f t="shared" ca="1" si="267"/>
        <v>In the morning we go the bakery to buy Manakeesh</v>
      </c>
      <c r="E314" s="40" t="str">
        <f t="shared" ca="1" si="268"/>
        <v>el sobeH mnrouH 3al foren ta neshtreh mne'eesh</v>
      </c>
    </row>
    <row r="315" spans="1:5" ht="75" x14ac:dyDescent="0.25">
      <c r="A315" s="35" t="str">
        <f t="shared" ca="1" si="239"/>
        <v/>
      </c>
      <c r="B315" s="31" t="str">
        <f t="shared" ca="1" si="255"/>
        <v xml:space="preserve"> الصُبُح مِنروح عَلى فُرن تَنِشتِري مْناقيش</v>
      </c>
      <c r="D315" s="75"/>
      <c r="E315" s="41" t="str">
        <f t="shared" ca="1" si="270"/>
        <v xml:space="preserve"> الصُبُح مِنروح عَلى فُرن تَنِشتِري مْناقيش</v>
      </c>
    </row>
    <row r="316" spans="1:5" ht="47.25" x14ac:dyDescent="0.25">
      <c r="A316" s="36" t="str">
        <f t="shared" ca="1" si="239"/>
        <v/>
      </c>
      <c r="B316" s="30" t="str">
        <f t="shared" ca="1" si="256"/>
        <v>ana 3am bejleh el sHoun</v>
      </c>
      <c r="D316" s="75" t="str">
        <f t="shared" ca="1" si="272"/>
        <v>im waching the dishes</v>
      </c>
      <c r="E316" s="40" t="str">
        <f t="shared" ca="1" si="273"/>
        <v>ana 3am bejleh el sHoun</v>
      </c>
    </row>
    <row r="317" spans="1:5" ht="15" customHeight="1" x14ac:dyDescent="0.25">
      <c r="A317" s="34" t="str">
        <f t="shared" ca="1" si="239"/>
        <v>He traveled</v>
      </c>
      <c r="B317" s="31" t="str">
        <f t="shared" ca="1" si="259"/>
        <v xml:space="preserve"> أنا عَم بِجلي الصْحون</v>
      </c>
      <c r="D317" s="75"/>
      <c r="E317" s="41" t="str">
        <f t="shared" ca="1" si="275"/>
        <v xml:space="preserve"> أنا عَم بِجلي الصْحون</v>
      </c>
    </row>
    <row r="318" spans="1:5" x14ac:dyDescent="0.25">
      <c r="A318" s="35" t="str">
        <f t="shared" ca="1" si="239"/>
        <v/>
      </c>
      <c r="B318" s="30" t="str">
        <f t="shared" ca="1" si="261"/>
        <v>badde</v>
      </c>
      <c r="D318" s="75" t="str">
        <f t="shared" ca="1" si="276"/>
        <v>I would like to</v>
      </c>
      <c r="E318" s="40" t="str">
        <f t="shared" ca="1" si="277"/>
        <v>badde</v>
      </c>
    </row>
    <row r="319" spans="1:5" ht="15" customHeight="1" x14ac:dyDescent="0.25">
      <c r="A319" s="36" t="str">
        <f t="shared" ca="1" si="239"/>
        <v/>
      </c>
      <c r="B319" s="31" t="str">
        <f t="shared" ca="1" si="264"/>
        <v>بدّي</v>
      </c>
      <c r="D319" s="75"/>
      <c r="E319" s="41" t="str">
        <f t="shared" ca="1" si="278"/>
        <v>بدّي</v>
      </c>
    </row>
    <row r="320" spans="1:5" x14ac:dyDescent="0.25">
      <c r="A320" s="34" t="str">
        <f t="shared" ca="1" si="239"/>
        <v>She traveled</v>
      </c>
      <c r="B320" s="30" t="str">
        <f t="shared" ca="1" si="266"/>
        <v>sheri3</v>
      </c>
      <c r="D320" s="75" t="str">
        <f t="shared" ca="1" si="279"/>
        <v>street</v>
      </c>
      <c r="E320" s="40" t="str">
        <f t="shared" ca="1" si="280"/>
        <v>sheri3</v>
      </c>
    </row>
    <row r="321" spans="1:5" ht="15" customHeight="1" x14ac:dyDescent="0.25">
      <c r="A321" s="35" t="str">
        <f t="shared" ref="A321:A384" ca="1" si="290">IF(MOD(ROW()-2,3)=0, INDIRECT("Sheet1!A" &amp;4+((ROW()-2)/3)-2), "")</f>
        <v/>
      </c>
      <c r="B321" s="31" t="str">
        <f t="shared" ca="1" si="269"/>
        <v>شارِع</v>
      </c>
      <c r="D321" s="75"/>
      <c r="E321" s="41" t="str">
        <f t="shared" ca="1" si="281"/>
        <v>شارِع</v>
      </c>
    </row>
    <row r="322" spans="1:5" x14ac:dyDescent="0.25">
      <c r="A322" s="36" t="str">
        <f t="shared" ca="1" si="290"/>
        <v/>
      </c>
      <c r="B322" s="30" t="str">
        <f t="shared" ref="B322" ca="1" si="291">IF(MOD(ROW()-2,2)=0, INDIRECT("Sheet1!D" &amp;4+((ROW()-2)/2)-2), "")</f>
        <v>tabi'</v>
      </c>
      <c r="D322" s="75" t="str">
        <f t="shared" ca="1" si="282"/>
        <v>floor</v>
      </c>
      <c r="E322" s="40" t="str">
        <f t="shared" ca="1" si="283"/>
        <v>tabi'</v>
      </c>
    </row>
    <row r="323" spans="1:5" ht="15" customHeight="1" x14ac:dyDescent="0.25">
      <c r="A323" s="34" t="str">
        <f t="shared" ca="1" si="290"/>
        <v>We traveled</v>
      </c>
      <c r="B323" s="31" t="str">
        <f t="shared" ref="B323" ca="1" si="292">IF(MOD(ROW()-3,2)=0, INDIRECT("Sheet1!E" &amp;4+((ROW()-3)/2)-2), "")</f>
        <v>طابِق</v>
      </c>
      <c r="D323" s="75"/>
      <c r="E323" s="41" t="str">
        <f t="shared" ca="1" si="284"/>
        <v>طابِق</v>
      </c>
    </row>
    <row r="324" spans="1:5" x14ac:dyDescent="0.25">
      <c r="A324" s="35" t="str">
        <f t="shared" ca="1" si="290"/>
        <v/>
      </c>
      <c r="B324" s="30" t="str">
        <f t="shared" ca="1" si="254"/>
        <v>bi wejj</v>
      </c>
      <c r="D324" s="75" t="str">
        <f t="shared" ref="D324" ca="1" si="293">IF(MOD(ROW()-2,2)=0, INDIRECT("Sheet1!A" &amp;4+((ROW()-2)/2)-2), "")</f>
        <v>face to</v>
      </c>
      <c r="E324" s="40" t="str">
        <f t="shared" ref="E324" ca="1" si="294">IF(MOD(ROW()-2,2)=0, INDIRECT("Sheet1!D" &amp;4+((ROW()-2)/2)-2), "")</f>
        <v>bi wejj</v>
      </c>
    </row>
    <row r="325" spans="1:5" ht="15" customHeight="1" x14ac:dyDescent="0.25">
      <c r="A325" s="36" t="str">
        <f t="shared" ca="1" si="290"/>
        <v/>
      </c>
      <c r="B325" s="31" t="str">
        <f t="shared" ca="1" si="255"/>
        <v>بِ وجّ</v>
      </c>
      <c r="D325" s="75"/>
      <c r="E325" s="41" t="str">
        <f t="shared" ref="E325" ca="1" si="295">IF(MOD(ROW()-3,2)=0, INDIRECT("Sheet1!E" &amp;4+((ROW()-3)/2)-2), "")</f>
        <v>بِ وجّ</v>
      </c>
    </row>
    <row r="326" spans="1:5" x14ac:dyDescent="0.25">
      <c r="A326" s="34" t="str">
        <f t="shared" ca="1" si="290"/>
        <v>You traveled</v>
      </c>
      <c r="B326" s="30" t="str">
        <f t="shared" ca="1" si="256"/>
        <v>Hadd</v>
      </c>
      <c r="D326" s="75" t="str">
        <f t="shared" ca="1" si="262"/>
        <v>near</v>
      </c>
      <c r="E326" s="40" t="str">
        <f t="shared" ca="1" si="263"/>
        <v>Hadd</v>
      </c>
    </row>
    <row r="327" spans="1:5" ht="15" customHeight="1" x14ac:dyDescent="0.25">
      <c r="A327" s="35" t="str">
        <f t="shared" ca="1" si="290"/>
        <v/>
      </c>
      <c r="B327" s="31" t="str">
        <f t="shared" ca="1" si="259"/>
        <v>حَدّ</v>
      </c>
      <c r="D327" s="75"/>
      <c r="E327" s="41" t="str">
        <f t="shared" ca="1" si="265"/>
        <v>حَدّ</v>
      </c>
    </row>
    <row r="328" spans="1:5" x14ac:dyDescent="0.25">
      <c r="A328" s="36" t="str">
        <f t="shared" ca="1" si="290"/>
        <v/>
      </c>
      <c r="B328" s="30" t="str">
        <f t="shared" ca="1" si="261"/>
        <v>s'al 3ann</v>
      </c>
      <c r="D328" s="75" t="str">
        <f t="shared" ca="1" si="267"/>
        <v>ask about</v>
      </c>
      <c r="E328" s="40" t="str">
        <f t="shared" ca="1" si="268"/>
        <v>s'al 3ann</v>
      </c>
    </row>
    <row r="329" spans="1:5" ht="15" customHeight="1" x14ac:dyDescent="0.25">
      <c r="A329" s="34" t="str">
        <f t="shared" ca="1" si="290"/>
        <v>They traveled</v>
      </c>
      <c r="B329" s="31" t="str">
        <f t="shared" ca="1" si="264"/>
        <v>سآل عنّ</v>
      </c>
      <c r="D329" s="75"/>
      <c r="E329" s="41" t="str">
        <f t="shared" ca="1" si="270"/>
        <v>سآل عنّ</v>
      </c>
    </row>
    <row r="330" spans="1:5" x14ac:dyDescent="0.25">
      <c r="A330" s="35" t="str">
        <f t="shared" ca="1" si="290"/>
        <v/>
      </c>
      <c r="B330" s="30" t="str">
        <f t="shared" ca="1" si="266"/>
        <v>djeij</v>
      </c>
      <c r="D330" s="75" t="str">
        <f t="shared" ca="1" si="272"/>
        <v xml:space="preserve">chicken </v>
      </c>
      <c r="E330" s="40" t="str">
        <f t="shared" ca="1" si="273"/>
        <v>djeij</v>
      </c>
    </row>
    <row r="331" spans="1:5" ht="15" customHeight="1" x14ac:dyDescent="0.25">
      <c r="A331" s="36" t="str">
        <f t="shared" ca="1" si="290"/>
        <v/>
      </c>
      <c r="B331" s="31" t="str">
        <f t="shared" ca="1" si="269"/>
        <v>دجاج</v>
      </c>
      <c r="D331" s="75"/>
      <c r="E331" s="41" t="str">
        <f t="shared" ca="1" si="275"/>
        <v>دجاج</v>
      </c>
    </row>
    <row r="332" spans="1:5" x14ac:dyDescent="0.25">
      <c r="A332" s="34" t="str">
        <f t="shared" ca="1" si="290"/>
        <v>I used to travel</v>
      </c>
      <c r="B332" s="30" t="str">
        <f t="shared" ref="B332" ca="1" si="296">IF(MOD(ROW()-2,2)=0, INDIRECT("Sheet1!D" &amp;4+((ROW()-2)/2)-2), "")</f>
        <v>toum</v>
      </c>
      <c r="D332" s="75" t="str">
        <f t="shared" ca="1" si="276"/>
        <v xml:space="preserve">garlic </v>
      </c>
      <c r="E332" s="40" t="str">
        <f t="shared" ca="1" si="277"/>
        <v>toum</v>
      </c>
    </row>
    <row r="333" spans="1:5" ht="15" customHeight="1" x14ac:dyDescent="0.25">
      <c r="A333" s="35" t="str">
        <f t="shared" ca="1" si="290"/>
        <v/>
      </c>
      <c r="B333" s="31" t="str">
        <f t="shared" ref="B333" ca="1" si="297">IF(MOD(ROW()-3,2)=0, INDIRECT("Sheet1!E" &amp;4+((ROW()-3)/2)-2), "")</f>
        <v>توم</v>
      </c>
      <c r="D333" s="75"/>
      <c r="E333" s="41" t="str">
        <f t="shared" ca="1" si="278"/>
        <v>توم</v>
      </c>
    </row>
    <row r="334" spans="1:5" x14ac:dyDescent="0.25">
      <c r="A334" s="36" t="str">
        <f t="shared" ca="1" si="290"/>
        <v/>
      </c>
      <c r="B334" s="30" t="str">
        <f t="shared" ca="1" si="254"/>
        <v>kabees</v>
      </c>
      <c r="D334" s="75" t="str">
        <f t="shared" ca="1" si="279"/>
        <v xml:space="preserve">pickles </v>
      </c>
      <c r="E334" s="40" t="str">
        <f t="shared" ca="1" si="280"/>
        <v>kabees</v>
      </c>
    </row>
    <row r="335" spans="1:5" ht="15" customHeight="1" x14ac:dyDescent="0.25">
      <c r="A335" s="34" t="str">
        <f t="shared" ca="1" si="290"/>
        <v>You used to travel</v>
      </c>
      <c r="B335" s="31" t="str">
        <f t="shared" ca="1" si="255"/>
        <v>كَبيس</v>
      </c>
      <c r="D335" s="75"/>
      <c r="E335" s="41" t="str">
        <f t="shared" ca="1" si="281"/>
        <v>كَبيس</v>
      </c>
    </row>
    <row r="336" spans="1:5" x14ac:dyDescent="0.25">
      <c r="A336" s="35" t="str">
        <f t="shared" ca="1" si="290"/>
        <v/>
      </c>
      <c r="B336" s="30" t="str">
        <f t="shared" ca="1" si="256"/>
        <v>ma3</v>
      </c>
      <c r="D336" s="75" t="str">
        <f t="shared" ca="1" si="282"/>
        <v>with</v>
      </c>
      <c r="E336" s="40" t="str">
        <f t="shared" ca="1" si="283"/>
        <v>ma3</v>
      </c>
    </row>
    <row r="337" spans="1:5" ht="15" customHeight="1" x14ac:dyDescent="0.25">
      <c r="A337" s="36" t="str">
        <f t="shared" ca="1" si="290"/>
        <v/>
      </c>
      <c r="B337" s="31" t="str">
        <f t="shared" ca="1" si="259"/>
        <v xml:space="preserve">مَع  </v>
      </c>
      <c r="D337" s="75"/>
      <c r="E337" s="41" t="str">
        <f t="shared" ca="1" si="284"/>
        <v xml:space="preserve">مَع  </v>
      </c>
    </row>
    <row r="338" spans="1:5" x14ac:dyDescent="0.25">
      <c r="A338" s="34" t="str">
        <f t="shared" ca="1" si="290"/>
        <v>He used to travel</v>
      </c>
      <c r="B338" s="30" t="str">
        <f t="shared" ca="1" si="261"/>
        <v>bala</v>
      </c>
      <c r="D338" s="75" t="str">
        <f t="shared" ref="D338" ca="1" si="298">IF(MOD(ROW()-2,2)=0, INDIRECT("Sheet1!A" &amp;4+((ROW()-2)/2)-2), "")</f>
        <v xml:space="preserve">without </v>
      </c>
      <c r="E338" s="40" t="str">
        <f t="shared" ref="E338" ca="1" si="299">IF(MOD(ROW()-2,2)=0, INDIRECT("Sheet1!D" &amp;4+((ROW()-2)/2)-2), "")</f>
        <v>bala</v>
      </c>
    </row>
    <row r="339" spans="1:5" ht="15" customHeight="1" x14ac:dyDescent="0.25">
      <c r="A339" s="35" t="str">
        <f t="shared" ca="1" si="290"/>
        <v/>
      </c>
      <c r="B339" s="31" t="str">
        <f t="shared" ca="1" si="264"/>
        <v>بَلا</v>
      </c>
      <c r="D339" s="75"/>
      <c r="E339" s="41" t="str">
        <f t="shared" ref="E339" ca="1" si="300">IF(MOD(ROW()-3,2)=0, INDIRECT("Sheet1!E" &amp;4+((ROW()-3)/2)-2), "")</f>
        <v>بَلا</v>
      </c>
    </row>
    <row r="340" spans="1:5" x14ac:dyDescent="0.25">
      <c r="A340" s="36" t="str">
        <f t="shared" ca="1" si="290"/>
        <v/>
      </c>
      <c r="B340" s="30" t="str">
        <f t="shared" ca="1" si="266"/>
        <v>zyeideh</v>
      </c>
      <c r="D340" s="75" t="str">
        <f t="shared" ca="1" si="262"/>
        <v>extra</v>
      </c>
      <c r="E340" s="40" t="str">
        <f t="shared" ca="1" si="263"/>
        <v>zyeideh</v>
      </c>
    </row>
    <row r="341" spans="1:5" ht="15" customHeight="1" x14ac:dyDescent="0.25">
      <c r="A341" s="34" t="str">
        <f t="shared" ca="1" si="290"/>
        <v>She used to travel</v>
      </c>
      <c r="B341" s="31" t="str">
        <f t="shared" ca="1" si="269"/>
        <v>زيادي</v>
      </c>
      <c r="D341" s="75"/>
      <c r="E341" s="41" t="str">
        <f t="shared" ca="1" si="265"/>
        <v>زيادي</v>
      </c>
    </row>
    <row r="342" spans="1:5" x14ac:dyDescent="0.25">
      <c r="A342" s="35" t="str">
        <f t="shared" ca="1" si="290"/>
        <v/>
      </c>
      <c r="B342" s="30" t="str">
        <f t="shared" ref="B342" ca="1" si="301">IF(MOD(ROW()-2,2)=0, INDIRECT("Sheet1!D" &amp;4+((ROW()-2)/2)-2), "")</f>
        <v>jebneh</v>
      </c>
      <c r="D342" s="75" t="str">
        <f t="shared" ca="1" si="267"/>
        <v>cheese</v>
      </c>
      <c r="E342" s="40" t="str">
        <f t="shared" ca="1" si="268"/>
        <v>jebneh</v>
      </c>
    </row>
    <row r="343" spans="1:5" ht="15" customHeight="1" x14ac:dyDescent="0.25">
      <c r="A343" s="36" t="str">
        <f t="shared" ca="1" si="290"/>
        <v/>
      </c>
      <c r="B343" s="31" t="str">
        <f t="shared" ref="B343" ca="1" si="302">IF(MOD(ROW()-3,2)=0, INDIRECT("Sheet1!E" &amp;4+((ROW()-3)/2)-2), "")</f>
        <v>جِبنة</v>
      </c>
      <c r="D343" s="75"/>
      <c r="E343" s="41" t="str">
        <f t="shared" ca="1" si="270"/>
        <v>جِبنة</v>
      </c>
    </row>
    <row r="344" spans="1:5" x14ac:dyDescent="0.25">
      <c r="A344" s="34" t="str">
        <f t="shared" ca="1" si="290"/>
        <v>We used to travel</v>
      </c>
      <c r="B344" s="30" t="str">
        <f t="shared" ca="1" si="254"/>
        <v>nabeiteh</v>
      </c>
      <c r="D344" s="75" t="str">
        <f t="shared" ca="1" si="272"/>
        <v>vegeterian</v>
      </c>
      <c r="E344" s="40" t="str">
        <f t="shared" ca="1" si="273"/>
        <v>nabeiteh</v>
      </c>
    </row>
    <row r="345" spans="1:5" ht="15" customHeight="1" x14ac:dyDescent="0.25">
      <c r="A345" s="35" t="str">
        <f t="shared" ca="1" si="290"/>
        <v/>
      </c>
      <c r="B345" s="31" t="str">
        <f t="shared" ca="1" si="255"/>
        <v>نَباتي</v>
      </c>
      <c r="D345" s="75"/>
      <c r="E345" s="41" t="str">
        <f t="shared" ca="1" si="275"/>
        <v>نَباتي</v>
      </c>
    </row>
    <row r="346" spans="1:5" ht="31.5" x14ac:dyDescent="0.25">
      <c r="A346" s="36" t="str">
        <f t="shared" ca="1" si="290"/>
        <v/>
      </c>
      <c r="B346" s="30" t="str">
        <f t="shared" ca="1" si="256"/>
        <v>moukawwineit</v>
      </c>
      <c r="D346" s="75" t="str">
        <f t="shared" ca="1" si="276"/>
        <v>ingredients</v>
      </c>
      <c r="E346" s="40" t="str">
        <f t="shared" ca="1" si="277"/>
        <v>moukawwineit</v>
      </c>
    </row>
    <row r="347" spans="1:5" ht="15" customHeight="1" x14ac:dyDescent="0.25">
      <c r="A347" s="34" t="str">
        <f t="shared" ca="1" si="290"/>
        <v>You used to travel</v>
      </c>
      <c r="B347" s="31" t="str">
        <f t="shared" ca="1" si="259"/>
        <v xml:space="preserve">مُكونات </v>
      </c>
      <c r="D347" s="75"/>
      <c r="E347" s="41" t="str">
        <f t="shared" ca="1" si="278"/>
        <v xml:space="preserve">مُكونات </v>
      </c>
    </row>
    <row r="348" spans="1:5" x14ac:dyDescent="0.25">
      <c r="A348" s="35" t="str">
        <f t="shared" ca="1" si="290"/>
        <v/>
      </c>
      <c r="B348" s="30" t="str">
        <f t="shared" ca="1" si="261"/>
        <v>foter</v>
      </c>
      <c r="D348" s="75" t="str">
        <f t="shared" ca="1" si="279"/>
        <v>mushrooms</v>
      </c>
      <c r="E348" s="40" t="str">
        <f t="shared" ca="1" si="280"/>
        <v>foter</v>
      </c>
    </row>
    <row r="349" spans="1:5" ht="15" customHeight="1" x14ac:dyDescent="0.25">
      <c r="A349" s="36" t="str">
        <f t="shared" ca="1" si="290"/>
        <v/>
      </c>
      <c r="B349" s="31" t="str">
        <f t="shared" ca="1" si="264"/>
        <v>فُطُر</v>
      </c>
      <c r="D349" s="75"/>
      <c r="E349" s="41" t="str">
        <f t="shared" ca="1" si="281"/>
        <v>فُطُر</v>
      </c>
    </row>
    <row r="350" spans="1:5" x14ac:dyDescent="0.25">
      <c r="A350" s="34" t="str">
        <f t="shared" ca="1" si="290"/>
        <v>They used to travel</v>
      </c>
      <c r="B350" s="30" t="str">
        <f t="shared" ca="1" si="266"/>
        <v>tzid</v>
      </c>
      <c r="D350" s="75" t="str">
        <f t="shared" ca="1" si="282"/>
        <v xml:space="preserve">to add </v>
      </c>
      <c r="E350" s="40" t="str">
        <f t="shared" ca="1" si="283"/>
        <v>tzid</v>
      </c>
    </row>
    <row r="351" spans="1:5" ht="15" customHeight="1" x14ac:dyDescent="0.25">
      <c r="A351" s="35" t="str">
        <f t="shared" ca="1" si="290"/>
        <v/>
      </c>
      <c r="B351" s="31" t="str">
        <f t="shared" ca="1" si="269"/>
        <v>تزيد</v>
      </c>
      <c r="D351" s="75"/>
      <c r="E351" s="41" t="str">
        <f t="shared" ca="1" si="284"/>
        <v>تزيد</v>
      </c>
    </row>
    <row r="352" spans="1:5" x14ac:dyDescent="0.25">
      <c r="A352" s="36" t="str">
        <f t="shared" ca="1" si="290"/>
        <v/>
      </c>
      <c r="B352" s="30" t="str">
        <f t="shared" ref="B352" ca="1" si="303">IF(MOD(ROW()-2,2)=0, INDIRECT("Sheet1!D" &amp;4+((ROW()-2)/2)-2), "")</f>
        <v>tshil</v>
      </c>
      <c r="D352" s="75" t="str">
        <f t="shared" ref="D352" ca="1" si="304">IF(MOD(ROW()-2,2)=0, INDIRECT("Sheet1!A" &amp;4+((ROW()-2)/2)-2), "")</f>
        <v>to remove</v>
      </c>
      <c r="E352" s="40" t="str">
        <f t="shared" ref="E352" ca="1" si="305">IF(MOD(ROW()-2,2)=0, INDIRECT("Sheet1!D" &amp;4+((ROW()-2)/2)-2), "")</f>
        <v>tshil</v>
      </c>
    </row>
    <row r="353" spans="1:5" ht="15" customHeight="1" x14ac:dyDescent="0.25">
      <c r="A353" s="34" t="str">
        <f t="shared" ca="1" si="290"/>
        <v>I'll travel</v>
      </c>
      <c r="B353" s="31" t="str">
        <f t="shared" ref="B353" ca="1" si="306">IF(MOD(ROW()-3,2)=0, INDIRECT("Sheet1!E" &amp;4+((ROW()-3)/2)-2), "")</f>
        <v>تشيل</v>
      </c>
      <c r="D353" s="75"/>
      <c r="E353" s="41" t="str">
        <f t="shared" ref="E353" ca="1" si="307">IF(MOD(ROW()-3,2)=0, INDIRECT("Sheet1!E" &amp;4+((ROW()-3)/2)-2), "")</f>
        <v>تشيل</v>
      </c>
    </row>
    <row r="354" spans="1:5" x14ac:dyDescent="0.25">
      <c r="A354" s="35" t="str">
        <f t="shared" ca="1" si="290"/>
        <v/>
      </c>
      <c r="B354" s="30" t="str">
        <f t="shared" ca="1" si="254"/>
        <v>khardal</v>
      </c>
      <c r="D354" s="75" t="str">
        <f t="shared" ca="1" si="262"/>
        <v xml:space="preserve">mustard </v>
      </c>
      <c r="E354" s="40" t="str">
        <f t="shared" ca="1" si="263"/>
        <v>khardal</v>
      </c>
    </row>
    <row r="355" spans="1:5" ht="15" customHeight="1" x14ac:dyDescent="0.25">
      <c r="A355" s="36" t="str">
        <f t="shared" ca="1" si="290"/>
        <v/>
      </c>
      <c r="B355" s="31" t="str">
        <f t="shared" ca="1" si="255"/>
        <v xml:space="preserve">خَردَل </v>
      </c>
      <c r="D355" s="75"/>
      <c r="E355" s="41" t="str">
        <f t="shared" ca="1" si="265"/>
        <v xml:space="preserve">خَردَل </v>
      </c>
    </row>
    <row r="356" spans="1:5" x14ac:dyDescent="0.25">
      <c r="A356" s="34" t="str">
        <f t="shared" ca="1" si="290"/>
        <v>You'll travel</v>
      </c>
      <c r="B356" s="30" t="str">
        <f t="shared" ca="1" si="256"/>
        <v>salsa</v>
      </c>
      <c r="D356" s="75" t="str">
        <f t="shared" ca="1" si="267"/>
        <v>dressing</v>
      </c>
      <c r="E356" s="40" t="str">
        <f t="shared" ca="1" si="268"/>
        <v>salsa</v>
      </c>
    </row>
    <row r="357" spans="1:5" ht="15" customHeight="1" x14ac:dyDescent="0.25">
      <c r="A357" s="35" t="str">
        <f t="shared" ca="1" si="290"/>
        <v/>
      </c>
      <c r="B357" s="31" t="str">
        <f t="shared" ca="1" si="259"/>
        <v>صَلصَة</v>
      </c>
      <c r="D357" s="75"/>
      <c r="E357" s="41" t="str">
        <f t="shared" ca="1" si="270"/>
        <v>صَلصَة</v>
      </c>
    </row>
    <row r="358" spans="1:5" x14ac:dyDescent="0.25">
      <c r="A358" s="36" t="str">
        <f t="shared" ca="1" si="290"/>
        <v/>
      </c>
      <c r="B358" s="30" t="str">
        <f t="shared" ca="1" si="261"/>
        <v>khafeef</v>
      </c>
      <c r="D358" s="75" t="str">
        <f t="shared" ca="1" si="272"/>
        <v xml:space="preserve">light </v>
      </c>
      <c r="E358" s="40" t="str">
        <f t="shared" ca="1" si="273"/>
        <v>khafeef</v>
      </c>
    </row>
    <row r="359" spans="1:5" ht="15" customHeight="1" x14ac:dyDescent="0.25">
      <c r="A359" s="34" t="str">
        <f t="shared" ca="1" si="290"/>
        <v>He'll travel</v>
      </c>
      <c r="B359" s="31" t="str">
        <f t="shared" ca="1" si="264"/>
        <v>خَفيف</v>
      </c>
      <c r="D359" s="75"/>
      <c r="E359" s="41" t="str">
        <f t="shared" ca="1" si="275"/>
        <v>خَفيف</v>
      </c>
    </row>
    <row r="360" spans="1:5" ht="31.5" x14ac:dyDescent="0.25">
      <c r="A360" s="35" t="str">
        <f t="shared" ca="1" si="290"/>
        <v/>
      </c>
      <c r="B360" s="30" t="str">
        <f t="shared" ca="1" si="266"/>
        <v>Ha'/ se3er</v>
      </c>
      <c r="D360" s="75" t="str">
        <f t="shared" ca="1" si="276"/>
        <v>cost</v>
      </c>
      <c r="E360" s="40" t="str">
        <f t="shared" ca="1" si="277"/>
        <v>Ha'/ se3er</v>
      </c>
    </row>
    <row r="361" spans="1:5" ht="15" customHeight="1" x14ac:dyDescent="0.25">
      <c r="A361" s="36" t="str">
        <f t="shared" ca="1" si="290"/>
        <v/>
      </c>
      <c r="B361" s="31" t="str">
        <f t="shared" ca="1" si="269"/>
        <v xml:space="preserve">حَقّ/ سِعر </v>
      </c>
      <c r="D361" s="75"/>
      <c r="E361" s="41" t="str">
        <f t="shared" ca="1" si="278"/>
        <v xml:space="preserve">حَقّ/ سِعر </v>
      </c>
    </row>
    <row r="362" spans="1:5" ht="63" x14ac:dyDescent="0.25">
      <c r="A362" s="34" t="str">
        <f t="shared" ca="1" si="290"/>
        <v>She'll travel</v>
      </c>
      <c r="B362" s="30" t="str">
        <f t="shared" ref="B362" ca="1" si="308">IF(MOD(ROW()-2,2)=0, INDIRECT("Sheet1!D" &amp;4+((ROW()-2)/2)-2), "")</f>
        <v>baddeh otloub akel/talabiyyeh</v>
      </c>
      <c r="D362" s="75" t="str">
        <f t="shared" ca="1" si="279"/>
        <v>I would like to order some food</v>
      </c>
      <c r="E362" s="40" t="str">
        <f t="shared" ca="1" si="280"/>
        <v>baddeh otloub akel/talabiyyeh</v>
      </c>
    </row>
    <row r="363" spans="1:5" ht="15" customHeight="1" x14ac:dyDescent="0.25">
      <c r="A363" s="35" t="str">
        <f t="shared" ca="1" si="290"/>
        <v/>
      </c>
      <c r="B363" s="31" t="str">
        <f t="shared" ref="B363" ca="1" si="309">IF(MOD(ROW()-3,2)=0, INDIRECT("Sheet1!E" &amp;4+((ROW()-3)/2)-2), "")</f>
        <v>بَدّي أُطلُب أَكل/ طَلَبيّة</v>
      </c>
      <c r="D363" s="75"/>
      <c r="E363" s="41" t="str">
        <f t="shared" ca="1" si="281"/>
        <v>بَدّي أُطلُب أَكل/ طَلَبيّة</v>
      </c>
    </row>
    <row r="364" spans="1:5" ht="47.25" x14ac:dyDescent="0.25">
      <c r="A364" s="36" t="str">
        <f t="shared" ca="1" si="290"/>
        <v/>
      </c>
      <c r="B364" s="30" t="str">
        <f t="shared" ref="B364:B424" ca="1" si="310">IF(MOD(ROW()-2,2)=0, INDIRECT("Sheet1!D" &amp;4+((ROW()-2)/2)-2), "")</f>
        <v>la wein mnwassela?</v>
      </c>
      <c r="D364" s="75" t="str">
        <f t="shared" ca="1" si="282"/>
        <v>to where do you want us to deliver</v>
      </c>
      <c r="E364" s="40" t="str">
        <f t="shared" ca="1" si="283"/>
        <v>la wein mnwassela?</v>
      </c>
    </row>
    <row r="365" spans="1:5" ht="15" customHeight="1" x14ac:dyDescent="0.25">
      <c r="A365" s="34" t="str">
        <f t="shared" ca="1" si="290"/>
        <v>We'll travel</v>
      </c>
      <c r="B365" s="31" t="str">
        <f t="shared" ref="B365:B425" ca="1" si="311">IF(MOD(ROW()-3,2)=0, INDIRECT("Sheet1!E" &amp;4+((ROW()-3)/2)-2), "")</f>
        <v>لَ وَين مِنوصّلا</v>
      </c>
      <c r="D365" s="75"/>
      <c r="E365" s="41" t="str">
        <f t="shared" ca="1" si="284"/>
        <v>لَ وَين مِنوصّلا</v>
      </c>
    </row>
    <row r="366" spans="1:5" ht="94.5" x14ac:dyDescent="0.25">
      <c r="A366" s="35" t="str">
        <f t="shared" ca="1" si="290"/>
        <v/>
      </c>
      <c r="B366" s="30" t="str">
        <f t="shared" ref="B366:B426" ca="1" si="312">IF(MOD(ROW()-2,2)=0, INDIRECT("Sheet1!D" &amp;4+((ROW()-2)/2)-2), "")</f>
        <v>ana 3aysheh bi sheri3 st lourde, bil tabi' el khamis</v>
      </c>
      <c r="D366" s="75" t="str">
        <f t="shared" ref="D366" ca="1" si="313">IF(MOD(ROW()-2,2)=0, INDIRECT("Sheet1!A" &amp;4+((ROW()-2)/2)-2), "")</f>
        <v>I live in St Lourde's street, in the fifth floor</v>
      </c>
      <c r="E366" s="40" t="str">
        <f t="shared" ref="E366" ca="1" si="314">IF(MOD(ROW()-2,2)=0, INDIRECT("Sheet1!D" &amp;4+((ROW()-2)/2)-2), "")</f>
        <v>ana 3aysheh bi sheri3 st lourde, bil tabi' el khamis</v>
      </c>
    </row>
    <row r="367" spans="1:5" ht="75" x14ac:dyDescent="0.25">
      <c r="A367" s="36" t="str">
        <f t="shared" ca="1" si="290"/>
        <v/>
      </c>
      <c r="B367" s="31" t="str">
        <f t="shared" ref="B367:B427" ca="1" si="315">IF(MOD(ROW()-3,2)=0, INDIRECT("Sheet1!E" &amp;4+((ROW()-3)/2)-2), "")</f>
        <v>أنا عايشي بشارِع سانت لورد، بالطابِق الخامِس</v>
      </c>
      <c r="D367" s="75"/>
      <c r="E367" s="41" t="str">
        <f t="shared" ref="E367" ca="1" si="316">IF(MOD(ROW()-3,2)=0, INDIRECT("Sheet1!E" &amp;4+((ROW()-3)/2)-2), "")</f>
        <v>أنا عايشي بشارِع سانت لورد، بالطابِق الخامِس</v>
      </c>
    </row>
    <row r="368" spans="1:5" ht="126" x14ac:dyDescent="0.25">
      <c r="A368" s="34" t="str">
        <f t="shared" ca="1" si="290"/>
        <v>You'll tavel</v>
      </c>
      <c r="B368" s="30" t="str">
        <f t="shared" ref="B368:B428" ca="1" si="317">IF(MOD(ROW()-2,2)=0, INDIRECT("Sheet1!D" &amp;4+((ROW()-2)/2)-2), "")</f>
        <v>baddeh 3arous djeij, bala toum, ma3 kabees, Hommous extra</v>
      </c>
      <c r="D368" s="75" t="str">
        <f t="shared" ref="D368:D424" ca="1" si="318">IF(MOD(ROW()-2,2)=0, INDIRECT("Sheet1!A" &amp;4+((ROW()-2)/2)-2), "")</f>
        <v xml:space="preserve">I want a chicken sandwich without garlic, with pickels, extra Hommous </v>
      </c>
      <c r="E368" s="40" t="str">
        <f t="shared" ref="E368:E424" ca="1" si="319">IF(MOD(ROW()-2,2)=0, INDIRECT("Sheet1!D" &amp;4+((ROW()-2)/2)-2), "")</f>
        <v>baddeh 3arous djeij, bala toum, ma3 kabees, Hommous extra</v>
      </c>
    </row>
    <row r="369" spans="1:5" ht="90" x14ac:dyDescent="0.25">
      <c r="A369" s="35" t="str">
        <f t="shared" ca="1" si="290"/>
        <v/>
      </c>
      <c r="B369" s="31" t="str">
        <f t="shared" ref="B369:B429" ca="1" si="320">IF(MOD(ROW()-3,2)=0, INDIRECT("Sheet1!E" &amp;4+((ROW()-3)/2)-2), "")</f>
        <v>بَدّي عَروس دجاج، بَلا توم، مَع كبيس، أكسترا حُمّص</v>
      </c>
      <c r="D369" s="75"/>
      <c r="E369" s="41" t="str">
        <f t="shared" ref="E369:E425" ca="1" si="321">IF(MOD(ROW()-3,2)=0, INDIRECT("Sheet1!E" &amp;4+((ROW()-3)/2)-2), "")</f>
        <v>بَدّي عَروس دجاج، بَلا توم، مَع كبيس، أكسترا حُمّص</v>
      </c>
    </row>
    <row r="370" spans="1:5" ht="110.25" x14ac:dyDescent="0.25">
      <c r="A370" s="36" t="str">
        <f t="shared" ca="1" si="290"/>
        <v/>
      </c>
      <c r="B370" s="30" t="str">
        <f t="shared" ref="B370:B430" ca="1" si="322">IF(MOD(ROW()-2,2)=0, INDIRECT("Sheet1!D" &amp;4+((ROW()-2)/2)-2), "")</f>
        <v>baddeh otloub tleiteh pizza pepperoni, zyedeh jebneh</v>
      </c>
      <c r="D370" s="75" t="str">
        <f t="shared" ref="D370:D426" ca="1" si="323">IF(MOD(ROW()-2,2)=0, INDIRECT("Sheet1!A" &amp;4+((ROW()-2)/2)-2), "")</f>
        <v>I want to order three pizza pepperoni, extra cheese</v>
      </c>
      <c r="E370" s="40" t="str">
        <f t="shared" ref="E370:E426" ca="1" si="324">IF(MOD(ROW()-2,2)=0, INDIRECT("Sheet1!D" &amp;4+((ROW()-2)/2)-2), "")</f>
        <v>baddeh otloub tleiteh pizza pepperoni, zyedeh jebneh</v>
      </c>
    </row>
    <row r="371" spans="1:5" ht="60" x14ac:dyDescent="0.25">
      <c r="A371" s="34" t="str">
        <f t="shared" ca="1" si="290"/>
        <v>They'll travel</v>
      </c>
      <c r="B371" s="31" t="str">
        <f t="shared" ref="B371:B431" ca="1" si="325">IF(MOD(ROW()-3,2)=0, INDIRECT("Sheet1!E" &amp;4+((ROW()-3)/2)-2), "")</f>
        <v>بَدّي أُطلُب تلاتي بيتزا ببروني زيادي جِبنة</v>
      </c>
      <c r="D371" s="75"/>
      <c r="E371" s="41" t="str">
        <f t="shared" ref="E371:E427" ca="1" si="326">IF(MOD(ROW()-3,2)=0, INDIRECT("Sheet1!E" &amp;4+((ROW()-3)/2)-2), "")</f>
        <v>بَدّي أُطلُب تلاتي بيتزا ببروني زيادي جِبنة</v>
      </c>
    </row>
    <row r="372" spans="1:5" ht="78.75" x14ac:dyDescent="0.25">
      <c r="A372" s="35" t="str">
        <f t="shared" ca="1" si="290"/>
        <v/>
      </c>
      <c r="B372" s="30" t="str">
        <f t="shared" ref="B372" ca="1" si="327">IF(MOD(ROW()-2,2)=0, INDIRECT("Sheet1!D" &amp;4+((ROW()-2)/2)-2), "")</f>
        <v>3andak/3andik/3andkoun pizza nabetiyeh</v>
      </c>
      <c r="D372" s="75" t="str">
        <f t="shared" ref="D372:D428" ca="1" si="328">IF(MOD(ROW()-2,2)=0, INDIRECT("Sheet1!A" &amp;4+((ROW()-2)/2)-2), "")</f>
        <v>do you have vegeterian pizza</v>
      </c>
      <c r="E372" s="40" t="str">
        <f t="shared" ref="E372:E428" ca="1" si="329">IF(MOD(ROW()-2,2)=0, INDIRECT("Sheet1!D" &amp;4+((ROW()-2)/2)-2), "")</f>
        <v>3andak/3andik/3andkoun pizza nabetiyeh</v>
      </c>
    </row>
    <row r="373" spans="1:5" ht="15" customHeight="1" x14ac:dyDescent="0.25">
      <c r="A373" s="36" t="str">
        <f t="shared" ca="1" si="290"/>
        <v/>
      </c>
      <c r="B373" s="31" t="str">
        <f t="shared" ref="B373" ca="1" si="330">IF(MOD(ROW()-3,2)=0, INDIRECT("Sheet1!E" &amp;4+((ROW()-3)/2)-2), "")</f>
        <v>عَندَك/عَندِك/ عَندكُن  بيتزا نباتيّة</v>
      </c>
      <c r="D373" s="75"/>
      <c r="E373" s="41" t="str">
        <f t="shared" ref="E373:E429" ca="1" si="331">IF(MOD(ROW()-3,2)=0, INDIRECT("Sheet1!E" &amp;4+((ROW()-3)/2)-2), "")</f>
        <v>عَندَك/عَندِك/ عَندكُن  بيتزا نباتيّة</v>
      </c>
    </row>
    <row r="374" spans="1:5" ht="94.5" x14ac:dyDescent="0.25">
      <c r="A374" s="34" t="str">
        <f t="shared" ca="1" si="290"/>
        <v>I'm traveling to Paris today</v>
      </c>
      <c r="B374" s="30" t="str">
        <f t="shared" ca="1" si="310"/>
        <v>shou btHot/ btHotteh/ btHotto fiya (or bi alba)</v>
      </c>
      <c r="D374" s="75" t="str">
        <f t="shared" ref="D374:D430" ca="1" si="332">IF(MOD(ROW()-2,2)=0, INDIRECT("Sheet1!A" &amp;4+((ROW()-2)/2)-2), "")</f>
        <v>what do you put inside the pizza</v>
      </c>
      <c r="E374" s="40" t="str">
        <f t="shared" ref="E374:E430" ca="1" si="333">IF(MOD(ROW()-2,2)=0, INDIRECT("Sheet1!D" &amp;4+((ROW()-2)/2)-2), "")</f>
        <v>shou btHot/ btHotteh/ btHotto fiya (or bi alba)</v>
      </c>
    </row>
    <row r="375" spans="1:5" ht="60" x14ac:dyDescent="0.25">
      <c r="A375" s="35" t="str">
        <f t="shared" ca="1" si="290"/>
        <v/>
      </c>
      <c r="B375" s="31" t="str">
        <f t="shared" ca="1" si="311"/>
        <v>شو بحُطّ/ بتحُطّي/ بتحُطّوا فيها (بِ قَلبا)</v>
      </c>
      <c r="D375" s="75"/>
      <c r="E375" s="41" t="str">
        <f t="shared" ref="E375:E431" ca="1" si="334">IF(MOD(ROW()-3,2)=0, INDIRECT("Sheet1!E" &amp;4+((ROW()-3)/2)-2), "")</f>
        <v>شو بحُطّ/ بتحُطّي/ بتحُطّوا فيها (بِ قَلبا)</v>
      </c>
    </row>
    <row r="376" spans="1:5" ht="126" x14ac:dyDescent="0.25">
      <c r="A376" s="36" t="str">
        <f t="shared" ca="1" si="290"/>
        <v/>
      </c>
      <c r="B376" s="30" t="str">
        <f t="shared" ca="1" si="312"/>
        <v>feek tshilleh/ feekeh tshileeleh/ feekoun tshilouleh el foter</v>
      </c>
      <c r="D376" s="75" t="str">
        <f t="shared" ref="D376:D432" ca="1" si="335">IF(MOD(ROW()-2,2)=0, INDIRECT("Sheet1!A" &amp;4+((ROW()-2)/2)-2), "")</f>
        <v>can you remove to mushrooms</v>
      </c>
      <c r="E376" s="40" t="str">
        <f t="shared" ref="E376:E432" ca="1" si="336">IF(MOD(ROW()-2,2)=0, INDIRECT("Sheet1!D" &amp;4+((ROW()-2)/2)-2), "")</f>
        <v>feek tshilleh/ feekeh tshileeleh/ feekoun tshilouleh el foter</v>
      </c>
    </row>
    <row r="377" spans="1:5" ht="90" x14ac:dyDescent="0.25">
      <c r="A377" s="34" t="str">
        <f t="shared" ca="1" si="290"/>
        <v>I travel every summer</v>
      </c>
      <c r="B377" s="31" t="str">
        <f t="shared" ca="1" si="315"/>
        <v xml:space="preserve">فيك تشللّي/ فيكي تشيليلي/ فيكُك تشيلولي الفُطُر </v>
      </c>
      <c r="D377" s="75"/>
      <c r="E377" s="41" t="str">
        <f t="shared" ref="E377:E433" ca="1" si="337">IF(MOD(ROW()-3,2)=0, INDIRECT("Sheet1!E" &amp;4+((ROW()-3)/2)-2), "")</f>
        <v xml:space="preserve">فيك تشللّي/ فيكي تشيليلي/ فيكُك تشيلولي الفُطُر </v>
      </c>
    </row>
    <row r="378" spans="1:5" ht="110.25" x14ac:dyDescent="0.25">
      <c r="A378" s="35" t="str">
        <f t="shared" ca="1" si="290"/>
        <v/>
      </c>
      <c r="B378" s="30" t="str">
        <f t="shared" ca="1" si="317"/>
        <v>feek tzeed/ feekeh tzeedeh/ feekoun tzeedo khardal</v>
      </c>
      <c r="D378" s="75" t="str">
        <f t="shared" ref="D378:D434" ca="1" si="338">IF(MOD(ROW()-2,2)=0, INDIRECT("Sheet1!A" &amp;4+((ROW()-2)/2)-2), "")</f>
        <v>can you add mustard</v>
      </c>
      <c r="E378" s="40" t="str">
        <f t="shared" ref="E378:E434" ca="1" si="339">IF(MOD(ROW()-2,2)=0, INDIRECT("Sheet1!D" &amp;4+((ROW()-2)/2)-2), "")</f>
        <v>feek tzeed/ feekeh tzeedeh/ feekoun tzeedo khardal</v>
      </c>
    </row>
    <row r="379" spans="1:5" ht="75" x14ac:dyDescent="0.25">
      <c r="A379" s="36" t="str">
        <f t="shared" ca="1" si="290"/>
        <v/>
      </c>
      <c r="B379" s="31" t="str">
        <f t="shared" ca="1" si="320"/>
        <v>فيك تزيد/ فيكي تزيدي/ فيكُن تزيدو خَردَل</v>
      </c>
      <c r="D379" s="75"/>
      <c r="E379" s="41" t="str">
        <f t="shared" ref="E379:E435" ca="1" si="340">IF(MOD(ROW()-3,2)=0, INDIRECT("Sheet1!E" &amp;4+((ROW()-3)/2)-2), "")</f>
        <v>فيك تزيد/ فيكي تزيدي/ فيكُن تزيدو خَردَل</v>
      </c>
    </row>
    <row r="380" spans="1:5" ht="15.75" customHeight="1" x14ac:dyDescent="0.25">
      <c r="A380" s="34" t="str">
        <f t="shared" ca="1" si="290"/>
        <v>My brother and father, traveled last month, to Brezil</v>
      </c>
      <c r="B380" s="30" t="str">
        <f t="shared" ca="1" si="322"/>
        <v>baddeh ghayir el salsa</v>
      </c>
      <c r="D380" s="75" t="str">
        <f t="shared" ref="D380" ca="1" si="341">IF(MOD(ROW()-2,2)=0, INDIRECT("Sheet1!A" &amp;4+((ROW()-2)/2)-2), "")</f>
        <v>I want to change the dressing</v>
      </c>
      <c r="E380" s="40" t="str">
        <f t="shared" ref="E380" ca="1" si="342">IF(MOD(ROW()-2,2)=0, INDIRECT("Sheet1!D" &amp;4+((ROW()-2)/2)-2), "")</f>
        <v>baddeh ghayir el salsa</v>
      </c>
    </row>
    <row r="381" spans="1:5" ht="15" customHeight="1" x14ac:dyDescent="0.25">
      <c r="A381" s="35" t="str">
        <f t="shared" ca="1" si="290"/>
        <v/>
      </c>
      <c r="B381" s="31" t="str">
        <f t="shared" ca="1" si="325"/>
        <v>بدّي غَيِّر الصَلصَة</v>
      </c>
      <c r="D381" s="75"/>
      <c r="E381" s="41" t="str">
        <f t="shared" ref="E381" ca="1" si="343">IF(MOD(ROW()-3,2)=0, INDIRECT("Sheet1!E" &amp;4+((ROW()-3)/2)-2), "")</f>
        <v>بدّي غَيِّر الصَلصَة</v>
      </c>
    </row>
    <row r="382" spans="1:5" ht="110.25" x14ac:dyDescent="0.25">
      <c r="A382" s="36" t="str">
        <f t="shared" ca="1" si="290"/>
        <v/>
      </c>
      <c r="B382" s="30" t="str">
        <f t="shared" ref="B382" ca="1" si="344">IF(MOD(ROW()-2,2)=0, INDIRECT("Sheet1!D" &amp;4+((ROW()-2)/2)-2), "")</f>
        <v>shou 3andkoun shi khafeef (for a group of people)</v>
      </c>
      <c r="D382" s="75" t="str">
        <f t="shared" ca="1" si="318"/>
        <v>what do you have as something light</v>
      </c>
      <c r="E382" s="40" t="str">
        <f t="shared" ca="1" si="319"/>
        <v>shou 3andkoun shi khafeef (for a group of people)</v>
      </c>
    </row>
    <row r="383" spans="1:5" ht="15" customHeight="1" x14ac:dyDescent="0.25">
      <c r="A383" s="34" t="str">
        <f t="shared" ca="1" si="290"/>
        <v>We used to travel every year</v>
      </c>
      <c r="B383" s="31" t="str">
        <f t="shared" ref="B383" ca="1" si="345">IF(MOD(ROW()-3,2)=0, INDIRECT("Sheet1!E" &amp;4+((ROW()-3)/2)-2), "")</f>
        <v>شو عَندكُن شي خَفيف</v>
      </c>
      <c r="D383" s="75"/>
      <c r="E383" s="41" t="str">
        <f t="shared" ca="1" si="321"/>
        <v>شو عَندكُن شي خَفيف</v>
      </c>
    </row>
    <row r="384" spans="1:5" ht="31.5" x14ac:dyDescent="0.25">
      <c r="A384" s="35" t="str">
        <f t="shared" ca="1" si="290"/>
        <v/>
      </c>
      <c r="B384" s="30" t="str">
        <f t="shared" ca="1" si="310"/>
        <v>taba' el yom</v>
      </c>
      <c r="D384" s="75" t="str">
        <f t="shared" ca="1" si="323"/>
        <v>dish of the day</v>
      </c>
      <c r="E384" s="40" t="str">
        <f t="shared" ca="1" si="324"/>
        <v>taba' el yom</v>
      </c>
    </row>
    <row r="385" spans="1:5" ht="15" customHeight="1" x14ac:dyDescent="0.25">
      <c r="A385" s="36" t="str">
        <f t="shared" ref="A385:A448" ca="1" si="346">IF(MOD(ROW()-2,3)=0, INDIRECT("Sheet1!A" &amp;4+((ROW()-2)/3)-2), "")</f>
        <v/>
      </c>
      <c r="B385" s="31" t="str">
        <f t="shared" ca="1" si="311"/>
        <v>طَبَق اليوم</v>
      </c>
      <c r="D385" s="75"/>
      <c r="E385" s="41" t="str">
        <f t="shared" ca="1" si="326"/>
        <v>طَبَق اليوم</v>
      </c>
    </row>
    <row r="386" spans="1:5" ht="47.25" x14ac:dyDescent="0.25">
      <c r="A386" s="34" t="str">
        <f t="shared" ca="1" si="346"/>
        <v>When will you travel?</v>
      </c>
      <c r="B386" s="30" t="str">
        <f t="shared" ca="1" si="312"/>
        <v>shou taba' el yom</v>
      </c>
      <c r="D386" s="75" t="str">
        <f t="shared" ca="1" si="328"/>
        <v>what is the dish of the day</v>
      </c>
      <c r="E386" s="40" t="str">
        <f t="shared" ca="1" si="329"/>
        <v>shou taba' el yom</v>
      </c>
    </row>
    <row r="387" spans="1:5" ht="15" customHeight="1" x14ac:dyDescent="0.25">
      <c r="A387" s="35" t="str">
        <f t="shared" ca="1" si="346"/>
        <v/>
      </c>
      <c r="B387" s="31" t="str">
        <f t="shared" ca="1" si="315"/>
        <v>شو طَبَق اليوم</v>
      </c>
      <c r="D387" s="75"/>
      <c r="E387" s="41" t="str">
        <f t="shared" ca="1" si="331"/>
        <v>شو طَبَق اليوم</v>
      </c>
    </row>
    <row r="388" spans="1:5" ht="63" x14ac:dyDescent="0.25">
      <c r="A388" s="36" t="str">
        <f t="shared" ca="1" si="346"/>
        <v/>
      </c>
      <c r="B388" s="30" t="str">
        <f t="shared" ca="1" si="317"/>
        <v>ade bado wa'et el akel ta yousal</v>
      </c>
      <c r="D388" s="75" t="str">
        <f t="shared" ca="1" si="332"/>
        <v>How much time the food will need to arrive</v>
      </c>
      <c r="E388" s="40" t="str">
        <f t="shared" ca="1" si="333"/>
        <v>ade bado wa'et el akel ta yousal</v>
      </c>
    </row>
    <row r="389" spans="1:5" ht="15" customHeight="1" x14ac:dyDescent="0.25">
      <c r="A389" s="34" t="str">
        <f t="shared" ca="1" si="346"/>
        <v>home</v>
      </c>
      <c r="B389" s="31" t="str">
        <f t="shared" ca="1" si="320"/>
        <v>أَدّي بَدّو وَقت الأكل تَ يوصَل</v>
      </c>
      <c r="D389" s="75"/>
      <c r="E389" s="41" t="str">
        <f t="shared" ca="1" si="334"/>
        <v>أَدّي بَدّو وَقت الأكل تَ يوصَل</v>
      </c>
    </row>
    <row r="390" spans="1:5" ht="63" x14ac:dyDescent="0.25">
      <c r="A390" s="35" t="str">
        <f t="shared" ca="1" si="346"/>
        <v/>
      </c>
      <c r="B390" s="30" t="str">
        <f t="shared" ca="1" si="322"/>
        <v>addeh byotla3 Ha' el akel?</v>
      </c>
      <c r="D390" s="75" t="str">
        <f t="shared" ca="1" si="335"/>
        <v>how much will the food cost</v>
      </c>
      <c r="E390" s="40" t="str">
        <f t="shared" ca="1" si="336"/>
        <v>addeh byotla3 Ha' el akel?</v>
      </c>
    </row>
    <row r="391" spans="1:5" ht="15" customHeight="1" x14ac:dyDescent="0.25">
      <c r="A391" s="36" t="str">
        <f t="shared" ca="1" si="346"/>
        <v/>
      </c>
      <c r="B391" s="31" t="str">
        <f t="shared" ca="1" si="325"/>
        <v xml:space="preserve">أدّي بِيطلَع حَقّ الأكل </v>
      </c>
      <c r="D391" s="75"/>
      <c r="E391" s="41" t="str">
        <f t="shared" ca="1" si="337"/>
        <v xml:space="preserve">أدّي بِيطلَع حَقّ الأكل </v>
      </c>
    </row>
    <row r="392" spans="1:5" x14ac:dyDescent="0.25">
      <c r="A392" s="34" t="str">
        <f t="shared" ca="1" si="346"/>
        <v>building</v>
      </c>
      <c r="B392" s="30" t="str">
        <f t="shared" ref="B392" ca="1" si="347">IF(MOD(ROW()-2,2)=0, INDIRECT("Sheet1!D" &amp;4+((ROW()-2)/2)-2), "")</f>
        <v>shiteh</v>
      </c>
      <c r="D392" s="75" t="str">
        <f t="shared" ca="1" si="338"/>
        <v>Winter</v>
      </c>
      <c r="E392" s="40" t="str">
        <f t="shared" ca="1" si="339"/>
        <v>shiteh</v>
      </c>
    </row>
    <row r="393" spans="1:5" ht="15" customHeight="1" x14ac:dyDescent="0.25">
      <c r="A393" s="35" t="str">
        <f t="shared" ca="1" si="346"/>
        <v/>
      </c>
      <c r="B393" s="31" t="str">
        <f t="shared" ref="B393" ca="1" si="348">IF(MOD(ROW()-3,2)=0, INDIRECT("Sheet1!E" &amp;4+((ROW()-3)/2)-2), "")</f>
        <v xml:space="preserve">شِتي </v>
      </c>
      <c r="D393" s="75"/>
      <c r="E393" s="41" t="str">
        <f t="shared" ca="1" si="340"/>
        <v xml:space="preserve">شِتي </v>
      </c>
    </row>
    <row r="394" spans="1:5" x14ac:dyDescent="0.25">
      <c r="A394" s="36" t="str">
        <f t="shared" ca="1" si="346"/>
        <v/>
      </c>
      <c r="B394" s="30" t="str">
        <f t="shared" ca="1" si="310"/>
        <v>sa'3a</v>
      </c>
      <c r="D394" s="75" t="str">
        <f t="shared" ref="D394" ca="1" si="349">IF(MOD(ROW()-2,2)=0, INDIRECT("Sheet1!A" &amp;4+((ROW()-2)/2)-2), "")</f>
        <v>Cold</v>
      </c>
      <c r="E394" s="40" t="str">
        <f t="shared" ref="E394" ca="1" si="350">IF(MOD(ROW()-2,2)=0, INDIRECT("Sheet1!D" &amp;4+((ROW()-2)/2)-2), "")</f>
        <v>sa'3a</v>
      </c>
    </row>
    <row r="395" spans="1:5" ht="15" customHeight="1" x14ac:dyDescent="0.25">
      <c r="A395" s="34" t="str">
        <f t="shared" ca="1" si="346"/>
        <v>Floor</v>
      </c>
      <c r="B395" s="31" t="str">
        <f t="shared" ca="1" si="311"/>
        <v xml:space="preserve">سَقعَة </v>
      </c>
      <c r="D395" s="75"/>
      <c r="E395" s="41" t="str">
        <f t="shared" ref="E395" ca="1" si="351">IF(MOD(ROW()-3,2)=0, INDIRECT("Sheet1!E" &amp;4+((ROW()-3)/2)-2), "")</f>
        <v xml:space="preserve">سَقعَة </v>
      </c>
    </row>
    <row r="396" spans="1:5" x14ac:dyDescent="0.25">
      <c r="A396" s="35" t="str">
        <f t="shared" ca="1" si="346"/>
        <v/>
      </c>
      <c r="B396" s="30" t="str">
        <f t="shared" ca="1" si="312"/>
        <v>3asfeh</v>
      </c>
      <c r="D396" s="75" t="str">
        <f t="shared" ca="1" si="318"/>
        <v xml:space="preserve">Storm </v>
      </c>
      <c r="E396" s="40" t="str">
        <f t="shared" ca="1" si="319"/>
        <v>3asfeh</v>
      </c>
    </row>
    <row r="397" spans="1:5" ht="15" customHeight="1" x14ac:dyDescent="0.25">
      <c r="A397" s="36" t="str">
        <f t="shared" ca="1" si="346"/>
        <v/>
      </c>
      <c r="B397" s="31" t="str">
        <f t="shared" ca="1" si="315"/>
        <v xml:space="preserve">عَاصفِة </v>
      </c>
      <c r="D397" s="75"/>
      <c r="E397" s="41" t="str">
        <f t="shared" ca="1" si="321"/>
        <v xml:space="preserve">عَاصفِة </v>
      </c>
    </row>
    <row r="398" spans="1:5" x14ac:dyDescent="0.25">
      <c r="A398" s="34" t="str">
        <f t="shared" ca="1" si="346"/>
        <v>bedroom</v>
      </c>
      <c r="B398" s="30" t="str">
        <f t="shared" ca="1" si="317"/>
        <v>talej</v>
      </c>
      <c r="D398" s="75" t="str">
        <f t="shared" ca="1" si="323"/>
        <v>Snow</v>
      </c>
      <c r="E398" s="40" t="str">
        <f t="shared" ca="1" si="324"/>
        <v>talej</v>
      </c>
    </row>
    <row r="399" spans="1:5" ht="15" customHeight="1" x14ac:dyDescent="0.25">
      <c r="A399" s="35" t="str">
        <f t="shared" ca="1" si="346"/>
        <v/>
      </c>
      <c r="B399" s="31" t="str">
        <f t="shared" ca="1" si="320"/>
        <v>تَلج</v>
      </c>
      <c r="D399" s="75"/>
      <c r="E399" s="41" t="str">
        <f t="shared" ca="1" si="326"/>
        <v>تَلج</v>
      </c>
    </row>
    <row r="400" spans="1:5" x14ac:dyDescent="0.25">
      <c r="A400" s="36" t="str">
        <f t="shared" ca="1" si="346"/>
        <v/>
      </c>
      <c r="B400" s="30" t="str">
        <f t="shared" ca="1" si="322"/>
        <v>taree'</v>
      </c>
      <c r="D400" s="75" t="str">
        <f t="shared" ca="1" si="328"/>
        <v xml:space="preserve">Road </v>
      </c>
      <c r="E400" s="40" t="str">
        <f t="shared" ca="1" si="329"/>
        <v>taree'</v>
      </c>
    </row>
    <row r="401" spans="1:5" ht="15" customHeight="1" x14ac:dyDescent="0.25">
      <c r="A401" s="34" t="str">
        <f t="shared" ca="1" si="346"/>
        <v>living room</v>
      </c>
      <c r="B401" s="31" t="str">
        <f t="shared" ca="1" si="325"/>
        <v xml:space="preserve">طَريق </v>
      </c>
      <c r="D401" s="75"/>
      <c r="E401" s="41" t="str">
        <f t="shared" ca="1" si="331"/>
        <v xml:space="preserve">طَريق </v>
      </c>
    </row>
    <row r="402" spans="1:5" x14ac:dyDescent="0.25">
      <c r="A402" s="35" t="str">
        <f t="shared" ca="1" si="346"/>
        <v/>
      </c>
      <c r="B402" s="30" t="str">
        <f t="shared" ref="B402" ca="1" si="352">IF(MOD(ROW()-2,2)=0, INDIRECT("Sheet1!D" &amp;4+((ROW()-2)/2)-2), "")</f>
        <v>deffeiyeh</v>
      </c>
      <c r="D402" s="75" t="str">
        <f t="shared" ca="1" si="332"/>
        <v xml:space="preserve">Electrical heater </v>
      </c>
      <c r="E402" s="40" t="str">
        <f t="shared" ca="1" si="333"/>
        <v>deffeiyeh</v>
      </c>
    </row>
    <row r="403" spans="1:5" ht="15" customHeight="1" x14ac:dyDescent="0.25">
      <c r="A403" s="36" t="str">
        <f t="shared" ca="1" si="346"/>
        <v/>
      </c>
      <c r="B403" s="31" t="str">
        <f t="shared" ref="B403" ca="1" si="353">IF(MOD(ROW()-3,2)=0, INDIRECT("Sheet1!E" &amp;4+((ROW()-3)/2)-2), "")</f>
        <v>دِفّاية</v>
      </c>
      <c r="D403" s="75"/>
      <c r="E403" s="41" t="str">
        <f t="shared" ca="1" si="334"/>
        <v>دِفّاية</v>
      </c>
    </row>
    <row r="404" spans="1:5" ht="47.25" x14ac:dyDescent="0.25">
      <c r="A404" s="34" t="str">
        <f t="shared" ca="1" si="346"/>
        <v>kitchen</v>
      </c>
      <c r="B404" s="30" t="str">
        <f t="shared" ca="1" si="310"/>
        <v xml:space="preserve">maw'adeh/ shemineh </v>
      </c>
      <c r="D404" s="75" t="str">
        <f t="shared" ca="1" si="335"/>
        <v xml:space="preserve">Chimney </v>
      </c>
      <c r="E404" s="40" t="str">
        <f t="shared" ca="1" si="336"/>
        <v xml:space="preserve">maw'adeh/ shemineh </v>
      </c>
    </row>
    <row r="405" spans="1:5" ht="15" customHeight="1" x14ac:dyDescent="0.25">
      <c r="A405" s="35" t="str">
        <f t="shared" ca="1" si="346"/>
        <v/>
      </c>
      <c r="B405" s="31" t="str">
        <f t="shared" ca="1" si="311"/>
        <v>شوميني</v>
      </c>
      <c r="D405" s="75"/>
      <c r="E405" s="41" t="str">
        <f t="shared" ca="1" si="337"/>
        <v>شوميني</v>
      </c>
    </row>
    <row r="406" spans="1:5" x14ac:dyDescent="0.25">
      <c r="A406" s="36" t="str">
        <f t="shared" ca="1" si="346"/>
        <v/>
      </c>
      <c r="B406" s="30" t="str">
        <f t="shared" ca="1" si="312"/>
        <v>Hatab</v>
      </c>
      <c r="D406" s="75" t="str">
        <f t="shared" ca="1" si="338"/>
        <v xml:space="preserve">Coal </v>
      </c>
      <c r="E406" s="40" t="str">
        <f t="shared" ca="1" si="339"/>
        <v>Hatab</v>
      </c>
    </row>
    <row r="407" spans="1:5" ht="15" customHeight="1" x14ac:dyDescent="0.25">
      <c r="A407" s="34" t="str">
        <f t="shared" ca="1" si="346"/>
        <v>bathroom</v>
      </c>
      <c r="B407" s="31" t="str">
        <f t="shared" ca="1" si="315"/>
        <v>حَطَب</v>
      </c>
      <c r="D407" s="75"/>
      <c r="E407" s="41" t="str">
        <f t="shared" ca="1" si="340"/>
        <v>حَطَب</v>
      </c>
    </row>
    <row r="408" spans="1:5" ht="31.5" x14ac:dyDescent="0.25">
      <c r="A408" s="35" t="str">
        <f t="shared" ca="1" si="346"/>
        <v/>
      </c>
      <c r="B408" s="30" t="str">
        <f t="shared" ca="1" si="317"/>
        <v>akel el shiteh</v>
      </c>
      <c r="D408" s="75" t="str">
        <f t="shared" ref="D408" ca="1" si="354">IF(MOD(ROW()-2,2)=0, INDIRECT("Sheet1!A" &amp;4+((ROW()-2)/2)-2), "")</f>
        <v xml:space="preserve">winter food </v>
      </c>
      <c r="E408" s="40" t="str">
        <f t="shared" ref="E408" ca="1" si="355">IF(MOD(ROW()-2,2)=0, INDIRECT("Sheet1!D" &amp;4+((ROW()-2)/2)-2), "")</f>
        <v>akel el shiteh</v>
      </c>
    </row>
    <row r="409" spans="1:5" ht="15" customHeight="1" x14ac:dyDescent="0.25">
      <c r="A409" s="36" t="str">
        <f t="shared" ca="1" si="346"/>
        <v/>
      </c>
      <c r="B409" s="31" t="str">
        <f t="shared" ca="1" si="320"/>
        <v xml:space="preserve">أكل الشِتي </v>
      </c>
      <c r="D409" s="75"/>
      <c r="E409" s="41" t="str">
        <f t="shared" ref="E409" ca="1" si="356">IF(MOD(ROW()-3,2)=0, INDIRECT("Sheet1!E" &amp;4+((ROW()-3)/2)-2), "")</f>
        <v xml:space="preserve">أكل الشِتي </v>
      </c>
    </row>
    <row r="410" spans="1:5" x14ac:dyDescent="0.25">
      <c r="A410" s="34" t="str">
        <f t="shared" ca="1" si="346"/>
        <v>bed</v>
      </c>
      <c r="B410" s="30" t="str">
        <f t="shared" ca="1" si="322"/>
        <v>kastana</v>
      </c>
      <c r="D410" s="75" t="str">
        <f t="shared" ca="1" si="318"/>
        <v xml:space="preserve">Chestnut </v>
      </c>
      <c r="E410" s="40" t="str">
        <f t="shared" ca="1" si="319"/>
        <v>kastana</v>
      </c>
    </row>
    <row r="411" spans="1:5" ht="15" customHeight="1" x14ac:dyDescent="0.25">
      <c r="A411" s="35" t="str">
        <f t="shared" ca="1" si="346"/>
        <v/>
      </c>
      <c r="B411" s="31" t="str">
        <f t="shared" ca="1" si="325"/>
        <v>كَستنا</v>
      </c>
      <c r="D411" s="75"/>
      <c r="E411" s="41" t="str">
        <f t="shared" ca="1" si="321"/>
        <v>كَستنا</v>
      </c>
    </row>
    <row r="412" spans="1:5" ht="47.25" x14ac:dyDescent="0.25">
      <c r="A412" s="36" t="str">
        <f t="shared" ca="1" si="346"/>
        <v/>
      </c>
      <c r="B412" s="30" t="str">
        <f t="shared" ref="B412" ca="1" si="357">IF(MOD(ROW()-2,2)=0, INDIRECT("Sheet1!D" &amp;4+((ROW()-2)/2)-2), "")</f>
        <v>batata meshwiyeh</v>
      </c>
      <c r="D412" s="75" t="str">
        <f t="shared" ca="1" si="323"/>
        <v xml:space="preserve">Grilled potatoe </v>
      </c>
      <c r="E412" s="40" t="str">
        <f t="shared" ca="1" si="324"/>
        <v>batata meshwiyeh</v>
      </c>
    </row>
    <row r="413" spans="1:5" ht="15" customHeight="1" x14ac:dyDescent="0.25">
      <c r="A413" s="34" t="str">
        <f t="shared" ca="1" si="346"/>
        <v>closet</v>
      </c>
      <c r="B413" s="31" t="str">
        <f t="shared" ref="B413" ca="1" si="358">IF(MOD(ROW()-3,2)=0, INDIRECT("Sheet1!E" &amp;4+((ROW()-3)/2)-2), "")</f>
        <v xml:space="preserve">بطاطا مِشويّة </v>
      </c>
      <c r="D413" s="75"/>
      <c r="E413" s="41" t="str">
        <f t="shared" ca="1" si="326"/>
        <v xml:space="preserve">بطاطا مِشويّة </v>
      </c>
    </row>
    <row r="414" spans="1:5" x14ac:dyDescent="0.25">
      <c r="A414" s="35" t="str">
        <f t="shared" ca="1" si="346"/>
        <v/>
      </c>
      <c r="B414" s="30" t="str">
        <f t="shared" ca="1" si="310"/>
        <v>shawraba</v>
      </c>
      <c r="D414" s="75" t="str">
        <f t="shared" ca="1" si="328"/>
        <v xml:space="preserve">Soup </v>
      </c>
      <c r="E414" s="40" t="str">
        <f t="shared" ca="1" si="329"/>
        <v>shawraba</v>
      </c>
    </row>
    <row r="415" spans="1:5" ht="15" customHeight="1" x14ac:dyDescent="0.25">
      <c r="A415" s="36" t="str">
        <f t="shared" ca="1" si="346"/>
        <v/>
      </c>
      <c r="B415" s="31" t="str">
        <f t="shared" ca="1" si="311"/>
        <v>شَوَبَة</v>
      </c>
      <c r="D415" s="75"/>
      <c r="E415" s="41" t="str">
        <f t="shared" ca="1" si="331"/>
        <v>شَوَبَة</v>
      </c>
    </row>
    <row r="416" spans="1:5" x14ac:dyDescent="0.25">
      <c r="A416" s="34" t="str">
        <f t="shared" ca="1" si="346"/>
        <v>clothes</v>
      </c>
      <c r="B416" s="30" t="str">
        <f t="shared" ca="1" si="312"/>
        <v>sheil</v>
      </c>
      <c r="D416" s="75" t="str">
        <f t="shared" ca="1" si="332"/>
        <v xml:space="preserve">Scarf </v>
      </c>
      <c r="E416" s="40" t="str">
        <f t="shared" ca="1" si="333"/>
        <v>sheil</v>
      </c>
    </row>
    <row r="417" spans="1:5" ht="15" customHeight="1" x14ac:dyDescent="0.25">
      <c r="A417" s="35" t="str">
        <f t="shared" ca="1" si="346"/>
        <v/>
      </c>
      <c r="B417" s="31" t="str">
        <f t="shared" ca="1" si="315"/>
        <v>شال</v>
      </c>
      <c r="D417" s="75"/>
      <c r="E417" s="41" t="str">
        <f t="shared" ca="1" si="334"/>
        <v>شال</v>
      </c>
    </row>
    <row r="418" spans="1:5" x14ac:dyDescent="0.25">
      <c r="A418" s="36" t="str">
        <f t="shared" ca="1" si="346"/>
        <v/>
      </c>
      <c r="B418" s="30" t="str">
        <f t="shared" ca="1" si="317"/>
        <v>kfouf</v>
      </c>
      <c r="D418" s="75" t="str">
        <f t="shared" ca="1" si="335"/>
        <v xml:space="preserve">Gloves </v>
      </c>
      <c r="E418" s="40" t="str">
        <f t="shared" ca="1" si="336"/>
        <v>kfouf</v>
      </c>
    </row>
    <row r="419" spans="1:5" ht="15" customHeight="1" x14ac:dyDescent="0.25">
      <c r="A419" s="34" t="str">
        <f t="shared" ca="1" si="346"/>
        <v>towel</v>
      </c>
      <c r="B419" s="31" t="str">
        <f t="shared" ca="1" si="320"/>
        <v>كفوف</v>
      </c>
      <c r="D419" s="75"/>
      <c r="E419" s="41" t="str">
        <f t="shared" ca="1" si="337"/>
        <v>كفوف</v>
      </c>
    </row>
    <row r="420" spans="1:5" x14ac:dyDescent="0.25">
      <c r="A420" s="35" t="str">
        <f t="shared" ca="1" si="346"/>
        <v/>
      </c>
      <c r="B420" s="30" t="str">
        <f t="shared" ca="1" si="322"/>
        <v>bornayta</v>
      </c>
      <c r="D420" s="75" t="str">
        <f t="shared" ca="1" si="338"/>
        <v xml:space="preserve">Hat </v>
      </c>
      <c r="E420" s="40" t="str">
        <f t="shared" ca="1" si="339"/>
        <v>bornayta</v>
      </c>
    </row>
    <row r="421" spans="1:5" ht="15" customHeight="1" x14ac:dyDescent="0.25">
      <c r="A421" s="36" t="str">
        <f t="shared" ca="1" si="346"/>
        <v/>
      </c>
      <c r="B421" s="31" t="str">
        <f t="shared" ca="1" si="325"/>
        <v>بُرنَيطَة</v>
      </c>
      <c r="D421" s="75"/>
      <c r="E421" s="41" t="str">
        <f t="shared" ca="1" si="340"/>
        <v>بُرنَيطَة</v>
      </c>
    </row>
    <row r="422" spans="1:5" x14ac:dyDescent="0.25">
      <c r="A422" s="34" t="str">
        <f t="shared" ca="1" si="346"/>
        <v>soap</v>
      </c>
      <c r="B422" s="30" t="str">
        <f t="shared" ref="B422" ca="1" si="359">IF(MOD(ROW()-2,2)=0, INDIRECT("Sheet1!D" &amp;4+((ROW()-2)/2)-2), "")</f>
        <v>kabbout</v>
      </c>
      <c r="D422" s="75" t="str">
        <f t="shared" ref="D422" ca="1" si="360">IF(MOD(ROW()-2,2)=0, INDIRECT("Sheet1!A" &amp;4+((ROW()-2)/2)-2), "")</f>
        <v xml:space="preserve">Coat </v>
      </c>
      <c r="E422" s="40" t="str">
        <f t="shared" ref="E422" ca="1" si="361">IF(MOD(ROW()-2,2)=0, INDIRECT("Sheet1!D" &amp;4+((ROW()-2)/2)-2), "")</f>
        <v>kabbout</v>
      </c>
    </row>
    <row r="423" spans="1:5" ht="15" customHeight="1" x14ac:dyDescent="0.25">
      <c r="A423" s="35" t="str">
        <f t="shared" ca="1" si="346"/>
        <v/>
      </c>
      <c r="B423" s="31" t="str">
        <f t="shared" ref="B423" ca="1" si="362">IF(MOD(ROW()-3,2)=0, INDIRECT("Sheet1!E" &amp;4+((ROW()-3)/2)-2), "")</f>
        <v>كَبّوت</v>
      </c>
      <c r="D423" s="75"/>
      <c r="E423" s="41" t="str">
        <f t="shared" ref="E423" ca="1" si="363">IF(MOD(ROW()-3,2)=0, INDIRECT("Sheet1!E" &amp;4+((ROW()-3)/2)-2), "")</f>
        <v>كَبّوت</v>
      </c>
    </row>
    <row r="424" spans="1:5" ht="47.25" x14ac:dyDescent="0.25">
      <c r="A424" s="36" t="str">
        <f t="shared" ca="1" si="346"/>
        <v/>
      </c>
      <c r="B424" s="30" t="str">
        <f t="shared" ca="1" si="310"/>
        <v>el yom, kteer sa'3a</v>
      </c>
      <c r="D424" s="75" t="str">
        <f t="shared" ca="1" si="318"/>
        <v xml:space="preserve">Today, it's really cold </v>
      </c>
      <c r="E424" s="40" t="str">
        <f t="shared" ca="1" si="319"/>
        <v>el yom, kteer sa'3a</v>
      </c>
    </row>
    <row r="425" spans="1:5" ht="15" customHeight="1" x14ac:dyDescent="0.25">
      <c r="A425" s="34" t="str">
        <f t="shared" ca="1" si="346"/>
        <v>oven/bakery</v>
      </c>
      <c r="B425" s="31" t="str">
        <f t="shared" ca="1" si="311"/>
        <v xml:space="preserve">اليوم، كنير سَقعَة </v>
      </c>
      <c r="D425" s="75"/>
      <c r="E425" s="41" t="str">
        <f t="shared" ca="1" si="321"/>
        <v xml:space="preserve">اليوم، كنير سَقعَة </v>
      </c>
    </row>
    <row r="426" spans="1:5" ht="47.25" x14ac:dyDescent="0.25">
      <c r="A426" s="35" t="str">
        <f t="shared" ca="1" si="346"/>
        <v/>
      </c>
      <c r="B426" s="30" t="str">
        <f t="shared" ca="1" si="312"/>
        <v>fi 3asfeh jeiyeh areeban</v>
      </c>
      <c r="D426" s="75" t="str">
        <f t="shared" ca="1" si="323"/>
        <v xml:space="preserve">There is a storm coming soon </v>
      </c>
      <c r="E426" s="40" t="str">
        <f t="shared" ca="1" si="324"/>
        <v>fi 3asfeh jeiyeh areeban</v>
      </c>
    </row>
    <row r="427" spans="1:5" ht="15" customHeight="1" x14ac:dyDescent="0.25">
      <c r="A427" s="36" t="str">
        <f t="shared" ca="1" si="346"/>
        <v/>
      </c>
      <c r="B427" s="31" t="str">
        <f t="shared" ca="1" si="315"/>
        <v xml:space="preserve">في عاصفِة جايي قَريبا" </v>
      </c>
      <c r="D427" s="75"/>
      <c r="E427" s="41" t="str">
        <f t="shared" ca="1" si="326"/>
        <v xml:space="preserve">في عاصفِة جايي قَريبا" </v>
      </c>
    </row>
    <row r="428" spans="1:5" ht="31.5" x14ac:dyDescent="0.25">
      <c r="A428" s="34" t="str">
        <f t="shared" ca="1" si="346"/>
        <v>sink</v>
      </c>
      <c r="B428" s="30" t="str">
        <f t="shared" ca="1" si="317"/>
        <v>talajit mbeiriH</v>
      </c>
      <c r="D428" s="75" t="str">
        <f t="shared" ca="1" si="328"/>
        <v xml:space="preserve">it snowed yesterday </v>
      </c>
      <c r="E428" s="40" t="str">
        <f t="shared" ca="1" si="329"/>
        <v>talajit mbeiriH</v>
      </c>
    </row>
    <row r="429" spans="1:5" ht="15" customHeight="1" x14ac:dyDescent="0.25">
      <c r="A429" s="35" t="str">
        <f t="shared" ca="1" si="346"/>
        <v/>
      </c>
      <c r="B429" s="31" t="str">
        <f t="shared" ca="1" si="320"/>
        <v>تَلَجِت مبارِح</v>
      </c>
      <c r="D429" s="75"/>
      <c r="E429" s="41" t="str">
        <f t="shared" ca="1" si="331"/>
        <v>تَلَجِت مبارِح</v>
      </c>
    </row>
    <row r="430" spans="1:5" ht="63" x14ac:dyDescent="0.25">
      <c r="A430" s="36" t="str">
        <f t="shared" ca="1" si="346"/>
        <v/>
      </c>
      <c r="B430" s="30" t="str">
        <f t="shared" ca="1" si="322"/>
        <v>el taree' kein ma'tou3/ msakkar</v>
      </c>
      <c r="D430" s="75" t="str">
        <f t="shared" ca="1" si="332"/>
        <v xml:space="preserve">The road was blocked </v>
      </c>
      <c r="E430" s="40" t="str">
        <f t="shared" ca="1" si="333"/>
        <v>el taree' kein ma'tou3/ msakkar</v>
      </c>
    </row>
    <row r="431" spans="1:5" ht="15" customHeight="1" x14ac:dyDescent="0.25">
      <c r="A431" s="34" t="str">
        <f t="shared" ca="1" si="346"/>
        <v>dishe</v>
      </c>
      <c r="B431" s="31" t="str">
        <f t="shared" ca="1" si="325"/>
        <v>الطَريق كان مَقطوع/ مسَكّر</v>
      </c>
      <c r="D431" s="75"/>
      <c r="E431" s="41" t="str">
        <f t="shared" ca="1" si="334"/>
        <v>الطَريق كان مَقطوع/ مسَكّر</v>
      </c>
    </row>
    <row r="432" spans="1:5" ht="78.75" x14ac:dyDescent="0.25">
      <c r="A432" s="35" t="str">
        <f t="shared" ca="1" si="346"/>
        <v/>
      </c>
      <c r="B432" s="30" t="str">
        <f t="shared" ref="B432" ca="1" si="364">IF(MOD(ROW()-2,2)=0, INDIRECT("Sheet1!D" &amp;4+((ROW()-2)/2)-2), "")</f>
        <v>kteer sa'3a, ma feeneh odhar, ta ma omrad</v>
      </c>
      <c r="D432" s="75" t="str">
        <f t="shared" ca="1" si="335"/>
        <v xml:space="preserve">It's too cold, I can't go out, not to catch a cold </v>
      </c>
      <c r="E432" s="40" t="str">
        <f t="shared" ca="1" si="336"/>
        <v>kteer sa'3a, ma feeneh odhar, ta ma omrad</v>
      </c>
    </row>
    <row r="433" spans="1:5" ht="60" x14ac:dyDescent="0.25">
      <c r="A433" s="36" t="str">
        <f t="shared" ca="1" si="346"/>
        <v/>
      </c>
      <c r="B433" s="31" t="str">
        <f t="shared" ref="B433" ca="1" si="365">IF(MOD(ROW()-3,2)=0, INDIRECT("Sheet1!E" &amp;4+((ROW()-3)/2)-2), "")</f>
        <v>كنير سَقعَة، ما فيني أُضهّر، تَ ما أُمرَض</v>
      </c>
      <c r="D433" s="75"/>
      <c r="E433" s="41" t="str">
        <f t="shared" ca="1" si="337"/>
        <v>كنير سَقعَة، ما فيني أُضهّر، تَ ما أُمرَض</v>
      </c>
    </row>
    <row r="434" spans="1:5" ht="31.5" x14ac:dyDescent="0.25">
      <c r="A434" s="34" t="str">
        <f t="shared" ca="1" si="346"/>
        <v>fork</v>
      </c>
      <c r="B434" s="30" t="str">
        <f t="shared" ref="B434:B494" ca="1" si="366">IF(MOD(ROW()-2,2)=0, INDIRECT("Sheet1!D" &amp;4+((ROW()-2)/2)-2), "")</f>
        <v>wasei'il tadfi'a</v>
      </c>
      <c r="D434" s="75" t="str">
        <f t="shared" ca="1" si="338"/>
        <v>Heating machines</v>
      </c>
      <c r="E434" s="40" t="str">
        <f t="shared" ca="1" si="339"/>
        <v>wasei'il tadfi'a</v>
      </c>
    </row>
    <row r="435" spans="1:5" ht="15" customHeight="1" x14ac:dyDescent="0.25">
      <c r="A435" s="35" t="str">
        <f t="shared" ca="1" si="346"/>
        <v/>
      </c>
      <c r="B435" s="31" t="str">
        <f t="shared" ref="B435:B495" ca="1" si="367">IF(MOD(ROW()-3,2)=0, INDIRECT("Sheet1!E" &amp;4+((ROW()-3)/2)-2), "")</f>
        <v>وَسائل تَدفِءة</v>
      </c>
      <c r="D435" s="75"/>
      <c r="E435" s="41" t="str">
        <f t="shared" ca="1" si="340"/>
        <v>وَسائل تَدفِءة</v>
      </c>
    </row>
    <row r="436" spans="1:5" ht="63" x14ac:dyDescent="0.25">
      <c r="A436" s="36" t="str">
        <f t="shared" ca="1" si="346"/>
        <v/>
      </c>
      <c r="B436" s="30" t="str">
        <f t="shared" ref="B436:B496" ca="1" si="368">IF(MOD(ROW()-2,2)=0, INDIRECT("Sheet1!D" &amp;4+((ROW()-2)/2)-2), "")</f>
        <v>ana rayHa/ rayiH 3al talej</v>
      </c>
      <c r="D436" s="75" t="str">
        <f t="shared" ref="D436" ca="1" si="369">IF(MOD(ROW()-2,2)=0, INDIRECT("Sheet1!A" &amp;4+((ROW()-2)/2)-2), "")</f>
        <v xml:space="preserve">I am going to the snow </v>
      </c>
      <c r="E436" s="40" t="str">
        <f t="shared" ref="E436" ca="1" si="370">IF(MOD(ROW()-2,2)=0, INDIRECT("Sheet1!D" &amp;4+((ROW()-2)/2)-2), "")</f>
        <v>ana rayHa/ rayiH 3al talej</v>
      </c>
    </row>
    <row r="437" spans="1:5" ht="15" customHeight="1" x14ac:dyDescent="0.25">
      <c r="A437" s="34" t="str">
        <f t="shared" ca="1" si="346"/>
        <v>knife</v>
      </c>
      <c r="B437" s="31" t="str">
        <f t="shared" ref="B437:B497" ca="1" si="371">IF(MOD(ROW()-3,2)=0, INDIRECT("Sheet1!E" &amp;4+((ROW()-3)/2)-2), "")</f>
        <v>انا رايحل على تَلج</v>
      </c>
      <c r="D437" s="75"/>
      <c r="E437" s="41" t="str">
        <f t="shared" ref="E437" ca="1" si="372">IF(MOD(ROW()-3,2)=0, INDIRECT("Sheet1!E" &amp;4+((ROW()-3)/2)-2), "")</f>
        <v>انا رايحل على تَلج</v>
      </c>
    </row>
    <row r="438" spans="1:5" ht="78.75" x14ac:dyDescent="0.25">
      <c r="A438" s="35" t="str">
        <f t="shared" ca="1" si="346"/>
        <v/>
      </c>
      <c r="B438" s="30" t="str">
        <f t="shared" ref="B438:B498" ca="1" si="373">IF(MOD(ROW()-2,2)=0, INDIRECT("Sheet1!D" &amp;4+((ROW()-2)/2)-2), "")</f>
        <v>ana rayHa/ rayiH a3moul ski</v>
      </c>
      <c r="D438" s="75" t="str">
        <f t="shared" ref="D438:D494" ca="1" si="374">IF(MOD(ROW()-2,2)=0, INDIRECT("Sheet1!A" &amp;4+((ROW()-2)/2)-2), "")</f>
        <v xml:space="preserve">I am goig skiing </v>
      </c>
      <c r="E438" s="40" t="str">
        <f t="shared" ref="E438:E494" ca="1" si="375">IF(MOD(ROW()-2,2)=0, INDIRECT("Sheet1!D" &amp;4+((ROW()-2)/2)-2), "")</f>
        <v>ana rayHa/ rayiH a3moul ski</v>
      </c>
    </row>
    <row r="439" spans="1:5" ht="15" customHeight="1" x14ac:dyDescent="0.25">
      <c r="A439" s="36" t="str">
        <f t="shared" ca="1" si="346"/>
        <v/>
      </c>
      <c r="B439" s="31" t="str">
        <f t="shared" ref="B439:B499" ca="1" si="376">IF(MOD(ROW()-3,2)=0, INDIRECT("Sheet1!E" &amp;4+((ROW()-3)/2)-2), "")</f>
        <v xml:space="preserve">أنا رايحا أعمُل سكي </v>
      </c>
      <c r="D439" s="75"/>
      <c r="E439" s="41" t="str">
        <f t="shared" ref="E439:E495" ca="1" si="377">IF(MOD(ROW()-3,2)=0, INDIRECT("Sheet1!E" &amp;4+((ROW()-3)/2)-2), "")</f>
        <v xml:space="preserve">أنا رايحا أعمُل سكي </v>
      </c>
    </row>
    <row r="440" spans="1:5" ht="63" x14ac:dyDescent="0.25">
      <c r="A440" s="34" t="str">
        <f t="shared" ca="1" si="346"/>
        <v>spoon</v>
      </c>
      <c r="B440" s="30" t="str">
        <f t="shared" ref="B440:B500" ca="1" si="378">IF(MOD(ROW()-2,2)=0, INDIRECT("Sheet1!D" &amp;4+((ROW()-2)/2)-2), "")</f>
        <v>tddaffeh/ tdaffa/ tdaffo mniH</v>
      </c>
      <c r="D440" s="75" t="str">
        <f t="shared" ref="D440:D496" ca="1" si="379">IF(MOD(ROW()-2,2)=0, INDIRECT("Sheet1!A" &amp;4+((ROW()-2)/2)-2), "")</f>
        <v xml:space="preserve">Keep warm </v>
      </c>
      <c r="E440" s="40" t="str">
        <f t="shared" ref="E440:E496" ca="1" si="380">IF(MOD(ROW()-2,2)=0, INDIRECT("Sheet1!D" &amp;4+((ROW()-2)/2)-2), "")</f>
        <v>tddaffeh/ tdaffa/ tdaffo mniH</v>
      </c>
    </row>
    <row r="441" spans="1:5" ht="15" customHeight="1" x14ac:dyDescent="0.25">
      <c r="A441" s="35" t="str">
        <f t="shared" ca="1" si="346"/>
        <v/>
      </c>
      <c r="B441" s="31" t="str">
        <f t="shared" ref="B441:B501" ca="1" si="381">IF(MOD(ROW()-3,2)=0, INDIRECT("Sheet1!E" &amp;4+((ROW()-3)/2)-2), "")</f>
        <v>تدَفّى/ تدفّي/ تدفّوا منيح</v>
      </c>
      <c r="D441" s="75"/>
      <c r="E441" s="41" t="str">
        <f t="shared" ref="E441:E497" ca="1" si="382">IF(MOD(ROW()-3,2)=0, INDIRECT("Sheet1!E" &amp;4+((ROW()-3)/2)-2), "")</f>
        <v>تدَفّى/ تدفّي/ تدفّوا منيح</v>
      </c>
    </row>
    <row r="442" spans="1:5" x14ac:dyDescent="0.25">
      <c r="A442" s="36" t="str">
        <f t="shared" ca="1" si="346"/>
        <v/>
      </c>
      <c r="B442" s="30" t="str">
        <f t="shared" ref="B442" ca="1" si="383">IF(MOD(ROW()-2,2)=0, INDIRECT("Sheet1!D" &amp;4+((ROW()-2)/2)-2), "")</f>
        <v>alam rsas</v>
      </c>
      <c r="D442" s="75" t="str">
        <f t="shared" ref="D442:D498" ca="1" si="384">IF(MOD(ROW()-2,2)=0, INDIRECT("Sheet1!A" &amp;4+((ROW()-2)/2)-2), "")</f>
        <v xml:space="preserve">Pencil </v>
      </c>
      <c r="E442" s="40" t="str">
        <f t="shared" ref="E442:E498" ca="1" si="385">IF(MOD(ROW()-2,2)=0, INDIRECT("Sheet1!D" &amp;4+((ROW()-2)/2)-2), "")</f>
        <v>alam rsas</v>
      </c>
    </row>
    <row r="443" spans="1:5" ht="15" customHeight="1" x14ac:dyDescent="0.25">
      <c r="A443" s="34" t="str">
        <f t="shared" ca="1" si="346"/>
        <v>cup</v>
      </c>
      <c r="B443" s="31" t="str">
        <f t="shared" ref="B443" ca="1" si="386">IF(MOD(ROW()-3,2)=0, INDIRECT("Sheet1!E" &amp;4+((ROW()-3)/2)-2), "")</f>
        <v>قَلَم رصاص</v>
      </c>
      <c r="D443" s="75"/>
      <c r="E443" s="41" t="str">
        <f t="shared" ref="E443:E499" ca="1" si="387">IF(MOD(ROW()-3,2)=0, INDIRECT("Sheet1!E" &amp;4+((ROW()-3)/2)-2), "")</f>
        <v>قَلَم رصاص</v>
      </c>
    </row>
    <row r="444" spans="1:5" x14ac:dyDescent="0.25">
      <c r="A444" s="35" t="str">
        <f t="shared" ca="1" si="346"/>
        <v/>
      </c>
      <c r="B444" s="30" t="str">
        <f t="shared" ca="1" si="366"/>
        <v>alam</v>
      </c>
      <c r="D444" s="75" t="str">
        <f t="shared" ref="D444:D500" ca="1" si="388">IF(MOD(ROW()-2,2)=0, INDIRECT("Sheet1!A" &amp;4+((ROW()-2)/2)-2), "")</f>
        <v xml:space="preserve">Pen </v>
      </c>
      <c r="E444" s="40" t="str">
        <f t="shared" ref="E444:E500" ca="1" si="389">IF(MOD(ROW()-2,2)=0, INDIRECT("Sheet1!D" &amp;4+((ROW()-2)/2)-2), "")</f>
        <v>alam</v>
      </c>
    </row>
    <row r="445" spans="1:5" ht="15" customHeight="1" x14ac:dyDescent="0.25">
      <c r="A445" s="36" t="str">
        <f t="shared" ca="1" si="346"/>
        <v/>
      </c>
      <c r="B445" s="31" t="str">
        <f t="shared" ca="1" si="367"/>
        <v>قَلَم</v>
      </c>
      <c r="D445" s="75"/>
      <c r="E445" s="41" t="str">
        <f t="shared" ref="E445:E501" ca="1" si="390">IF(MOD(ROW()-3,2)=0, INDIRECT("Sheet1!E" &amp;4+((ROW()-3)/2)-2), "")</f>
        <v>قَلَم</v>
      </c>
    </row>
    <row r="446" spans="1:5" x14ac:dyDescent="0.25">
      <c r="A446" s="34" t="str">
        <f t="shared" ca="1" si="346"/>
        <v>couches</v>
      </c>
      <c r="B446" s="30" t="str">
        <f t="shared" ca="1" si="368"/>
        <v>war'a</v>
      </c>
      <c r="D446" s="75" t="str">
        <f t="shared" ref="D446:D502" ca="1" si="391">IF(MOD(ROW()-2,2)=0, INDIRECT("Sheet1!A" &amp;4+((ROW()-2)/2)-2), "")</f>
        <v>Paper</v>
      </c>
      <c r="E446" s="40" t="str">
        <f t="shared" ref="E446:E502" ca="1" si="392">IF(MOD(ROW()-2,2)=0, INDIRECT("Sheet1!D" &amp;4+((ROW()-2)/2)-2), "")</f>
        <v>war'a</v>
      </c>
    </row>
    <row r="447" spans="1:5" ht="15" customHeight="1" x14ac:dyDescent="0.25">
      <c r="A447" s="35" t="str">
        <f t="shared" ca="1" si="346"/>
        <v/>
      </c>
      <c r="B447" s="31" t="str">
        <f t="shared" ca="1" si="371"/>
        <v>وَرقة</v>
      </c>
      <c r="D447" s="75"/>
      <c r="E447" s="41" t="str">
        <f t="shared" ref="E447:E503" ca="1" si="393">IF(MOD(ROW()-3,2)=0, INDIRECT("Sheet1!E" &amp;4+((ROW()-3)/2)-2), "")</f>
        <v>وَرقة</v>
      </c>
    </row>
    <row r="448" spans="1:5" x14ac:dyDescent="0.25">
      <c r="A448" s="36" t="str">
        <f t="shared" ca="1" si="346"/>
        <v/>
      </c>
      <c r="B448" s="30" t="str">
        <f t="shared" ca="1" si="373"/>
        <v>bektoub</v>
      </c>
      <c r="D448" s="75" t="str">
        <f t="shared" ref="D448:D504" ca="1" si="394">IF(MOD(ROW()-2,2)=0, INDIRECT("Sheet1!A" &amp;4+((ROW()-2)/2)-2), "")</f>
        <v xml:space="preserve">I write </v>
      </c>
      <c r="E448" s="40" t="str">
        <f t="shared" ref="E448:E504" ca="1" si="395">IF(MOD(ROW()-2,2)=0, INDIRECT("Sheet1!D" &amp;4+((ROW()-2)/2)-2), "")</f>
        <v>bektoub</v>
      </c>
    </row>
    <row r="449" spans="1:5" ht="15" customHeight="1" x14ac:dyDescent="0.25">
      <c r="A449" s="34" t="str">
        <f t="shared" ref="A449:A512" ca="1" si="396">IF(MOD(ROW()-2,3)=0, INDIRECT("Sheet1!A" &amp;4+((ROW()-2)/3)-2), "")</f>
        <v>table(s)</v>
      </c>
      <c r="B449" s="31" t="str">
        <f t="shared" ca="1" si="376"/>
        <v>بِكتُب</v>
      </c>
      <c r="D449" s="75"/>
      <c r="E449" s="41" t="str">
        <f t="shared" ref="E449:E505" ca="1" si="397">IF(MOD(ROW()-3,2)=0, INDIRECT("Sheet1!E" &amp;4+((ROW()-3)/2)-2), "")</f>
        <v>بِكتُب</v>
      </c>
    </row>
    <row r="450" spans="1:5" x14ac:dyDescent="0.25">
      <c r="A450" s="35" t="str">
        <f t="shared" ca="1" si="396"/>
        <v/>
      </c>
      <c r="B450" s="30" t="str">
        <f t="shared" ca="1" si="378"/>
        <v>kteib</v>
      </c>
      <c r="D450" s="75" t="str">
        <f t="shared" ref="D450" ca="1" si="398">IF(MOD(ROW()-2,2)=0, INDIRECT("Sheet1!A" &amp;4+((ROW()-2)/2)-2), "")</f>
        <v xml:space="preserve">Book </v>
      </c>
      <c r="E450" s="40" t="str">
        <f t="shared" ref="E450" ca="1" si="399">IF(MOD(ROW()-2,2)=0, INDIRECT("Sheet1!D" &amp;4+((ROW()-2)/2)-2), "")</f>
        <v>kteib</v>
      </c>
    </row>
    <row r="451" spans="1:5" ht="15" customHeight="1" x14ac:dyDescent="0.25">
      <c r="A451" s="36" t="str">
        <f t="shared" ca="1" si="396"/>
        <v/>
      </c>
      <c r="B451" s="31" t="str">
        <f t="shared" ca="1" si="381"/>
        <v>كتاب</v>
      </c>
      <c r="D451" s="75"/>
      <c r="E451" s="41" t="str">
        <f t="shared" ref="E451" ca="1" si="400">IF(MOD(ROW()-3,2)=0, INDIRECT("Sheet1!E" &amp;4+((ROW()-3)/2)-2), "")</f>
        <v>كتاب</v>
      </c>
    </row>
    <row r="452" spans="1:5" x14ac:dyDescent="0.25">
      <c r="A452" s="34" t="str">
        <f t="shared" ca="1" si="396"/>
        <v>chair(s)</v>
      </c>
      <c r="B452" s="30" t="str">
        <f t="shared" ref="B452" ca="1" si="401">IF(MOD(ROW()-2,2)=0, INDIRECT("Sheet1!D" &amp;4+((ROW()-2)/2)-2), "")</f>
        <v>daftar</v>
      </c>
      <c r="D452" s="75" t="str">
        <f t="shared" ca="1" si="374"/>
        <v xml:space="preserve">Notebook </v>
      </c>
      <c r="E452" s="40" t="str">
        <f t="shared" ca="1" si="375"/>
        <v>daftar</v>
      </c>
    </row>
    <row r="453" spans="1:5" ht="15" customHeight="1" x14ac:dyDescent="0.25">
      <c r="A453" s="35" t="str">
        <f t="shared" ca="1" si="396"/>
        <v/>
      </c>
      <c r="B453" s="31" t="str">
        <f t="shared" ref="B453" ca="1" si="402">IF(MOD(ROW()-3,2)=0, INDIRECT("Sheet1!E" &amp;4+((ROW()-3)/2)-2), "")</f>
        <v>دَفتَر</v>
      </c>
      <c r="D453" s="75"/>
      <c r="E453" s="41" t="str">
        <f t="shared" ca="1" si="377"/>
        <v>دَفتَر</v>
      </c>
    </row>
    <row r="454" spans="1:5" x14ac:dyDescent="0.25">
      <c r="A454" s="36" t="str">
        <f t="shared" ca="1" si="396"/>
        <v/>
      </c>
      <c r="B454" s="30" t="str">
        <f t="shared" ca="1" si="366"/>
        <v>mastara</v>
      </c>
      <c r="D454" s="75" t="str">
        <f t="shared" ca="1" si="379"/>
        <v xml:space="preserve">Ruler </v>
      </c>
      <c r="E454" s="40" t="str">
        <f t="shared" ca="1" si="380"/>
        <v>mastara</v>
      </c>
    </row>
    <row r="455" spans="1:5" ht="15" customHeight="1" x14ac:dyDescent="0.25">
      <c r="A455" s="34" t="str">
        <f t="shared" ca="1" si="396"/>
        <v>24th february</v>
      </c>
      <c r="B455" s="31" t="str">
        <f t="shared" ca="1" si="367"/>
        <v>مَسطَرَة</v>
      </c>
      <c r="D455" s="75"/>
      <c r="E455" s="41" t="str">
        <f t="shared" ca="1" si="382"/>
        <v>مَسطَرَة</v>
      </c>
    </row>
    <row r="456" spans="1:5" x14ac:dyDescent="0.25">
      <c r="A456" s="35" t="str">
        <f t="shared" ca="1" si="396"/>
        <v/>
      </c>
      <c r="B456" s="30" t="str">
        <f t="shared" ca="1" si="368"/>
        <v>lawH</v>
      </c>
      <c r="D456" s="75" t="str">
        <f t="shared" ca="1" si="384"/>
        <v xml:space="preserve">Board </v>
      </c>
      <c r="E456" s="40" t="str">
        <f t="shared" ca="1" si="385"/>
        <v>lawH</v>
      </c>
    </row>
    <row r="457" spans="1:5" ht="15" customHeight="1" x14ac:dyDescent="0.25">
      <c r="A457" s="36" t="str">
        <f t="shared" ca="1" si="396"/>
        <v/>
      </c>
      <c r="B457" s="31" t="str">
        <f t="shared" ca="1" si="371"/>
        <v>لّوح</v>
      </c>
      <c r="D457" s="75"/>
      <c r="E457" s="41" t="str">
        <f t="shared" ca="1" si="387"/>
        <v>لّوح</v>
      </c>
    </row>
    <row r="458" spans="1:5" ht="15.75" customHeight="1" x14ac:dyDescent="0.25">
      <c r="A458" s="34" t="str">
        <f t="shared" ca="1" si="396"/>
        <v>On which floor do you live?</v>
      </c>
      <c r="B458" s="30" t="str">
        <f t="shared" ca="1" si="373"/>
        <v>esteiz</v>
      </c>
      <c r="D458" s="75" t="str">
        <f t="shared" ca="1" si="388"/>
        <v xml:space="preserve">Teacher (man) </v>
      </c>
      <c r="E458" s="40" t="str">
        <f t="shared" ca="1" si="389"/>
        <v>esteiz</v>
      </c>
    </row>
    <row r="459" spans="1:5" ht="15" customHeight="1" x14ac:dyDescent="0.25">
      <c r="A459" s="35" t="str">
        <f t="shared" ca="1" si="396"/>
        <v/>
      </c>
      <c r="B459" s="31" t="str">
        <f t="shared" ca="1" si="376"/>
        <v>إستاذ</v>
      </c>
      <c r="D459" s="75"/>
      <c r="E459" s="41" t="str">
        <f t="shared" ca="1" si="390"/>
        <v>إستاذ</v>
      </c>
    </row>
    <row r="460" spans="1:5" x14ac:dyDescent="0.25">
      <c r="A460" s="36" t="str">
        <f t="shared" ca="1" si="396"/>
        <v/>
      </c>
      <c r="B460" s="30" t="str">
        <f t="shared" ca="1" si="378"/>
        <v>m3almeh</v>
      </c>
      <c r="D460" s="75" t="str">
        <f t="shared" ca="1" si="391"/>
        <v xml:space="preserve">Teacher (woman) </v>
      </c>
      <c r="E460" s="40" t="str">
        <f t="shared" ca="1" si="392"/>
        <v>m3almeh</v>
      </c>
    </row>
    <row r="461" spans="1:5" ht="15" customHeight="1" x14ac:dyDescent="0.25">
      <c r="A461" s="34" t="str">
        <f t="shared" ca="1" si="396"/>
        <v>What are you cooking</v>
      </c>
      <c r="B461" s="31" t="str">
        <f t="shared" ca="1" si="381"/>
        <v>معَلمة</v>
      </c>
      <c r="D461" s="75"/>
      <c r="E461" s="41" t="str">
        <f t="shared" ca="1" si="393"/>
        <v>معَلمة</v>
      </c>
    </row>
    <row r="462" spans="1:5" ht="47.25" x14ac:dyDescent="0.25">
      <c r="A462" s="35" t="str">
        <f t="shared" ca="1" si="396"/>
        <v/>
      </c>
      <c r="B462" s="30" t="str">
        <f t="shared" ref="B462" ca="1" si="403">IF(MOD(ROW()-2,2)=0, INDIRECT("Sheet1!D" &amp;4+((ROW()-2)/2)-2), "")</f>
        <v>ana tilmeez/ tilmeezeh</v>
      </c>
      <c r="D462" s="75" t="str">
        <f t="shared" ca="1" si="394"/>
        <v>I am a student</v>
      </c>
      <c r="E462" s="40" t="str">
        <f t="shared" ca="1" si="395"/>
        <v>ana tilmeez/ tilmeezeh</v>
      </c>
    </row>
    <row r="463" spans="1:5" ht="15" customHeight="1" x14ac:dyDescent="0.25">
      <c r="A463" s="36" t="str">
        <f t="shared" ca="1" si="396"/>
        <v/>
      </c>
      <c r="B463" s="31" t="str">
        <f t="shared" ref="B463" ca="1" si="404">IF(MOD(ROW()-3,2)=0, INDIRECT("Sheet1!E" &amp;4+((ROW()-3)/2)-2), "")</f>
        <v>أنا تلميذ/ تلميذة</v>
      </c>
      <c r="D463" s="75"/>
      <c r="E463" s="41" t="str">
        <f t="shared" ca="1" si="397"/>
        <v>أنا تلميذ/ تلميذة</v>
      </c>
    </row>
    <row r="464" spans="1:5" ht="15.75" customHeight="1" x14ac:dyDescent="0.25">
      <c r="A464" s="34" t="str">
        <f t="shared" ca="1" si="396"/>
        <v>In the morning I wash my face</v>
      </c>
      <c r="B464" s="30" t="str">
        <f t="shared" ca="1" si="366"/>
        <v>ana bedrous 3arabeh</v>
      </c>
      <c r="D464" s="75" t="str">
        <f t="shared" ref="D464" ca="1" si="405">IF(MOD(ROW()-2,2)=0, INDIRECT("Sheet1!A" &amp;4+((ROW()-2)/2)-2), "")</f>
        <v xml:space="preserve">I study Arabic </v>
      </c>
      <c r="E464" s="40" t="str">
        <f t="shared" ref="E464" ca="1" si="406">IF(MOD(ROW()-2,2)=0, INDIRECT("Sheet1!D" &amp;4+((ROW()-2)/2)-2), "")</f>
        <v>ana bedrous 3arabeh</v>
      </c>
    </row>
    <row r="465" spans="1:5" ht="15" customHeight="1" x14ac:dyDescent="0.25">
      <c r="A465" s="35" t="str">
        <f t="shared" ca="1" si="396"/>
        <v/>
      </c>
      <c r="B465" s="31" t="str">
        <f t="shared" ca="1" si="367"/>
        <v>أنا بدرُس عَرَبي</v>
      </c>
      <c r="D465" s="75"/>
      <c r="E465" s="41" t="str">
        <f t="shared" ref="E465" ca="1" si="407">IF(MOD(ROW()-3,2)=0, INDIRECT("Sheet1!E" &amp;4+((ROW()-3)/2)-2), "")</f>
        <v>أنا بدرُس عَرَبي</v>
      </c>
    </row>
    <row r="466" spans="1:5" ht="94.5" x14ac:dyDescent="0.25">
      <c r="A466" s="36" t="str">
        <f t="shared" ca="1" si="396"/>
        <v/>
      </c>
      <c r="B466" s="30" t="str">
        <f t="shared" ca="1" si="368"/>
        <v>ana bedrous bil jeim3a el lebneiniyeh</v>
      </c>
      <c r="D466" s="75" t="str">
        <f t="shared" ca="1" si="374"/>
        <v xml:space="preserve">I study in the Lebanese univeristy </v>
      </c>
      <c r="E466" s="40" t="str">
        <f t="shared" ca="1" si="375"/>
        <v>ana bedrous bil jeim3a el lebneiniyeh</v>
      </c>
    </row>
    <row r="467" spans="1:5" ht="15" customHeight="1" x14ac:dyDescent="0.25">
      <c r="A467" s="34" t="str">
        <f t="shared" ca="1" si="396"/>
        <v>How many times a day do you brush your teeth?</v>
      </c>
      <c r="B467" s="31" t="str">
        <f t="shared" ca="1" si="371"/>
        <v>أنا بدرُس بالجامعة اللّبنانيّة</v>
      </c>
      <c r="D467" s="75"/>
      <c r="E467" s="41" t="str">
        <f t="shared" ca="1" si="377"/>
        <v>أنا بدرُس بالجامعة اللّبنانيّة</v>
      </c>
    </row>
    <row r="468" spans="1:5" ht="157.5" x14ac:dyDescent="0.25">
      <c r="A468" s="35" t="str">
        <f t="shared" ca="1" si="396"/>
        <v/>
      </c>
      <c r="B468" s="30" t="str">
        <f t="shared" ca="1" si="373"/>
        <v>ana telmeez/telmeezeh, w bedrous 3arabeh bil jeim3a el lebneiniyeh</v>
      </c>
      <c r="D468" s="75" t="str">
        <f t="shared" ca="1" si="379"/>
        <v xml:space="preserve">I am a student,  and study Arabic in the Lebanese univeristy  </v>
      </c>
      <c r="E468" s="40" t="str">
        <f t="shared" ca="1" si="380"/>
        <v>ana telmeez/telmeezeh, w bedrous 3arabeh bil jeim3a el lebneiniyeh</v>
      </c>
    </row>
    <row r="469" spans="1:5" ht="90" x14ac:dyDescent="0.25">
      <c r="A469" s="36" t="str">
        <f t="shared" ca="1" si="396"/>
        <v/>
      </c>
      <c r="B469" s="31" t="str">
        <f t="shared" ca="1" si="376"/>
        <v>أنا تلمبذ/تِلميذة، وبدرُس عَرَبي بالجامعَة اللّبنانيّة</v>
      </c>
      <c r="D469" s="75"/>
      <c r="E469" s="41" t="str">
        <f t="shared" ca="1" si="382"/>
        <v>أنا تلمبذ/تِلميذة، وبدرُس عَرَبي بالجامعَة اللّبنانيّة</v>
      </c>
    </row>
    <row r="470" spans="1:5" ht="31.5" customHeight="1" x14ac:dyDescent="0.25">
      <c r="A470" s="34" t="str">
        <f t="shared" ca="1" si="396"/>
        <v>In the morning we go the bakery to buy Manakeesh</v>
      </c>
      <c r="B470" s="30" t="str">
        <f t="shared" ca="1" si="378"/>
        <v>ana bektoub bil alam 3ala el war'a</v>
      </c>
      <c r="D470" s="75" t="str">
        <f t="shared" ca="1" si="384"/>
        <v>I write with the pen on the paper</v>
      </c>
      <c r="E470" s="40" t="str">
        <f t="shared" ca="1" si="385"/>
        <v>ana bektoub bil alam 3ala el war'a</v>
      </c>
    </row>
    <row r="471" spans="1:5" ht="15" customHeight="1" x14ac:dyDescent="0.25">
      <c r="A471" s="35" t="str">
        <f t="shared" ca="1" si="396"/>
        <v/>
      </c>
      <c r="B471" s="31" t="str">
        <f t="shared" ca="1" si="381"/>
        <v xml:space="preserve">أنا بِكتُب بالقَلَم عَلى الوَرقَة </v>
      </c>
      <c r="D471" s="75"/>
      <c r="E471" s="41" t="str">
        <f t="shared" ca="1" si="387"/>
        <v xml:space="preserve">أنا بِكتُب بالقَلَم عَلى الوَرقَة </v>
      </c>
    </row>
    <row r="472" spans="1:5" ht="47.25" x14ac:dyDescent="0.25">
      <c r="A472" s="36" t="str">
        <f t="shared" ca="1" si="396"/>
        <v/>
      </c>
      <c r="B472" s="30" t="str">
        <f t="shared" ref="B472" ca="1" si="408">IF(MOD(ROW()-2,2)=0, INDIRECT("Sheet1!D" &amp;4+((ROW()-2)/2)-2), "")</f>
        <v>fineh rouH 3al Hemmeim</v>
      </c>
      <c r="D472" s="75" t="str">
        <f t="shared" ca="1" si="388"/>
        <v>May I go to the bathroom</v>
      </c>
      <c r="E472" s="40" t="str">
        <f t="shared" ca="1" si="389"/>
        <v>fineh rouH 3al Hemmeim</v>
      </c>
    </row>
    <row r="473" spans="1:5" ht="15" customHeight="1" x14ac:dyDescent="0.25">
      <c r="A473" s="34" t="str">
        <f t="shared" ca="1" si="396"/>
        <v>im waching the dishes</v>
      </c>
      <c r="B473" s="31" t="str">
        <f t="shared" ref="B473" ca="1" si="409">IF(MOD(ROW()-3,2)=0, INDIRECT("Sheet1!E" &amp;4+((ROW()-3)/2)-2), "")</f>
        <v>فيني روح عَلى حَمّام</v>
      </c>
      <c r="D473" s="75"/>
      <c r="E473" s="41" t="str">
        <f t="shared" ca="1" si="390"/>
        <v>فيني روح عَلى حَمّام</v>
      </c>
    </row>
    <row r="474" spans="1:5" ht="126" x14ac:dyDescent="0.25">
      <c r="A474" s="35" t="str">
        <f t="shared" ca="1" si="396"/>
        <v/>
      </c>
      <c r="B474" s="30" t="str">
        <f t="shared" ca="1" si="366"/>
        <v>feek t3eerneh/ feekeh t3ireeneh/ feekoun t3irouneh alam?</v>
      </c>
      <c r="D474" s="75" t="str">
        <f t="shared" ca="1" si="391"/>
        <v xml:space="preserve">Can you lend me your pen </v>
      </c>
      <c r="E474" s="40" t="str">
        <f t="shared" ca="1" si="392"/>
        <v>feek t3eerneh/ feekeh t3ireeneh/ feekoun t3irouneh alam?</v>
      </c>
    </row>
    <row r="475" spans="1:5" ht="75" x14ac:dyDescent="0.25">
      <c r="A475" s="36" t="str">
        <f t="shared" ca="1" si="396"/>
        <v/>
      </c>
      <c r="B475" s="31" t="str">
        <f t="shared" ca="1" si="367"/>
        <v>فيك تعيرني قَلَم/ فيكي تعيريني قَلَم/ فيكُن تعيروني قلَم</v>
      </c>
      <c r="D475" s="75"/>
      <c r="E475" s="41" t="str">
        <f t="shared" ca="1" si="393"/>
        <v>فيك تعيرني قَلَم/ فيكي تعيريني قَلَم/ فيكُن تعيروني قلَم</v>
      </c>
    </row>
    <row r="476" spans="1:5" x14ac:dyDescent="0.25">
      <c r="A476" s="34" t="str">
        <f t="shared" ca="1" si="396"/>
        <v>I would like to</v>
      </c>
      <c r="B476" s="30" t="str">
        <f t="shared" ca="1" si="368"/>
        <v>sheghel</v>
      </c>
      <c r="D476" s="75" t="str">
        <f t="shared" ca="1" si="394"/>
        <v xml:space="preserve">Job </v>
      </c>
      <c r="E476" s="40" t="str">
        <f t="shared" ca="1" si="395"/>
        <v>sheghel</v>
      </c>
    </row>
    <row r="477" spans="1:5" ht="15" customHeight="1" x14ac:dyDescent="0.25">
      <c r="A477" s="35" t="str">
        <f t="shared" ca="1" si="396"/>
        <v/>
      </c>
      <c r="B477" s="31" t="str">
        <f t="shared" ca="1" si="371"/>
        <v xml:space="preserve">شغل </v>
      </c>
      <c r="D477" s="75"/>
      <c r="E477" s="41" t="str">
        <f t="shared" ca="1" si="397"/>
        <v xml:space="preserve">شغل </v>
      </c>
    </row>
    <row r="478" spans="1:5" x14ac:dyDescent="0.25">
      <c r="A478" s="36" t="str">
        <f t="shared" ca="1" si="396"/>
        <v/>
      </c>
      <c r="B478" s="30" t="str">
        <f t="shared" ca="1" si="373"/>
        <v>ashghal</v>
      </c>
      <c r="D478" s="75" t="str">
        <f t="shared" ref="D478" ca="1" si="410">IF(MOD(ROW()-2,2)=0, INDIRECT("Sheet1!A" &amp;4+((ROW()-2)/2)-2), "")</f>
        <v>Jobs</v>
      </c>
      <c r="E478" s="40" t="str">
        <f t="shared" ref="E478" ca="1" si="411">IF(MOD(ROW()-2,2)=0, INDIRECT("Sheet1!D" &amp;4+((ROW()-2)/2)-2), "")</f>
        <v>ashghal</v>
      </c>
    </row>
    <row r="479" spans="1:5" ht="15" customHeight="1" x14ac:dyDescent="0.25">
      <c r="A479" s="34" t="str">
        <f t="shared" ca="1" si="396"/>
        <v>street</v>
      </c>
      <c r="B479" s="31" t="str">
        <f t="shared" ca="1" si="376"/>
        <v xml:space="preserve">اشغال </v>
      </c>
      <c r="D479" s="75"/>
      <c r="E479" s="41" t="str">
        <f t="shared" ref="E479" ca="1" si="412">IF(MOD(ROW()-3,2)=0, INDIRECT("Sheet1!E" &amp;4+((ROW()-3)/2)-2), "")</f>
        <v xml:space="preserve">اشغال </v>
      </c>
    </row>
    <row r="480" spans="1:5" x14ac:dyDescent="0.25">
      <c r="A480" s="35" t="str">
        <f t="shared" ca="1" si="396"/>
        <v/>
      </c>
      <c r="B480" s="30" t="str">
        <f t="shared" ca="1" si="378"/>
        <v>kindarjeh</v>
      </c>
      <c r="D480" s="75" t="str">
        <f t="shared" ca="1" si="374"/>
        <v xml:space="preserve">Show maker </v>
      </c>
      <c r="E480" s="40" t="str">
        <f t="shared" ca="1" si="375"/>
        <v>kindarjeh</v>
      </c>
    </row>
    <row r="481" spans="1:5" ht="15" customHeight="1" x14ac:dyDescent="0.25">
      <c r="A481" s="36" t="str">
        <f t="shared" ca="1" si="396"/>
        <v/>
      </c>
      <c r="B481" s="31" t="str">
        <f t="shared" ca="1" si="381"/>
        <v xml:space="preserve">كِندَرجي </v>
      </c>
      <c r="D481" s="75"/>
      <c r="E481" s="41" t="str">
        <f t="shared" ca="1" si="377"/>
        <v xml:space="preserve">كِندَرجي </v>
      </c>
    </row>
    <row r="482" spans="1:5" x14ac:dyDescent="0.25">
      <c r="A482" s="34" t="str">
        <f t="shared" ca="1" si="396"/>
        <v>floor</v>
      </c>
      <c r="B482" s="30" t="str">
        <f t="shared" ref="B482" ca="1" si="413">IF(MOD(ROW()-2,2)=0, INDIRECT("Sheet1!D" &amp;4+((ROW()-2)/2)-2), "")</f>
        <v>Heddeid</v>
      </c>
      <c r="D482" s="75" t="str">
        <f t="shared" ca="1" si="379"/>
        <v xml:space="preserve">Blacksmith </v>
      </c>
      <c r="E482" s="40" t="str">
        <f t="shared" ca="1" si="380"/>
        <v>Heddeid</v>
      </c>
    </row>
    <row r="483" spans="1:5" ht="15" customHeight="1" x14ac:dyDescent="0.25">
      <c r="A483" s="35" t="str">
        <f t="shared" ca="1" si="396"/>
        <v/>
      </c>
      <c r="B483" s="31" t="str">
        <f t="shared" ref="B483" ca="1" si="414">IF(MOD(ROW()-3,2)=0, INDIRECT("Sheet1!E" &amp;4+((ROW()-3)/2)-2), "")</f>
        <v xml:space="preserve">حِدّاد </v>
      </c>
      <c r="D483" s="75"/>
      <c r="E483" s="41" t="str">
        <f t="shared" ca="1" si="382"/>
        <v xml:space="preserve">حِدّاد </v>
      </c>
    </row>
    <row r="484" spans="1:5" x14ac:dyDescent="0.25">
      <c r="A484" s="36" t="str">
        <f t="shared" ca="1" si="396"/>
        <v/>
      </c>
      <c r="B484" s="30" t="str">
        <f t="shared" ca="1" si="366"/>
        <v>najjar</v>
      </c>
      <c r="D484" s="75" t="str">
        <f t="shared" ca="1" si="384"/>
        <v xml:space="preserve">Carpenter </v>
      </c>
      <c r="E484" s="40" t="str">
        <f t="shared" ca="1" si="385"/>
        <v>najjar</v>
      </c>
    </row>
    <row r="485" spans="1:5" ht="15" customHeight="1" x14ac:dyDescent="0.25">
      <c r="A485" s="34" t="str">
        <f t="shared" ca="1" si="396"/>
        <v>face to</v>
      </c>
      <c r="B485" s="31" t="str">
        <f t="shared" ca="1" si="367"/>
        <v xml:space="preserve">نَجّار </v>
      </c>
      <c r="D485" s="75"/>
      <c r="E485" s="41" t="str">
        <f t="shared" ca="1" si="387"/>
        <v xml:space="preserve">نَجّار </v>
      </c>
    </row>
    <row r="486" spans="1:5" ht="31.5" x14ac:dyDescent="0.25">
      <c r="A486" s="35" t="str">
        <f t="shared" ca="1" si="396"/>
        <v/>
      </c>
      <c r="B486" s="30" t="str">
        <f t="shared" ca="1" si="368"/>
        <v>mecanisiein</v>
      </c>
      <c r="D486" s="75" t="str">
        <f t="shared" ca="1" si="388"/>
        <v xml:space="preserve">Mechanic </v>
      </c>
      <c r="E486" s="40" t="str">
        <f t="shared" ca="1" si="389"/>
        <v>mecanisiein</v>
      </c>
    </row>
    <row r="487" spans="1:5" ht="15" customHeight="1" x14ac:dyDescent="0.25">
      <c r="A487" s="36" t="str">
        <f t="shared" ca="1" si="396"/>
        <v/>
      </c>
      <c r="B487" s="31" t="str">
        <f t="shared" ca="1" si="371"/>
        <v xml:space="preserve">ميكانيسيان </v>
      </c>
      <c r="D487" s="75"/>
      <c r="E487" s="41" t="str">
        <f t="shared" ca="1" si="390"/>
        <v xml:space="preserve">ميكانيسيان </v>
      </c>
    </row>
    <row r="488" spans="1:5" x14ac:dyDescent="0.25">
      <c r="A488" s="34" t="str">
        <f t="shared" ca="1" si="396"/>
        <v>near</v>
      </c>
      <c r="B488" s="30" t="str">
        <f t="shared" ca="1" si="373"/>
        <v>dikkein</v>
      </c>
      <c r="D488" s="75" t="str">
        <f t="shared" ca="1" si="391"/>
        <v xml:space="preserve">Grocery store </v>
      </c>
      <c r="E488" s="40" t="str">
        <f t="shared" ca="1" si="392"/>
        <v>dikkein</v>
      </c>
    </row>
    <row r="489" spans="1:5" ht="15" customHeight="1" x14ac:dyDescent="0.25">
      <c r="A489" s="35" t="str">
        <f t="shared" ca="1" si="396"/>
        <v/>
      </c>
      <c r="B489" s="31" t="str">
        <f t="shared" ca="1" si="376"/>
        <v xml:space="preserve">دِكّان </v>
      </c>
      <c r="D489" s="75"/>
      <c r="E489" s="41" t="str">
        <f t="shared" ca="1" si="393"/>
        <v xml:space="preserve">دِكّان </v>
      </c>
    </row>
    <row r="490" spans="1:5" x14ac:dyDescent="0.25">
      <c r="A490" s="36" t="str">
        <f t="shared" ca="1" si="396"/>
        <v/>
      </c>
      <c r="B490" s="30" t="str">
        <f t="shared" ca="1" si="378"/>
        <v>dikkanjeh</v>
      </c>
      <c r="D490" s="75" t="str">
        <f t="shared" ca="1" si="394"/>
        <v xml:space="preserve">Grocery owner </v>
      </c>
      <c r="E490" s="40" t="str">
        <f t="shared" ca="1" si="395"/>
        <v>dikkanjeh</v>
      </c>
    </row>
    <row r="491" spans="1:5" ht="15" customHeight="1" x14ac:dyDescent="0.25">
      <c r="A491" s="34" t="str">
        <f t="shared" ca="1" si="396"/>
        <v>ask about</v>
      </c>
      <c r="B491" s="31" t="str">
        <f t="shared" ca="1" si="381"/>
        <v>دِكَّنجي</v>
      </c>
      <c r="D491" s="75"/>
      <c r="E491" s="41" t="str">
        <f t="shared" ca="1" si="397"/>
        <v>دِكَّنجي</v>
      </c>
    </row>
    <row r="492" spans="1:5" x14ac:dyDescent="0.25">
      <c r="A492" s="35" t="str">
        <f t="shared" ca="1" si="396"/>
        <v/>
      </c>
      <c r="B492" s="30" t="str">
        <f t="shared" ref="B492" ca="1" si="415">IF(MOD(ROW()-2,2)=0, INDIRECT("Sheet1!D" &amp;4+((ROW()-2)/2)-2), "")</f>
        <v>khodra</v>
      </c>
      <c r="D492" s="75" t="str">
        <f t="shared" ref="D492" ca="1" si="416">IF(MOD(ROW()-2,2)=0, INDIRECT("Sheet1!A" &amp;4+((ROW()-2)/2)-2), "")</f>
        <v xml:space="preserve">Vegetables </v>
      </c>
      <c r="E492" s="40" t="str">
        <f t="shared" ref="E492" ca="1" si="417">IF(MOD(ROW()-2,2)=0, INDIRECT("Sheet1!D" &amp;4+((ROW()-2)/2)-2), "")</f>
        <v>khodra</v>
      </c>
    </row>
    <row r="493" spans="1:5" ht="15" customHeight="1" x14ac:dyDescent="0.25">
      <c r="A493" s="36" t="str">
        <f t="shared" ca="1" si="396"/>
        <v/>
      </c>
      <c r="B493" s="31" t="str">
        <f t="shared" ref="B493" ca="1" si="418">IF(MOD(ROW()-3,2)=0, INDIRECT("Sheet1!E" &amp;4+((ROW()-3)/2)-2), "")</f>
        <v>خُضرَة</v>
      </c>
      <c r="D493" s="75"/>
      <c r="E493" s="41" t="str">
        <f t="shared" ref="E493" ca="1" si="419">IF(MOD(ROW()-3,2)=0, INDIRECT("Sheet1!E" &amp;4+((ROW()-3)/2)-2), "")</f>
        <v>خُضرَة</v>
      </c>
    </row>
    <row r="494" spans="1:5" x14ac:dyDescent="0.25">
      <c r="A494" s="34" t="str">
        <f t="shared" ca="1" si="396"/>
        <v xml:space="preserve">chicken </v>
      </c>
      <c r="B494" s="30" t="str">
        <f t="shared" ca="1" si="366"/>
        <v>khadarjeh</v>
      </c>
      <c r="D494" s="75" t="str">
        <f t="shared" ca="1" si="374"/>
        <v xml:space="preserve">Vegetebale store owner </v>
      </c>
      <c r="E494" s="40" t="str">
        <f t="shared" ca="1" si="375"/>
        <v>khadarjeh</v>
      </c>
    </row>
    <row r="495" spans="1:5" ht="15" customHeight="1" x14ac:dyDescent="0.25">
      <c r="A495" s="35" t="str">
        <f t="shared" ca="1" si="396"/>
        <v/>
      </c>
      <c r="B495" s="31" t="str">
        <f t="shared" ca="1" si="367"/>
        <v xml:space="preserve">خَضَرجي </v>
      </c>
      <c r="D495" s="75"/>
      <c r="E495" s="41" t="str">
        <f t="shared" ca="1" si="377"/>
        <v xml:space="preserve">خَضَرجي </v>
      </c>
    </row>
    <row r="496" spans="1:5" x14ac:dyDescent="0.25">
      <c r="A496" s="36" t="str">
        <f t="shared" ca="1" si="396"/>
        <v/>
      </c>
      <c r="B496" s="30" t="str">
        <f t="shared" ca="1" si="368"/>
        <v>jnayneh</v>
      </c>
      <c r="D496" s="75" t="str">
        <f t="shared" ca="1" si="379"/>
        <v xml:space="preserve">Garden </v>
      </c>
      <c r="E496" s="40" t="str">
        <f t="shared" ca="1" si="380"/>
        <v>jnayneh</v>
      </c>
    </row>
    <row r="497" spans="1:5" ht="15" customHeight="1" x14ac:dyDescent="0.25">
      <c r="A497" s="34" t="str">
        <f t="shared" ca="1" si="396"/>
        <v xml:space="preserve">garlic </v>
      </c>
      <c r="B497" s="31" t="str">
        <f t="shared" ca="1" si="371"/>
        <v>جنَينِة</v>
      </c>
      <c r="D497" s="75"/>
      <c r="E497" s="41" t="str">
        <f t="shared" ca="1" si="382"/>
        <v>جنَينِة</v>
      </c>
    </row>
    <row r="498" spans="1:5" x14ac:dyDescent="0.25">
      <c r="A498" s="35" t="str">
        <f t="shared" ca="1" si="396"/>
        <v/>
      </c>
      <c r="B498" s="30" t="str">
        <f t="shared" ca="1" si="373"/>
        <v>jnayneiteh</v>
      </c>
      <c r="D498" s="75" t="str">
        <f t="shared" ca="1" si="384"/>
        <v xml:space="preserve">Gardner </v>
      </c>
      <c r="E498" s="40" t="str">
        <f t="shared" ca="1" si="385"/>
        <v>jnayneiteh</v>
      </c>
    </row>
    <row r="499" spans="1:5" ht="15" customHeight="1" x14ac:dyDescent="0.25">
      <c r="A499" s="36" t="str">
        <f t="shared" ca="1" si="396"/>
        <v/>
      </c>
      <c r="B499" s="31" t="str">
        <f t="shared" ca="1" si="376"/>
        <v xml:space="preserve">جنيناتي </v>
      </c>
      <c r="D499" s="75"/>
      <c r="E499" s="41" t="str">
        <f t="shared" ca="1" si="387"/>
        <v xml:space="preserve">جنيناتي </v>
      </c>
    </row>
    <row r="500" spans="1:5" x14ac:dyDescent="0.25">
      <c r="A500" s="34" t="str">
        <f t="shared" ca="1" si="396"/>
        <v xml:space="preserve">pickles </v>
      </c>
      <c r="B500" s="30" t="str">
        <f t="shared" ca="1" si="378"/>
        <v>khebez</v>
      </c>
      <c r="D500" s="75" t="str">
        <f t="shared" ca="1" si="388"/>
        <v xml:space="preserve">Bread </v>
      </c>
      <c r="E500" s="40" t="str">
        <f t="shared" ca="1" si="389"/>
        <v>khebez</v>
      </c>
    </row>
    <row r="501" spans="1:5" ht="15" customHeight="1" x14ac:dyDescent="0.25">
      <c r="A501" s="35" t="str">
        <f t="shared" ca="1" si="396"/>
        <v/>
      </c>
      <c r="B501" s="31" t="str">
        <f t="shared" ca="1" si="381"/>
        <v>خِبز</v>
      </c>
      <c r="D501" s="75"/>
      <c r="E501" s="41" t="str">
        <f t="shared" ca="1" si="390"/>
        <v>خِبز</v>
      </c>
    </row>
    <row r="502" spans="1:5" ht="31.5" x14ac:dyDescent="0.25">
      <c r="A502" s="36" t="str">
        <f t="shared" ca="1" si="396"/>
        <v/>
      </c>
      <c r="B502" s="30" t="str">
        <f t="shared" ref="B502" ca="1" si="420">IF(MOD(ROW()-2,2)=0, INDIRECT("Sheet1!D" &amp;4+((ROW()-2)/2)-2), "")</f>
        <v>khebbeiz / forran</v>
      </c>
      <c r="D502" s="75" t="str">
        <f t="shared" ca="1" si="391"/>
        <v>bread maker/ Baker</v>
      </c>
      <c r="E502" s="40" t="str">
        <f t="shared" ca="1" si="392"/>
        <v>khebbeiz / forran</v>
      </c>
    </row>
    <row r="503" spans="1:5" ht="15" customHeight="1" x14ac:dyDescent="0.25">
      <c r="A503" s="34" t="str">
        <f t="shared" ca="1" si="396"/>
        <v>with</v>
      </c>
      <c r="B503" s="31" t="str">
        <f t="shared" ref="B503" ca="1" si="421">IF(MOD(ROW()-3,2)=0, INDIRECT("Sheet1!E" &amp;4+((ROW()-3)/2)-2), "")</f>
        <v>خِبّاز/ فُرّان</v>
      </c>
      <c r="D503" s="75"/>
      <c r="E503" s="41" t="str">
        <f t="shared" ca="1" si="393"/>
        <v>خِبّاز/ فُرّان</v>
      </c>
    </row>
    <row r="504" spans="1:5" ht="31.5" x14ac:dyDescent="0.25">
      <c r="A504" s="35" t="str">
        <f t="shared" ca="1" si="396"/>
        <v/>
      </c>
      <c r="B504" s="30" t="str">
        <f t="shared" ref="B504:B564" ca="1" si="422">IF(MOD(ROW()-2,2)=0, INDIRECT("Sheet1!D" &amp;4+((ROW()-2)/2)-2), "")</f>
        <v>Hellei'/ coiffeur</v>
      </c>
      <c r="D504" s="75" t="str">
        <f t="shared" ca="1" si="394"/>
        <v xml:space="preserve">Hairdresser </v>
      </c>
      <c r="E504" s="40" t="str">
        <f t="shared" ca="1" si="395"/>
        <v>Hellei'/ coiffeur</v>
      </c>
    </row>
    <row r="505" spans="1:5" ht="15" customHeight="1" x14ac:dyDescent="0.25">
      <c r="A505" s="36" t="str">
        <f t="shared" ca="1" si="396"/>
        <v/>
      </c>
      <c r="B505" s="31" t="str">
        <f t="shared" ref="B505:B565" ca="1" si="423">IF(MOD(ROW()-3,2)=0, INDIRECT("Sheet1!E" &amp;4+((ROW()-3)/2)-2), "")</f>
        <v>حِلاّق/ حِلاقَة</v>
      </c>
      <c r="D505" s="75"/>
      <c r="E505" s="41" t="str">
        <f t="shared" ca="1" si="397"/>
        <v>حِلاّق/ حِلاقَة</v>
      </c>
    </row>
    <row r="506" spans="1:5" ht="31.5" x14ac:dyDescent="0.25">
      <c r="A506" s="34" t="str">
        <f t="shared" ca="1" si="396"/>
        <v xml:space="preserve">without </v>
      </c>
      <c r="B506" s="30" t="str">
        <f t="shared" ref="B506:B566" ca="1" si="424">IF(MOD(ROW()-2,2)=0, INDIRECT("Sheet1!D" &amp;4+((ROW()-2)/2)-2), "")</f>
        <v>bossar/ bossara</v>
      </c>
      <c r="D506" s="75" t="str">
        <f t="shared" ref="D506" ca="1" si="425">IF(MOD(ROW()-2,2)=0, INDIRECT("Sheet1!A" &amp;4+((ROW()-2)/2)-2), "")</f>
        <v xml:space="preserve">Fortune teller </v>
      </c>
      <c r="E506" s="40" t="str">
        <f t="shared" ref="E506" ca="1" si="426">IF(MOD(ROW()-2,2)=0, INDIRECT("Sheet1!D" &amp;4+((ROW()-2)/2)-2), "")</f>
        <v>bossar/ bossara</v>
      </c>
    </row>
    <row r="507" spans="1:5" ht="15" customHeight="1" x14ac:dyDescent="0.25">
      <c r="A507" s="35" t="str">
        <f t="shared" ca="1" si="396"/>
        <v/>
      </c>
      <c r="B507" s="31" t="str">
        <f t="shared" ref="B507:B567" ca="1" si="427">IF(MOD(ROW()-3,2)=0, INDIRECT("Sheet1!E" &amp;4+((ROW()-3)/2)-2), "")</f>
        <v>بَّصّار/ بَصّارَة</v>
      </c>
      <c r="D507" s="75"/>
      <c r="E507" s="41" t="str">
        <f t="shared" ref="E507" ca="1" si="428">IF(MOD(ROW()-3,2)=0, INDIRECT("Sheet1!E" &amp;4+((ROW()-3)/2)-2), "")</f>
        <v>بَّصّار/ بَصّارَة</v>
      </c>
    </row>
    <row r="508" spans="1:5" x14ac:dyDescent="0.25">
      <c r="A508" s="36" t="str">
        <f t="shared" ca="1" si="396"/>
        <v/>
      </c>
      <c r="B508" s="30" t="str">
        <f t="shared" ref="B508:B568" ca="1" si="429">IF(MOD(ROW()-2,2)=0, INDIRECT("Sheet1!D" &amp;4+((ROW()-2)/2)-2), "")</f>
        <v>torrash</v>
      </c>
      <c r="D508" s="75" t="str">
        <f t="shared" ref="D508:D564" ca="1" si="430">IF(MOD(ROW()-2,2)=0, INDIRECT("Sheet1!A" &amp;4+((ROW()-2)/2)-2), "")</f>
        <v xml:space="preserve">Wall painter </v>
      </c>
      <c r="E508" s="40" t="str">
        <f t="shared" ref="E508:E564" ca="1" si="431">IF(MOD(ROW()-2,2)=0, INDIRECT("Sheet1!D" &amp;4+((ROW()-2)/2)-2), "")</f>
        <v>torrash</v>
      </c>
    </row>
    <row r="509" spans="1:5" ht="15" customHeight="1" x14ac:dyDescent="0.25">
      <c r="A509" s="34" t="str">
        <f t="shared" ca="1" si="396"/>
        <v>extra</v>
      </c>
      <c r="B509" s="31" t="str">
        <f t="shared" ref="B509:B569" ca="1" si="432">IF(MOD(ROW()-3,2)=0, INDIRECT("Sheet1!E" &amp;4+((ROW()-3)/2)-2), "")</f>
        <v>طُرّاش</v>
      </c>
      <c r="D509" s="75"/>
      <c r="E509" s="41" t="str">
        <f t="shared" ref="E509:E565" ca="1" si="433">IF(MOD(ROW()-3,2)=0, INDIRECT("Sheet1!E" &amp;4+((ROW()-3)/2)-2), "")</f>
        <v>طُرّاش</v>
      </c>
    </row>
    <row r="510" spans="1:5" x14ac:dyDescent="0.25">
      <c r="A510" s="35" t="str">
        <f t="shared" ca="1" si="396"/>
        <v/>
      </c>
      <c r="B510" s="30" t="str">
        <f t="shared" ref="B510:B570" ca="1" si="434">IF(MOD(ROW()-2,2)=0, INDIRECT("Sheet1!D" &amp;4+((ROW()-2)/2)-2), "")</f>
        <v>blat</v>
      </c>
      <c r="D510" s="75" t="str">
        <f t="shared" ref="D510:D566" ca="1" si="435">IF(MOD(ROW()-2,2)=0, INDIRECT("Sheet1!A" &amp;4+((ROW()-2)/2)-2), "")</f>
        <v xml:space="preserve">Tiles </v>
      </c>
      <c r="E510" s="40" t="str">
        <f t="shared" ref="E510:E566" ca="1" si="436">IF(MOD(ROW()-2,2)=0, INDIRECT("Sheet1!D" &amp;4+((ROW()-2)/2)-2), "")</f>
        <v>blat</v>
      </c>
    </row>
    <row r="511" spans="1:5" ht="15" customHeight="1" x14ac:dyDescent="0.25">
      <c r="A511" s="36" t="str">
        <f t="shared" ca="1" si="396"/>
        <v/>
      </c>
      <c r="B511" s="31" t="str">
        <f t="shared" ref="B511:B571" ca="1" si="437">IF(MOD(ROW()-3,2)=0, INDIRECT("Sheet1!E" &amp;4+((ROW()-3)/2)-2), "")</f>
        <v>بلاط</v>
      </c>
      <c r="D511" s="75"/>
      <c r="E511" s="41" t="str">
        <f t="shared" ref="E511:E567" ca="1" si="438">IF(MOD(ROW()-3,2)=0, INDIRECT("Sheet1!E" &amp;4+((ROW()-3)/2)-2), "")</f>
        <v>بلاط</v>
      </c>
    </row>
    <row r="512" spans="1:5" x14ac:dyDescent="0.25">
      <c r="A512" s="34" t="str">
        <f t="shared" ca="1" si="396"/>
        <v>cheese</v>
      </c>
      <c r="B512" s="30" t="str">
        <f t="shared" ref="B512" ca="1" si="439">IF(MOD(ROW()-2,2)=0, INDIRECT("Sheet1!D" &amp;4+((ROW()-2)/2)-2), "")</f>
        <v>bollat</v>
      </c>
      <c r="D512" s="75" t="str">
        <f t="shared" ref="D512:D568" ca="1" si="440">IF(MOD(ROW()-2,2)=0, INDIRECT("Sheet1!A" &amp;4+((ROW()-2)/2)-2), "")</f>
        <v xml:space="preserve">tile worker </v>
      </c>
      <c r="E512" s="40" t="str">
        <f t="shared" ref="E512:E568" ca="1" si="441">IF(MOD(ROW()-2,2)=0, INDIRECT("Sheet1!D" &amp;4+((ROW()-2)/2)-2), "")</f>
        <v>bollat</v>
      </c>
    </row>
    <row r="513" spans="1:5" ht="15" customHeight="1" x14ac:dyDescent="0.25">
      <c r="A513" s="35" t="str">
        <f t="shared" ref="A513:A576" ca="1" si="442">IF(MOD(ROW()-2,3)=0, INDIRECT("Sheet1!A" &amp;4+((ROW()-2)/3)-2), "")</f>
        <v/>
      </c>
      <c r="B513" s="31" t="str">
        <f t="shared" ref="B513" ca="1" si="443">IF(MOD(ROW()-3,2)=0, INDIRECT("Sheet1!E" &amp;4+((ROW()-3)/2)-2), "")</f>
        <v>بُلاّط</v>
      </c>
      <c r="D513" s="75"/>
      <c r="E513" s="41" t="str">
        <f t="shared" ref="E513:E569" ca="1" si="444">IF(MOD(ROW()-3,2)=0, INDIRECT("Sheet1!E" &amp;4+((ROW()-3)/2)-2), "")</f>
        <v>بُلاّط</v>
      </c>
    </row>
    <row r="514" spans="1:5" x14ac:dyDescent="0.25">
      <c r="A514" s="36" t="str">
        <f t="shared" ca="1" si="442"/>
        <v/>
      </c>
      <c r="B514" s="30" t="str">
        <f t="shared" ca="1" si="422"/>
        <v>kahrabjeh</v>
      </c>
      <c r="D514" s="75" t="str">
        <f t="shared" ref="D514:D570" ca="1" si="445">IF(MOD(ROW()-2,2)=0, INDIRECT("Sheet1!A" &amp;4+((ROW()-2)/2)-2), "")</f>
        <v xml:space="preserve">Electrician </v>
      </c>
      <c r="E514" s="40" t="str">
        <f t="shared" ref="E514:E570" ca="1" si="446">IF(MOD(ROW()-2,2)=0, INDIRECT("Sheet1!D" &amp;4+((ROW()-2)/2)-2), "")</f>
        <v>kahrabjeh</v>
      </c>
    </row>
    <row r="515" spans="1:5" ht="15" customHeight="1" x14ac:dyDescent="0.25">
      <c r="A515" s="34" t="str">
        <f t="shared" ca="1" si="442"/>
        <v>vegeterian</v>
      </c>
      <c r="B515" s="31" t="str">
        <f t="shared" ca="1" si="423"/>
        <v>كَهرَبجي</v>
      </c>
      <c r="D515" s="75"/>
      <c r="E515" s="41" t="str">
        <f t="shared" ref="E515:E571" ca="1" si="447">IF(MOD(ROW()-3,2)=0, INDIRECT("Sheet1!E" &amp;4+((ROW()-3)/2)-2), "")</f>
        <v>كَهرَبجي</v>
      </c>
    </row>
    <row r="516" spans="1:5" x14ac:dyDescent="0.25">
      <c r="A516" s="35" t="str">
        <f t="shared" ca="1" si="442"/>
        <v/>
      </c>
      <c r="B516" s="30" t="str">
        <f t="shared" ca="1" si="424"/>
        <v>natour</v>
      </c>
      <c r="D516" s="75" t="str">
        <f t="shared" ref="D516:D572" ca="1" si="448">IF(MOD(ROW()-2,2)=0, INDIRECT("Sheet1!A" &amp;4+((ROW()-2)/2)-2), "")</f>
        <v xml:space="preserve">Doorman </v>
      </c>
      <c r="E516" s="40" t="str">
        <f t="shared" ref="E516:E572" ca="1" si="449">IF(MOD(ROW()-2,2)=0, INDIRECT("Sheet1!D" &amp;4+((ROW()-2)/2)-2), "")</f>
        <v>natour</v>
      </c>
    </row>
    <row r="517" spans="1:5" ht="15" customHeight="1" x14ac:dyDescent="0.25">
      <c r="A517" s="36" t="str">
        <f t="shared" ca="1" si="442"/>
        <v/>
      </c>
      <c r="B517" s="31" t="str">
        <f t="shared" ca="1" si="427"/>
        <v>ناطور</v>
      </c>
      <c r="D517" s="75"/>
      <c r="E517" s="41" t="str">
        <f t="shared" ref="E517:E573" ca="1" si="450">IF(MOD(ROW()-3,2)=0, INDIRECT("Sheet1!E" &amp;4+((ROW()-3)/2)-2), "")</f>
        <v>ناطور</v>
      </c>
    </row>
    <row r="518" spans="1:5" ht="31.5" x14ac:dyDescent="0.25">
      <c r="A518" s="34" t="str">
        <f t="shared" ca="1" si="442"/>
        <v>ingredients</v>
      </c>
      <c r="B518" s="30" t="str">
        <f t="shared" ca="1" si="429"/>
        <v>khiyyat/ khiyyata</v>
      </c>
      <c r="D518" s="75" t="str">
        <f t="shared" ref="D518:D574" ca="1" si="451">IF(MOD(ROW()-2,2)=0, INDIRECT("Sheet1!A" &amp;4+((ROW()-2)/2)-2), "")</f>
        <v xml:space="preserve">Tailor </v>
      </c>
      <c r="E518" s="40" t="str">
        <f t="shared" ref="E518:E574" ca="1" si="452">IF(MOD(ROW()-2,2)=0, INDIRECT("Sheet1!D" &amp;4+((ROW()-2)/2)-2), "")</f>
        <v>khiyyat/ khiyyata</v>
      </c>
    </row>
    <row r="519" spans="1:5" ht="15" customHeight="1" x14ac:dyDescent="0.25">
      <c r="A519" s="35" t="str">
        <f t="shared" ca="1" si="442"/>
        <v/>
      </c>
      <c r="B519" s="31" t="str">
        <f t="shared" ca="1" si="432"/>
        <v>خِيّاط/ خِيّاطَة</v>
      </c>
      <c r="D519" s="75"/>
      <c r="E519" s="41" t="str">
        <f t="shared" ref="E519:E575" ca="1" si="453">IF(MOD(ROW()-3,2)=0, INDIRECT("Sheet1!E" &amp;4+((ROW()-3)/2)-2), "")</f>
        <v>خِيّاط/ خِيّاطَة</v>
      </c>
    </row>
    <row r="520" spans="1:5" x14ac:dyDescent="0.25">
      <c r="A520" s="36" t="str">
        <f t="shared" ca="1" si="442"/>
        <v/>
      </c>
      <c r="B520" s="30" t="str">
        <f t="shared" ca="1" si="434"/>
        <v>jesem</v>
      </c>
      <c r="D520" s="75" t="str">
        <f t="shared" ref="D520" ca="1" si="454">IF(MOD(ROW()-2,2)=0, INDIRECT("Sheet1!A" &amp;4+((ROW()-2)/2)-2), "")</f>
        <v>body</v>
      </c>
      <c r="E520" s="40" t="str">
        <f t="shared" ref="E520" ca="1" si="455">IF(MOD(ROW()-2,2)=0, INDIRECT("Sheet1!D" &amp;4+((ROW()-2)/2)-2), "")</f>
        <v>jesem</v>
      </c>
    </row>
    <row r="521" spans="1:5" ht="15" customHeight="1" x14ac:dyDescent="0.25">
      <c r="A521" s="34" t="str">
        <f t="shared" ca="1" si="442"/>
        <v>mushrooms</v>
      </c>
      <c r="B521" s="31" t="str">
        <f t="shared" ca="1" si="437"/>
        <v>جِسم</v>
      </c>
      <c r="D521" s="75"/>
      <c r="E521" s="41" t="str">
        <f t="shared" ref="E521" ca="1" si="456">IF(MOD(ROW()-3,2)=0, INDIRECT("Sheet1!E" &amp;4+((ROW()-3)/2)-2), "")</f>
        <v>جِسم</v>
      </c>
    </row>
    <row r="522" spans="1:5" x14ac:dyDescent="0.25">
      <c r="A522" s="35" t="str">
        <f t="shared" ca="1" si="442"/>
        <v/>
      </c>
      <c r="B522" s="30" t="str">
        <f t="shared" ref="B522" ca="1" si="457">IF(MOD(ROW()-2,2)=0, INDIRECT("Sheet1!D" &amp;4+((ROW()-2)/2)-2), "")</f>
        <v>wejj</v>
      </c>
      <c r="D522" s="75" t="str">
        <f t="shared" ca="1" si="430"/>
        <v>face</v>
      </c>
      <c r="E522" s="40" t="str">
        <f t="shared" ca="1" si="431"/>
        <v>wejj</v>
      </c>
    </row>
    <row r="523" spans="1:5" ht="15" customHeight="1" x14ac:dyDescent="0.25">
      <c r="A523" s="36" t="str">
        <f t="shared" ca="1" si="442"/>
        <v/>
      </c>
      <c r="B523" s="31" t="str">
        <f t="shared" ref="B523" ca="1" si="458">IF(MOD(ROW()-3,2)=0, INDIRECT("Sheet1!E" &amp;4+((ROW()-3)/2)-2), "")</f>
        <v xml:space="preserve"> وِجّ</v>
      </c>
      <c r="D523" s="75"/>
      <c r="E523" s="41" t="str">
        <f t="shared" ca="1" si="433"/>
        <v xml:space="preserve"> وِجّ</v>
      </c>
    </row>
    <row r="524" spans="1:5" x14ac:dyDescent="0.25">
      <c r="A524" s="34" t="str">
        <f t="shared" ca="1" si="442"/>
        <v xml:space="preserve">to add </v>
      </c>
      <c r="B524" s="30" t="str">
        <f t="shared" ca="1" si="422"/>
        <v>Hweijib</v>
      </c>
      <c r="D524" s="75" t="str">
        <f t="shared" ca="1" si="435"/>
        <v>eyebrows</v>
      </c>
      <c r="E524" s="40" t="str">
        <f t="shared" ca="1" si="436"/>
        <v>Hweijib</v>
      </c>
    </row>
    <row r="525" spans="1:5" ht="15" customHeight="1" x14ac:dyDescent="0.25">
      <c r="A525" s="35" t="str">
        <f t="shared" ca="1" si="442"/>
        <v/>
      </c>
      <c r="B525" s="31" t="str">
        <f t="shared" ca="1" si="423"/>
        <v xml:space="preserve"> حواجِب</v>
      </c>
      <c r="D525" s="75"/>
      <c r="E525" s="41" t="str">
        <f t="shared" ca="1" si="438"/>
        <v xml:space="preserve"> حواجِب</v>
      </c>
    </row>
    <row r="526" spans="1:5" ht="31.5" x14ac:dyDescent="0.25">
      <c r="A526" s="36" t="str">
        <f t="shared" ca="1" si="442"/>
        <v/>
      </c>
      <c r="B526" s="30" t="str">
        <f t="shared" ca="1" si="424"/>
        <v>menkhar/mankhour</v>
      </c>
      <c r="D526" s="75" t="str">
        <f t="shared" ca="1" si="440"/>
        <v>nose</v>
      </c>
      <c r="E526" s="40" t="str">
        <f t="shared" ca="1" si="441"/>
        <v>menkhar/mankhour</v>
      </c>
    </row>
    <row r="527" spans="1:5" ht="15" customHeight="1" x14ac:dyDescent="0.25">
      <c r="A527" s="34" t="str">
        <f t="shared" ca="1" si="442"/>
        <v>to remove</v>
      </c>
      <c r="B527" s="31" t="str">
        <f t="shared" ca="1" si="427"/>
        <v xml:space="preserve"> مِنخار/مَنخور</v>
      </c>
      <c r="D527" s="75"/>
      <c r="E527" s="41" t="str">
        <f t="shared" ca="1" si="444"/>
        <v xml:space="preserve"> مِنخار/مَنخور</v>
      </c>
    </row>
    <row r="528" spans="1:5" x14ac:dyDescent="0.25">
      <c r="A528" s="35" t="str">
        <f t="shared" ca="1" si="442"/>
        <v/>
      </c>
      <c r="B528" s="30" t="str">
        <f t="shared" ca="1" si="429"/>
        <v>3ayn</v>
      </c>
      <c r="D528" s="75" t="str">
        <f t="shared" ca="1" si="445"/>
        <v>eye</v>
      </c>
      <c r="E528" s="40" t="str">
        <f t="shared" ca="1" si="446"/>
        <v>3ayn</v>
      </c>
    </row>
    <row r="529" spans="1:5" ht="15" customHeight="1" x14ac:dyDescent="0.25">
      <c r="A529" s="36" t="str">
        <f t="shared" ca="1" si="442"/>
        <v/>
      </c>
      <c r="B529" s="31" t="str">
        <f t="shared" ca="1" si="432"/>
        <v xml:space="preserve"> عَين</v>
      </c>
      <c r="D529" s="75"/>
      <c r="E529" s="41" t="str">
        <f t="shared" ca="1" si="447"/>
        <v xml:space="preserve"> عَين</v>
      </c>
    </row>
    <row r="530" spans="1:5" x14ac:dyDescent="0.25">
      <c r="A530" s="34" t="str">
        <f t="shared" ca="1" si="442"/>
        <v xml:space="preserve">mustard </v>
      </c>
      <c r="B530" s="30" t="str">
        <f t="shared" ca="1" si="434"/>
        <v>3youn</v>
      </c>
      <c r="D530" s="75" t="str">
        <f t="shared" ca="1" si="448"/>
        <v>eyes</v>
      </c>
      <c r="E530" s="40" t="str">
        <f t="shared" ca="1" si="449"/>
        <v>3youn</v>
      </c>
    </row>
    <row r="531" spans="1:5" ht="15" customHeight="1" x14ac:dyDescent="0.25">
      <c r="A531" s="35" t="str">
        <f t="shared" ca="1" si="442"/>
        <v/>
      </c>
      <c r="B531" s="31" t="str">
        <f t="shared" ca="1" si="437"/>
        <v xml:space="preserve"> عيون</v>
      </c>
      <c r="D531" s="75"/>
      <c r="E531" s="41" t="str">
        <f t="shared" ca="1" si="450"/>
        <v xml:space="preserve"> عيون</v>
      </c>
    </row>
    <row r="532" spans="1:5" x14ac:dyDescent="0.25">
      <c r="A532" s="36" t="str">
        <f t="shared" ca="1" si="442"/>
        <v/>
      </c>
      <c r="B532" s="30" t="str">
        <f t="shared" ref="B532" ca="1" si="459">IF(MOD(ROW()-2,2)=0, INDIRECT("Sheet1!D" &amp;4+((ROW()-2)/2)-2), "")</f>
        <v>rmoush</v>
      </c>
      <c r="D532" s="75" t="str">
        <f t="shared" ca="1" si="451"/>
        <v>eyelashes</v>
      </c>
      <c r="E532" s="40" t="str">
        <f t="shared" ca="1" si="452"/>
        <v>rmoush</v>
      </c>
    </row>
    <row r="533" spans="1:5" ht="15" customHeight="1" x14ac:dyDescent="0.25">
      <c r="A533" s="34" t="str">
        <f t="shared" ca="1" si="442"/>
        <v>dressing</v>
      </c>
      <c r="B533" s="31" t="str">
        <f t="shared" ref="B533" ca="1" si="460">IF(MOD(ROW()-3,2)=0, INDIRECT("Sheet1!E" &amp;4+((ROW()-3)/2)-2), "")</f>
        <v xml:space="preserve"> رموش</v>
      </c>
      <c r="D533" s="75"/>
      <c r="E533" s="41" t="str">
        <f t="shared" ca="1" si="453"/>
        <v xml:space="preserve"> رموش</v>
      </c>
    </row>
    <row r="534" spans="1:5" x14ac:dyDescent="0.25">
      <c r="A534" s="35" t="str">
        <f t="shared" ca="1" si="442"/>
        <v/>
      </c>
      <c r="B534" s="30" t="str">
        <f t="shared" ca="1" si="422"/>
        <v>temm</v>
      </c>
      <c r="D534" s="75" t="str">
        <f t="shared" ref="D534" ca="1" si="461">IF(MOD(ROW()-2,2)=0, INDIRECT("Sheet1!A" &amp;4+((ROW()-2)/2)-2), "")</f>
        <v>mouth</v>
      </c>
      <c r="E534" s="40" t="str">
        <f t="shared" ref="E534" ca="1" si="462">IF(MOD(ROW()-2,2)=0, INDIRECT("Sheet1!D" &amp;4+((ROW()-2)/2)-2), "")</f>
        <v>temm</v>
      </c>
    </row>
    <row r="535" spans="1:5" ht="15" customHeight="1" x14ac:dyDescent="0.25">
      <c r="A535" s="36" t="str">
        <f t="shared" ca="1" si="442"/>
        <v/>
      </c>
      <c r="B535" s="31" t="str">
        <f t="shared" ca="1" si="423"/>
        <v xml:space="preserve"> تِمّ</v>
      </c>
      <c r="D535" s="75"/>
      <c r="E535" s="41" t="str">
        <f t="shared" ref="E535" ca="1" si="463">IF(MOD(ROW()-3,2)=0, INDIRECT("Sheet1!E" &amp;4+((ROW()-3)/2)-2), "")</f>
        <v xml:space="preserve"> تِمّ</v>
      </c>
    </row>
    <row r="536" spans="1:5" x14ac:dyDescent="0.25">
      <c r="A536" s="34" t="str">
        <f t="shared" ca="1" si="442"/>
        <v xml:space="preserve">light </v>
      </c>
      <c r="B536" s="30" t="str">
        <f t="shared" ca="1" si="424"/>
        <v>khadd</v>
      </c>
      <c r="D536" s="75" t="str">
        <f t="shared" ca="1" si="430"/>
        <v>cheek</v>
      </c>
      <c r="E536" s="40" t="str">
        <f t="shared" ca="1" si="431"/>
        <v>khadd</v>
      </c>
    </row>
    <row r="537" spans="1:5" ht="15" customHeight="1" x14ac:dyDescent="0.25">
      <c r="A537" s="35" t="str">
        <f t="shared" ca="1" si="442"/>
        <v/>
      </c>
      <c r="B537" s="31" t="str">
        <f t="shared" ca="1" si="427"/>
        <v xml:space="preserve"> خدّ</v>
      </c>
      <c r="D537" s="75"/>
      <c r="E537" s="41" t="str">
        <f t="shared" ca="1" si="433"/>
        <v xml:space="preserve"> خدّ</v>
      </c>
    </row>
    <row r="538" spans="1:5" x14ac:dyDescent="0.25">
      <c r="A538" s="36" t="str">
        <f t="shared" ca="1" si="442"/>
        <v/>
      </c>
      <c r="B538" s="30" t="str">
        <f t="shared" ca="1" si="429"/>
        <v>khdoud</v>
      </c>
      <c r="D538" s="75" t="str">
        <f t="shared" ca="1" si="435"/>
        <v>cheeks</v>
      </c>
      <c r="E538" s="40" t="str">
        <f t="shared" ca="1" si="436"/>
        <v>khdoud</v>
      </c>
    </row>
    <row r="539" spans="1:5" ht="15" customHeight="1" x14ac:dyDescent="0.25">
      <c r="A539" s="34" t="str">
        <f t="shared" ca="1" si="442"/>
        <v>cost</v>
      </c>
      <c r="B539" s="31" t="str">
        <f t="shared" ca="1" si="432"/>
        <v xml:space="preserve"> خدود</v>
      </c>
      <c r="D539" s="75"/>
      <c r="E539" s="41" t="str">
        <f t="shared" ca="1" si="438"/>
        <v xml:space="preserve"> خدود</v>
      </c>
    </row>
    <row r="540" spans="1:5" x14ac:dyDescent="0.25">
      <c r="A540" s="35" t="str">
        <f t="shared" ca="1" si="442"/>
        <v/>
      </c>
      <c r="B540" s="30" t="str">
        <f t="shared" ca="1" si="434"/>
        <v>sha3er</v>
      </c>
      <c r="D540" s="75" t="str">
        <f t="shared" ca="1" si="440"/>
        <v>hair</v>
      </c>
      <c r="E540" s="40" t="str">
        <f t="shared" ca="1" si="441"/>
        <v>sha3er</v>
      </c>
    </row>
    <row r="541" spans="1:5" ht="15" customHeight="1" x14ac:dyDescent="0.25">
      <c r="A541" s="36" t="str">
        <f t="shared" ca="1" si="442"/>
        <v/>
      </c>
      <c r="B541" s="31" t="str">
        <f t="shared" ca="1" si="437"/>
        <v xml:space="preserve"> شَعر</v>
      </c>
      <c r="D541" s="75"/>
      <c r="E541" s="41" t="str">
        <f t="shared" ca="1" si="444"/>
        <v xml:space="preserve"> شَعر</v>
      </c>
    </row>
    <row r="542" spans="1:5" ht="15.75" customHeight="1" x14ac:dyDescent="0.25">
      <c r="A542" s="34" t="str">
        <f t="shared" ca="1" si="442"/>
        <v>I would like to order some food</v>
      </c>
      <c r="B542" s="30" t="str">
        <f t="shared" ref="B542" ca="1" si="464">IF(MOD(ROW()-2,2)=0, INDIRECT("Sheet1!D" &amp;4+((ROW()-2)/2)-2), "")</f>
        <v>ra'beh</v>
      </c>
      <c r="D542" s="75" t="str">
        <f t="shared" ca="1" si="445"/>
        <v>neck</v>
      </c>
      <c r="E542" s="40" t="str">
        <f t="shared" ca="1" si="446"/>
        <v>ra'beh</v>
      </c>
    </row>
    <row r="543" spans="1:5" ht="15" customHeight="1" x14ac:dyDescent="0.25">
      <c r="A543" s="35" t="str">
        <f t="shared" ca="1" si="442"/>
        <v/>
      </c>
      <c r="B543" s="31" t="str">
        <f t="shared" ref="B543" ca="1" si="465">IF(MOD(ROW()-3,2)=0, INDIRECT("Sheet1!E" &amp;4+((ROW()-3)/2)-2), "")</f>
        <v xml:space="preserve"> رَقبة</v>
      </c>
      <c r="D543" s="75"/>
      <c r="E543" s="41" t="str">
        <f t="shared" ca="1" si="447"/>
        <v xml:space="preserve"> رَقبة</v>
      </c>
    </row>
    <row r="544" spans="1:5" x14ac:dyDescent="0.25">
      <c r="A544" s="36" t="str">
        <f t="shared" ca="1" si="442"/>
        <v/>
      </c>
      <c r="B544" s="30" t="str">
        <f t="shared" ca="1" si="422"/>
        <v>soder</v>
      </c>
      <c r="D544" s="75" t="str">
        <f t="shared" ca="1" si="448"/>
        <v>chest/breast</v>
      </c>
      <c r="E544" s="40" t="str">
        <f t="shared" ca="1" si="449"/>
        <v>soder</v>
      </c>
    </row>
    <row r="545" spans="1:5" ht="15" customHeight="1" x14ac:dyDescent="0.25">
      <c r="A545" s="34" t="str">
        <f t="shared" ca="1" si="442"/>
        <v>to where do you want us to deliver</v>
      </c>
      <c r="B545" s="31" t="str">
        <f t="shared" ca="1" si="423"/>
        <v xml:space="preserve"> صُدر</v>
      </c>
      <c r="D545" s="75"/>
      <c r="E545" s="41" t="str">
        <f t="shared" ca="1" si="450"/>
        <v xml:space="preserve"> صُدر</v>
      </c>
    </row>
    <row r="546" spans="1:5" x14ac:dyDescent="0.25">
      <c r="A546" s="35" t="str">
        <f t="shared" ca="1" si="442"/>
        <v/>
      </c>
      <c r="B546" s="30" t="str">
        <f t="shared" ca="1" si="424"/>
        <v>kteif</v>
      </c>
      <c r="D546" s="75" t="str">
        <f t="shared" ca="1" si="451"/>
        <v>shoulders</v>
      </c>
      <c r="E546" s="40" t="str">
        <f t="shared" ca="1" si="452"/>
        <v>kteif</v>
      </c>
    </row>
    <row r="547" spans="1:5" ht="15" customHeight="1" x14ac:dyDescent="0.25">
      <c r="A547" s="36" t="str">
        <f t="shared" ca="1" si="442"/>
        <v/>
      </c>
      <c r="B547" s="31" t="str">
        <f t="shared" ca="1" si="427"/>
        <v xml:space="preserve"> كتاف</v>
      </c>
      <c r="D547" s="75"/>
      <c r="E547" s="41" t="str">
        <f t="shared" ca="1" si="453"/>
        <v xml:space="preserve"> كتاف</v>
      </c>
    </row>
    <row r="548" spans="1:5" ht="15.75" customHeight="1" x14ac:dyDescent="0.25">
      <c r="A548" s="34" t="str">
        <f t="shared" ca="1" si="442"/>
        <v>I live in St Lourde's street, in the fifth floor</v>
      </c>
      <c r="B548" s="30" t="str">
        <f t="shared" ca="1" si="429"/>
        <v>eed</v>
      </c>
      <c r="D548" s="75" t="str">
        <f t="shared" ref="D548" ca="1" si="466">IF(MOD(ROW()-2,2)=0, INDIRECT("Sheet1!A" &amp;4+((ROW()-2)/2)-2), "")</f>
        <v>arm</v>
      </c>
      <c r="E548" s="40" t="str">
        <f t="shared" ref="E548" ca="1" si="467">IF(MOD(ROW()-2,2)=0, INDIRECT("Sheet1!D" &amp;4+((ROW()-2)/2)-2), "")</f>
        <v>eed</v>
      </c>
    </row>
    <row r="549" spans="1:5" ht="15" customHeight="1" x14ac:dyDescent="0.25">
      <c r="A549" s="35" t="str">
        <f t="shared" ca="1" si="442"/>
        <v/>
      </c>
      <c r="B549" s="31" t="str">
        <f t="shared" ca="1" si="432"/>
        <v xml:space="preserve"> إيد</v>
      </c>
      <c r="D549" s="75"/>
      <c r="E549" s="41" t="str">
        <f t="shared" ref="E549" ca="1" si="468">IF(MOD(ROW()-3,2)=0, INDIRECT("Sheet1!E" &amp;4+((ROW()-3)/2)-2), "")</f>
        <v xml:space="preserve"> إيد</v>
      </c>
    </row>
    <row r="550" spans="1:5" x14ac:dyDescent="0.25">
      <c r="A550" s="36" t="str">
        <f t="shared" ca="1" si="442"/>
        <v/>
      </c>
      <c r="B550" s="30" t="str">
        <f t="shared" ca="1" si="434"/>
        <v>me3deh</v>
      </c>
      <c r="D550" s="75" t="str">
        <f t="shared" ca="1" si="430"/>
        <v>stomach</v>
      </c>
      <c r="E550" s="40" t="str">
        <f t="shared" ca="1" si="431"/>
        <v>me3deh</v>
      </c>
    </row>
    <row r="551" spans="1:5" ht="15" customHeight="1" x14ac:dyDescent="0.25">
      <c r="A551" s="34" t="str">
        <f t="shared" ca="1" si="442"/>
        <v xml:space="preserve">I want a chicken sandwich without garlic, with pickels, extra Hommous </v>
      </c>
      <c r="B551" s="31" t="str">
        <f t="shared" ca="1" si="437"/>
        <v xml:space="preserve"> مِعدة</v>
      </c>
      <c r="D551" s="75"/>
      <c r="E551" s="41" t="str">
        <f t="shared" ca="1" si="433"/>
        <v xml:space="preserve"> مِعدة</v>
      </c>
    </row>
    <row r="552" spans="1:5" x14ac:dyDescent="0.25">
      <c r="A552" s="35" t="str">
        <f t="shared" ca="1" si="442"/>
        <v/>
      </c>
      <c r="B552" s="30" t="str">
        <f t="shared" ref="B552" ca="1" si="469">IF(MOD(ROW()-2,2)=0, INDIRECT("Sheet1!D" &amp;4+((ROW()-2)/2)-2), "")</f>
        <v>baten</v>
      </c>
      <c r="D552" s="75" t="str">
        <f t="shared" ca="1" si="435"/>
        <v>belly</v>
      </c>
      <c r="E552" s="40" t="str">
        <f t="shared" ca="1" si="436"/>
        <v>baten</v>
      </c>
    </row>
    <row r="553" spans="1:5" ht="15" customHeight="1" x14ac:dyDescent="0.25">
      <c r="A553" s="36" t="str">
        <f t="shared" ca="1" si="442"/>
        <v/>
      </c>
      <c r="B553" s="31" t="str">
        <f t="shared" ref="B553" ca="1" si="470">IF(MOD(ROW()-3,2)=0, INDIRECT("Sheet1!E" &amp;4+((ROW()-3)/2)-2), "")</f>
        <v xml:space="preserve"> بَطن</v>
      </c>
      <c r="D553" s="75"/>
      <c r="E553" s="41" t="str">
        <f t="shared" ca="1" si="438"/>
        <v xml:space="preserve"> بَطن</v>
      </c>
    </row>
    <row r="554" spans="1:5" ht="15.75" customHeight="1" x14ac:dyDescent="0.25">
      <c r="A554" s="34" t="str">
        <f t="shared" ca="1" si="442"/>
        <v>I want to order three pizza pepperoni, extra cheese</v>
      </c>
      <c r="B554" s="30" t="str">
        <f t="shared" ca="1" si="422"/>
        <v>wrak</v>
      </c>
      <c r="D554" s="75" t="str">
        <f t="shared" ca="1" si="440"/>
        <v>hips</v>
      </c>
      <c r="E554" s="40" t="str">
        <f t="shared" ca="1" si="441"/>
        <v>wrak</v>
      </c>
    </row>
    <row r="555" spans="1:5" ht="15" customHeight="1" x14ac:dyDescent="0.25">
      <c r="A555" s="35" t="str">
        <f t="shared" ca="1" si="442"/>
        <v/>
      </c>
      <c r="B555" s="31" t="str">
        <f t="shared" ca="1" si="423"/>
        <v xml:space="preserve"> وراك</v>
      </c>
      <c r="D555" s="75"/>
      <c r="E555" s="41" t="str">
        <f t="shared" ca="1" si="444"/>
        <v xml:space="preserve"> وراك</v>
      </c>
    </row>
    <row r="556" spans="1:5" x14ac:dyDescent="0.25">
      <c r="A556" s="36" t="str">
        <f t="shared" ca="1" si="442"/>
        <v/>
      </c>
      <c r="B556" s="30" t="str">
        <f t="shared" ca="1" si="424"/>
        <v>khaser</v>
      </c>
      <c r="D556" s="75" t="str">
        <f t="shared" ca="1" si="445"/>
        <v>waist</v>
      </c>
      <c r="E556" s="40" t="str">
        <f t="shared" ca="1" si="446"/>
        <v>khaser</v>
      </c>
    </row>
    <row r="557" spans="1:5" ht="15" customHeight="1" x14ac:dyDescent="0.25">
      <c r="A557" s="34" t="str">
        <f t="shared" ca="1" si="442"/>
        <v>do you have vegeterian pizza</v>
      </c>
      <c r="B557" s="31" t="str">
        <f t="shared" ca="1" si="427"/>
        <v xml:space="preserve"> خَصر</v>
      </c>
      <c r="D557" s="75"/>
      <c r="E557" s="41" t="str">
        <f t="shared" ca="1" si="447"/>
        <v xml:space="preserve"> خَصر</v>
      </c>
    </row>
    <row r="558" spans="1:5" x14ac:dyDescent="0.25">
      <c r="A558" s="35" t="str">
        <f t="shared" ca="1" si="442"/>
        <v/>
      </c>
      <c r="B558" s="30" t="str">
        <f t="shared" ca="1" si="429"/>
        <v>ejer</v>
      </c>
      <c r="D558" s="75" t="str">
        <f t="shared" ca="1" si="448"/>
        <v>leg</v>
      </c>
      <c r="E558" s="40" t="str">
        <f t="shared" ca="1" si="449"/>
        <v>ejer</v>
      </c>
    </row>
    <row r="559" spans="1:5" ht="15" customHeight="1" x14ac:dyDescent="0.25">
      <c r="A559" s="36" t="str">
        <f t="shared" ca="1" si="442"/>
        <v/>
      </c>
      <c r="B559" s="31" t="str">
        <f t="shared" ca="1" si="432"/>
        <v xml:space="preserve"> إجر</v>
      </c>
      <c r="D559" s="75"/>
      <c r="E559" s="41" t="str">
        <f t="shared" ca="1" si="450"/>
        <v xml:space="preserve"> إجر</v>
      </c>
    </row>
    <row r="560" spans="1:5" ht="15.75" customHeight="1" x14ac:dyDescent="0.25">
      <c r="A560" s="34" t="str">
        <f t="shared" ca="1" si="442"/>
        <v>what do you put inside the pizza</v>
      </c>
      <c r="B560" s="30" t="str">
        <f t="shared" ca="1" si="434"/>
        <v>ejrein</v>
      </c>
      <c r="D560" s="75" t="str">
        <f t="shared" ca="1" si="451"/>
        <v>legs</v>
      </c>
      <c r="E560" s="40" t="str">
        <f t="shared" ca="1" si="452"/>
        <v>ejrein</v>
      </c>
    </row>
    <row r="561" spans="1:5" ht="15" customHeight="1" x14ac:dyDescent="0.25">
      <c r="A561" s="35" t="str">
        <f t="shared" ca="1" si="442"/>
        <v/>
      </c>
      <c r="B561" s="31" t="str">
        <f t="shared" ca="1" si="437"/>
        <v xml:space="preserve"> إجرين</v>
      </c>
      <c r="D561" s="75"/>
      <c r="E561" s="41" t="str">
        <f t="shared" ca="1" si="453"/>
        <v xml:space="preserve"> إجرين</v>
      </c>
    </row>
    <row r="562" spans="1:5" x14ac:dyDescent="0.25">
      <c r="A562" s="36" t="str">
        <f t="shared" ca="1" si="442"/>
        <v/>
      </c>
      <c r="B562" s="30" t="str">
        <f t="shared" ref="B562" ca="1" si="471">IF(MOD(ROW()-2,2)=0, INDIRECT("Sheet1!D" &amp;4+((ROW()-2)/2)-2), "")</f>
        <v>rekbeh</v>
      </c>
      <c r="D562" s="75" t="str">
        <f t="shared" ref="D562" ca="1" si="472">IF(MOD(ROW()-2,2)=0, INDIRECT("Sheet1!A" &amp;4+((ROW()-2)/2)-2), "")</f>
        <v>knee</v>
      </c>
      <c r="E562" s="40" t="str">
        <f t="shared" ref="E562" ca="1" si="473">IF(MOD(ROW()-2,2)=0, INDIRECT("Sheet1!D" &amp;4+((ROW()-2)/2)-2), "")</f>
        <v>rekbeh</v>
      </c>
    </row>
    <row r="563" spans="1:5" ht="15" customHeight="1" x14ac:dyDescent="0.25">
      <c r="A563" s="34" t="str">
        <f t="shared" ca="1" si="442"/>
        <v>can you remove to mushrooms</v>
      </c>
      <c r="B563" s="31" t="str">
        <f t="shared" ref="B563" ca="1" si="474">IF(MOD(ROW()-3,2)=0, INDIRECT("Sheet1!E" &amp;4+((ROW()-3)/2)-2), "")</f>
        <v xml:space="preserve"> رِكبة</v>
      </c>
      <c r="D563" s="75"/>
      <c r="E563" s="41" t="str">
        <f t="shared" ref="E563" ca="1" si="475">IF(MOD(ROW()-3,2)=0, INDIRECT("Sheet1!E" &amp;4+((ROW()-3)/2)-2), "")</f>
        <v xml:space="preserve"> رِكبة</v>
      </c>
    </row>
    <row r="564" spans="1:5" x14ac:dyDescent="0.25">
      <c r="A564" s="35" t="str">
        <f t="shared" ca="1" si="442"/>
        <v/>
      </c>
      <c r="B564" s="30" t="str">
        <f t="shared" ca="1" si="422"/>
        <v>asabe3</v>
      </c>
      <c r="D564" s="75" t="str">
        <f t="shared" ca="1" si="430"/>
        <v>fingers</v>
      </c>
      <c r="E564" s="40" t="str">
        <f t="shared" ca="1" si="431"/>
        <v>asabe3</v>
      </c>
    </row>
    <row r="565" spans="1:5" ht="15" customHeight="1" x14ac:dyDescent="0.25">
      <c r="A565" s="36" t="str">
        <f t="shared" ca="1" si="442"/>
        <v/>
      </c>
      <c r="B565" s="31" t="str">
        <f t="shared" ca="1" si="423"/>
        <v xml:space="preserve"> أصابع</v>
      </c>
      <c r="D565" s="75"/>
      <c r="E565" s="41" t="str">
        <f t="shared" ca="1" si="433"/>
        <v xml:space="preserve"> أصابع</v>
      </c>
    </row>
    <row r="566" spans="1:5" ht="31.5" x14ac:dyDescent="0.25">
      <c r="A566" s="34" t="str">
        <f t="shared" ca="1" si="442"/>
        <v>can you add mustard</v>
      </c>
      <c r="B566" s="30" t="str">
        <f t="shared" ca="1" si="424"/>
        <v>asabe3 el ejrein</v>
      </c>
      <c r="D566" s="75" t="str">
        <f t="shared" ca="1" si="435"/>
        <v>toes</v>
      </c>
      <c r="E566" s="40" t="str">
        <f t="shared" ca="1" si="436"/>
        <v>asabe3 el ejrein</v>
      </c>
    </row>
    <row r="567" spans="1:5" ht="15" customHeight="1" x14ac:dyDescent="0.25">
      <c r="A567" s="35" t="str">
        <f t="shared" ca="1" si="442"/>
        <v/>
      </c>
      <c r="B567" s="31" t="str">
        <f t="shared" ca="1" si="427"/>
        <v xml:space="preserve"> أصابع الإجرين</v>
      </c>
      <c r="D567" s="75"/>
      <c r="E567" s="41" t="str">
        <f t="shared" ca="1" si="438"/>
        <v xml:space="preserve"> أصابع الإجرين</v>
      </c>
    </row>
    <row r="568" spans="1:5" x14ac:dyDescent="0.25">
      <c r="A568" s="36" t="str">
        <f t="shared" ca="1" si="442"/>
        <v/>
      </c>
      <c r="B568" s="30" t="str">
        <f t="shared" ca="1" si="429"/>
        <v>ras</v>
      </c>
      <c r="D568" s="75" t="str">
        <f t="shared" ca="1" si="440"/>
        <v>head</v>
      </c>
      <c r="E568" s="40" t="str">
        <f t="shared" ca="1" si="441"/>
        <v>ras</v>
      </c>
    </row>
    <row r="569" spans="1:5" ht="15" customHeight="1" x14ac:dyDescent="0.25">
      <c r="A569" s="34" t="str">
        <f t="shared" ca="1" si="442"/>
        <v>I want to change the dressing</v>
      </c>
      <c r="B569" s="31" t="str">
        <f t="shared" ca="1" si="432"/>
        <v xml:space="preserve"> راس</v>
      </c>
      <c r="D569" s="75"/>
      <c r="E569" s="41" t="str">
        <f t="shared" ca="1" si="444"/>
        <v xml:space="preserve"> راس</v>
      </c>
    </row>
    <row r="570" spans="1:5" x14ac:dyDescent="0.25">
      <c r="A570" s="35" t="str">
        <f t="shared" ca="1" si="442"/>
        <v/>
      </c>
      <c r="B570" s="30" t="str">
        <f t="shared" ca="1" si="434"/>
        <v>dayneh</v>
      </c>
      <c r="D570" s="75" t="str">
        <f t="shared" ca="1" si="445"/>
        <v>ear</v>
      </c>
      <c r="E570" s="40" t="str">
        <f t="shared" ca="1" si="446"/>
        <v>dayneh</v>
      </c>
    </row>
    <row r="571" spans="1:5" ht="15" customHeight="1" x14ac:dyDescent="0.25">
      <c r="A571" s="36" t="str">
        <f t="shared" ca="1" si="442"/>
        <v/>
      </c>
      <c r="B571" s="31" t="str">
        <f t="shared" ca="1" si="437"/>
        <v xml:space="preserve"> دَينه</v>
      </c>
      <c r="D571" s="75"/>
      <c r="E571" s="41" t="str">
        <f t="shared" ca="1" si="447"/>
        <v xml:space="preserve"> دَينه</v>
      </c>
    </row>
    <row r="572" spans="1:5" ht="15.75" customHeight="1" x14ac:dyDescent="0.25">
      <c r="A572" s="34" t="str">
        <f t="shared" ca="1" si="442"/>
        <v>what do you have as something light</v>
      </c>
      <c r="B572" s="30" t="str">
        <f t="shared" ref="B572" ca="1" si="476">IF(MOD(ROW()-2,2)=0, INDIRECT("Sheet1!D" &amp;4+((ROW()-2)/2)-2), "")</f>
        <v>dinein</v>
      </c>
      <c r="D572" s="75" t="str">
        <f t="shared" ca="1" si="448"/>
        <v>ears</v>
      </c>
      <c r="E572" s="40" t="str">
        <f t="shared" ca="1" si="449"/>
        <v>dinein</v>
      </c>
    </row>
    <row r="573" spans="1:5" ht="15" customHeight="1" x14ac:dyDescent="0.25">
      <c r="A573" s="35" t="str">
        <f t="shared" ca="1" si="442"/>
        <v/>
      </c>
      <c r="B573" s="31" t="str">
        <f t="shared" ref="B573" ca="1" si="477">IF(MOD(ROW()-3,2)=0, INDIRECT("Sheet1!E" &amp;4+((ROW()-3)/2)-2), "")</f>
        <v xml:space="preserve"> دينَين</v>
      </c>
      <c r="D573" s="75"/>
      <c r="E573" s="41" t="str">
        <f t="shared" ca="1" si="450"/>
        <v xml:space="preserve"> دينَين</v>
      </c>
    </row>
    <row r="574" spans="1:5" x14ac:dyDescent="0.25">
      <c r="A574" s="36" t="str">
        <f t="shared" ca="1" si="442"/>
        <v/>
      </c>
      <c r="B574" s="30" t="str">
        <f t="shared" ref="B574:B634" ca="1" si="478">IF(MOD(ROW()-2,2)=0, INDIRECT("Sheet1!D" &amp;4+((ROW()-2)/2)-2), "")</f>
        <v>shemiyeh</v>
      </c>
      <c r="D574" s="75" t="str">
        <f t="shared" ca="1" si="451"/>
        <v>mole</v>
      </c>
      <c r="E574" s="40" t="str">
        <f t="shared" ca="1" si="452"/>
        <v>shemiyeh</v>
      </c>
    </row>
    <row r="575" spans="1:5" ht="15" customHeight="1" x14ac:dyDescent="0.25">
      <c r="A575" s="34" t="str">
        <f t="shared" ca="1" si="442"/>
        <v>dish of the day</v>
      </c>
      <c r="B575" s="31" t="str">
        <f t="shared" ref="B575:B635" ca="1" si="479">IF(MOD(ROW()-3,2)=0, INDIRECT("Sheet1!E" &amp;4+((ROW()-3)/2)-2), "")</f>
        <v xml:space="preserve"> شاميّة</v>
      </c>
      <c r="D575" s="75"/>
      <c r="E575" s="41" t="str">
        <f t="shared" ca="1" si="453"/>
        <v xml:space="preserve"> شاميّة</v>
      </c>
    </row>
    <row r="576" spans="1:5" x14ac:dyDescent="0.25">
      <c r="A576" s="35" t="str">
        <f t="shared" ca="1" si="442"/>
        <v/>
      </c>
      <c r="B576" s="30" t="str">
        <f t="shared" ref="B576:B636" ca="1" si="480">IF(MOD(ROW()-2,2)=0, INDIRECT("Sheet1!D" &amp;4+((ROW()-2)/2)-2), "")</f>
        <v>sinn</v>
      </c>
      <c r="D576" s="75" t="str">
        <f t="shared" ref="D576" ca="1" si="481">IF(MOD(ROW()-2,2)=0, INDIRECT("Sheet1!A" &amp;4+((ROW()-2)/2)-2), "")</f>
        <v>tooth</v>
      </c>
      <c r="E576" s="40" t="str">
        <f t="shared" ref="E576" ca="1" si="482">IF(MOD(ROW()-2,2)=0, INDIRECT("Sheet1!D" &amp;4+((ROW()-2)/2)-2), "")</f>
        <v>sinn</v>
      </c>
    </row>
    <row r="577" spans="1:5" ht="15" customHeight="1" x14ac:dyDescent="0.25">
      <c r="A577" s="36" t="str">
        <f t="shared" ref="A577:A640" ca="1" si="483">IF(MOD(ROW()-2,3)=0, INDIRECT("Sheet1!A" &amp;4+((ROW()-2)/3)-2), "")</f>
        <v/>
      </c>
      <c r="B577" s="31" t="str">
        <f t="shared" ref="B577:B637" ca="1" si="484">IF(MOD(ROW()-3,2)=0, INDIRECT("Sheet1!E" &amp;4+((ROW()-3)/2)-2), "")</f>
        <v xml:space="preserve"> سِنّ</v>
      </c>
      <c r="D577" s="75"/>
      <c r="E577" s="41" t="str">
        <f t="shared" ref="E577" ca="1" si="485">IF(MOD(ROW()-3,2)=0, INDIRECT("Sheet1!E" &amp;4+((ROW()-3)/2)-2), "")</f>
        <v xml:space="preserve"> سِنّ</v>
      </c>
    </row>
    <row r="578" spans="1:5" ht="15.75" customHeight="1" x14ac:dyDescent="0.25">
      <c r="A578" s="34" t="str">
        <f t="shared" ca="1" si="483"/>
        <v>what is the dish of the day</v>
      </c>
      <c r="B578" s="30" t="str">
        <f t="shared" ref="B578:B638" ca="1" si="486">IF(MOD(ROW()-2,2)=0, INDIRECT("Sheet1!D" &amp;4+((ROW()-2)/2)-2), "")</f>
        <v>snein</v>
      </c>
      <c r="D578" s="75" t="str">
        <f t="shared" ref="D578:D634" ca="1" si="487">IF(MOD(ROW()-2,2)=0, INDIRECT("Sheet1!A" &amp;4+((ROW()-2)/2)-2), "")</f>
        <v>teeth</v>
      </c>
      <c r="E578" s="40" t="str">
        <f t="shared" ref="E578:E634" ca="1" si="488">IF(MOD(ROW()-2,2)=0, INDIRECT("Sheet1!D" &amp;4+((ROW()-2)/2)-2), "")</f>
        <v>snein</v>
      </c>
    </row>
    <row r="579" spans="1:5" ht="15" customHeight="1" x14ac:dyDescent="0.25">
      <c r="A579" s="35" t="str">
        <f t="shared" ca="1" si="483"/>
        <v/>
      </c>
      <c r="B579" s="31" t="str">
        <f t="shared" ref="B579:B639" ca="1" si="489">IF(MOD(ROW()-3,2)=0, INDIRECT("Sheet1!E" &amp;4+((ROW()-3)/2)-2), "")</f>
        <v xml:space="preserve"> سنان</v>
      </c>
      <c r="D579" s="75"/>
      <c r="E579" s="41" t="str">
        <f t="shared" ref="E579:E635" ca="1" si="490">IF(MOD(ROW()-3,2)=0, INDIRECT("Sheet1!E" &amp;4+((ROW()-3)/2)-2), "")</f>
        <v xml:space="preserve"> سنان</v>
      </c>
    </row>
    <row r="580" spans="1:5" x14ac:dyDescent="0.25">
      <c r="A580" s="36" t="str">
        <f t="shared" ca="1" si="483"/>
        <v/>
      </c>
      <c r="B580" s="30" t="str">
        <f t="shared" ref="B580:B640" ca="1" si="491">IF(MOD(ROW()-2,2)=0, INDIRECT("Sheet1!D" &amp;4+((ROW()-2)/2)-2), "")</f>
        <v>lsein</v>
      </c>
      <c r="D580" s="75" t="str">
        <f t="shared" ref="D580:D636" ca="1" si="492">IF(MOD(ROW()-2,2)=0, INDIRECT("Sheet1!A" &amp;4+((ROW()-2)/2)-2), "")</f>
        <v>tongue</v>
      </c>
      <c r="E580" s="40" t="str">
        <f t="shared" ref="E580:E636" ca="1" si="493">IF(MOD(ROW()-2,2)=0, INDIRECT("Sheet1!D" &amp;4+((ROW()-2)/2)-2), "")</f>
        <v>lsein</v>
      </c>
    </row>
    <row r="581" spans="1:5" ht="15" customHeight="1" x14ac:dyDescent="0.25">
      <c r="A581" s="34" t="str">
        <f t="shared" ca="1" si="483"/>
        <v>How much time the food will need to arrive</v>
      </c>
      <c r="B581" s="31" t="str">
        <f t="shared" ref="B581:B641" ca="1" si="494">IF(MOD(ROW()-3,2)=0, INDIRECT("Sheet1!E" &amp;4+((ROW()-3)/2)-2), "")</f>
        <v xml:space="preserve"> لسان</v>
      </c>
      <c r="D581" s="75"/>
      <c r="E581" s="41" t="str">
        <f t="shared" ref="E581:E637" ca="1" si="495">IF(MOD(ROW()-3,2)=0, INDIRECT("Sheet1!E" &amp;4+((ROW()-3)/2)-2), "")</f>
        <v xml:space="preserve"> لسان</v>
      </c>
    </row>
    <row r="582" spans="1:5" x14ac:dyDescent="0.25">
      <c r="A582" s="35" t="str">
        <f t="shared" ca="1" si="483"/>
        <v/>
      </c>
      <c r="B582" s="30" t="str">
        <f t="shared" ref="B582" ca="1" si="496">IF(MOD(ROW()-2,2)=0, INDIRECT("Sheet1!D" &amp;4+((ROW()-2)/2)-2), "")</f>
        <v>shiffeh</v>
      </c>
      <c r="D582" s="75" t="str">
        <f t="shared" ref="D582:D638" ca="1" si="497">IF(MOD(ROW()-2,2)=0, INDIRECT("Sheet1!A" &amp;4+((ROW()-2)/2)-2), "")</f>
        <v>lip</v>
      </c>
      <c r="E582" s="40" t="str">
        <f t="shared" ref="E582:E638" ca="1" si="498">IF(MOD(ROW()-2,2)=0, INDIRECT("Sheet1!D" &amp;4+((ROW()-2)/2)-2), "")</f>
        <v>shiffeh</v>
      </c>
    </row>
    <row r="583" spans="1:5" ht="15" customHeight="1" x14ac:dyDescent="0.25">
      <c r="A583" s="36" t="str">
        <f t="shared" ca="1" si="483"/>
        <v/>
      </c>
      <c r="B583" s="31" t="str">
        <f t="shared" ref="B583" ca="1" si="499">IF(MOD(ROW()-3,2)=0, INDIRECT("Sheet1!E" &amp;4+((ROW()-3)/2)-2), "")</f>
        <v xml:space="preserve"> شِفّه</v>
      </c>
      <c r="D583" s="75"/>
      <c r="E583" s="41" t="str">
        <f t="shared" ref="E583:E639" ca="1" si="500">IF(MOD(ROW()-3,2)=0, INDIRECT("Sheet1!E" &amp;4+((ROW()-3)/2)-2), "")</f>
        <v xml:space="preserve"> شِفّه</v>
      </c>
    </row>
    <row r="584" spans="1:5" ht="15.75" customHeight="1" x14ac:dyDescent="0.25">
      <c r="A584" s="34" t="str">
        <f t="shared" ca="1" si="483"/>
        <v>how much will the food cost</v>
      </c>
      <c r="B584" s="30" t="str">
        <f t="shared" ca="1" si="478"/>
        <v>shfeif</v>
      </c>
      <c r="D584" s="75" t="str">
        <f t="shared" ref="D584:D640" ca="1" si="501">IF(MOD(ROW()-2,2)=0, INDIRECT("Sheet1!A" &amp;4+((ROW()-2)/2)-2), "")</f>
        <v>lips</v>
      </c>
      <c r="E584" s="40" t="str">
        <f t="shared" ref="E584:E640" ca="1" si="502">IF(MOD(ROW()-2,2)=0, INDIRECT("Sheet1!D" &amp;4+((ROW()-2)/2)-2), "")</f>
        <v>shfeif</v>
      </c>
    </row>
    <row r="585" spans="1:5" ht="15" customHeight="1" x14ac:dyDescent="0.25">
      <c r="A585" s="35" t="str">
        <f t="shared" ca="1" si="483"/>
        <v/>
      </c>
      <c r="B585" s="31" t="str">
        <f t="shared" ca="1" si="479"/>
        <v xml:space="preserve"> شفاف</v>
      </c>
      <c r="D585" s="75"/>
      <c r="E585" s="41" t="str">
        <f t="shared" ref="E585:E641" ca="1" si="503">IF(MOD(ROW()-3,2)=0, INDIRECT("Sheet1!E" &amp;4+((ROW()-3)/2)-2), "")</f>
        <v xml:space="preserve"> شفاف</v>
      </c>
    </row>
    <row r="586" spans="1:5" ht="47.25" x14ac:dyDescent="0.25">
      <c r="A586" s="36" t="str">
        <f t="shared" ca="1" si="483"/>
        <v/>
      </c>
      <c r="B586" s="30" t="str">
        <f t="shared" ca="1" si="480"/>
        <v>jesmeh 3am youja3neh</v>
      </c>
      <c r="D586" s="75" t="str">
        <f t="shared" ref="D586:D642" ca="1" si="504">IF(MOD(ROW()-2,2)=0, INDIRECT("Sheet1!A" &amp;4+((ROW()-2)/2)-2), "")</f>
        <v>My body hurts</v>
      </c>
      <c r="E586" s="40" t="str">
        <f t="shared" ref="E586:E642" ca="1" si="505">IF(MOD(ROW()-2,2)=0, INDIRECT("Sheet1!D" &amp;4+((ROW()-2)/2)-2), "")</f>
        <v>jesmeh 3am youja3neh</v>
      </c>
    </row>
    <row r="587" spans="1:5" ht="15" customHeight="1" x14ac:dyDescent="0.25">
      <c r="A587" s="34" t="str">
        <f t="shared" ca="1" si="483"/>
        <v>Winter</v>
      </c>
      <c r="B587" s="31" t="str">
        <f t="shared" ca="1" si="484"/>
        <v>جِسمي عَم يوجَعني</v>
      </c>
      <c r="D587" s="75"/>
      <c r="E587" s="41" t="str">
        <f t="shared" ref="E587:E643" ca="1" si="506">IF(MOD(ROW()-3,2)=0, INDIRECT("Sheet1!E" &amp;4+((ROW()-3)/2)-2), "")</f>
        <v>جِسمي عَم يوجَعني</v>
      </c>
    </row>
    <row r="588" spans="1:5" ht="63" x14ac:dyDescent="0.25">
      <c r="A588" s="35" t="str">
        <f t="shared" ca="1" si="483"/>
        <v/>
      </c>
      <c r="B588" s="30" t="str">
        <f t="shared" ca="1" si="486"/>
        <v>heydeh el benet sha3ra taweel</v>
      </c>
      <c r="D588" s="75" t="str">
        <f t="shared" ref="D588:D644" ca="1" si="507">IF(MOD(ROW()-2,2)=0, INDIRECT("Sheet1!A" &amp;4+((ROW()-2)/2)-2), "")</f>
        <v>This girl has long hair</v>
      </c>
      <c r="E588" s="40" t="str">
        <f t="shared" ref="E588:E644" ca="1" si="508">IF(MOD(ROW()-2,2)=0, INDIRECT("Sheet1!D" &amp;4+((ROW()-2)/2)-2), "")</f>
        <v>heydeh el benet sha3ra taweel</v>
      </c>
    </row>
    <row r="589" spans="1:5" ht="15" customHeight="1" x14ac:dyDescent="0.25">
      <c r="A589" s="36" t="str">
        <f t="shared" ca="1" si="483"/>
        <v/>
      </c>
      <c r="B589" s="31" t="str">
        <f t="shared" ca="1" si="489"/>
        <v>هيدي البنت شعرا طويل</v>
      </c>
      <c r="D589" s="75"/>
      <c r="E589" s="41" t="str">
        <f t="shared" ref="E589:E645" ca="1" si="509">IF(MOD(ROW()-3,2)=0, INDIRECT("Sheet1!E" &amp;4+((ROW()-3)/2)-2), "")</f>
        <v>هيدي البنت شعرا طويل</v>
      </c>
    </row>
    <row r="590" spans="1:5" ht="63" x14ac:dyDescent="0.25">
      <c r="A590" s="34" t="str">
        <f t="shared" ca="1" si="483"/>
        <v>Cold</v>
      </c>
      <c r="B590" s="30" t="str">
        <f t="shared" ca="1" si="491"/>
        <v>heyda el sabeh sha3ro aseer</v>
      </c>
      <c r="D590" s="75" t="str">
        <f t="shared" ref="D590" ca="1" si="510">IF(MOD(ROW()-2,2)=0, INDIRECT("Sheet1!A" &amp;4+((ROW()-2)/2)-2), "")</f>
        <v>This boy has long hair</v>
      </c>
      <c r="E590" s="40" t="str">
        <f t="shared" ref="E590" ca="1" si="511">IF(MOD(ROW()-2,2)=0, INDIRECT("Sheet1!D" &amp;4+((ROW()-2)/2)-2), "")</f>
        <v>heyda el sabeh sha3ro aseer</v>
      </c>
    </row>
    <row r="591" spans="1:5" ht="15" customHeight="1" x14ac:dyDescent="0.25">
      <c r="A591" s="35" t="str">
        <f t="shared" ca="1" si="483"/>
        <v/>
      </c>
      <c r="B591" s="31" t="str">
        <f t="shared" ca="1" si="494"/>
        <v>هيدا الصبي شعرو طويل</v>
      </c>
      <c r="D591" s="75"/>
      <c r="E591" s="41" t="str">
        <f t="shared" ref="E591" ca="1" si="512">IF(MOD(ROW()-3,2)=0, INDIRECT("Sheet1!E" &amp;4+((ROW()-3)/2)-2), "")</f>
        <v>هيدا الصبي شعرو طويل</v>
      </c>
    </row>
    <row r="592" spans="1:5" ht="47.25" x14ac:dyDescent="0.25">
      <c r="A592" s="36" t="str">
        <f t="shared" ca="1" si="483"/>
        <v/>
      </c>
      <c r="B592" s="30" t="str">
        <f t="shared" ref="B592" ca="1" si="513">IF(MOD(ROW()-2,2)=0, INDIRECT("Sheet1!D" &amp;4+((ROW()-2)/2)-2), "")</f>
        <v>raseh 3am youja3neh</v>
      </c>
      <c r="D592" s="75" t="str">
        <f t="shared" ca="1" si="487"/>
        <v>i have a headache</v>
      </c>
      <c r="E592" s="40" t="str">
        <f t="shared" ca="1" si="488"/>
        <v>raseh 3am youja3neh</v>
      </c>
    </row>
    <row r="593" spans="1:5" ht="15" customHeight="1" x14ac:dyDescent="0.25">
      <c r="A593" s="34" t="str">
        <f t="shared" ca="1" si="483"/>
        <v xml:space="preserve">Storm </v>
      </c>
      <c r="B593" s="31" t="str">
        <f t="shared" ref="B593" ca="1" si="514">IF(MOD(ROW()-3,2)=0, INDIRECT("Sheet1!E" &amp;4+((ROW()-3)/2)-2), "")</f>
        <v xml:space="preserve"> راسي عم يوجعني</v>
      </c>
      <c r="D593" s="75"/>
      <c r="E593" s="41" t="str">
        <f t="shared" ca="1" si="490"/>
        <v xml:space="preserve"> راسي عم يوجعني</v>
      </c>
    </row>
    <row r="594" spans="1:5" ht="63" x14ac:dyDescent="0.25">
      <c r="A594" s="35" t="str">
        <f t="shared" ca="1" si="483"/>
        <v/>
      </c>
      <c r="B594" s="30" t="str">
        <f t="shared" ca="1" si="478"/>
        <v>heydeh el benet kteer d3ifeh</v>
      </c>
      <c r="D594" s="75" t="str">
        <f t="shared" ca="1" si="492"/>
        <v>this girl is so skinny</v>
      </c>
      <c r="E594" s="40" t="str">
        <f t="shared" ca="1" si="493"/>
        <v>heydeh el benet kteer d3ifeh</v>
      </c>
    </row>
    <row r="595" spans="1:5" ht="15" customHeight="1" x14ac:dyDescent="0.25">
      <c r="A595" s="36" t="str">
        <f t="shared" ca="1" si="483"/>
        <v/>
      </c>
      <c r="B595" s="31" t="str">
        <f t="shared" ca="1" si="479"/>
        <v xml:space="preserve"> هيدي البنت كتير ضعيفه</v>
      </c>
      <c r="D595" s="75"/>
      <c r="E595" s="41" t="str">
        <f t="shared" ca="1" si="495"/>
        <v xml:space="preserve"> هيدي البنت كتير ضعيفه</v>
      </c>
    </row>
    <row r="596" spans="1:5" ht="47.25" x14ac:dyDescent="0.25">
      <c r="A596" s="34" t="str">
        <f t="shared" ca="1" si="483"/>
        <v>Snow</v>
      </c>
      <c r="B596" s="30" t="str">
        <f t="shared" ca="1" si="480"/>
        <v>heyda el sabeh naseH</v>
      </c>
      <c r="D596" s="75" t="str">
        <f t="shared" ca="1" si="497"/>
        <v>this boy is fat</v>
      </c>
      <c r="E596" s="40" t="str">
        <f t="shared" ca="1" si="498"/>
        <v>heyda el sabeh naseH</v>
      </c>
    </row>
    <row r="597" spans="1:5" ht="15" customHeight="1" x14ac:dyDescent="0.25">
      <c r="A597" s="35" t="str">
        <f t="shared" ca="1" si="483"/>
        <v/>
      </c>
      <c r="B597" s="31" t="str">
        <f t="shared" ca="1" si="484"/>
        <v>هيدا الصَبي ناصِح</v>
      </c>
      <c r="D597" s="75"/>
      <c r="E597" s="41" t="str">
        <f t="shared" ca="1" si="500"/>
        <v>هيدا الصَبي ناصِح</v>
      </c>
    </row>
    <row r="598" spans="1:5" x14ac:dyDescent="0.25">
      <c r="A598" s="36" t="str">
        <f t="shared" ca="1" si="483"/>
        <v/>
      </c>
      <c r="B598" s="30" t="str">
        <f t="shared" ca="1" si="486"/>
        <v>nasiHa</v>
      </c>
      <c r="D598" s="75" t="str">
        <f t="shared" ca="1" si="501"/>
        <v xml:space="preserve">Advice </v>
      </c>
      <c r="E598" s="40" t="str">
        <f t="shared" ca="1" si="502"/>
        <v>nasiHa</v>
      </c>
    </row>
    <row r="599" spans="1:5" ht="15" customHeight="1" x14ac:dyDescent="0.25">
      <c r="A599" s="34" t="str">
        <f t="shared" ca="1" si="483"/>
        <v xml:space="preserve">Road </v>
      </c>
      <c r="B599" s="31" t="str">
        <f t="shared" ca="1" si="489"/>
        <v>نَصيحَة</v>
      </c>
      <c r="D599" s="75"/>
      <c r="E599" s="41" t="str">
        <f t="shared" ca="1" si="503"/>
        <v>نَصيحَة</v>
      </c>
    </row>
    <row r="600" spans="1:5" x14ac:dyDescent="0.25">
      <c r="A600" s="35" t="str">
        <f t="shared" ca="1" si="483"/>
        <v/>
      </c>
      <c r="B600" s="30" t="str">
        <f t="shared" ca="1" si="491"/>
        <v>sabab?</v>
      </c>
      <c r="D600" s="75" t="str">
        <f t="shared" ca="1" si="504"/>
        <v xml:space="preserve">Cause </v>
      </c>
      <c r="E600" s="40" t="str">
        <f t="shared" ca="1" si="505"/>
        <v>sabab?</v>
      </c>
    </row>
    <row r="601" spans="1:5" ht="15" customHeight="1" x14ac:dyDescent="0.25">
      <c r="A601" s="36" t="str">
        <f t="shared" ca="1" si="483"/>
        <v/>
      </c>
      <c r="B601" s="31" t="str">
        <f t="shared" ca="1" si="494"/>
        <v>سَبَب</v>
      </c>
      <c r="D601" s="75"/>
      <c r="E601" s="41" t="str">
        <f t="shared" ca="1" si="506"/>
        <v>سَبَب</v>
      </c>
    </row>
    <row r="602" spans="1:5" x14ac:dyDescent="0.25">
      <c r="A602" s="34" t="str">
        <f t="shared" ca="1" si="483"/>
        <v xml:space="preserve">Electrical heater </v>
      </c>
      <c r="B602" s="30" t="str">
        <f t="shared" ref="B602" ca="1" si="515">IF(MOD(ROW()-2,2)=0, INDIRECT("Sheet1!D" &amp;4+((ROW()-2)/2)-2), "")</f>
        <v>wirateh</v>
      </c>
      <c r="D602" s="75" t="str">
        <f t="shared" ca="1" si="507"/>
        <v xml:space="preserve">Hereditary </v>
      </c>
      <c r="E602" s="40" t="str">
        <f t="shared" ca="1" si="508"/>
        <v>wirateh</v>
      </c>
    </row>
    <row r="603" spans="1:5" ht="15" customHeight="1" x14ac:dyDescent="0.25">
      <c r="A603" s="35" t="str">
        <f t="shared" ca="1" si="483"/>
        <v/>
      </c>
      <c r="B603" s="31" t="str">
        <f t="shared" ref="B603" ca="1" si="516">IF(MOD(ROW()-3,2)=0, INDIRECT("Sheet1!E" &amp;4+((ROW()-3)/2)-2), "")</f>
        <v xml:space="preserve">وِراتي </v>
      </c>
      <c r="D603" s="75"/>
      <c r="E603" s="41" t="str">
        <f t="shared" ca="1" si="509"/>
        <v xml:space="preserve">وِراتي </v>
      </c>
    </row>
    <row r="604" spans="1:5" x14ac:dyDescent="0.25">
      <c r="A604" s="36" t="str">
        <f t="shared" ca="1" si="483"/>
        <v/>
      </c>
      <c r="B604" s="30" t="str">
        <f t="shared" ca="1" si="478"/>
        <v>dawa</v>
      </c>
      <c r="D604" s="75" t="str">
        <f t="shared" ref="D604" ca="1" si="517">IF(MOD(ROW()-2,2)=0, INDIRECT("Sheet1!A" &amp;4+((ROW()-2)/2)-2), "")</f>
        <v xml:space="preserve">Medicine </v>
      </c>
      <c r="E604" s="40" t="str">
        <f t="shared" ref="E604" ca="1" si="518">IF(MOD(ROW()-2,2)=0, INDIRECT("Sheet1!D" &amp;4+((ROW()-2)/2)-2), "")</f>
        <v>dawa</v>
      </c>
    </row>
    <row r="605" spans="1:5" ht="15" customHeight="1" x14ac:dyDescent="0.25">
      <c r="A605" s="34" t="str">
        <f t="shared" ca="1" si="483"/>
        <v xml:space="preserve">Chimney </v>
      </c>
      <c r="B605" s="31" t="str">
        <f t="shared" ca="1" si="479"/>
        <v>دَوا</v>
      </c>
      <c r="D605" s="75"/>
      <c r="E605" s="41" t="str">
        <f t="shared" ref="E605" ca="1" si="519">IF(MOD(ROW()-3,2)=0, INDIRECT("Sheet1!E" &amp;4+((ROW()-3)/2)-2), "")</f>
        <v>دَوا</v>
      </c>
    </row>
    <row r="606" spans="1:5" x14ac:dyDescent="0.25">
      <c r="A606" s="35" t="str">
        <f t="shared" ca="1" si="483"/>
        <v/>
      </c>
      <c r="B606" s="30" t="str">
        <f t="shared" ca="1" si="480"/>
        <v>edewyeh</v>
      </c>
      <c r="D606" s="75" t="str">
        <f t="shared" ca="1" si="487"/>
        <v xml:space="preserve">Medicines </v>
      </c>
      <c r="E606" s="40" t="str">
        <f t="shared" ca="1" si="488"/>
        <v>edewyeh</v>
      </c>
    </row>
    <row r="607" spans="1:5" ht="15" customHeight="1" x14ac:dyDescent="0.25">
      <c r="A607" s="36" t="str">
        <f t="shared" ca="1" si="483"/>
        <v/>
      </c>
      <c r="B607" s="31" t="str">
        <f t="shared" ca="1" si="484"/>
        <v>إدوية</v>
      </c>
      <c r="D607" s="75"/>
      <c r="E607" s="41" t="str">
        <f t="shared" ca="1" si="490"/>
        <v>إدوية</v>
      </c>
    </row>
    <row r="608" spans="1:5" ht="78.75" x14ac:dyDescent="0.25">
      <c r="A608" s="34" t="str">
        <f t="shared" ca="1" si="483"/>
        <v xml:space="preserve">Coal </v>
      </c>
      <c r="B608" s="30" t="str">
        <f t="shared" ca="1" si="486"/>
        <v>ana mareed/ mareeda sakhin/ sakhneh</v>
      </c>
      <c r="D608" s="75" t="str">
        <f t="shared" ca="1" si="492"/>
        <v>I'm sick</v>
      </c>
      <c r="E608" s="40" t="str">
        <f t="shared" ca="1" si="493"/>
        <v>ana mareed/ mareeda sakhin/ sakhneh</v>
      </c>
    </row>
    <row r="609" spans="1:5" ht="60" x14ac:dyDescent="0.25">
      <c r="A609" s="35" t="str">
        <f t="shared" ca="1" si="483"/>
        <v/>
      </c>
      <c r="B609" s="31" t="str">
        <f t="shared" ca="1" si="489"/>
        <v xml:space="preserve">أنا مَريض/ مَريضَة صاخِن/ صاخنة </v>
      </c>
      <c r="D609" s="75"/>
      <c r="E609" s="41" t="str">
        <f t="shared" ca="1" si="495"/>
        <v xml:space="preserve">أنا مَريض/ مَريضَة صاخِن/ صاخنة </v>
      </c>
    </row>
    <row r="610" spans="1:5" ht="47.25" x14ac:dyDescent="0.25">
      <c r="A610" s="36" t="str">
        <f t="shared" ca="1" si="483"/>
        <v/>
      </c>
      <c r="B610" s="30" t="str">
        <f t="shared" ca="1" si="491"/>
        <v>ana te3bein/ te3beineh</v>
      </c>
      <c r="D610" s="75" t="str">
        <f t="shared" ca="1" si="497"/>
        <v xml:space="preserve">I'm feeling tired </v>
      </c>
      <c r="E610" s="40" t="str">
        <f t="shared" ca="1" si="498"/>
        <v>ana te3bein/ te3beineh</v>
      </c>
    </row>
    <row r="611" spans="1:5" ht="15" customHeight="1" x14ac:dyDescent="0.25">
      <c r="A611" s="34" t="str">
        <f t="shared" ca="1" si="483"/>
        <v xml:space="preserve">winter food </v>
      </c>
      <c r="B611" s="31" t="str">
        <f t="shared" ca="1" si="494"/>
        <v xml:space="preserve">أنا تعبان/ تعبانة </v>
      </c>
      <c r="D611" s="75"/>
      <c r="E611" s="41" t="str">
        <f t="shared" ca="1" si="500"/>
        <v xml:space="preserve">أنا تعبان/ تعبانة </v>
      </c>
    </row>
    <row r="612" spans="1:5" ht="78.75" x14ac:dyDescent="0.25">
      <c r="A612" s="35" t="str">
        <f t="shared" ca="1" si="483"/>
        <v/>
      </c>
      <c r="B612" s="30" t="str">
        <f t="shared" ref="B612" ca="1" si="520">IF(MOD(ROW()-2,2)=0, INDIRECT("Sheet1!D" &amp;4+((ROW()-2)/2)-2), "")</f>
        <v>baddeh shouf Hakeem/ Hakeemeh</v>
      </c>
      <c r="D612" s="75" t="str">
        <f t="shared" ca="1" si="501"/>
        <v xml:space="preserve">I want to see a doctor </v>
      </c>
      <c r="E612" s="40" t="str">
        <f t="shared" ca="1" si="502"/>
        <v>baddeh shouf Hakeem/ Hakeemeh</v>
      </c>
    </row>
    <row r="613" spans="1:5" ht="15" customHeight="1" x14ac:dyDescent="0.25">
      <c r="A613" s="36" t="str">
        <f t="shared" ca="1" si="483"/>
        <v/>
      </c>
      <c r="B613" s="31" t="str">
        <f t="shared" ref="B613" ca="1" si="521">IF(MOD(ROW()-3,2)=0, INDIRECT("Sheet1!E" &amp;4+((ROW()-3)/2)-2), "")</f>
        <v>بَدّي شوف حَكيم/ حَكيمة</v>
      </c>
      <c r="D613" s="75"/>
      <c r="E613" s="41" t="str">
        <f t="shared" ca="1" si="503"/>
        <v>بَدّي شوف حَكيم/ حَكيمة</v>
      </c>
    </row>
    <row r="614" spans="1:5" ht="141.75" x14ac:dyDescent="0.25">
      <c r="A614" s="34" t="str">
        <f t="shared" ca="1" si="483"/>
        <v xml:space="preserve">Chestnut </v>
      </c>
      <c r="B614" s="30" t="str">
        <f t="shared" ca="1" si="478"/>
        <v>feek tonsaHneh/ feekeh tonsaHeeneh bi Hakeem/ Hakeemeh shatir/ shatra</v>
      </c>
      <c r="D614" s="75" t="str">
        <f t="shared" ca="1" si="504"/>
        <v>Can you advice a good doctor</v>
      </c>
      <c r="E614" s="40" t="str">
        <f t="shared" ca="1" si="505"/>
        <v>feek tonsaHneh/ feekeh tonsaHeeneh bi Hakeem/ Hakeemeh shatir/ shatra</v>
      </c>
    </row>
    <row r="615" spans="1:5" ht="120" x14ac:dyDescent="0.25">
      <c r="A615" s="35" t="str">
        <f t="shared" ca="1" si="483"/>
        <v/>
      </c>
      <c r="B615" s="31" t="str">
        <f t="shared" ca="1" si="479"/>
        <v>فيك تُنصَحني بحكيم شاطِر/ فيكي تُنصَحيني بحَكيمي شاطرَة</v>
      </c>
      <c r="D615" s="75"/>
      <c r="E615" s="41" t="str">
        <f t="shared" ca="1" si="506"/>
        <v>فيك تُنصَحني بحكيم شاطِر/ فيكي تُنصَحيني بحَكيمي شاطرَة</v>
      </c>
    </row>
    <row r="616" spans="1:5" ht="63" x14ac:dyDescent="0.25">
      <c r="A616" s="36" t="str">
        <f t="shared" ca="1" si="483"/>
        <v/>
      </c>
      <c r="B616" s="30" t="str">
        <f t="shared" ca="1" si="480"/>
        <v>Hasis/ Hasseh bi waja3 bi me3dteh</v>
      </c>
      <c r="D616" s="75" t="str">
        <f t="shared" ca="1" si="507"/>
        <v xml:space="preserve">I feel pain in my stomach </v>
      </c>
      <c r="E616" s="40" t="str">
        <f t="shared" ca="1" si="508"/>
        <v>Hasis/ Hasseh bi waja3 bi me3dteh</v>
      </c>
    </row>
    <row r="617" spans="1:5" ht="15" customHeight="1" x14ac:dyDescent="0.25">
      <c r="A617" s="34" t="str">
        <f t="shared" ca="1" si="483"/>
        <v xml:space="preserve">Grilled potatoe </v>
      </c>
      <c r="B617" s="31" t="str">
        <f t="shared" ca="1" si="484"/>
        <v>حاسِس/ حاسّي بِوَجَع بمعدتي</v>
      </c>
      <c r="D617" s="75"/>
      <c r="E617" s="41" t="str">
        <f t="shared" ca="1" si="509"/>
        <v>حاسِس/ حاسّي بِوَجَع بمعدتي</v>
      </c>
    </row>
    <row r="618" spans="1:5" ht="47.25" x14ac:dyDescent="0.25">
      <c r="A618" s="35" t="str">
        <f t="shared" ca="1" si="483"/>
        <v/>
      </c>
      <c r="B618" s="30" t="str">
        <f t="shared" ca="1" si="486"/>
        <v>raseh 3am youja3neh</v>
      </c>
      <c r="D618" s="75" t="str">
        <f t="shared" ref="D618" ca="1" si="522">IF(MOD(ROW()-2,2)=0, INDIRECT("Sheet1!A" &amp;4+((ROW()-2)/2)-2), "")</f>
        <v xml:space="preserve">I have  a headache </v>
      </c>
      <c r="E618" s="40" t="str">
        <f t="shared" ref="E618" ca="1" si="523">IF(MOD(ROW()-2,2)=0, INDIRECT("Sheet1!D" &amp;4+((ROW()-2)/2)-2), "")</f>
        <v>raseh 3am youja3neh</v>
      </c>
    </row>
    <row r="619" spans="1:5" ht="15" customHeight="1" x14ac:dyDescent="0.25">
      <c r="A619" s="36" t="str">
        <f t="shared" ca="1" si="483"/>
        <v/>
      </c>
      <c r="B619" s="31" t="str">
        <f t="shared" ca="1" si="489"/>
        <v>راسي عَ يوجَعني</v>
      </c>
      <c r="D619" s="75"/>
      <c r="E619" s="41" t="str">
        <f t="shared" ref="E619" ca="1" si="524">IF(MOD(ROW()-3,2)=0, INDIRECT("Sheet1!E" &amp;4+((ROW()-3)/2)-2), "")</f>
        <v>راسي عَ يوجَعني</v>
      </c>
    </row>
    <row r="620" spans="1:5" ht="47.25" x14ac:dyDescent="0.25">
      <c r="A620" s="34" t="str">
        <f t="shared" ca="1" si="483"/>
        <v xml:space="preserve">Soup </v>
      </c>
      <c r="B620" s="30" t="str">
        <f t="shared" ca="1" si="491"/>
        <v>eedeh 3am touja3neh</v>
      </c>
      <c r="D620" s="75" t="str">
        <f t="shared" ca="1" si="487"/>
        <v xml:space="preserve">My arm hearts </v>
      </c>
      <c r="E620" s="40" t="str">
        <f t="shared" ca="1" si="488"/>
        <v>eedeh 3am touja3neh</v>
      </c>
    </row>
    <row r="621" spans="1:5" ht="15" customHeight="1" x14ac:dyDescent="0.25">
      <c r="A621" s="35" t="str">
        <f t="shared" ca="1" si="483"/>
        <v/>
      </c>
      <c r="B621" s="31" t="str">
        <f t="shared" ca="1" si="494"/>
        <v xml:space="preserve">إدي عَم توجَعني </v>
      </c>
      <c r="D621" s="75"/>
      <c r="E621" s="41" t="str">
        <f t="shared" ca="1" si="490"/>
        <v xml:space="preserve">إدي عَم توجَعني </v>
      </c>
    </row>
    <row r="622" spans="1:5" ht="47.25" x14ac:dyDescent="0.25">
      <c r="A622" s="36" t="str">
        <f t="shared" ca="1" si="483"/>
        <v/>
      </c>
      <c r="B622" s="30" t="str">
        <f t="shared" ref="B622" ca="1" si="525">IF(MOD(ROW()-2,2)=0, INDIRECT("Sheet1!D" &amp;4+((ROW()-2)/2)-2), "")</f>
        <v>Hakeem, fi shi khotir?</v>
      </c>
      <c r="D622" s="75" t="str">
        <f t="shared" ca="1" si="492"/>
        <v xml:space="preserve">Doctor, is it something serious (dangerous) </v>
      </c>
      <c r="E622" s="40" t="str">
        <f t="shared" ca="1" si="493"/>
        <v>Hakeem, fi shi khotir?</v>
      </c>
    </row>
    <row r="623" spans="1:5" ht="15" customHeight="1" x14ac:dyDescent="0.25">
      <c r="A623" s="34" t="str">
        <f t="shared" ca="1" si="483"/>
        <v xml:space="preserve">Scarf </v>
      </c>
      <c r="B623" s="31" t="str">
        <f t="shared" ref="B623" ca="1" si="526">IF(MOD(ROW()-3,2)=0, INDIRECT("Sheet1!E" &amp;4+((ROW()-3)/2)-2), "")</f>
        <v>حَكيم، في شي خُطِر؟</v>
      </c>
      <c r="D623" s="75"/>
      <c r="E623" s="41" t="str">
        <f t="shared" ca="1" si="495"/>
        <v>حَكيم، في شي خُطِر؟</v>
      </c>
    </row>
    <row r="624" spans="1:5" ht="94.5" x14ac:dyDescent="0.25">
      <c r="A624" s="35" t="str">
        <f t="shared" ca="1" si="483"/>
        <v/>
      </c>
      <c r="B624" s="30" t="str">
        <f t="shared" ca="1" si="478"/>
        <v>shou yalleh 3am bisabbebleh hal waja3?</v>
      </c>
      <c r="D624" s="75" t="str">
        <f t="shared" ca="1" si="497"/>
        <v>What's causing me this pain?</v>
      </c>
      <c r="E624" s="40" t="str">
        <f t="shared" ca="1" si="498"/>
        <v>shou yalleh 3am bisabbebleh hal waja3?</v>
      </c>
    </row>
    <row r="625" spans="1:5" ht="15" customHeight="1" x14ac:dyDescent="0.25">
      <c r="A625" s="36" t="str">
        <f t="shared" ca="1" si="483"/>
        <v/>
      </c>
      <c r="B625" s="31" t="str">
        <f t="shared" ca="1" si="479"/>
        <v xml:space="preserve">شو يَلّي عَم بِسبّبلي هَل وَجَع </v>
      </c>
      <c r="D625" s="75"/>
      <c r="E625" s="41" t="str">
        <f t="shared" ca="1" si="500"/>
        <v xml:space="preserve">شو يَلّي عَم بِسبّبلي هَل وَجَع </v>
      </c>
    </row>
    <row r="626" spans="1:5" ht="31.5" x14ac:dyDescent="0.25">
      <c r="A626" s="34" t="str">
        <f t="shared" ca="1" si="483"/>
        <v xml:space="preserve">Gloves </v>
      </c>
      <c r="B626" s="30" t="str">
        <f t="shared" ca="1" si="480"/>
        <v>fi Hall/ 3ileij?</v>
      </c>
      <c r="D626" s="75" t="str">
        <f t="shared" ca="1" si="501"/>
        <v xml:space="preserve">Is their a solution/ treatment </v>
      </c>
      <c r="E626" s="40" t="str">
        <f t="shared" ca="1" si="502"/>
        <v>fi Hall/ 3ileij?</v>
      </c>
    </row>
    <row r="627" spans="1:5" ht="15" customHeight="1" x14ac:dyDescent="0.25">
      <c r="A627" s="35" t="str">
        <f t="shared" ca="1" si="483"/>
        <v/>
      </c>
      <c r="B627" s="31" t="str">
        <f t="shared" ca="1" si="484"/>
        <v>في حَلّ/ عِلاج</v>
      </c>
      <c r="D627" s="75"/>
      <c r="E627" s="41" t="str">
        <f t="shared" ca="1" si="503"/>
        <v>في حَلّ/ عِلاج</v>
      </c>
    </row>
    <row r="628" spans="1:5" ht="63" x14ac:dyDescent="0.25">
      <c r="A628" s="36" t="str">
        <f t="shared" ca="1" si="483"/>
        <v/>
      </c>
      <c r="B628" s="30" t="str">
        <f t="shared" ca="1" si="486"/>
        <v>leizim a3moul ba3ed fHousat?</v>
      </c>
      <c r="D628" s="75" t="str">
        <f t="shared" ca="1" si="504"/>
        <v>Shoud I do more exams?</v>
      </c>
      <c r="E628" s="40" t="str">
        <f t="shared" ca="1" si="505"/>
        <v>leizim a3moul ba3ed fHousat?</v>
      </c>
    </row>
    <row r="629" spans="1:5" ht="15" customHeight="1" x14ac:dyDescent="0.25">
      <c r="A629" s="34" t="str">
        <f t="shared" ca="1" si="483"/>
        <v xml:space="preserve">Hat </v>
      </c>
      <c r="B629" s="31" t="str">
        <f t="shared" ca="1" si="489"/>
        <v>لازِم أعمُل بَعد فحوصات؟</v>
      </c>
      <c r="D629" s="75"/>
      <c r="E629" s="41" t="str">
        <f t="shared" ca="1" si="506"/>
        <v>لازِم أعمُل بَعد فحوصات؟</v>
      </c>
    </row>
    <row r="630" spans="1:5" ht="110.25" x14ac:dyDescent="0.25">
      <c r="A630" s="35" t="str">
        <f t="shared" ca="1" si="483"/>
        <v/>
      </c>
      <c r="B630" s="30" t="str">
        <f t="shared" ca="1" si="491"/>
        <v>bte3te'id/ bte3te'deh lezim a3moul 3amaliyeh?</v>
      </c>
      <c r="D630" s="75" t="str">
        <f t="shared" ca="1" si="507"/>
        <v>Do you think I should do an operation?</v>
      </c>
      <c r="E630" s="40" t="str">
        <f t="shared" ca="1" si="508"/>
        <v>bte3te'id/ bte3te'deh lezim a3moul 3amaliyeh?</v>
      </c>
    </row>
    <row r="631" spans="1:5" ht="15" customHeight="1" x14ac:dyDescent="0.25">
      <c r="A631" s="36" t="str">
        <f t="shared" ca="1" si="483"/>
        <v/>
      </c>
      <c r="B631" s="31" t="str">
        <f t="shared" ca="1" si="494"/>
        <v>بتعتقد/ بتعتقدي لازم أعمُل عمَليّة؟</v>
      </c>
      <c r="D631" s="75"/>
      <c r="E631" s="41" t="str">
        <f t="shared" ca="1" si="509"/>
        <v>بتعتقد/ بتعتقدي لازم أعمُل عمَليّة؟</v>
      </c>
    </row>
    <row r="632" spans="1:5" ht="94.5" x14ac:dyDescent="0.25">
      <c r="A632" s="34" t="str">
        <f t="shared" ca="1" si="483"/>
        <v xml:space="preserve">Coat </v>
      </c>
      <c r="B632" s="30" t="str">
        <f t="shared" ref="B632" ca="1" si="527">IF(MOD(ROW()-2,2)=0, INDIRECT("Sheet1!D" &amp;4+((ROW()-2)/2)-2), "")</f>
        <v>khabberneh shou Hassis/ khabreeneh shou Hasseh</v>
      </c>
      <c r="D632" s="75" t="str">
        <f t="shared" ref="D632" ca="1" si="528">IF(MOD(ROW()-2,2)=0, INDIRECT("Sheet1!A" &amp;4+((ROW()-2)/2)-2), "")</f>
        <v xml:space="preserve">Tell me what are you feeling </v>
      </c>
      <c r="E632" s="40" t="str">
        <f t="shared" ref="E632" ca="1" si="529">IF(MOD(ROW()-2,2)=0, INDIRECT("Sheet1!D" &amp;4+((ROW()-2)/2)-2), "")</f>
        <v>khabberneh shou Hassis/ khabreeneh shou Hasseh</v>
      </c>
    </row>
    <row r="633" spans="1:5" ht="60" x14ac:dyDescent="0.25">
      <c r="A633" s="35" t="str">
        <f t="shared" ca="1" si="483"/>
        <v/>
      </c>
      <c r="B633" s="31" t="str">
        <f t="shared" ref="B633" ca="1" si="530">IF(MOD(ROW()-3,2)=0, INDIRECT("Sheet1!E" &amp;4+((ROW()-3)/2)-2), "")</f>
        <v>خَبّرني شو حاسِس/ خَبريني شو حاسّي</v>
      </c>
      <c r="D633" s="75"/>
      <c r="E633" s="41" t="str">
        <f t="shared" ref="E633" ca="1" si="531">IF(MOD(ROW()-3,2)=0, INDIRECT("Sheet1!E" &amp;4+((ROW()-3)/2)-2), "")</f>
        <v>خَبّرني شو حاسِس/ خَبريني شو حاسّي</v>
      </c>
    </row>
    <row r="634" spans="1:5" ht="47.25" x14ac:dyDescent="0.25">
      <c r="A634" s="36" t="str">
        <f t="shared" ca="1" si="483"/>
        <v/>
      </c>
      <c r="B634" s="30" t="str">
        <f t="shared" ca="1" si="478"/>
        <v>wein 3am youja3ak/ youja3ik?</v>
      </c>
      <c r="D634" s="75" t="str">
        <f t="shared" ca="1" si="487"/>
        <v>Where do you feel pain?</v>
      </c>
      <c r="E634" s="40" t="str">
        <f t="shared" ca="1" si="488"/>
        <v>wein 3am youja3ak/ youja3ik?</v>
      </c>
    </row>
    <row r="635" spans="1:5" ht="15" customHeight="1" x14ac:dyDescent="0.25">
      <c r="A635" s="34" t="str">
        <f t="shared" ca="1" si="483"/>
        <v xml:space="preserve">Today, it's really cold </v>
      </c>
      <c r="B635" s="31" t="str">
        <f t="shared" ca="1" si="479"/>
        <v>وَين عَم يوجَعَك/ يوجَعِك؟</v>
      </c>
      <c r="D635" s="75"/>
      <c r="E635" s="41" t="str">
        <f t="shared" ca="1" si="490"/>
        <v>وَين عَم يوجَعَك/ يوجَعِك؟</v>
      </c>
    </row>
    <row r="636" spans="1:5" ht="126" x14ac:dyDescent="0.25">
      <c r="A636" s="35" t="str">
        <f t="shared" ca="1" si="483"/>
        <v/>
      </c>
      <c r="B636" s="30" t="str">
        <f t="shared" ca="1" si="480"/>
        <v>addeh sarlo el waja3 (addeh sarlak mawjou3/mawjou3a)?</v>
      </c>
      <c r="D636" s="75" t="str">
        <f t="shared" ca="1" si="492"/>
        <v>For how long has it been hearting</v>
      </c>
      <c r="E636" s="40" t="str">
        <f t="shared" ca="1" si="493"/>
        <v>addeh sarlo el waja3 (addeh sarlak mawjou3/mawjou3a)?</v>
      </c>
    </row>
    <row r="637" spans="1:5" ht="75" x14ac:dyDescent="0.25">
      <c r="A637" s="36" t="str">
        <f t="shared" ca="1" si="483"/>
        <v/>
      </c>
      <c r="B637" s="31" t="str">
        <f t="shared" ca="1" si="484"/>
        <v xml:space="preserve">أدّي صَرلو الوَجَع (أدّي صَرلَك موجوع/ موجوعَة) </v>
      </c>
      <c r="D637" s="75"/>
      <c r="E637" s="41" t="str">
        <f t="shared" ca="1" si="495"/>
        <v xml:space="preserve">أدّي صَرلو الوَجَع (أدّي صَرلَك موجوع/ موجوعَة) </v>
      </c>
    </row>
    <row r="638" spans="1:5" ht="94.5" x14ac:dyDescent="0.25">
      <c r="A638" s="34" t="str">
        <f t="shared" ca="1" si="483"/>
        <v xml:space="preserve">There is a storm coming soon </v>
      </c>
      <c r="B638" s="30" t="str">
        <f t="shared" ca="1" si="486"/>
        <v>hal hayda shi wirateh bi 3ayltak/ 3ayltik?</v>
      </c>
      <c r="D638" s="75" t="str">
        <f t="shared" ca="1" si="497"/>
        <v>Is it something common in your family</v>
      </c>
      <c r="E638" s="40" t="str">
        <f t="shared" ca="1" si="498"/>
        <v>hal hayda shi wirateh bi 3ayltak/ 3ayltik?</v>
      </c>
    </row>
    <row r="639" spans="1:5" ht="60" x14ac:dyDescent="0.25">
      <c r="A639" s="35" t="str">
        <f t="shared" ca="1" si="483"/>
        <v/>
      </c>
      <c r="B639" s="31" t="str">
        <f t="shared" ca="1" si="489"/>
        <v>هَل هَيدا شي وِراتي بعَيلتَك/ عيلتِك؟</v>
      </c>
      <c r="D639" s="75"/>
      <c r="E639" s="41" t="str">
        <f t="shared" ca="1" si="500"/>
        <v>هَل هَيدا شي وِراتي بعَيلتَك/ عيلتِك؟</v>
      </c>
    </row>
    <row r="640" spans="1:5" ht="78.75" x14ac:dyDescent="0.25">
      <c r="A640" s="36" t="str">
        <f t="shared" ca="1" si="483"/>
        <v/>
      </c>
      <c r="B640" s="30" t="str">
        <f t="shared" ca="1" si="491"/>
        <v>3andak/ 3andik amrad mouzmineh?</v>
      </c>
      <c r="D640" s="75" t="str">
        <f t="shared" ca="1" si="501"/>
        <v xml:space="preserve">Do you have any chronic disease? </v>
      </c>
      <c r="E640" s="40" t="str">
        <f t="shared" ca="1" si="502"/>
        <v>3andak/ 3andik amrad mouzmineh?</v>
      </c>
    </row>
    <row r="641" spans="1:5" ht="15" customHeight="1" x14ac:dyDescent="0.25">
      <c r="A641" s="34" t="str">
        <f t="shared" ref="A641:A704" ca="1" si="532">IF(MOD(ROW()-2,3)=0, INDIRECT("Sheet1!A" &amp;4+((ROW()-2)/3)-2), "")</f>
        <v xml:space="preserve">it snowed yesterday </v>
      </c>
      <c r="B641" s="31" t="str">
        <f t="shared" ca="1" si="494"/>
        <v>عَندَك/ عندِك أمراض مُزمِنة؟</v>
      </c>
      <c r="D641" s="75"/>
      <c r="E641" s="41" t="str">
        <f t="shared" ca="1" si="503"/>
        <v>عَندَك/ عندِك أمراض مُزمِنة؟</v>
      </c>
    </row>
    <row r="642" spans="1:5" ht="63" x14ac:dyDescent="0.25">
      <c r="A642" s="35" t="str">
        <f t="shared" ca="1" si="532"/>
        <v/>
      </c>
      <c r="B642" s="30" t="str">
        <f t="shared" ref="B642" ca="1" si="533">IF(MOD(ROW()-2,2)=0, INDIRECT("Sheet1!D" &amp;4+((ROW()-2)/2)-2), "")</f>
        <v>3andak/ 3andik Haseisiyeh 3a shi?</v>
      </c>
      <c r="D642" s="75" t="str">
        <f t="shared" ca="1" si="504"/>
        <v>Do you have any kind of allergies?</v>
      </c>
      <c r="E642" s="40" t="str">
        <f t="shared" ca="1" si="505"/>
        <v>3andak/ 3andik Haseisiyeh 3a shi?</v>
      </c>
    </row>
    <row r="643" spans="1:5" ht="15" customHeight="1" x14ac:dyDescent="0.25">
      <c r="A643" s="36" t="str">
        <f t="shared" ca="1" si="532"/>
        <v/>
      </c>
      <c r="B643" s="31" t="str">
        <f t="shared" ref="B643" ca="1" si="534">IF(MOD(ROW()-3,2)=0, INDIRECT("Sheet1!E" &amp;4+((ROW()-3)/2)-2), "")</f>
        <v>عَندَك/ عَندِك حَساسِيّة عَشي؟</v>
      </c>
      <c r="D643" s="75"/>
      <c r="E643" s="41" t="str">
        <f t="shared" ca="1" si="506"/>
        <v>عَندَك/ عَندِك حَساسِيّة عَشي؟</v>
      </c>
    </row>
    <row r="644" spans="1:5" ht="78.75" x14ac:dyDescent="0.25">
      <c r="A644" s="34" t="str">
        <f t="shared" ca="1" si="532"/>
        <v xml:space="preserve">The road was blocked </v>
      </c>
      <c r="B644" s="30" t="str">
        <f t="shared" ref="B644:B704" ca="1" si="535">IF(MOD(ROW()-2,2)=0, INDIRECT("Sheet1!D" &amp;4+((ROW()-2)/2)-2), "")</f>
        <v>khod/ khedeh el dawa tleit marrat bil nhar</v>
      </c>
      <c r="D644" s="75" t="str">
        <f t="shared" ca="1" si="507"/>
        <v xml:space="preserve">Take the medicine three times per day </v>
      </c>
      <c r="E644" s="40" t="str">
        <f t="shared" ca="1" si="508"/>
        <v>khod/ khedeh el dawa tleit marrat bil nhar</v>
      </c>
    </row>
    <row r="645" spans="1:5" ht="60" x14ac:dyDescent="0.25">
      <c r="A645" s="35" t="str">
        <f t="shared" ca="1" si="532"/>
        <v/>
      </c>
      <c r="B645" s="31" t="str">
        <f t="shared" ref="B645:B705" ca="1" si="536">IF(MOD(ROW()-3,2)=0, INDIRECT("Sheet1!E" &amp;4+((ROW()-3)/2)-2), "")</f>
        <v xml:space="preserve">خود/ خِدي الدَوا تلات مَرّات بالنهار </v>
      </c>
      <c r="D645" s="75"/>
      <c r="E645" s="41" t="str">
        <f t="shared" ca="1" si="509"/>
        <v xml:space="preserve">خود/ خِدي الدَوا تلات مَرّات بالنهار </v>
      </c>
    </row>
    <row r="646" spans="1:5" x14ac:dyDescent="0.25">
      <c r="A646" s="36" t="str">
        <f t="shared" ca="1" si="532"/>
        <v/>
      </c>
      <c r="B646" s="30" t="str">
        <f t="shared" ref="B646:B706" ca="1" si="537">IF(MOD(ROW()-2,2)=0, INDIRECT("Sheet1!D" &amp;4+((ROW()-2)/2)-2), "")</f>
        <v>siyeiseh</v>
      </c>
      <c r="D646" s="75" t="str">
        <f t="shared" ref="D646" ca="1" si="538">IF(MOD(ROW()-2,2)=0, INDIRECT("Sheet1!A" &amp;4+((ROW()-2)/2)-2), "")</f>
        <v>Politics</v>
      </c>
      <c r="E646" s="40" t="str">
        <f t="shared" ref="E646" ca="1" si="539">IF(MOD(ROW()-2,2)=0, INDIRECT("Sheet1!D" &amp;4+((ROW()-2)/2)-2), "")</f>
        <v>siyeiseh</v>
      </c>
    </row>
    <row r="647" spans="1:5" ht="15" customHeight="1" x14ac:dyDescent="0.25">
      <c r="A647" s="34" t="str">
        <f t="shared" ca="1" si="532"/>
        <v xml:space="preserve">It's too cold, I can't go out, not to catch a cold </v>
      </c>
      <c r="B647" s="31" t="str">
        <f t="shared" ref="B647:B707" ca="1" si="540">IF(MOD(ROW()-3,2)=0, INDIRECT("Sheet1!E" &amp;4+((ROW()-3)/2)-2), "")</f>
        <v>سياسِة</v>
      </c>
      <c r="D647" s="75"/>
      <c r="E647" s="41" t="str">
        <f t="shared" ref="E647" ca="1" si="541">IF(MOD(ROW()-3,2)=0, INDIRECT("Sheet1!E" &amp;4+((ROW()-3)/2)-2), "")</f>
        <v>سياسِة</v>
      </c>
    </row>
    <row r="648" spans="1:5" x14ac:dyDescent="0.25">
      <c r="A648" s="35" t="str">
        <f t="shared" ca="1" si="532"/>
        <v/>
      </c>
      <c r="B648" s="30" t="str">
        <f t="shared" ref="B648:B708" ca="1" si="542">IF(MOD(ROW()-2,2)=0, INDIRECT("Sheet1!D" &amp;4+((ROW()-2)/2)-2), "")</f>
        <v>balad</v>
      </c>
      <c r="D648" s="75" t="str">
        <f t="shared" ref="D648:D704" ca="1" si="543">IF(MOD(ROW()-2,2)=0, INDIRECT("Sheet1!A" &amp;4+((ROW()-2)/2)-2), "")</f>
        <v>Country</v>
      </c>
      <c r="E648" s="40" t="str">
        <f t="shared" ref="E648:E704" ca="1" si="544">IF(MOD(ROW()-2,2)=0, INDIRECT("Sheet1!D" &amp;4+((ROW()-2)/2)-2), "")</f>
        <v>balad</v>
      </c>
    </row>
    <row r="649" spans="1:5" ht="15" customHeight="1" x14ac:dyDescent="0.25">
      <c r="A649" s="36" t="str">
        <f t="shared" ca="1" si="532"/>
        <v/>
      </c>
      <c r="B649" s="31" t="str">
        <f t="shared" ref="B649:B709" ca="1" si="545">IF(MOD(ROW()-3,2)=0, INDIRECT("Sheet1!E" &amp;4+((ROW()-3)/2)-2), "")</f>
        <v>بَلَد</v>
      </c>
      <c r="D649" s="75"/>
      <c r="E649" s="41" t="str">
        <f t="shared" ref="E649:E705" ca="1" si="546">IF(MOD(ROW()-3,2)=0, INDIRECT("Sheet1!E" &amp;4+((ROW()-3)/2)-2), "")</f>
        <v>بَلَد</v>
      </c>
    </row>
    <row r="650" spans="1:5" x14ac:dyDescent="0.25">
      <c r="A650" s="34" t="str">
        <f t="shared" ca="1" si="532"/>
        <v>Heating machines</v>
      </c>
      <c r="B650" s="30" t="str">
        <f t="shared" ref="B650:B710" ca="1" si="547">IF(MOD(ROW()-2,2)=0, INDIRECT("Sheet1!D" &amp;4+((ROW()-2)/2)-2), "")</f>
        <v>3aasmeh</v>
      </c>
      <c r="D650" s="75" t="str">
        <f t="shared" ref="D650:D706" ca="1" si="548">IF(MOD(ROW()-2,2)=0, INDIRECT("Sheet1!A" &amp;4+((ROW()-2)/2)-2), "")</f>
        <v>Capital</v>
      </c>
      <c r="E650" s="40" t="str">
        <f t="shared" ref="E650:E706" ca="1" si="549">IF(MOD(ROW()-2,2)=0, INDIRECT("Sheet1!D" &amp;4+((ROW()-2)/2)-2), "")</f>
        <v>3aasmeh</v>
      </c>
    </row>
    <row r="651" spans="1:5" ht="15" customHeight="1" x14ac:dyDescent="0.25">
      <c r="A651" s="35" t="str">
        <f t="shared" ca="1" si="532"/>
        <v/>
      </c>
      <c r="B651" s="31" t="str">
        <f t="shared" ref="B651:B711" ca="1" si="550">IF(MOD(ROW()-3,2)=0, INDIRECT("Sheet1!E" &amp;4+((ROW()-3)/2)-2), "")</f>
        <v>عاصمة</v>
      </c>
      <c r="D651" s="75"/>
      <c r="E651" s="41" t="str">
        <f t="shared" ref="E651:E707" ca="1" si="551">IF(MOD(ROW()-3,2)=0, INDIRECT("Sheet1!E" &amp;4+((ROW()-3)/2)-2), "")</f>
        <v>عاصمة</v>
      </c>
    </row>
    <row r="652" spans="1:5" ht="31.5" x14ac:dyDescent="0.25">
      <c r="A652" s="36" t="str">
        <f t="shared" ca="1" si="532"/>
        <v/>
      </c>
      <c r="B652" s="30" t="str">
        <f t="shared" ref="B652" ca="1" si="552">IF(MOD(ROW()-2,2)=0, INDIRECT("Sheet1!D" &amp;4+((ROW()-2)/2)-2), "")</f>
        <v>dawleh/wileiyeh</v>
      </c>
      <c r="D652" s="75" t="str">
        <f t="shared" ref="D652:D708" ca="1" si="553">IF(MOD(ROW()-2,2)=0, INDIRECT("Sheet1!A" &amp;4+((ROW()-2)/2)-2), "")</f>
        <v>State</v>
      </c>
      <c r="E652" s="40" t="str">
        <f t="shared" ref="E652:E708" ca="1" si="554">IF(MOD(ROW()-2,2)=0, INDIRECT("Sheet1!D" &amp;4+((ROW()-2)/2)-2), "")</f>
        <v>dawleh/wileiyeh</v>
      </c>
    </row>
    <row r="653" spans="1:5" ht="15" customHeight="1" x14ac:dyDescent="0.25">
      <c r="A653" s="34" t="str">
        <f t="shared" ca="1" si="532"/>
        <v xml:space="preserve">I am going to the snow </v>
      </c>
      <c r="B653" s="31" t="str">
        <f t="shared" ref="B653" ca="1" si="555">IF(MOD(ROW()-3,2)=0, INDIRECT("Sheet1!E" &amp;4+((ROW()-3)/2)-2), "")</f>
        <v>دَولة/ وِلاية</v>
      </c>
      <c r="D653" s="75"/>
      <c r="E653" s="41" t="str">
        <f t="shared" ref="E653:E709" ca="1" si="556">IF(MOD(ROW()-3,2)=0, INDIRECT("Sheet1!E" &amp;4+((ROW()-3)/2)-2), "")</f>
        <v>دَولة/ وِلاية</v>
      </c>
    </row>
    <row r="654" spans="1:5" ht="31.5" x14ac:dyDescent="0.25">
      <c r="A654" s="35" t="str">
        <f t="shared" ca="1" si="532"/>
        <v/>
      </c>
      <c r="B654" s="30" t="str">
        <f t="shared" ca="1" si="535"/>
        <v>ra'ees/ra'eeseh</v>
      </c>
      <c r="D654" s="75" t="str">
        <f t="shared" ref="D654:D710" ca="1" si="557">IF(MOD(ROW()-2,2)=0, INDIRECT("Sheet1!A" &amp;4+((ROW()-2)/2)-2), "")</f>
        <v>President</v>
      </c>
      <c r="E654" s="40" t="str">
        <f t="shared" ref="E654:E710" ca="1" si="558">IF(MOD(ROW()-2,2)=0, INDIRECT("Sheet1!D" &amp;4+((ROW()-2)/2)-2), "")</f>
        <v>ra'ees/ra'eeseh</v>
      </c>
    </row>
    <row r="655" spans="1:5" ht="15" customHeight="1" x14ac:dyDescent="0.25">
      <c r="A655" s="36" t="str">
        <f t="shared" ca="1" si="532"/>
        <v/>
      </c>
      <c r="B655" s="31" t="str">
        <f t="shared" ca="1" si="536"/>
        <v>رَئيس/ة</v>
      </c>
      <c r="D655" s="75"/>
      <c r="E655" s="41" t="str">
        <f t="shared" ref="E655:E711" ca="1" si="559">IF(MOD(ROW()-3,2)=0, INDIRECT("Sheet1!E" &amp;4+((ROW()-3)/2)-2), "")</f>
        <v>رَئيس/ة</v>
      </c>
    </row>
    <row r="656" spans="1:5" x14ac:dyDescent="0.25">
      <c r="A656" s="34" t="str">
        <f t="shared" ca="1" si="532"/>
        <v xml:space="preserve">I am goig skiing </v>
      </c>
      <c r="B656" s="30" t="str">
        <f t="shared" ca="1" si="537"/>
        <v>malik</v>
      </c>
      <c r="D656" s="75" t="str">
        <f t="shared" ref="D656:D712" ca="1" si="560">IF(MOD(ROW()-2,2)=0, INDIRECT("Sheet1!A" &amp;4+((ROW()-2)/2)-2), "")</f>
        <v>King</v>
      </c>
      <c r="E656" s="40" t="str">
        <f t="shared" ref="E656:E712" ca="1" si="561">IF(MOD(ROW()-2,2)=0, INDIRECT("Sheet1!D" &amp;4+((ROW()-2)/2)-2), "")</f>
        <v>malik</v>
      </c>
    </row>
    <row r="657" spans="1:5" ht="15" customHeight="1" x14ac:dyDescent="0.25">
      <c r="A657" s="35" t="str">
        <f t="shared" ca="1" si="532"/>
        <v/>
      </c>
      <c r="B657" s="31" t="str">
        <f t="shared" ca="1" si="540"/>
        <v>مَلِك</v>
      </c>
      <c r="D657" s="75"/>
      <c r="E657" s="41" t="str">
        <f t="shared" ref="E657:E713" ca="1" si="562">IF(MOD(ROW()-3,2)=0, INDIRECT("Sheet1!E" &amp;4+((ROW()-3)/2)-2), "")</f>
        <v>مَلِك</v>
      </c>
    </row>
    <row r="658" spans="1:5" x14ac:dyDescent="0.25">
      <c r="A658" s="36" t="str">
        <f t="shared" ca="1" si="532"/>
        <v/>
      </c>
      <c r="B658" s="30" t="str">
        <f t="shared" ca="1" si="542"/>
        <v>malikeh</v>
      </c>
      <c r="D658" s="75" t="str">
        <f t="shared" ref="D658:D714" ca="1" si="563">IF(MOD(ROW()-2,2)=0, INDIRECT("Sheet1!A" &amp;4+((ROW()-2)/2)-2), "")</f>
        <v>Queen</v>
      </c>
      <c r="E658" s="40" t="str">
        <f t="shared" ref="E658:E714" ca="1" si="564">IF(MOD(ROW()-2,2)=0, INDIRECT("Sheet1!D" &amp;4+((ROW()-2)/2)-2), "")</f>
        <v>malikeh</v>
      </c>
    </row>
    <row r="659" spans="1:5" ht="15" customHeight="1" x14ac:dyDescent="0.25">
      <c r="A659" s="34" t="str">
        <f t="shared" ca="1" si="532"/>
        <v xml:space="preserve">Keep warm </v>
      </c>
      <c r="B659" s="31" t="str">
        <f t="shared" ca="1" si="545"/>
        <v>مَلِكة</v>
      </c>
      <c r="D659" s="75"/>
      <c r="E659" s="41" t="str">
        <f t="shared" ref="E659:E715" ca="1" si="565">IF(MOD(ROW()-3,2)=0, INDIRECT("Sheet1!E" &amp;4+((ROW()-3)/2)-2), "")</f>
        <v>مَلِكة</v>
      </c>
    </row>
    <row r="660" spans="1:5" ht="31.5" x14ac:dyDescent="0.25">
      <c r="A660" s="35" t="str">
        <f t="shared" ca="1" si="532"/>
        <v/>
      </c>
      <c r="B660" s="30" t="str">
        <f t="shared" ca="1" si="547"/>
        <v>joumhouriyeh</v>
      </c>
      <c r="D660" s="75" t="str">
        <f t="shared" ref="D660" ca="1" si="566">IF(MOD(ROW()-2,2)=0, INDIRECT("Sheet1!A" &amp;4+((ROW()-2)/2)-2), "")</f>
        <v>Republic</v>
      </c>
      <c r="E660" s="40" t="str">
        <f t="shared" ref="E660" ca="1" si="567">IF(MOD(ROW()-2,2)=0, INDIRECT("Sheet1!D" &amp;4+((ROW()-2)/2)-2), "")</f>
        <v>joumhouriyeh</v>
      </c>
    </row>
    <row r="661" spans="1:5" ht="15" customHeight="1" x14ac:dyDescent="0.25">
      <c r="A661" s="36" t="str">
        <f t="shared" ca="1" si="532"/>
        <v/>
      </c>
      <c r="B661" s="31" t="str">
        <f t="shared" ca="1" si="550"/>
        <v>جُمهورِيّة</v>
      </c>
      <c r="D661" s="75"/>
      <c r="E661" s="41" t="str">
        <f t="shared" ref="E661" ca="1" si="568">IF(MOD(ROW()-3,2)=0, INDIRECT("Sheet1!E" &amp;4+((ROW()-3)/2)-2), "")</f>
        <v>جُمهورِيّة</v>
      </c>
    </row>
    <row r="662" spans="1:5" x14ac:dyDescent="0.25">
      <c r="A662" s="34" t="str">
        <f t="shared" ca="1" si="532"/>
        <v xml:space="preserve">Pencil </v>
      </c>
      <c r="B662" s="30" t="str">
        <f t="shared" ref="B662" ca="1" si="569">IF(MOD(ROW()-2,2)=0, INDIRECT("Sheet1!D" &amp;4+((ROW()-2)/2)-2), "")</f>
        <v>mamlakeh</v>
      </c>
      <c r="D662" s="75" t="str">
        <f t="shared" ca="1" si="543"/>
        <v>Kingdom</v>
      </c>
      <c r="E662" s="40" t="str">
        <f t="shared" ca="1" si="544"/>
        <v>mamlakeh</v>
      </c>
    </row>
    <row r="663" spans="1:5" ht="15" customHeight="1" x14ac:dyDescent="0.25">
      <c r="A663" s="35" t="str">
        <f t="shared" ca="1" si="532"/>
        <v/>
      </c>
      <c r="B663" s="31" t="str">
        <f t="shared" ref="B663" ca="1" si="570">IF(MOD(ROW()-3,2)=0, INDIRECT("Sheet1!E" &amp;4+((ROW()-3)/2)-2), "")</f>
        <v>مَملَكِة</v>
      </c>
      <c r="D663" s="75"/>
      <c r="E663" s="41" t="str">
        <f t="shared" ca="1" si="546"/>
        <v>مَملَكِة</v>
      </c>
    </row>
    <row r="664" spans="1:5" x14ac:dyDescent="0.25">
      <c r="A664" s="36" t="str">
        <f t="shared" ca="1" si="532"/>
        <v/>
      </c>
      <c r="B664" s="30" t="str">
        <f t="shared" ca="1" si="535"/>
        <v>barlamein</v>
      </c>
      <c r="D664" s="75" t="str">
        <f t="shared" ca="1" si="548"/>
        <v>Parliament</v>
      </c>
      <c r="E664" s="40" t="str">
        <f t="shared" ca="1" si="549"/>
        <v>barlamein</v>
      </c>
    </row>
    <row r="665" spans="1:5" ht="15" customHeight="1" x14ac:dyDescent="0.25">
      <c r="A665" s="34" t="str">
        <f t="shared" ca="1" si="532"/>
        <v xml:space="preserve">Pen </v>
      </c>
      <c r="B665" s="31" t="str">
        <f t="shared" ca="1" si="536"/>
        <v>بَرلَمان</v>
      </c>
      <c r="D665" s="75"/>
      <c r="E665" s="41" t="str">
        <f t="shared" ca="1" si="551"/>
        <v>بَرلَمان</v>
      </c>
    </row>
    <row r="666" spans="1:5" x14ac:dyDescent="0.25">
      <c r="A666" s="35" t="str">
        <f t="shared" ca="1" si="532"/>
        <v/>
      </c>
      <c r="B666" s="30" t="str">
        <f t="shared" ca="1" si="537"/>
        <v>wizara</v>
      </c>
      <c r="D666" s="75" t="str">
        <f t="shared" ca="1" si="553"/>
        <v>Ministry</v>
      </c>
      <c r="E666" s="40" t="str">
        <f t="shared" ca="1" si="554"/>
        <v>wizara</v>
      </c>
    </row>
    <row r="667" spans="1:5" ht="15" customHeight="1" x14ac:dyDescent="0.25">
      <c r="A667" s="36" t="str">
        <f t="shared" ca="1" si="532"/>
        <v/>
      </c>
      <c r="B667" s="31" t="str">
        <f t="shared" ca="1" si="540"/>
        <v>وِزارَة</v>
      </c>
      <c r="D667" s="75"/>
      <c r="E667" s="41" t="str">
        <f t="shared" ca="1" si="556"/>
        <v>وِزارَة</v>
      </c>
    </row>
    <row r="668" spans="1:5" x14ac:dyDescent="0.25">
      <c r="A668" s="34" t="str">
        <f t="shared" ca="1" si="532"/>
        <v>Paper</v>
      </c>
      <c r="B668" s="30" t="str">
        <f t="shared" ca="1" si="542"/>
        <v>wazeer</v>
      </c>
      <c r="D668" s="75" t="str">
        <f t="shared" ca="1" si="557"/>
        <v>Minister</v>
      </c>
      <c r="E668" s="40" t="str">
        <f t="shared" ca="1" si="558"/>
        <v>wazeer</v>
      </c>
    </row>
    <row r="669" spans="1:5" ht="15" customHeight="1" x14ac:dyDescent="0.25">
      <c r="A669" s="35" t="str">
        <f t="shared" ca="1" si="532"/>
        <v/>
      </c>
      <c r="B669" s="31" t="str">
        <f t="shared" ca="1" si="545"/>
        <v>وَزير</v>
      </c>
      <c r="D669" s="75"/>
      <c r="E669" s="41" t="str">
        <f t="shared" ca="1" si="559"/>
        <v>وَزير</v>
      </c>
    </row>
    <row r="670" spans="1:5" x14ac:dyDescent="0.25">
      <c r="A670" s="36" t="str">
        <f t="shared" ca="1" si="532"/>
        <v/>
      </c>
      <c r="B670" s="30" t="str">
        <f t="shared" ca="1" si="547"/>
        <v>wouzara</v>
      </c>
      <c r="D670" s="75" t="str">
        <f t="shared" ca="1" si="560"/>
        <v>Ministers</v>
      </c>
      <c r="E670" s="40" t="str">
        <f t="shared" ca="1" si="561"/>
        <v>wouzara</v>
      </c>
    </row>
    <row r="671" spans="1:5" ht="15" customHeight="1" x14ac:dyDescent="0.25">
      <c r="A671" s="34" t="str">
        <f t="shared" ca="1" si="532"/>
        <v xml:space="preserve">I write </v>
      </c>
      <c r="B671" s="31" t="str">
        <f t="shared" ca="1" si="550"/>
        <v>وُزَرا</v>
      </c>
      <c r="D671" s="75"/>
      <c r="E671" s="41" t="str">
        <f t="shared" ca="1" si="562"/>
        <v>وُزَرا</v>
      </c>
    </row>
    <row r="672" spans="1:5" x14ac:dyDescent="0.25">
      <c r="A672" s="35" t="str">
        <f t="shared" ca="1" si="532"/>
        <v/>
      </c>
      <c r="B672" s="30" t="str">
        <f t="shared" ref="B672" ca="1" si="571">IF(MOD(ROW()-2,2)=0, INDIRECT("Sheet1!D" &amp;4+((ROW()-2)/2)-2), "")</f>
        <v>neiyib</v>
      </c>
      <c r="D672" s="75" t="str">
        <f t="shared" ca="1" si="563"/>
        <v>Representative</v>
      </c>
      <c r="E672" s="40" t="str">
        <f t="shared" ca="1" si="564"/>
        <v>neiyib</v>
      </c>
    </row>
    <row r="673" spans="1:5" ht="15" customHeight="1" x14ac:dyDescent="0.25">
      <c r="A673" s="36" t="str">
        <f t="shared" ca="1" si="532"/>
        <v/>
      </c>
      <c r="B673" s="31" t="str">
        <f t="shared" ref="B673" ca="1" si="572">IF(MOD(ROW()-3,2)=0, INDIRECT("Sheet1!E" &amp;4+((ROW()-3)/2)-2), "")</f>
        <v>نايب</v>
      </c>
      <c r="D673" s="75"/>
      <c r="E673" s="41" t="str">
        <f t="shared" ca="1" si="565"/>
        <v>نايب</v>
      </c>
    </row>
    <row r="674" spans="1:5" x14ac:dyDescent="0.25">
      <c r="A674" s="34" t="str">
        <f t="shared" ca="1" si="532"/>
        <v xml:space="preserve">Book </v>
      </c>
      <c r="B674" s="30" t="str">
        <f t="shared" ca="1" si="535"/>
        <v>nouwweib</v>
      </c>
      <c r="D674" s="75" t="str">
        <f t="shared" ref="D674" ca="1" si="573">IF(MOD(ROW()-2,2)=0, INDIRECT("Sheet1!A" &amp;4+((ROW()-2)/2)-2), "")</f>
        <v>Representatives</v>
      </c>
      <c r="E674" s="40" t="str">
        <f t="shared" ref="E674" ca="1" si="574">IF(MOD(ROW()-2,2)=0, INDIRECT("Sheet1!D" &amp;4+((ROW()-2)/2)-2), "")</f>
        <v>nouwweib</v>
      </c>
    </row>
    <row r="675" spans="1:5" ht="15" customHeight="1" x14ac:dyDescent="0.25">
      <c r="A675" s="35" t="str">
        <f t="shared" ca="1" si="532"/>
        <v/>
      </c>
      <c r="B675" s="31" t="str">
        <f t="shared" ca="1" si="536"/>
        <v>نُوّاب</v>
      </c>
      <c r="D675" s="75"/>
      <c r="E675" s="41" t="str">
        <f t="shared" ref="E675" ca="1" si="575">IF(MOD(ROW()-3,2)=0, INDIRECT("Sheet1!E" &amp;4+((ROW()-3)/2)-2), "")</f>
        <v>نُوّاب</v>
      </c>
    </row>
    <row r="676" spans="1:5" x14ac:dyDescent="0.25">
      <c r="A676" s="36" t="str">
        <f t="shared" ca="1" si="532"/>
        <v/>
      </c>
      <c r="B676" s="30" t="str">
        <f t="shared" ca="1" si="537"/>
        <v>oummeh</v>
      </c>
      <c r="D676" s="75" t="str">
        <f t="shared" ca="1" si="543"/>
        <v>Nation</v>
      </c>
      <c r="E676" s="40" t="str">
        <f t="shared" ca="1" si="544"/>
        <v>oummeh</v>
      </c>
    </row>
    <row r="677" spans="1:5" ht="15" customHeight="1" x14ac:dyDescent="0.25">
      <c r="A677" s="34" t="str">
        <f t="shared" ca="1" si="532"/>
        <v xml:space="preserve">Notebook </v>
      </c>
      <c r="B677" s="31" t="str">
        <f t="shared" ca="1" si="540"/>
        <v>أُمّة</v>
      </c>
      <c r="D677" s="75"/>
      <c r="E677" s="41" t="str">
        <f t="shared" ca="1" si="546"/>
        <v>أُمّة</v>
      </c>
    </row>
    <row r="678" spans="1:5" x14ac:dyDescent="0.25">
      <c r="A678" s="35" t="str">
        <f t="shared" ca="1" si="532"/>
        <v/>
      </c>
      <c r="B678" s="30" t="str">
        <f t="shared" ca="1" si="542"/>
        <v>Hezeb</v>
      </c>
      <c r="D678" s="75" t="str">
        <f t="shared" ca="1" si="548"/>
        <v>Party</v>
      </c>
      <c r="E678" s="40" t="str">
        <f t="shared" ca="1" si="549"/>
        <v>Hezeb</v>
      </c>
    </row>
    <row r="679" spans="1:5" ht="15" customHeight="1" x14ac:dyDescent="0.25">
      <c r="A679" s="36" t="str">
        <f t="shared" ca="1" si="532"/>
        <v/>
      </c>
      <c r="B679" s="31" t="str">
        <f t="shared" ca="1" si="545"/>
        <v>حِزب</v>
      </c>
      <c r="D679" s="75"/>
      <c r="E679" s="41" t="str">
        <f t="shared" ca="1" si="551"/>
        <v>حِزب</v>
      </c>
    </row>
    <row r="680" spans="1:5" x14ac:dyDescent="0.25">
      <c r="A680" s="34" t="str">
        <f t="shared" ca="1" si="532"/>
        <v xml:space="preserve">Ruler </v>
      </c>
      <c r="B680" s="30" t="str">
        <f t="shared" ca="1" si="547"/>
        <v>aHzeib</v>
      </c>
      <c r="D680" s="75" t="str">
        <f t="shared" ca="1" si="553"/>
        <v>Parties</v>
      </c>
      <c r="E680" s="40" t="str">
        <f t="shared" ca="1" si="554"/>
        <v>aHzeib</v>
      </c>
    </row>
    <row r="681" spans="1:5" ht="15" customHeight="1" x14ac:dyDescent="0.25">
      <c r="A681" s="35" t="str">
        <f t="shared" ca="1" si="532"/>
        <v/>
      </c>
      <c r="B681" s="31" t="str">
        <f t="shared" ca="1" si="550"/>
        <v>أحزاب</v>
      </c>
      <c r="D681" s="75"/>
      <c r="E681" s="41" t="str">
        <f t="shared" ca="1" si="556"/>
        <v>أحزاب</v>
      </c>
    </row>
    <row r="682" spans="1:5" ht="31.5" x14ac:dyDescent="0.25">
      <c r="A682" s="36" t="str">
        <f t="shared" ca="1" si="532"/>
        <v/>
      </c>
      <c r="B682" s="30" t="str">
        <f t="shared" ref="B682" ca="1" si="576">IF(MOD(ROW()-2,2)=0, INDIRECT("Sheet1!D" &amp;4+((ROW()-2)/2)-2), "")</f>
        <v>intikhabeit</v>
      </c>
      <c r="D682" s="75" t="str">
        <f t="shared" ca="1" si="557"/>
        <v>Elections</v>
      </c>
      <c r="E682" s="40" t="str">
        <f t="shared" ca="1" si="558"/>
        <v>intikhabeit</v>
      </c>
    </row>
    <row r="683" spans="1:5" ht="15" customHeight="1" x14ac:dyDescent="0.25">
      <c r="A683" s="34" t="str">
        <f t="shared" ca="1" si="532"/>
        <v xml:space="preserve">Board </v>
      </c>
      <c r="B683" s="31" t="str">
        <f t="shared" ref="B683" ca="1" si="577">IF(MOD(ROW()-3,2)=0, INDIRECT("Sheet1!E" &amp;4+((ROW()-3)/2)-2), "")</f>
        <v>إنتِخابات</v>
      </c>
      <c r="D683" s="75"/>
      <c r="E683" s="41" t="str">
        <f t="shared" ca="1" si="559"/>
        <v>إنتِخابات</v>
      </c>
    </row>
    <row r="684" spans="1:5" x14ac:dyDescent="0.25">
      <c r="A684" s="35" t="str">
        <f t="shared" ca="1" si="532"/>
        <v/>
      </c>
      <c r="B684" s="30" t="str">
        <f t="shared" ca="1" si="535"/>
        <v>sawra</v>
      </c>
      <c r="D684" s="75" t="str">
        <f t="shared" ca="1" si="560"/>
        <v>Revolution</v>
      </c>
      <c r="E684" s="40" t="str">
        <f t="shared" ca="1" si="561"/>
        <v>sawra</v>
      </c>
    </row>
    <row r="685" spans="1:5" ht="15" customHeight="1" x14ac:dyDescent="0.25">
      <c r="A685" s="36" t="str">
        <f t="shared" ca="1" si="532"/>
        <v/>
      </c>
      <c r="B685" s="31" t="str">
        <f t="shared" ca="1" si="536"/>
        <v>ثَورَة</v>
      </c>
      <c r="D685" s="75"/>
      <c r="E685" s="41" t="str">
        <f t="shared" ca="1" si="562"/>
        <v>ثَورَة</v>
      </c>
    </row>
    <row r="686" spans="1:5" ht="47.25" x14ac:dyDescent="0.25">
      <c r="A686" s="34" t="str">
        <f t="shared" ca="1" si="532"/>
        <v xml:space="preserve">Teacher (man) </v>
      </c>
      <c r="B686" s="30" t="str">
        <f t="shared" ca="1" si="537"/>
        <v>3aasmit lebnein, beirut</v>
      </c>
      <c r="D686" s="75" t="str">
        <f t="shared" ca="1" si="563"/>
        <v>The capital of Lebanon is Beirut</v>
      </c>
      <c r="E686" s="40" t="str">
        <f t="shared" ca="1" si="564"/>
        <v>3aasmit lebnein, beirut</v>
      </c>
    </row>
    <row r="687" spans="1:5" ht="15" customHeight="1" x14ac:dyDescent="0.25">
      <c r="A687" s="35" t="str">
        <f t="shared" ca="1" si="532"/>
        <v/>
      </c>
      <c r="B687" s="31" t="str">
        <f t="shared" ca="1" si="540"/>
        <v>عاصمِة لبنان, بَيروت</v>
      </c>
      <c r="D687" s="75"/>
      <c r="E687" s="41" t="str">
        <f t="shared" ca="1" si="565"/>
        <v>عاصمِة لبنان, بَيروت</v>
      </c>
    </row>
    <row r="688" spans="1:5" ht="126" x14ac:dyDescent="0.25">
      <c r="A688" s="36" t="str">
        <f t="shared" ca="1" si="532"/>
        <v/>
      </c>
      <c r="B688" s="30" t="str">
        <f t="shared" ca="1" si="542"/>
        <v>joumhouriyet lebnein/el joumhouriyeh el lebneiniyeh</v>
      </c>
      <c r="D688" s="75" t="str">
        <f t="shared" ref="D688" ca="1" si="578">IF(MOD(ROW()-2,2)=0, INDIRECT("Sheet1!A" &amp;4+((ROW()-2)/2)-2), "")</f>
        <v>Republic of Lebanon</v>
      </c>
      <c r="E688" s="40" t="str">
        <f t="shared" ref="E688" ca="1" si="579">IF(MOD(ROW()-2,2)=0, INDIRECT("Sheet1!D" &amp;4+((ROW()-2)/2)-2), "")</f>
        <v>joumhouriyet lebnein/el joumhouriyeh el lebneiniyeh</v>
      </c>
    </row>
    <row r="689" spans="1:5" ht="60" x14ac:dyDescent="0.25">
      <c r="A689" s="34" t="str">
        <f t="shared" ca="1" si="532"/>
        <v xml:space="preserve">Teacher (woman) </v>
      </c>
      <c r="B689" s="31" t="str">
        <f t="shared" ca="1" si="545"/>
        <v>جُمهوريّة لبنان/ الجُمهوريّة اللّبنانيّة</v>
      </c>
      <c r="D689" s="75"/>
      <c r="E689" s="41" t="str">
        <f t="shared" ref="E689" ca="1" si="580">IF(MOD(ROW()-3,2)=0, INDIRECT("Sheet1!E" &amp;4+((ROW()-3)/2)-2), "")</f>
        <v>جُمهوريّة لبنان/ الجُمهوريّة اللّبنانيّة</v>
      </c>
    </row>
    <row r="690" spans="1:5" ht="47.25" x14ac:dyDescent="0.25">
      <c r="A690" s="35" t="str">
        <f t="shared" ca="1" si="532"/>
        <v/>
      </c>
      <c r="B690" s="30" t="str">
        <f t="shared" ca="1" si="547"/>
        <v>el oumam el meteHdeh</v>
      </c>
      <c r="D690" s="75" t="str">
        <f t="shared" ca="1" si="543"/>
        <v>United Nations</v>
      </c>
      <c r="E690" s="40" t="str">
        <f t="shared" ca="1" si="544"/>
        <v>el oumam el meteHdeh</v>
      </c>
    </row>
    <row r="691" spans="1:5" ht="15" customHeight="1" x14ac:dyDescent="0.25">
      <c r="A691" s="36" t="str">
        <f t="shared" ca="1" si="532"/>
        <v/>
      </c>
      <c r="B691" s="31" t="str">
        <f t="shared" ca="1" si="550"/>
        <v>الأُمَم المِتِّحْدة</v>
      </c>
      <c r="D691" s="75"/>
      <c r="E691" s="41" t="str">
        <f t="shared" ca="1" si="546"/>
        <v>الأُمَم المِتِّحْدة</v>
      </c>
    </row>
    <row r="692" spans="1:5" ht="126" x14ac:dyDescent="0.25">
      <c r="A692" s="34" t="str">
        <f t="shared" ca="1" si="532"/>
        <v>I am a student</v>
      </c>
      <c r="B692" s="30" t="str">
        <f t="shared" ref="B692" ca="1" si="581">IF(MOD(ROW()-2,2)=0, INDIRECT("Sheet1!D" &amp;4+((ROW()-2)/2)-2), "")</f>
        <v>el yom, el nouwweib jtama3o bil barlamein ta yentekhbo ra'ees</v>
      </c>
      <c r="D692" s="75" t="str">
        <f t="shared" ca="1" si="548"/>
        <v>Today, the representatives met at the patliament to elect a president</v>
      </c>
      <c r="E692" s="40" t="str">
        <f t="shared" ca="1" si="549"/>
        <v>el yom, el nouwweib jtama3o bil barlamein ta yentekhbo ra'ees</v>
      </c>
    </row>
    <row r="693" spans="1:5" ht="75" x14ac:dyDescent="0.25">
      <c r="A693" s="35" t="str">
        <f t="shared" ca="1" si="532"/>
        <v/>
      </c>
      <c r="B693" s="31" t="str">
        <f t="shared" ref="B693" ca="1" si="582">IF(MOD(ROW()-3,2)=0, INDIRECT("Sheet1!E" &amp;4+((ROW()-3)/2)-2), "")</f>
        <v>اليوم, النوّاب جتمعوا تينتخبوا رئيس</v>
      </c>
      <c r="D693" s="75"/>
      <c r="E693" s="41" t="str">
        <f t="shared" ca="1" si="551"/>
        <v>اليوم, النوّاب جتمعوا تينتخبوا رئيس</v>
      </c>
    </row>
    <row r="694" spans="1:5" ht="126" x14ac:dyDescent="0.25">
      <c r="A694" s="36" t="str">
        <f t="shared" ca="1" si="532"/>
        <v/>
      </c>
      <c r="B694" s="30" t="str">
        <f t="shared" ca="1" si="535"/>
        <v>fi Hezbein aseisiyyeh bil wileiyeit el metteHdeh</v>
      </c>
      <c r="D694" s="75" t="str">
        <f t="shared" ca="1" si="553"/>
        <v>There are two main political parties in the United States</v>
      </c>
      <c r="E694" s="40" t="str">
        <f t="shared" ca="1" si="554"/>
        <v>fi Hezbein aseisiyyeh bil wileiyeit el metteHdeh</v>
      </c>
    </row>
    <row r="695" spans="1:5" ht="60" x14ac:dyDescent="0.25">
      <c r="A695" s="34" t="str">
        <f t="shared" ca="1" si="532"/>
        <v xml:space="preserve">I study Arabic </v>
      </c>
      <c r="B695" s="31" t="str">
        <f t="shared" ca="1" si="536"/>
        <v>في حِزبين أساسيّة بالولايات المتِّحْدة</v>
      </c>
      <c r="D695" s="75"/>
      <c r="E695" s="41" t="str">
        <f t="shared" ca="1" si="556"/>
        <v>في حِزبين أساسيّة بالولايات المتِّحْدة</v>
      </c>
    </row>
    <row r="696" spans="1:5" ht="63" x14ac:dyDescent="0.25">
      <c r="A696" s="35" t="str">
        <f t="shared" ca="1" si="532"/>
        <v/>
      </c>
      <c r="B696" s="30" t="str">
        <f t="shared" ca="1" si="537"/>
        <v>baladiyyeh/ baladiyyeit</v>
      </c>
      <c r="D696" s="75" t="str">
        <f t="shared" ca="1" si="557"/>
        <v>Municipality/ies</v>
      </c>
      <c r="E696" s="40" t="str">
        <f t="shared" ca="1" si="558"/>
        <v>baladiyyeh/ baladiyyeit</v>
      </c>
    </row>
    <row r="697" spans="1:5" ht="15" customHeight="1" x14ac:dyDescent="0.25">
      <c r="A697" s="36" t="str">
        <f t="shared" ca="1" si="532"/>
        <v/>
      </c>
      <c r="B697" s="31" t="str">
        <f t="shared" ca="1" si="540"/>
        <v>بَلَدِيّة/ بَلَدِيّات</v>
      </c>
      <c r="D697" s="75"/>
      <c r="E697" s="41" t="str">
        <f t="shared" ca="1" si="559"/>
        <v>بَلَدِيّة/ بَلَدِيّات</v>
      </c>
    </row>
    <row r="698" spans="1:5" ht="15.75" customHeight="1" x14ac:dyDescent="0.25">
      <c r="A698" s="34" t="str">
        <f t="shared" ca="1" si="532"/>
        <v xml:space="preserve">I study in the Lebanese univeristy </v>
      </c>
      <c r="B698" s="30" t="str">
        <f t="shared" ca="1" si="542"/>
        <v>saleim</v>
      </c>
      <c r="D698" s="75" t="str">
        <f t="shared" ca="1" si="560"/>
        <v>Peace</v>
      </c>
      <c r="E698" s="40" t="str">
        <f t="shared" ca="1" si="561"/>
        <v>saleim</v>
      </c>
    </row>
    <row r="699" spans="1:5" ht="15" customHeight="1" x14ac:dyDescent="0.25">
      <c r="A699" s="35" t="str">
        <f t="shared" ca="1" si="532"/>
        <v/>
      </c>
      <c r="B699" s="31" t="str">
        <f t="shared" ca="1" si="545"/>
        <v xml:space="preserve"> سَلام</v>
      </c>
      <c r="D699" s="75"/>
      <c r="E699" s="41" t="str">
        <f t="shared" ca="1" si="562"/>
        <v xml:space="preserve"> سَلام</v>
      </c>
    </row>
    <row r="700" spans="1:5" x14ac:dyDescent="0.25">
      <c r="A700" s="36" t="str">
        <f t="shared" ca="1" si="532"/>
        <v/>
      </c>
      <c r="B700" s="30" t="str">
        <f t="shared" ca="1" si="547"/>
        <v>selmiyyeh</v>
      </c>
      <c r="D700" s="75" t="str">
        <f t="shared" ca="1" si="563"/>
        <v>Peaceful</v>
      </c>
      <c r="E700" s="40" t="str">
        <f t="shared" ca="1" si="564"/>
        <v>selmiyyeh</v>
      </c>
    </row>
    <row r="701" spans="1:5" ht="15" customHeight="1" x14ac:dyDescent="0.25">
      <c r="A701" s="34" t="str">
        <f t="shared" ca="1" si="532"/>
        <v xml:space="preserve">I am a student,  and study Arabic in the Lebanese univeristy  </v>
      </c>
      <c r="B701" s="31" t="str">
        <f t="shared" ca="1" si="550"/>
        <v xml:space="preserve"> سِلميّة</v>
      </c>
      <c r="D701" s="75"/>
      <c r="E701" s="41" t="str">
        <f t="shared" ca="1" si="565"/>
        <v xml:space="preserve"> سِلميّة</v>
      </c>
    </row>
    <row r="702" spans="1:5" ht="31.5" x14ac:dyDescent="0.25">
      <c r="A702" s="35" t="str">
        <f t="shared" ca="1" si="532"/>
        <v/>
      </c>
      <c r="B702" s="30" t="str">
        <f t="shared" ref="B702" ca="1" si="583">IF(MOD(ROW()-2,2)=0, INDIRECT("Sheet1!D" &amp;4+((ROW()-2)/2)-2), "")</f>
        <v>mouzahara</v>
      </c>
      <c r="D702" s="75" t="str">
        <f t="shared" ref="D702" ca="1" si="584">IF(MOD(ROW()-2,2)=0, INDIRECT("Sheet1!A" &amp;4+((ROW()-2)/2)-2), "")</f>
        <v>Protest</v>
      </c>
      <c r="E702" s="40" t="str">
        <f t="shared" ref="E702" ca="1" si="585">IF(MOD(ROW()-2,2)=0, INDIRECT("Sheet1!D" &amp;4+((ROW()-2)/2)-2), "")</f>
        <v>mouzahara</v>
      </c>
    </row>
    <row r="703" spans="1:5" ht="15" customHeight="1" x14ac:dyDescent="0.25">
      <c r="A703" s="36" t="str">
        <f t="shared" ca="1" si="532"/>
        <v/>
      </c>
      <c r="B703" s="31" t="str">
        <f t="shared" ref="B703" ca="1" si="586">IF(MOD(ROW()-3,2)=0, INDIRECT("Sheet1!E" &amp;4+((ROW()-3)/2)-2), "")</f>
        <v xml:space="preserve"> مُظاهَرَة</v>
      </c>
      <c r="D703" s="75"/>
      <c r="E703" s="41" t="str">
        <f t="shared" ref="E703" ca="1" si="587">IF(MOD(ROW()-3,2)=0, INDIRECT("Sheet1!E" &amp;4+((ROW()-3)/2)-2), "")</f>
        <v xml:space="preserve"> مُظاهَرَة</v>
      </c>
    </row>
    <row r="704" spans="1:5" ht="15.75" customHeight="1" x14ac:dyDescent="0.25">
      <c r="A704" s="34" t="str">
        <f t="shared" ca="1" si="532"/>
        <v>I write with the pen on the paper</v>
      </c>
      <c r="B704" s="30" t="str">
        <f t="shared" ca="1" si="535"/>
        <v>mouzaharat</v>
      </c>
      <c r="D704" s="75" t="str">
        <f t="shared" ca="1" si="543"/>
        <v>Protests</v>
      </c>
      <c r="E704" s="40" t="str">
        <f t="shared" ca="1" si="544"/>
        <v>mouzaharat</v>
      </c>
    </row>
    <row r="705" spans="1:5" ht="15" customHeight="1" x14ac:dyDescent="0.25">
      <c r="A705" s="35" t="str">
        <f t="shared" ref="A705:A768" ca="1" si="588">IF(MOD(ROW()-2,3)=0, INDIRECT("Sheet1!A" &amp;4+((ROW()-2)/3)-2), "")</f>
        <v/>
      </c>
      <c r="B705" s="31" t="str">
        <f t="shared" ca="1" si="536"/>
        <v xml:space="preserve"> مُظاهَرات</v>
      </c>
      <c r="D705" s="75"/>
      <c r="E705" s="41" t="str">
        <f t="shared" ca="1" si="546"/>
        <v xml:space="preserve"> مُظاهَرات</v>
      </c>
    </row>
    <row r="706" spans="1:5" x14ac:dyDescent="0.25">
      <c r="A706" s="36" t="str">
        <f t="shared" ca="1" si="588"/>
        <v/>
      </c>
      <c r="B706" s="30" t="str">
        <f t="shared" ca="1" si="537"/>
        <v>shaheed</v>
      </c>
      <c r="D706" s="75" t="str">
        <f t="shared" ca="1" si="548"/>
        <v>Martyr</v>
      </c>
      <c r="E706" s="40" t="str">
        <f t="shared" ca="1" si="549"/>
        <v>shaheed</v>
      </c>
    </row>
    <row r="707" spans="1:5" ht="15" customHeight="1" x14ac:dyDescent="0.25">
      <c r="A707" s="34" t="str">
        <f t="shared" ca="1" si="588"/>
        <v>May I go to the bathroom</v>
      </c>
      <c r="B707" s="31" t="str">
        <f t="shared" ca="1" si="540"/>
        <v>شهيد</v>
      </c>
      <c r="D707" s="75"/>
      <c r="E707" s="41" t="str">
        <f t="shared" ca="1" si="551"/>
        <v>شهيد</v>
      </c>
    </row>
    <row r="708" spans="1:5" ht="126" x14ac:dyDescent="0.25">
      <c r="A708" s="35" t="str">
        <f t="shared" ca="1" si="588"/>
        <v/>
      </c>
      <c r="B708" s="30" t="str">
        <f t="shared" ca="1" si="542"/>
        <v>fi azmit nifeiyeit bi lebnen, wl Hkoumeh ba3ed ma le'yit Hall</v>
      </c>
      <c r="D708" s="75" t="str">
        <f t="shared" ca="1" si="553"/>
        <v>There is a garbage crisis in Lebanon, and the government did not find a solution yet.</v>
      </c>
      <c r="E708" s="40" t="str">
        <f t="shared" ca="1" si="554"/>
        <v>fi azmit nifeiyeit bi lebnen, wl Hkoumeh ba3ed ma le'yit Hall</v>
      </c>
    </row>
    <row r="709" spans="1:5" ht="90" x14ac:dyDescent="0.25">
      <c r="A709" s="36" t="str">
        <f t="shared" ca="1" si="588"/>
        <v/>
      </c>
      <c r="B709" s="31" t="str">
        <f t="shared" ca="1" si="545"/>
        <v>في أزمِة نفِايات بِلبنان، والحكومِة بَعد ما لقيت حَلّ</v>
      </c>
      <c r="D709" s="75"/>
      <c r="E709" s="41" t="str">
        <f t="shared" ca="1" si="556"/>
        <v>في أزمِة نفِايات بِلبنان، والحكومِة بَعد ما لقيت حَلّ</v>
      </c>
    </row>
    <row r="710" spans="1:5" ht="94.5" x14ac:dyDescent="0.25">
      <c r="A710" s="34" t="str">
        <f t="shared" ca="1" si="588"/>
        <v xml:space="preserve">Can you lend me your pen </v>
      </c>
      <c r="B710" s="30" t="str">
        <f t="shared" ca="1" si="547"/>
        <v>kel baladiyyeh, mas'ouleh 3an farez el nifeiyeit</v>
      </c>
      <c r="D710" s="75" t="str">
        <f t="shared" ca="1" si="557"/>
        <v>Every municipality is responsible for waste sorting</v>
      </c>
      <c r="E710" s="40" t="str">
        <f t="shared" ca="1" si="558"/>
        <v>kel baladiyyeh, mas'ouleh 3an farez el nifeiyeit</v>
      </c>
    </row>
    <row r="711" spans="1:5" ht="45" x14ac:dyDescent="0.25">
      <c r="A711" s="35" t="str">
        <f t="shared" ca="1" si="588"/>
        <v/>
      </c>
      <c r="B711" s="31" t="str">
        <f t="shared" ca="1" si="550"/>
        <v>كِلّ بَلَدِيّة، مَسؤولِة عَن فَرز النِفايات</v>
      </c>
      <c r="D711" s="75"/>
      <c r="E711" s="41" t="str">
        <f t="shared" ca="1" si="559"/>
        <v>كِلّ بَلَدِيّة، مَسؤولِة عَن فَرز النِفايات</v>
      </c>
    </row>
    <row r="712" spans="1:5" ht="220.5" x14ac:dyDescent="0.25">
      <c r="A712" s="36" t="str">
        <f t="shared" ca="1" si="588"/>
        <v/>
      </c>
      <c r="B712" s="30" t="str">
        <f t="shared" ref="B712" ca="1" si="589">IF(MOD(ROW()-2,2)=0, INDIRECT("Sheet1!D" &amp;4+((ROW()-2)/2)-2), "")</f>
        <v>fi mouzaharat selmiyyeh moustamerra bil 3asmeh el lebneniyeh, 3am bettalib bi esti'alit wazeer el bee'a</v>
      </c>
      <c r="D712" s="75" t="str">
        <f t="shared" ca="1" si="560"/>
        <v>There are ongoing peacful protests in the Lebanese capital demanding the resignation of the minister of the environment</v>
      </c>
      <c r="E712" s="40" t="str">
        <f t="shared" ca="1" si="561"/>
        <v>fi mouzaharat selmiyyeh moustamerra bil 3asmeh el lebneniyeh, 3am bettalib bi esti'alit wazeer el bee'a</v>
      </c>
    </row>
    <row r="713" spans="1:5" ht="135" x14ac:dyDescent="0.25">
      <c r="A713" s="34" t="str">
        <f t="shared" ca="1" si="588"/>
        <v xml:space="preserve">Job </v>
      </c>
      <c r="B713" s="31" t="str">
        <f t="shared" ref="B713" ca="1" si="590">IF(MOD(ROW()-3,2)=0, INDIRECT("Sheet1!E" &amp;4+((ROW()-3)/2)-2), "")</f>
        <v>في مُظاهرات سِلميّة مُستمرّة بالعاصمة اللبنانية، عَم بطالِب بإستقالة وَزير البيئة</v>
      </c>
      <c r="D713" s="75"/>
      <c r="E713" s="41" t="str">
        <f t="shared" ca="1" si="562"/>
        <v>في مُظاهرات سِلميّة مُستمرّة بالعاصمة اللبنانية، عَم بطالِب بإستقالة وَزير البيئة</v>
      </c>
    </row>
    <row r="714" spans="1:5" ht="94.5" x14ac:dyDescent="0.25">
      <c r="A714" s="35" t="str">
        <f t="shared" ca="1" si="588"/>
        <v/>
      </c>
      <c r="B714" s="30" t="str">
        <f t="shared" ref="B714:B774" ca="1" si="591">IF(MOD(ROW()-2,2)=0, INDIRECT("Sheet1!D" &amp;4+((ROW()-2)/2)-2), "")</f>
        <v>el yom, khamseen shakhes meito nateejit enfijar</v>
      </c>
      <c r="D714" s="75" t="str">
        <f t="shared" ca="1" si="563"/>
        <v>Today, fifty people were killed as a result of an explosion</v>
      </c>
      <c r="E714" s="40" t="str">
        <f t="shared" ca="1" si="564"/>
        <v>el yom, khamseen shakhes meito nateejit enfijar</v>
      </c>
    </row>
    <row r="715" spans="1:5" ht="75" x14ac:dyDescent="0.25">
      <c r="A715" s="36" t="str">
        <f t="shared" ca="1" si="588"/>
        <v/>
      </c>
      <c r="B715" s="31" t="str">
        <f t="shared" ref="B715:B775" ca="1" si="592">IF(MOD(ROW()-3,2)=0, INDIRECT("Sheet1!E" &amp;4+((ROW()-3)/2)-2), "")</f>
        <v>اليَوم، خَمسين شَخص ماتوا نَتيجِة إنفجار</v>
      </c>
      <c r="D715" s="75"/>
      <c r="E715" s="41" t="str">
        <f t="shared" ca="1" si="565"/>
        <v>اليَوم، خَمسين شَخص ماتوا نَتيجِة إنفجار</v>
      </c>
    </row>
    <row r="716" spans="1:5" ht="173.25" x14ac:dyDescent="0.25">
      <c r="A716" s="34" t="str">
        <f t="shared" ca="1" si="588"/>
        <v>Jobs</v>
      </c>
      <c r="B716" s="30" t="str">
        <f t="shared" ref="B716:B776" ca="1" si="593">IF(MOD(ROW()-2,2)=0, INDIRECT("Sheet1!D" &amp;4+((ROW()-2)/2)-2), "")</f>
        <v>bil alfein w tleta3sh, majlis el nouwweib 3addalo el doustour, ta ye'daro ymaddido la nafsoun</v>
      </c>
      <c r="D716" s="75" t="str">
        <f t="shared" ref="D716" ca="1" si="594">IF(MOD(ROW()-2,2)=0, INDIRECT("Sheet1!A" &amp;4+((ROW()-2)/2)-2), "")</f>
        <v>In 2013, the parliament ammended the constitution to be able to extend their term</v>
      </c>
      <c r="E716" s="40" t="str">
        <f t="shared" ref="E716" ca="1" si="595">IF(MOD(ROW()-2,2)=0, INDIRECT("Sheet1!D" &amp;4+((ROW()-2)/2)-2), "")</f>
        <v>bil alfein w tleta3sh, majlis el nouwweib 3addalo el doustour, ta ye'daro ymaddido la nafsoun</v>
      </c>
    </row>
    <row r="717" spans="1:5" ht="135" x14ac:dyDescent="0.25">
      <c r="A717" s="35" t="str">
        <f t="shared" ca="1" si="588"/>
        <v/>
      </c>
      <c r="B717" s="31" t="str">
        <f t="shared" ref="B717:B777" ca="1" si="596">IF(MOD(ROW()-3,2)=0, INDIRECT("Sheet1!E" &amp;4+((ROW()-3)/2)-2), "")</f>
        <v>بل ألفين وتلاتعش مَجلِس النّواب عَدَّلوا الدُستور، تَ يقدَروا يمَدّدوا لَ نَفسُن</v>
      </c>
      <c r="D717" s="75"/>
      <c r="E717" s="41" t="str">
        <f t="shared" ref="E717" ca="1" si="597">IF(MOD(ROW()-3,2)=0, INDIRECT("Sheet1!E" &amp;4+((ROW()-3)/2)-2), "")</f>
        <v>بل ألفين وتلاتعش مَجلِس النّواب عَدَّلوا الدُستور، تَ يقدَروا يمَدّدوا لَ نَفسُن</v>
      </c>
    </row>
    <row r="718" spans="1:5" ht="78.75" x14ac:dyDescent="0.25">
      <c r="A718" s="36" t="str">
        <f t="shared" ca="1" si="588"/>
        <v/>
      </c>
      <c r="B718" s="30" t="str">
        <f t="shared" ref="B718:B778" ca="1" si="598">IF(MOD(ROW()-2,2)=0, INDIRECT("Sheet1!D" &amp;4+((ROW()-2)/2)-2), "")</f>
        <v>mwaffa'/ mwaffa'a/ mwaffa'een</v>
      </c>
      <c r="D718" s="75" t="str">
        <f t="shared" ref="D718:D774" ca="1" si="599">IF(MOD(ROW()-2,2)=0, INDIRECT("Sheet1!A" &amp;4+((ROW()-2)/2)-2), "")</f>
        <v>good luck</v>
      </c>
      <c r="E718" s="40" t="str">
        <f t="shared" ref="E718:E774" ca="1" si="600">IF(MOD(ROW()-2,2)=0, INDIRECT("Sheet1!D" &amp;4+((ROW()-2)/2)-2), "")</f>
        <v>mwaffa'/ mwaffa'a/ mwaffa'een</v>
      </c>
    </row>
    <row r="719" spans="1:5" ht="15" customHeight="1" x14ac:dyDescent="0.25">
      <c r="A719" s="34" t="str">
        <f t="shared" ca="1" si="588"/>
        <v xml:space="preserve">Show maker </v>
      </c>
      <c r="B719" s="31" t="str">
        <f t="shared" ref="B719:B779" ca="1" si="601">IF(MOD(ROW()-3,2)=0, INDIRECT("Sheet1!E" &amp;4+((ROW()-3)/2)-2), "")</f>
        <v>موَفَق/ موَفَقَة/ موَفَقين</v>
      </c>
      <c r="D719" s="75"/>
      <c r="E719" s="41" t="str">
        <f t="shared" ref="E719:E775" ca="1" si="602">IF(MOD(ROW()-3,2)=0, INDIRECT("Sheet1!E" &amp;4+((ROW()-3)/2)-2), "")</f>
        <v>موَفَق/ موَفَقَة/ موَفَقين</v>
      </c>
    </row>
    <row r="720" spans="1:5" ht="31.5" x14ac:dyDescent="0.25">
      <c r="A720" s="35" t="str">
        <f t="shared" ca="1" si="588"/>
        <v/>
      </c>
      <c r="B720" s="30" t="str">
        <f t="shared" ref="B720:B780" ca="1" si="603">IF(MOD(ROW()-2,2)=0, INDIRECT("Sheet1!D" &amp;4+((ROW()-2)/2)-2), "")</f>
        <v>ma3 el saleimeh</v>
      </c>
      <c r="D720" s="75" t="str">
        <f t="shared" ref="D720:D776" ca="1" si="604">IF(MOD(ROW()-2,2)=0, INDIRECT("Sheet1!A" &amp;4+((ROW()-2)/2)-2), "")</f>
        <v>Go with peace</v>
      </c>
      <c r="E720" s="40" t="str">
        <f t="shared" ref="E720:E776" ca="1" si="605">IF(MOD(ROW()-2,2)=0, INDIRECT("Sheet1!D" &amp;4+((ROW()-2)/2)-2), "")</f>
        <v>ma3 el saleimeh</v>
      </c>
    </row>
    <row r="721" spans="1:5" ht="15" customHeight="1" x14ac:dyDescent="0.25">
      <c r="A721" s="36" t="str">
        <f t="shared" ca="1" si="588"/>
        <v/>
      </c>
      <c r="B721" s="31" t="str">
        <f t="shared" ref="B721:B781" ca="1" si="606">IF(MOD(ROW()-3,2)=0, INDIRECT("Sheet1!E" &amp;4+((ROW()-3)/2)-2), "")</f>
        <v>مَع السَلامة</v>
      </c>
      <c r="D721" s="75"/>
      <c r="E721" s="41" t="str">
        <f t="shared" ref="E721:E777" ca="1" si="607">IF(MOD(ROW()-3,2)=0, INDIRECT("Sheet1!E" &amp;4+((ROW()-3)/2)-2), "")</f>
        <v>مَع السَلامة</v>
      </c>
    </row>
    <row r="722" spans="1:5" ht="78.75" x14ac:dyDescent="0.25">
      <c r="A722" s="34" t="str">
        <f t="shared" ca="1" si="588"/>
        <v xml:space="preserve">Blacksmith </v>
      </c>
      <c r="B722" s="30" t="str">
        <f t="shared" ref="B722" ca="1" si="608">IF(MOD(ROW()-2,2)=0, INDIRECT("Sheet1!D" &amp;4+((ROW()-2)/2)-2), "")</f>
        <v>khalleek/ khalleekeh/ khalleekoun</v>
      </c>
      <c r="D722" s="75" t="str">
        <f t="shared" ref="D722:D778" ca="1" si="609">IF(MOD(ROW()-2,2)=0, INDIRECT("Sheet1!A" &amp;4+((ROW()-2)/2)-2), "")</f>
        <v>Stay</v>
      </c>
      <c r="E722" s="40" t="str">
        <f t="shared" ref="E722:E778" ca="1" si="610">IF(MOD(ROW()-2,2)=0, INDIRECT("Sheet1!D" &amp;4+((ROW()-2)/2)-2), "")</f>
        <v>khalleek/ khalleekeh/ khalleekoun</v>
      </c>
    </row>
    <row r="723" spans="1:5" ht="15" customHeight="1" x14ac:dyDescent="0.25">
      <c r="A723" s="35" t="str">
        <f t="shared" ca="1" si="588"/>
        <v/>
      </c>
      <c r="B723" s="31" t="str">
        <f t="shared" ref="B723" ca="1" si="611">IF(MOD(ROW()-3,2)=0, INDIRECT("Sheet1!E" &amp;4+((ROW()-3)/2)-2), "")</f>
        <v>خَلّيك/ خَلّيكي/ خَلّيكُن</v>
      </c>
      <c r="D723" s="75"/>
      <c r="E723" s="41" t="str">
        <f t="shared" ref="E723:E779" ca="1" si="612">IF(MOD(ROW()-3,2)=0, INDIRECT("Sheet1!E" &amp;4+((ROW()-3)/2)-2), "")</f>
        <v>خَلّيك/ خَلّيكي/ خَلّيكُن</v>
      </c>
    </row>
    <row r="724" spans="1:5" ht="63" x14ac:dyDescent="0.25">
      <c r="A724" s="36" t="str">
        <f t="shared" ca="1" si="588"/>
        <v/>
      </c>
      <c r="B724" s="30" t="str">
        <f t="shared" ca="1" si="591"/>
        <v>khalleek (b'a) ba3d shwey</v>
      </c>
      <c r="D724" s="75" t="str">
        <f t="shared" ref="D724:D780" ca="1" si="613">IF(MOD(ROW()-2,2)=0, INDIRECT("Sheet1!A" &amp;4+((ROW()-2)/2)-2), "")</f>
        <v>stay a little more</v>
      </c>
      <c r="E724" s="40" t="str">
        <f t="shared" ref="E724:E780" ca="1" si="614">IF(MOD(ROW()-2,2)=0, INDIRECT("Sheet1!D" &amp;4+((ROW()-2)/2)-2), "")</f>
        <v>khalleek (b'a) ba3d shwey</v>
      </c>
    </row>
    <row r="725" spans="1:5" ht="15" customHeight="1" x14ac:dyDescent="0.25">
      <c r="A725" s="34" t="str">
        <f t="shared" ca="1" si="588"/>
        <v xml:space="preserve">Carpenter </v>
      </c>
      <c r="B725" s="31" t="str">
        <f t="shared" ca="1" si="592"/>
        <v xml:space="preserve"> خَلّيك (بقا) بَعد شوي</v>
      </c>
      <c r="D725" s="75"/>
      <c r="E725" s="41" t="str">
        <f t="shared" ref="E725:E781" ca="1" si="615">IF(MOD(ROW()-3,2)=0, INDIRECT("Sheet1!E" &amp;4+((ROW()-3)/2)-2), "")</f>
        <v xml:space="preserve"> خَلّيك (بقا) بَعد شوي</v>
      </c>
    </row>
    <row r="726" spans="1:5" ht="63" x14ac:dyDescent="0.25">
      <c r="A726" s="35" t="str">
        <f t="shared" ca="1" si="588"/>
        <v/>
      </c>
      <c r="B726" s="30" t="str">
        <f t="shared" ca="1" si="593"/>
        <v>allah ma3ak/ ma3ik/ ma3koun</v>
      </c>
      <c r="D726" s="75" t="str">
        <f t="shared" ref="D726:D782" ca="1" si="616">IF(MOD(ROW()-2,2)=0, INDIRECT("Sheet1!A" &amp;4+((ROW()-2)/2)-2), "")</f>
        <v>God is with you</v>
      </c>
      <c r="E726" s="40" t="str">
        <f t="shared" ref="E726:E782" ca="1" si="617">IF(MOD(ROW()-2,2)=0, INDIRECT("Sheet1!D" &amp;4+((ROW()-2)/2)-2), "")</f>
        <v>allah ma3ak/ ma3ik/ ma3koun</v>
      </c>
    </row>
    <row r="727" spans="1:5" ht="15" customHeight="1" x14ac:dyDescent="0.25">
      <c r="A727" s="36" t="str">
        <f t="shared" ca="1" si="588"/>
        <v/>
      </c>
      <c r="B727" s="31" t="str">
        <f t="shared" ca="1" si="596"/>
        <v>الله مَعَك/ مَعِك/ مَعكُن</v>
      </c>
      <c r="D727" s="75"/>
      <c r="E727" s="41" t="str">
        <f t="shared" ref="E727:E783" ca="1" si="618">IF(MOD(ROW()-3,2)=0, INDIRECT("Sheet1!E" &amp;4+((ROW()-3)/2)-2), "")</f>
        <v>الله مَعَك/ مَعِك/ مَعكُن</v>
      </c>
    </row>
    <row r="728" spans="1:5" ht="78.75" x14ac:dyDescent="0.25">
      <c r="A728" s="34" t="str">
        <f t="shared" ca="1" si="588"/>
        <v xml:space="preserve">Mechanic </v>
      </c>
      <c r="B728" s="30" t="str">
        <f t="shared" ca="1" si="598"/>
        <v>teb'a toll/ teb'eh tolleh/ teb'o tollo</v>
      </c>
      <c r="D728" s="75" t="str">
        <f t="shared" ref="D728:D784" ca="1" si="619">IF(MOD(ROW()-2,2)=0, INDIRECT("Sheet1!A" &amp;4+((ROW()-2)/2)-2), "")</f>
        <v>drop by soon</v>
      </c>
      <c r="E728" s="40" t="str">
        <f t="shared" ref="E728:E784" ca="1" si="620">IF(MOD(ROW()-2,2)=0, INDIRECT("Sheet1!D" &amp;4+((ROW()-2)/2)-2), "")</f>
        <v>teb'a toll/ teb'eh tolleh/ teb'o tollo</v>
      </c>
    </row>
    <row r="729" spans="1:5" ht="15" customHeight="1" x14ac:dyDescent="0.25">
      <c r="A729" s="35" t="str">
        <f t="shared" ca="1" si="588"/>
        <v/>
      </c>
      <c r="B729" s="31" t="str">
        <f t="shared" ca="1" si="601"/>
        <v>تبقَ طُلّ/ تبقي طُلّي/ تبقو طُلّو</v>
      </c>
      <c r="D729" s="75"/>
      <c r="E729" s="41" t="str">
        <f t="shared" ref="E729:E785" ca="1" si="621">IF(MOD(ROW()-3,2)=0, INDIRECT("Sheet1!E" &amp;4+((ROW()-3)/2)-2), "")</f>
        <v>تبقَ طُلّ/ تبقي طُلّي/ تبقو طُلّو</v>
      </c>
    </row>
    <row r="730" spans="1:5" ht="47.25" x14ac:dyDescent="0.25">
      <c r="A730" s="36" t="str">
        <f t="shared" ca="1" si="588"/>
        <v/>
      </c>
      <c r="B730" s="30" t="str">
        <f t="shared" ca="1" si="603"/>
        <v>mayyil/ mayleh/ maylo</v>
      </c>
      <c r="D730" s="75" t="str">
        <f t="shared" ref="D730" ca="1" si="622">IF(MOD(ROW()-2,2)=0, INDIRECT("Sheet1!A" &amp;4+((ROW()-2)/2)-2), "")</f>
        <v>drop by</v>
      </c>
      <c r="E730" s="40" t="str">
        <f t="shared" ref="E730" ca="1" si="623">IF(MOD(ROW()-2,2)=0, INDIRECT("Sheet1!D" &amp;4+((ROW()-2)/2)-2), "")</f>
        <v>mayyil/ mayleh/ maylo</v>
      </c>
    </row>
    <row r="731" spans="1:5" ht="15" customHeight="1" x14ac:dyDescent="0.25">
      <c r="A731" s="34" t="str">
        <f t="shared" ca="1" si="588"/>
        <v xml:space="preserve">Grocery store </v>
      </c>
      <c r="B731" s="31" t="str">
        <f t="shared" ca="1" si="606"/>
        <v>مَيّل/ مَيلي/ مَيلو</v>
      </c>
      <c r="D731" s="75"/>
      <c r="E731" s="41" t="str">
        <f t="shared" ref="E731" ca="1" si="624">IF(MOD(ROW()-3,2)=0, INDIRECT("Sheet1!E" &amp;4+((ROW()-3)/2)-2), "")</f>
        <v>مَيّل/ مَيلي/ مَيلو</v>
      </c>
    </row>
    <row r="732" spans="1:5" ht="47.25" x14ac:dyDescent="0.25">
      <c r="A732" s="35" t="str">
        <f t="shared" ca="1" si="588"/>
        <v/>
      </c>
      <c r="B732" s="30" t="str">
        <f t="shared" ref="B732" ca="1" si="625">IF(MOD(ROW()-2,2)=0, INDIRECT("Sheet1!D" &amp;4+((ROW()-2)/2)-2), "")</f>
        <v>3eeda/ 3idiya/ 3idouwa</v>
      </c>
      <c r="D732" s="75" t="str">
        <f t="shared" ca="1" si="599"/>
        <v>come back again</v>
      </c>
      <c r="E732" s="40" t="str">
        <f t="shared" ca="1" si="600"/>
        <v>3eeda/ 3idiya/ 3idouwa</v>
      </c>
    </row>
    <row r="733" spans="1:5" ht="15" customHeight="1" x14ac:dyDescent="0.25">
      <c r="A733" s="36" t="str">
        <f t="shared" ca="1" si="588"/>
        <v/>
      </c>
      <c r="B733" s="31" t="str">
        <f t="shared" ref="B733" ca="1" si="626">IF(MOD(ROW()-3,2)=0, INDIRECT("Sheet1!E" &amp;4+((ROW()-3)/2)-2), "")</f>
        <v>عيدا/ عيديا/ عيدووا</v>
      </c>
      <c r="D733" s="75"/>
      <c r="E733" s="41" t="str">
        <f t="shared" ca="1" si="602"/>
        <v>عيدا/ عيديا/ عيدووا</v>
      </c>
    </row>
    <row r="734" spans="1:5" x14ac:dyDescent="0.25">
      <c r="A734" s="34" t="str">
        <f t="shared" ca="1" si="588"/>
        <v xml:space="preserve">Grocery owner </v>
      </c>
      <c r="B734" s="30" t="str">
        <f t="shared" ca="1" si="591"/>
        <v>la wein?</v>
      </c>
      <c r="D734" s="75" t="str">
        <f t="shared" ca="1" si="604"/>
        <v xml:space="preserve">where are you going? </v>
      </c>
      <c r="E734" s="40" t="str">
        <f t="shared" ca="1" si="605"/>
        <v>la wein?</v>
      </c>
    </row>
    <row r="735" spans="1:5" ht="15" customHeight="1" x14ac:dyDescent="0.25">
      <c r="A735" s="35" t="str">
        <f t="shared" ca="1" si="588"/>
        <v/>
      </c>
      <c r="B735" s="31" t="str">
        <f t="shared" ca="1" si="592"/>
        <v xml:space="preserve"> ?لَوين</v>
      </c>
      <c r="D735" s="75"/>
      <c r="E735" s="41" t="str">
        <f t="shared" ca="1" si="607"/>
        <v xml:space="preserve"> ?لَوين</v>
      </c>
    </row>
    <row r="736" spans="1:5" x14ac:dyDescent="0.25">
      <c r="A736" s="36" t="str">
        <f t="shared" ca="1" si="588"/>
        <v/>
      </c>
      <c r="B736" s="30" t="str">
        <f t="shared" ca="1" si="593"/>
        <v>min3adeh</v>
      </c>
      <c r="D736" s="75" t="str">
        <f t="shared" ca="1" si="609"/>
        <v>come again: (for men, woman and groups)</v>
      </c>
      <c r="E736" s="40" t="str">
        <f t="shared" ca="1" si="610"/>
        <v>min3adeh</v>
      </c>
    </row>
    <row r="737" spans="1:5" ht="15" customHeight="1" x14ac:dyDescent="0.25">
      <c r="A737" s="34" t="str">
        <f t="shared" ca="1" si="588"/>
        <v xml:space="preserve">Vegetables </v>
      </c>
      <c r="B737" s="31" t="str">
        <f t="shared" ca="1" si="596"/>
        <v>مِنعادة</v>
      </c>
      <c r="D737" s="75"/>
      <c r="E737" s="41" t="str">
        <f t="shared" ca="1" si="612"/>
        <v>مِنعادة</v>
      </c>
    </row>
    <row r="738" spans="1:5" ht="47.25" x14ac:dyDescent="0.25">
      <c r="A738" s="35" t="str">
        <f t="shared" ca="1" si="588"/>
        <v/>
      </c>
      <c r="B738" s="30" t="str">
        <f t="shared" ca="1" si="598"/>
        <v>sa3eedeh/ tosbaH 3a kheir</v>
      </c>
      <c r="D738" s="75" t="str">
        <f t="shared" ca="1" si="613"/>
        <v>good night</v>
      </c>
      <c r="E738" s="40" t="str">
        <f t="shared" ca="1" si="614"/>
        <v>sa3eedeh/ tosbaH 3a kheir</v>
      </c>
    </row>
    <row r="739" spans="1:5" ht="15" customHeight="1" x14ac:dyDescent="0.25">
      <c r="A739" s="36" t="str">
        <f t="shared" ca="1" si="588"/>
        <v/>
      </c>
      <c r="B739" s="31" t="str">
        <f t="shared" ca="1" si="601"/>
        <v>سَعيدة/ تُصبَح ع خَير</v>
      </c>
      <c r="D739" s="75"/>
      <c r="E739" s="41" t="str">
        <f t="shared" ca="1" si="615"/>
        <v>سَعيدة/ تُصبَح ع خَير</v>
      </c>
    </row>
    <row r="740" spans="1:5" ht="63" x14ac:dyDescent="0.25">
      <c r="A740" s="34" t="str">
        <f t="shared" ca="1" si="588"/>
        <v xml:space="preserve">Vegetebale store owner </v>
      </c>
      <c r="B740" s="30" t="str">
        <f t="shared" ca="1" si="603"/>
        <v>w enta/enteh/ ento min ahlo</v>
      </c>
      <c r="D740" s="75" t="str">
        <f t="shared" ca="1" si="616"/>
        <v>good night for you too</v>
      </c>
      <c r="E740" s="40" t="str">
        <f t="shared" ca="1" si="617"/>
        <v>w enta/enteh/ ento min ahlo</v>
      </c>
    </row>
    <row r="741" spans="1:5" ht="15" customHeight="1" x14ac:dyDescent="0.25">
      <c r="A741" s="35" t="str">
        <f t="shared" ca="1" si="588"/>
        <v/>
      </c>
      <c r="B741" s="31" t="str">
        <f t="shared" ca="1" si="606"/>
        <v xml:space="preserve"> و إنتَ/ إنتِ/ إنتو من أهلو</v>
      </c>
      <c r="D741" s="75"/>
      <c r="E741" s="41" t="str">
        <f t="shared" ca="1" si="618"/>
        <v xml:space="preserve"> و إنتَ/ إنتِ/ إنتو من أهلو</v>
      </c>
    </row>
    <row r="742" spans="1:5" ht="47.25" x14ac:dyDescent="0.25">
      <c r="A742" s="36" t="str">
        <f t="shared" ca="1" si="588"/>
        <v/>
      </c>
      <c r="B742" s="30" t="str">
        <f t="shared" ref="B742" ca="1" si="627">IF(MOD(ROW()-2,2)=0, INDIRECT("Sheet1!D" &amp;4+((ROW()-2)/2)-2), "")</f>
        <v>sallim/ salmeh/ salmo</v>
      </c>
      <c r="D742" s="75" t="str">
        <f t="shared" ca="1" si="619"/>
        <v>say hi</v>
      </c>
      <c r="E742" s="40" t="str">
        <f t="shared" ca="1" si="620"/>
        <v>sallim/ salmeh/ salmo</v>
      </c>
    </row>
    <row r="743" spans="1:5" ht="15" customHeight="1" x14ac:dyDescent="0.25">
      <c r="A743" s="34" t="str">
        <f t="shared" ca="1" si="588"/>
        <v xml:space="preserve">Garden </v>
      </c>
      <c r="B743" s="31" t="str">
        <f t="shared" ref="B743" ca="1" si="628">IF(MOD(ROW()-3,2)=0, INDIRECT("Sheet1!E" &amp;4+((ROW()-3)/2)-2), "")</f>
        <v>سَّلِّم/ سَلمي/ سَلمو</v>
      </c>
      <c r="D743" s="75"/>
      <c r="E743" s="41" t="str">
        <f t="shared" ca="1" si="621"/>
        <v>سَّلِّم/ سَلمي/ سَلمو</v>
      </c>
    </row>
    <row r="744" spans="1:5" x14ac:dyDescent="0.25">
      <c r="A744" s="35" t="str">
        <f t="shared" ca="1" si="588"/>
        <v/>
      </c>
      <c r="B744" s="30" t="str">
        <f t="shared" ca="1" si="591"/>
        <v>wosil</v>
      </c>
      <c r="D744" s="75" t="str">
        <f t="shared" ref="D744" ca="1" si="629">IF(MOD(ROW()-2,2)=0, INDIRECT("Sheet1!A" &amp;4+((ROW()-2)/2)-2), "")</f>
        <v>done!</v>
      </c>
      <c r="E744" s="40" t="str">
        <f t="shared" ref="E744" ca="1" si="630">IF(MOD(ROW()-2,2)=0, INDIRECT("Sheet1!D" &amp;4+((ROW()-2)/2)-2), "")</f>
        <v>wosil</v>
      </c>
    </row>
    <row r="745" spans="1:5" ht="15" customHeight="1" x14ac:dyDescent="0.25">
      <c r="A745" s="36" t="str">
        <f t="shared" ca="1" si="588"/>
        <v/>
      </c>
      <c r="B745" s="31" t="str">
        <f t="shared" ca="1" si="592"/>
        <v>وُصِل</v>
      </c>
      <c r="D745" s="75"/>
      <c r="E745" s="41" t="str">
        <f t="shared" ref="E745" ca="1" si="631">IF(MOD(ROW()-3,2)=0, INDIRECT("Sheet1!E" &amp;4+((ROW()-3)/2)-2), "")</f>
        <v>وُصِل</v>
      </c>
    </row>
    <row r="746" spans="1:5" ht="47.25" x14ac:dyDescent="0.25">
      <c r="A746" s="34" t="str">
        <f t="shared" ca="1" si="588"/>
        <v xml:space="preserve">Gardner </v>
      </c>
      <c r="B746" s="30" t="str">
        <f t="shared" ca="1" si="593"/>
        <v>yalla, sar lezim emsheh</v>
      </c>
      <c r="D746" s="75" t="str">
        <f t="shared" ca="1" si="599"/>
        <v>ok, i have to go</v>
      </c>
      <c r="E746" s="40" t="str">
        <f t="shared" ca="1" si="600"/>
        <v>yalla, sar lezim emsheh</v>
      </c>
    </row>
    <row r="747" spans="1:5" ht="15" customHeight="1" x14ac:dyDescent="0.25">
      <c r="A747" s="35" t="str">
        <f t="shared" ca="1" si="588"/>
        <v/>
      </c>
      <c r="B747" s="31" t="str">
        <f t="shared" ca="1" si="596"/>
        <v>يَلاّ صار لازِم إمشي</v>
      </c>
      <c r="D747" s="75"/>
      <c r="E747" s="41" t="str">
        <f t="shared" ca="1" si="602"/>
        <v>يَلاّ صار لازِم إمشي</v>
      </c>
    </row>
    <row r="748" spans="1:5" ht="47.25" x14ac:dyDescent="0.25">
      <c r="A748" s="36" t="str">
        <f t="shared" ca="1" si="588"/>
        <v/>
      </c>
      <c r="B748" s="30" t="str">
        <f t="shared" ca="1" si="598"/>
        <v>yalla shefneikoun</v>
      </c>
      <c r="D748" s="75" t="str">
        <f t="shared" ca="1" si="604"/>
        <v>ok we saw you  (we have to leave)</v>
      </c>
      <c r="E748" s="40" t="str">
        <f t="shared" ca="1" si="605"/>
        <v>yalla shefneikoun</v>
      </c>
    </row>
    <row r="749" spans="1:5" ht="15" customHeight="1" x14ac:dyDescent="0.25">
      <c r="A749" s="34" t="str">
        <f t="shared" ca="1" si="588"/>
        <v xml:space="preserve">Bread </v>
      </c>
      <c r="B749" s="31" t="str">
        <f t="shared" ca="1" si="601"/>
        <v>يلاّ شفناكُن</v>
      </c>
      <c r="D749" s="75"/>
      <c r="E749" s="41" t="str">
        <f t="shared" ca="1" si="607"/>
        <v>يلاّ شفناكُن</v>
      </c>
    </row>
    <row r="750" spans="1:5" ht="63" x14ac:dyDescent="0.25">
      <c r="A750" s="35" t="str">
        <f t="shared" ca="1" si="588"/>
        <v/>
      </c>
      <c r="B750" s="30" t="str">
        <f t="shared" ca="1" si="603"/>
        <v>baddak, baddik, badkoun shi?</v>
      </c>
      <c r="D750" s="75" t="str">
        <f t="shared" ca="1" si="609"/>
        <v>do you want somenthing?</v>
      </c>
      <c r="E750" s="40" t="str">
        <f t="shared" ca="1" si="610"/>
        <v>baddak, baddik, badkoun shi?</v>
      </c>
    </row>
    <row r="751" spans="1:5" ht="15" customHeight="1" x14ac:dyDescent="0.25">
      <c r="A751" s="36" t="str">
        <f t="shared" ca="1" si="588"/>
        <v/>
      </c>
      <c r="B751" s="31" t="str">
        <f t="shared" ca="1" si="606"/>
        <v>بَدَّك/ بَدِّك/ بَدكُن شي؟</v>
      </c>
      <c r="D751" s="75"/>
      <c r="E751" s="41" t="str">
        <f t="shared" ca="1" si="612"/>
        <v>بَدَّك/ بَدِّك/ بَدكُن شي؟</v>
      </c>
    </row>
    <row r="752" spans="1:5" ht="47.25" x14ac:dyDescent="0.25">
      <c r="A752" s="34" t="str">
        <f t="shared" ca="1" si="588"/>
        <v>bread maker/ Baker</v>
      </c>
      <c r="B752" s="30" t="str">
        <f t="shared" ref="B752" ca="1" si="632">IF(MOD(ROW()-2,2)=0, INDIRECT("Sheet1!D" &amp;4+((ROW()-2)/2)-2), "")</f>
        <v>mbasatna shefneikoun</v>
      </c>
      <c r="D752" s="75" t="str">
        <f t="shared" ca="1" si="613"/>
        <v>we're happy we saw you</v>
      </c>
      <c r="E752" s="40" t="str">
        <f t="shared" ca="1" si="614"/>
        <v>mbasatna shefneikoun</v>
      </c>
    </row>
    <row r="753" spans="1:5" ht="15" customHeight="1" x14ac:dyDescent="0.25">
      <c r="A753" s="35" t="str">
        <f t="shared" ca="1" si="588"/>
        <v/>
      </c>
      <c r="B753" s="31" t="str">
        <f t="shared" ref="B753" ca="1" si="633">IF(MOD(ROW()-3,2)=0, INDIRECT("Sheet1!E" &amp;4+((ROW()-3)/2)-2), "")</f>
        <v>مبسَطنا شفناكُن</v>
      </c>
      <c r="D753" s="75"/>
      <c r="E753" s="41" t="str">
        <f t="shared" ca="1" si="615"/>
        <v>مبسَطنا شفناكُن</v>
      </c>
    </row>
    <row r="754" spans="1:5" ht="47.25" x14ac:dyDescent="0.25">
      <c r="A754" s="36" t="str">
        <f t="shared" ca="1" si="588"/>
        <v/>
      </c>
      <c r="B754" s="30" t="str">
        <f t="shared" ca="1" si="591"/>
        <v>min3eeda gheir marra</v>
      </c>
      <c r="D754" s="75" t="str">
        <f t="shared" ca="1" si="616"/>
        <v>we will come back again</v>
      </c>
      <c r="E754" s="40" t="str">
        <f t="shared" ca="1" si="617"/>
        <v>min3eeda gheir marra</v>
      </c>
    </row>
    <row r="755" spans="1:5" ht="15" customHeight="1" x14ac:dyDescent="0.25">
      <c r="A755" s="34" t="str">
        <f t="shared" ca="1" si="588"/>
        <v xml:space="preserve">Hairdresser </v>
      </c>
      <c r="B755" s="31" t="str">
        <f t="shared" ca="1" si="592"/>
        <v>منعيدا غَير مَرّا</v>
      </c>
      <c r="D755" s="75"/>
      <c r="E755" s="41" t="str">
        <f t="shared" ca="1" si="618"/>
        <v>منعيدا غَير مَرّا</v>
      </c>
    </row>
    <row r="756" spans="1:5" ht="47.25" x14ac:dyDescent="0.25">
      <c r="A756" s="35" t="str">
        <f t="shared" ca="1" si="588"/>
        <v/>
      </c>
      <c r="B756" s="30" t="str">
        <f t="shared" ca="1" si="593"/>
        <v>3mol/3meleh ma3rouf</v>
      </c>
      <c r="D756" s="75" t="str">
        <f t="shared" ca="1" si="619"/>
        <v>please</v>
      </c>
      <c r="E756" s="40" t="str">
        <f t="shared" ca="1" si="620"/>
        <v>3mol/3meleh ma3rouf</v>
      </c>
    </row>
    <row r="757" spans="1:5" ht="15" customHeight="1" x14ac:dyDescent="0.25">
      <c r="A757" s="36" t="str">
        <f t="shared" ca="1" si="588"/>
        <v/>
      </c>
      <c r="B757" s="31" t="str">
        <f t="shared" ca="1" si="596"/>
        <v>عمول/ عميلي مَعروف</v>
      </c>
      <c r="D757" s="75"/>
      <c r="E757" s="41" t="str">
        <f t="shared" ca="1" si="621"/>
        <v>عمول/ عميلي مَعروف</v>
      </c>
    </row>
    <row r="758" spans="1:5" ht="47.25" x14ac:dyDescent="0.25">
      <c r="A758" s="34" t="str">
        <f t="shared" ca="1" si="588"/>
        <v xml:space="preserve">Fortune teller </v>
      </c>
      <c r="B758" s="30" t="str">
        <f t="shared" ca="1" si="598"/>
        <v>min fadlak/ min fadlik</v>
      </c>
      <c r="D758" s="75" t="str">
        <f t="shared" ref="D758" ca="1" si="634">IF(MOD(ROW()-2,2)=0, INDIRECT("Sheet1!A" &amp;4+((ROW()-2)/2)-2), "")</f>
        <v>please</v>
      </c>
      <c r="E758" s="40" t="str">
        <f t="shared" ref="E758" ca="1" si="635">IF(MOD(ROW()-2,2)=0, INDIRECT("Sheet1!D" &amp;4+((ROW()-2)/2)-2), "")</f>
        <v>min fadlak/ min fadlik</v>
      </c>
    </row>
    <row r="759" spans="1:5" ht="15" customHeight="1" x14ac:dyDescent="0.25">
      <c r="A759" s="35" t="str">
        <f t="shared" ca="1" si="588"/>
        <v/>
      </c>
      <c r="B759" s="31" t="str">
        <f t="shared" ca="1" si="601"/>
        <v>مِن فَضلَك/ فَضلِك</v>
      </c>
      <c r="D759" s="75"/>
      <c r="E759" s="41" t="str">
        <f t="shared" ref="E759" ca="1" si="636">IF(MOD(ROW()-3,2)=0, INDIRECT("Sheet1!E" &amp;4+((ROW()-3)/2)-2), "")</f>
        <v>مِن فَضلَك/ فَضلِك</v>
      </c>
    </row>
    <row r="760" spans="1:5" x14ac:dyDescent="0.25">
      <c r="A760" s="36" t="str">
        <f t="shared" ca="1" si="588"/>
        <v/>
      </c>
      <c r="B760" s="30" t="str">
        <f t="shared" ca="1" si="603"/>
        <v>Bi sharafak/bi sharafik</v>
      </c>
      <c r="D760" s="75" t="str">
        <f t="shared" ca="1" si="599"/>
        <v>please</v>
      </c>
      <c r="E760" s="40" t="str">
        <f t="shared" ca="1" si="600"/>
        <v>Bi sharafak/bi sharafik</v>
      </c>
    </row>
    <row r="761" spans="1:5" ht="15" customHeight="1" x14ac:dyDescent="0.25">
      <c r="A761" s="34" t="str">
        <f t="shared" ca="1" si="588"/>
        <v xml:space="preserve">Wall painter </v>
      </c>
      <c r="B761" s="31" t="str">
        <f t="shared" ca="1" si="606"/>
        <v>بِشَرَفَك/ بِشَرَفِك</v>
      </c>
      <c r="D761" s="75"/>
      <c r="E761" s="41" t="str">
        <f t="shared" ca="1" si="602"/>
        <v>بِشَرَفَك/ بِشَرَفِك</v>
      </c>
    </row>
    <row r="762" spans="1:5" ht="31.5" x14ac:dyDescent="0.25">
      <c r="A762" s="35" t="str">
        <f t="shared" ca="1" si="588"/>
        <v/>
      </c>
      <c r="B762" s="30" t="str">
        <f t="shared" ref="B762" ca="1" si="637">IF(MOD(ROW()-2,2)=0, INDIRECT("Sheet1!D" &amp;4+((ROW()-2)/2)-2), "")</f>
        <v xml:space="preserve">ma tosghar </v>
      </c>
      <c r="D762" s="75" t="str">
        <f t="shared" ca="1" si="604"/>
        <v>please</v>
      </c>
      <c r="E762" s="40" t="str">
        <f t="shared" ca="1" si="605"/>
        <v xml:space="preserve">ma tosghar </v>
      </c>
    </row>
    <row r="763" spans="1:5" ht="15" customHeight="1" x14ac:dyDescent="0.25">
      <c r="A763" s="36" t="str">
        <f t="shared" ca="1" si="588"/>
        <v/>
      </c>
      <c r="B763" s="31" t="str">
        <f t="shared" ref="B763" ca="1" si="638">IF(MOD(ROW()-3,2)=0, INDIRECT("Sheet1!E" &amp;4+((ROW()-3)/2)-2), "")</f>
        <v>ما تُصغَر</v>
      </c>
      <c r="D763" s="75"/>
      <c r="E763" s="41" t="str">
        <f t="shared" ca="1" si="607"/>
        <v>ما تُصغَر</v>
      </c>
    </row>
    <row r="764" spans="1:5" ht="63" x14ac:dyDescent="0.25">
      <c r="A764" s="34" t="str">
        <f t="shared" ca="1" si="588"/>
        <v xml:space="preserve">Tiles </v>
      </c>
      <c r="B764" s="30" t="str">
        <f t="shared" ca="1" si="591"/>
        <v xml:space="preserve">iza btreed/ btreedeh </v>
      </c>
      <c r="D764" s="75" t="str">
        <f t="shared" ca="1" si="609"/>
        <v>please</v>
      </c>
      <c r="E764" s="40" t="str">
        <f t="shared" ca="1" si="610"/>
        <v xml:space="preserve">iza btreed/ btreedeh </v>
      </c>
    </row>
    <row r="765" spans="1:5" ht="15" customHeight="1" x14ac:dyDescent="0.25">
      <c r="A765" s="35" t="str">
        <f t="shared" ca="1" si="588"/>
        <v/>
      </c>
      <c r="B765" s="31" t="str">
        <f t="shared" ca="1" si="592"/>
        <v>إذا بتريد/ بتريدي</v>
      </c>
      <c r="D765" s="75"/>
      <c r="E765" s="41" t="str">
        <f t="shared" ca="1" si="612"/>
        <v>إذا بتريد/ بتريدي</v>
      </c>
    </row>
    <row r="766" spans="1:5" ht="31.5" x14ac:dyDescent="0.25">
      <c r="A766" s="36" t="str">
        <f t="shared" ca="1" si="588"/>
        <v/>
      </c>
      <c r="B766" s="30" t="str">
        <f t="shared" ca="1" si="593"/>
        <v>3afwan</v>
      </c>
      <c r="D766" s="75" t="str">
        <f t="shared" ca="1" si="613"/>
        <v xml:space="preserve">excuse me </v>
      </c>
      <c r="E766" s="40" t="str">
        <f t="shared" ca="1" si="614"/>
        <v>3afwan</v>
      </c>
    </row>
    <row r="767" spans="1:5" ht="15" customHeight="1" x14ac:dyDescent="0.25">
      <c r="A767" s="34" t="str">
        <f t="shared" ca="1" si="588"/>
        <v xml:space="preserve">tile worker </v>
      </c>
      <c r="B767" s="31" t="str">
        <f t="shared" ca="1" si="596"/>
        <v>عَفوا"</v>
      </c>
      <c r="D767" s="75"/>
      <c r="E767" s="41" t="str">
        <f t="shared" ca="1" si="615"/>
        <v>عَفوا"</v>
      </c>
    </row>
    <row r="768" spans="1:5" ht="47.25" x14ac:dyDescent="0.25">
      <c r="A768" s="35" t="str">
        <f t="shared" ca="1" si="588"/>
        <v/>
      </c>
      <c r="B768" s="30" t="str">
        <f t="shared" ca="1" si="598"/>
        <v>b3azbak/b3azbik</v>
      </c>
      <c r="D768" s="75" t="str">
        <f t="shared" ca="1" si="616"/>
        <v xml:space="preserve">excuse me </v>
      </c>
      <c r="E768" s="40" t="str">
        <f t="shared" ca="1" si="617"/>
        <v>b3azbak/b3azbik</v>
      </c>
    </row>
    <row r="769" spans="1:5" ht="15" customHeight="1" x14ac:dyDescent="0.25">
      <c r="A769" s="36" t="str">
        <f t="shared" ref="A769:A832" ca="1" si="639">IF(MOD(ROW()-2,3)=0, INDIRECT("Sheet1!A" &amp;4+((ROW()-2)/3)-2), "")</f>
        <v/>
      </c>
      <c r="B769" s="31" t="str">
        <f t="shared" ca="1" si="601"/>
        <v>بعَزبَك/ بعَزبِك</v>
      </c>
      <c r="D769" s="75"/>
      <c r="E769" s="41" t="str">
        <f t="shared" ca="1" si="618"/>
        <v>بعَزبَك/ بعَزبِك</v>
      </c>
    </row>
    <row r="770" spans="1:5" ht="31.5" x14ac:dyDescent="0.25">
      <c r="A770" s="34" t="str">
        <f t="shared" ca="1" si="639"/>
        <v xml:space="preserve">Electrician </v>
      </c>
      <c r="B770" s="30" t="str">
        <f t="shared" ca="1" si="603"/>
        <v xml:space="preserve">law samaHet/ law samaHteh </v>
      </c>
      <c r="D770" s="75" t="str">
        <f t="shared" ca="1" si="619"/>
        <v xml:space="preserve">excuse me </v>
      </c>
      <c r="E770" s="40" t="str">
        <f t="shared" ca="1" si="620"/>
        <v xml:space="preserve">law samaHet/ law samaHteh </v>
      </c>
    </row>
    <row r="771" spans="1:5" ht="15" customHeight="1" x14ac:dyDescent="0.25">
      <c r="A771" s="35" t="str">
        <f t="shared" ca="1" si="639"/>
        <v/>
      </c>
      <c r="B771" s="31" t="str">
        <f t="shared" ca="1" si="606"/>
        <v>لَو سَمَحت/ لَو سَمَحتي</v>
      </c>
      <c r="D771" s="75"/>
      <c r="E771" s="41" t="str">
        <f t="shared" ca="1" si="621"/>
        <v>لَو سَمَحت/ لَو سَمَحتي</v>
      </c>
    </row>
    <row r="772" spans="1:5" ht="47.25" x14ac:dyDescent="0.25">
      <c r="A772" s="36" t="str">
        <f t="shared" ca="1" si="639"/>
        <v/>
      </c>
      <c r="B772" s="30" t="str">
        <f t="shared" ref="B772" ca="1" si="640">IF(MOD(ROW()-2,2)=0, INDIRECT("Sheet1!D" &amp;4+((ROW()-2)/2)-2), "")</f>
        <v xml:space="preserve">ma twekhezneh/ ma twekhzeeneh </v>
      </c>
      <c r="D772" s="75" t="str">
        <f t="shared" ref="D772" ca="1" si="641">IF(MOD(ROW()-2,2)=0, INDIRECT("Sheet1!A" &amp;4+((ROW()-2)/2)-2), "")</f>
        <v xml:space="preserve">excuse me </v>
      </c>
      <c r="E772" s="40" t="str">
        <f t="shared" ref="E772" ca="1" si="642">IF(MOD(ROW()-2,2)=0, INDIRECT("Sheet1!D" &amp;4+((ROW()-2)/2)-2), "")</f>
        <v xml:space="preserve">ma twekhezneh/ ma twekhzeeneh </v>
      </c>
    </row>
    <row r="773" spans="1:5" ht="15" customHeight="1" x14ac:dyDescent="0.25">
      <c r="A773" s="34" t="str">
        <f t="shared" ca="1" si="639"/>
        <v xml:space="preserve">Doorman </v>
      </c>
      <c r="B773" s="31" t="str">
        <f t="shared" ref="B773" ca="1" si="643">IF(MOD(ROW()-3,2)=0, INDIRECT("Sheet1!E" &amp;4+((ROW()-3)/2)-2), "")</f>
        <v>ما تواخزني/ تواخزيني</v>
      </c>
      <c r="D773" s="75"/>
      <c r="E773" s="41" t="str">
        <f t="shared" ref="E773" ca="1" si="644">IF(MOD(ROW()-3,2)=0, INDIRECT("Sheet1!E" &amp;4+((ROW()-3)/2)-2), "")</f>
        <v>ما تواخزني/ تواخزيني</v>
      </c>
    </row>
    <row r="774" spans="1:5" ht="31.5" x14ac:dyDescent="0.25">
      <c r="A774" s="35" t="str">
        <f t="shared" ca="1" si="639"/>
        <v/>
      </c>
      <c r="B774" s="30" t="str">
        <f t="shared" ca="1" si="591"/>
        <v xml:space="preserve">min ba3ed eznak/ eznik </v>
      </c>
      <c r="D774" s="75" t="str">
        <f t="shared" ca="1" si="599"/>
        <v xml:space="preserve">excuse me </v>
      </c>
      <c r="E774" s="40" t="str">
        <f t="shared" ca="1" si="600"/>
        <v xml:space="preserve">min ba3ed eznak/ eznik </v>
      </c>
    </row>
    <row r="775" spans="1:5" ht="15" customHeight="1" x14ac:dyDescent="0.25">
      <c r="A775" s="36" t="str">
        <f t="shared" ca="1" si="639"/>
        <v/>
      </c>
      <c r="B775" s="31" t="str">
        <f t="shared" ca="1" si="592"/>
        <v>مِن بَعد إذنَك/ إذنِك</v>
      </c>
      <c r="D775" s="75"/>
      <c r="E775" s="41" t="str">
        <f t="shared" ca="1" si="602"/>
        <v>مِن بَعد إذنَك/ إذنِك</v>
      </c>
    </row>
    <row r="776" spans="1:5" x14ac:dyDescent="0.25">
      <c r="A776" s="34" t="str">
        <f t="shared" ca="1" si="639"/>
        <v xml:space="preserve">Tailor </v>
      </c>
      <c r="B776" s="30" t="str">
        <f t="shared" ca="1" si="593"/>
        <v>tekram 3aynak/3aynik</v>
      </c>
      <c r="D776" s="75" t="str">
        <f t="shared" ca="1" si="604"/>
        <v xml:space="preserve">you're welcome </v>
      </c>
      <c r="E776" s="40" t="str">
        <f t="shared" ca="1" si="605"/>
        <v>tekram 3aynak/3aynik</v>
      </c>
    </row>
    <row r="777" spans="1:5" ht="15" customHeight="1" x14ac:dyDescent="0.25">
      <c r="A777" s="35" t="str">
        <f t="shared" ca="1" si="639"/>
        <v/>
      </c>
      <c r="B777" s="31" t="str">
        <f t="shared" ca="1" si="596"/>
        <v>تكرَم عَينَك/ عَينِك</v>
      </c>
      <c r="D777" s="75"/>
      <c r="E777" s="41" t="str">
        <f t="shared" ca="1" si="607"/>
        <v>تكرَم عَينَك/ عَينِك</v>
      </c>
    </row>
    <row r="778" spans="1:5" x14ac:dyDescent="0.25">
      <c r="A778" s="36" t="str">
        <f t="shared" ca="1" si="639"/>
        <v/>
      </c>
      <c r="B778" s="30" t="str">
        <f t="shared" ca="1" si="598"/>
        <v>tekram/ tekrameh</v>
      </c>
      <c r="D778" s="75" t="str">
        <f t="shared" ca="1" si="609"/>
        <v xml:space="preserve">you're welcome </v>
      </c>
      <c r="E778" s="40" t="str">
        <f t="shared" ca="1" si="610"/>
        <v>tekram/ tekrameh</v>
      </c>
    </row>
    <row r="779" spans="1:5" ht="15" customHeight="1" x14ac:dyDescent="0.25">
      <c r="A779" s="34" t="str">
        <f t="shared" ca="1" si="639"/>
        <v>body</v>
      </c>
      <c r="B779" s="31" t="str">
        <f t="shared" ca="1" si="601"/>
        <v>تِكرَم/ تِكرَمي</v>
      </c>
      <c r="D779" s="75"/>
      <c r="E779" s="41" t="str">
        <f t="shared" ca="1" si="612"/>
        <v>تِكرَم/ تِكرَمي</v>
      </c>
    </row>
    <row r="780" spans="1:5" ht="47.25" x14ac:dyDescent="0.25">
      <c r="A780" s="35" t="str">
        <f t="shared" ca="1" si="639"/>
        <v/>
      </c>
      <c r="B780" s="30" t="str">
        <f t="shared" ca="1" si="603"/>
        <v xml:space="preserve">ahla </v>
      </c>
      <c r="D780" s="75" t="str">
        <f t="shared" ca="1" si="613"/>
        <v xml:space="preserve">you're welcome </v>
      </c>
      <c r="E780" s="40" t="str">
        <f t="shared" ca="1" si="614"/>
        <v xml:space="preserve">ahla </v>
      </c>
    </row>
    <row r="781" spans="1:5" ht="15" customHeight="1" x14ac:dyDescent="0.25">
      <c r="A781" s="36" t="str">
        <f t="shared" ca="1" si="639"/>
        <v/>
      </c>
      <c r="B781" s="31" t="str">
        <f t="shared" ca="1" si="606"/>
        <v>أهلا</v>
      </c>
      <c r="D781" s="75"/>
      <c r="E781" s="41" t="str">
        <f t="shared" ca="1" si="615"/>
        <v>أهلا</v>
      </c>
    </row>
    <row r="782" spans="1:5" ht="31.5" x14ac:dyDescent="0.25">
      <c r="A782" s="34" t="str">
        <f t="shared" ca="1" si="639"/>
        <v>face</v>
      </c>
      <c r="B782" s="30" t="str">
        <f t="shared" ref="B782" ca="1" si="645">IF(MOD(ROW()-2,2)=0, INDIRECT("Sheet1!D" &amp;4+((ROW()-2)/2)-2), "")</f>
        <v xml:space="preserve">ya 3eib el shoum </v>
      </c>
      <c r="D782" s="75" t="str">
        <f t="shared" ca="1" si="616"/>
        <v xml:space="preserve">you're welcome </v>
      </c>
      <c r="E782" s="40" t="str">
        <f t="shared" ca="1" si="617"/>
        <v xml:space="preserve">ya 3eib el shoum </v>
      </c>
    </row>
    <row r="783" spans="1:5" ht="15" customHeight="1" x14ac:dyDescent="0.25">
      <c r="A783" s="35" t="str">
        <f t="shared" ca="1" si="639"/>
        <v/>
      </c>
      <c r="B783" s="31" t="str">
        <f t="shared" ref="B783" ca="1" si="646">IF(MOD(ROW()-3,2)=0, INDIRECT("Sheet1!E" &amp;4+((ROW()-3)/2)-2), "")</f>
        <v>يا عَيب الشوم</v>
      </c>
      <c r="D783" s="75"/>
      <c r="E783" s="41" t="str">
        <f t="shared" ca="1" si="618"/>
        <v>يا عَيب الشوم</v>
      </c>
    </row>
    <row r="784" spans="1:5" x14ac:dyDescent="0.25">
      <c r="A784" s="36" t="str">
        <f t="shared" ca="1" si="639"/>
        <v/>
      </c>
      <c r="B784" s="30" t="str">
        <f t="shared" ref="B784:B844" ca="1" si="647">IF(MOD(ROW()-2,2)=0, INDIRECT("Sheet1!D" &amp;4+((ROW()-2)/2)-2), "")</f>
        <v>la 3younak/ 3younik</v>
      </c>
      <c r="D784" s="75" t="str">
        <f t="shared" ca="1" si="619"/>
        <v xml:space="preserve">you're welcome </v>
      </c>
      <c r="E784" s="40" t="str">
        <f t="shared" ca="1" si="620"/>
        <v>la 3younak/ 3younik</v>
      </c>
    </row>
    <row r="785" spans="1:5" ht="15" customHeight="1" x14ac:dyDescent="0.25">
      <c r="A785" s="34" t="str">
        <f t="shared" ca="1" si="639"/>
        <v>eyebrows</v>
      </c>
      <c r="B785" s="31" t="str">
        <f t="shared" ref="B785:B845" ca="1" si="648">IF(MOD(ROW()-3,2)=0, INDIRECT("Sheet1!E" &amp;4+((ROW()-3)/2)-2), "")</f>
        <v>لَعيونَك/ لَعيونِك</v>
      </c>
      <c r="D785" s="75"/>
      <c r="E785" s="41" t="str">
        <f t="shared" ca="1" si="621"/>
        <v>لَعيونَك/ لَعيونِك</v>
      </c>
    </row>
    <row r="786" spans="1:5" ht="31.5" x14ac:dyDescent="0.25">
      <c r="A786" s="35" t="str">
        <f t="shared" ca="1" si="639"/>
        <v/>
      </c>
      <c r="B786" s="30" t="str">
        <f t="shared" ref="B786:B846" ca="1" si="649">IF(MOD(ROW()-2,2)=0, INDIRECT("Sheet1!D" &amp;4+((ROW()-2)/2)-2), "")</f>
        <v>mish bayneitna</v>
      </c>
      <c r="D786" s="75" t="str">
        <f t="shared" ref="D786" ca="1" si="650">IF(MOD(ROW()-2,2)=0, INDIRECT("Sheet1!A" &amp;4+((ROW()-2)/2)-2), "")</f>
        <v xml:space="preserve">don't mention it </v>
      </c>
      <c r="E786" s="40" t="str">
        <f t="shared" ref="E786" ca="1" si="651">IF(MOD(ROW()-2,2)=0, INDIRECT("Sheet1!D" &amp;4+((ROW()-2)/2)-2), "")</f>
        <v>mish bayneitna</v>
      </c>
    </row>
    <row r="787" spans="1:5" ht="15" customHeight="1" x14ac:dyDescent="0.25">
      <c r="A787" s="36" t="str">
        <f t="shared" ca="1" si="639"/>
        <v/>
      </c>
      <c r="B787" s="31" t="str">
        <f t="shared" ref="B787:B847" ca="1" si="652">IF(MOD(ROW()-3,2)=0, INDIRECT("Sheet1!E" &amp;4+((ROW()-3)/2)-2), "")</f>
        <v>مِش بيناتنا</v>
      </c>
      <c r="D787" s="75"/>
      <c r="E787" s="41" t="str">
        <f t="shared" ref="E787" ca="1" si="653">IF(MOD(ROW()-3,2)=0, INDIRECT("Sheet1!E" &amp;4+((ROW()-3)/2)-2), "")</f>
        <v>مِش بيناتنا</v>
      </c>
    </row>
    <row r="788" spans="1:5" ht="31.5" x14ac:dyDescent="0.25">
      <c r="A788" s="34" t="str">
        <f t="shared" ca="1" si="639"/>
        <v>nose</v>
      </c>
      <c r="B788" s="30" t="str">
        <f t="shared" ref="B788:B848" ca="1" si="654">IF(MOD(ROW()-2,2)=0, INDIRECT("Sheet1!D" &amp;4+((ROW()-2)/2)-2), "")</f>
        <v>walaw</v>
      </c>
      <c r="D788" s="75" t="str">
        <f t="shared" ref="D788:D844" ca="1" si="655">IF(MOD(ROW()-2,2)=0, INDIRECT("Sheet1!A" &amp;4+((ROW()-2)/2)-2), "")</f>
        <v>Don't mention it</v>
      </c>
      <c r="E788" s="40" t="str">
        <f t="shared" ref="E788:E844" ca="1" si="656">IF(MOD(ROW()-2,2)=0, INDIRECT("Sheet1!D" &amp;4+((ROW()-2)/2)-2), "")</f>
        <v>walaw</v>
      </c>
    </row>
    <row r="789" spans="1:5" ht="15" customHeight="1" x14ac:dyDescent="0.25">
      <c r="A789" s="35" t="str">
        <f t="shared" ca="1" si="639"/>
        <v/>
      </c>
      <c r="B789" s="31" t="str">
        <f t="shared" ref="B789:B849" ca="1" si="657">IF(MOD(ROW()-3,2)=0, INDIRECT("Sheet1!E" &amp;4+((ROW()-3)/2)-2), "")</f>
        <v>وَلَو</v>
      </c>
      <c r="D789" s="75"/>
      <c r="E789" s="41" t="str">
        <f t="shared" ref="E789:E845" ca="1" si="658">IF(MOD(ROW()-3,2)=0, INDIRECT("Sheet1!E" &amp;4+((ROW()-3)/2)-2), "")</f>
        <v>وَلَو</v>
      </c>
    </row>
    <row r="790" spans="1:5" ht="78.75" x14ac:dyDescent="0.25">
      <c r="A790" s="36" t="str">
        <f t="shared" ca="1" si="639"/>
        <v/>
      </c>
      <c r="B790" s="30" t="str">
        <f t="shared" ref="B790:B850" ca="1" si="659">IF(MOD(ROW()-2,2)=0, INDIRECT("Sheet1!D" &amp;4+((ROW()-2)/2)-2), "")</f>
        <v>yeslamo</v>
      </c>
      <c r="D790" s="75" t="str">
        <f t="shared" ref="D790:D846" ca="1" si="660">IF(MOD(ROW()-2,2)=0, INDIRECT("Sheet1!A" &amp;4+((ROW()-2)/2)-2), "")</f>
        <v>Thank you</v>
      </c>
      <c r="E790" s="40" t="str">
        <f t="shared" ref="E790:E846" ca="1" si="661">IF(MOD(ROW()-2,2)=0, INDIRECT("Sheet1!D" &amp;4+((ROW()-2)/2)-2), "")</f>
        <v>yeslamo</v>
      </c>
    </row>
    <row r="791" spans="1:5" ht="15" customHeight="1" x14ac:dyDescent="0.25">
      <c r="A791" s="34" t="str">
        <f t="shared" ca="1" si="639"/>
        <v>eye</v>
      </c>
      <c r="B791" s="31" t="str">
        <f t="shared" ref="B791:B851" ca="1" si="662">IF(MOD(ROW()-3,2)=0, INDIRECT("Sheet1!E" &amp;4+((ROW()-3)/2)-2), "")</f>
        <v>يِسلَمو</v>
      </c>
      <c r="D791" s="75"/>
      <c r="E791" s="41" t="str">
        <f t="shared" ref="E791:E847" ca="1" si="663">IF(MOD(ROW()-3,2)=0, INDIRECT("Sheet1!E" &amp;4+((ROW()-3)/2)-2), "")</f>
        <v>يِسلَمو</v>
      </c>
    </row>
    <row r="792" spans="1:5" ht="63" x14ac:dyDescent="0.25">
      <c r="A792" s="35" t="str">
        <f t="shared" ca="1" si="639"/>
        <v/>
      </c>
      <c r="B792" s="30" t="str">
        <f t="shared" ref="B792" ca="1" si="664">IF(MOD(ROW()-2,2)=0, INDIRECT("Sheet1!D" &amp;4+((ROW()-2)/2)-2), "")</f>
        <v>ysallemoun</v>
      </c>
      <c r="D792" s="75" t="str">
        <f t="shared" ref="D792:D848" ca="1" si="665">IF(MOD(ROW()-2,2)=0, INDIRECT("Sheet1!A" &amp;4+((ROW()-2)/2)-2), "")</f>
        <v>Thank you</v>
      </c>
      <c r="E792" s="40" t="str">
        <f t="shared" ref="E792:E848" ca="1" si="666">IF(MOD(ROW()-2,2)=0, INDIRECT("Sheet1!D" &amp;4+((ROW()-2)/2)-2), "")</f>
        <v>ysallemoun</v>
      </c>
    </row>
    <row r="793" spans="1:5" ht="15" customHeight="1" x14ac:dyDescent="0.25">
      <c r="A793" s="36" t="str">
        <f t="shared" ca="1" si="639"/>
        <v/>
      </c>
      <c r="B793" s="31" t="str">
        <f t="shared" ref="B793" ca="1" si="667">IF(MOD(ROW()-3,2)=0, INDIRECT("Sheet1!E" &amp;4+((ROW()-3)/2)-2), "")</f>
        <v>يسلّمُن</v>
      </c>
      <c r="D793" s="75"/>
      <c r="E793" s="41" t="str">
        <f t="shared" ref="E793:E849" ca="1" si="668">IF(MOD(ROW()-3,2)=0, INDIRECT("Sheet1!E" &amp;4+((ROW()-3)/2)-2), "")</f>
        <v>يسلّمُن</v>
      </c>
    </row>
    <row r="794" spans="1:5" ht="47.25" x14ac:dyDescent="0.25">
      <c r="A794" s="34" t="str">
        <f t="shared" ca="1" si="639"/>
        <v>eyes</v>
      </c>
      <c r="B794" s="30" t="str">
        <f t="shared" ca="1" si="647"/>
        <v>teslam</v>
      </c>
      <c r="D794" s="75" t="str">
        <f t="shared" ref="D794:D850" ca="1" si="669">IF(MOD(ROW()-2,2)=0, INDIRECT("Sheet1!A" &amp;4+((ROW()-2)/2)-2), "")</f>
        <v>Thank you</v>
      </c>
      <c r="E794" s="40" t="str">
        <f t="shared" ref="E794:E850" ca="1" si="670">IF(MOD(ROW()-2,2)=0, INDIRECT("Sheet1!D" &amp;4+((ROW()-2)/2)-2), "")</f>
        <v>teslam</v>
      </c>
    </row>
    <row r="795" spans="1:5" ht="15" customHeight="1" x14ac:dyDescent="0.25">
      <c r="A795" s="35" t="str">
        <f t="shared" ca="1" si="639"/>
        <v/>
      </c>
      <c r="B795" s="31" t="str">
        <f t="shared" ca="1" si="648"/>
        <v>تسلَم</v>
      </c>
      <c r="D795" s="75"/>
      <c r="E795" s="41" t="str">
        <f t="shared" ref="E795:E851" ca="1" si="671">IF(MOD(ROW()-3,2)=0, INDIRECT("Sheet1!E" &amp;4+((ROW()-3)/2)-2), "")</f>
        <v>تسلَم</v>
      </c>
    </row>
    <row r="796" spans="1:5" ht="31.5" x14ac:dyDescent="0.25">
      <c r="A796" s="36" t="str">
        <f t="shared" ca="1" si="639"/>
        <v/>
      </c>
      <c r="B796" s="30" t="str">
        <f t="shared" ca="1" si="649"/>
        <v>yeslamo hal idein</v>
      </c>
      <c r="D796" s="75" t="str">
        <f t="shared" ref="D796:D852" ca="1" si="672">IF(MOD(ROW()-2,2)=0, INDIRECT("Sheet1!A" &amp;4+((ROW()-2)/2)-2), "")</f>
        <v>Thank you</v>
      </c>
      <c r="E796" s="40" t="str">
        <f t="shared" ref="E796:E852" ca="1" si="673">IF(MOD(ROW()-2,2)=0, INDIRECT("Sheet1!D" &amp;4+((ROW()-2)/2)-2), "")</f>
        <v>yeslamo hal idein</v>
      </c>
    </row>
    <row r="797" spans="1:5" ht="15" customHeight="1" x14ac:dyDescent="0.25">
      <c r="A797" s="34" t="str">
        <f t="shared" ca="1" si="639"/>
        <v>eyelashes</v>
      </c>
      <c r="B797" s="31" t="str">
        <f t="shared" ca="1" si="652"/>
        <v>يسلَمو هَل إدين</v>
      </c>
      <c r="D797" s="75"/>
      <c r="E797" s="41" t="str">
        <f t="shared" ref="E797:E853" ca="1" si="674">IF(MOD(ROW()-3,2)=0, INDIRECT("Sheet1!E" &amp;4+((ROW()-3)/2)-2), "")</f>
        <v>يسلَمو هَل إدين</v>
      </c>
    </row>
    <row r="798" spans="1:5" ht="47.25" x14ac:dyDescent="0.25">
      <c r="A798" s="35" t="str">
        <f t="shared" ca="1" si="639"/>
        <v/>
      </c>
      <c r="B798" s="30" t="str">
        <f t="shared" ca="1" si="654"/>
        <v>shoukran</v>
      </c>
      <c r="D798" s="75" t="str">
        <f t="shared" ref="D798:D854" ca="1" si="675">IF(MOD(ROW()-2,2)=0, INDIRECT("Sheet1!A" &amp;4+((ROW()-2)/2)-2), "")</f>
        <v>Thank you</v>
      </c>
      <c r="E798" s="40" t="str">
        <f t="shared" ref="E798:E854" ca="1" si="676">IF(MOD(ROW()-2,2)=0, INDIRECT("Sheet1!D" &amp;4+((ROW()-2)/2)-2), "")</f>
        <v>shoukran</v>
      </c>
    </row>
    <row r="799" spans="1:5" ht="15" customHeight="1" x14ac:dyDescent="0.25">
      <c r="A799" s="36" t="str">
        <f t="shared" ca="1" si="639"/>
        <v/>
      </c>
      <c r="B799" s="31" t="str">
        <f t="shared" ca="1" si="657"/>
        <v>شُكرا"</v>
      </c>
      <c r="D799" s="75"/>
      <c r="E799" s="41" t="str">
        <f t="shared" ref="E799:E855" ca="1" si="677">IF(MOD(ROW()-3,2)=0, INDIRECT("Sheet1!E" &amp;4+((ROW()-3)/2)-2), "")</f>
        <v>شُكرا"</v>
      </c>
    </row>
    <row r="800" spans="1:5" ht="31.5" x14ac:dyDescent="0.25">
      <c r="A800" s="34" t="str">
        <f t="shared" ca="1" si="639"/>
        <v>mouth</v>
      </c>
      <c r="B800" s="30" t="str">
        <f t="shared" ca="1" si="659"/>
        <v>mashkour / mashkoura</v>
      </c>
      <c r="D800" s="75" t="str">
        <f t="shared" ref="D800" ca="1" si="678">IF(MOD(ROW()-2,2)=0, INDIRECT("Sheet1!A" &amp;4+((ROW()-2)/2)-2), "")</f>
        <v>Thank you</v>
      </c>
      <c r="E800" s="40" t="str">
        <f t="shared" ref="E800" ca="1" si="679">IF(MOD(ROW()-2,2)=0, INDIRECT("Sheet1!D" &amp;4+((ROW()-2)/2)-2), "")</f>
        <v>mashkour / mashkoura</v>
      </c>
    </row>
    <row r="801" spans="1:5" ht="15" customHeight="1" x14ac:dyDescent="0.25">
      <c r="A801" s="35" t="str">
        <f t="shared" ca="1" si="639"/>
        <v/>
      </c>
      <c r="B801" s="31" t="str">
        <f t="shared" ca="1" si="662"/>
        <v>مَشكور/ مَشكورَة</v>
      </c>
      <c r="D801" s="75"/>
      <c r="E801" s="41" t="str">
        <f t="shared" ref="E801" ca="1" si="680">IF(MOD(ROW()-3,2)=0, INDIRECT("Sheet1!E" &amp;4+((ROW()-3)/2)-2), "")</f>
        <v>مَشكور/ مَشكورَة</v>
      </c>
    </row>
    <row r="802" spans="1:5" x14ac:dyDescent="0.25">
      <c r="A802" s="36" t="str">
        <f t="shared" ca="1" si="639"/>
        <v/>
      </c>
      <c r="B802" s="30" t="str">
        <f t="shared" ref="B802" ca="1" si="681">IF(MOD(ROW()-2,2)=0, INDIRECT("Sheet1!D" &amp;4+((ROW()-2)/2)-2), "")</f>
        <v>kellak/ kellik zo'</v>
      </c>
      <c r="D802" s="75" t="str">
        <f t="shared" ca="1" si="655"/>
        <v>Thank you</v>
      </c>
      <c r="E802" s="40" t="str">
        <f t="shared" ca="1" si="656"/>
        <v>kellak/ kellik zo'</v>
      </c>
    </row>
    <row r="803" spans="1:5" ht="15" customHeight="1" x14ac:dyDescent="0.25">
      <c r="A803" s="34" t="str">
        <f t="shared" ca="1" si="639"/>
        <v>cheek</v>
      </c>
      <c r="B803" s="31" t="str">
        <f t="shared" ref="B803" ca="1" si="682">IF(MOD(ROW()-3,2)=0, INDIRECT("Sheet1!E" &amp;4+((ROW()-3)/2)-2), "")</f>
        <v>كِلَّك/ كِلِّك زوق</v>
      </c>
      <c r="D803" s="75"/>
      <c r="E803" s="41" t="str">
        <f t="shared" ca="1" si="658"/>
        <v>كِلَّك/ كِلِّك زوق</v>
      </c>
    </row>
    <row r="804" spans="1:5" x14ac:dyDescent="0.25">
      <c r="A804" s="35" t="str">
        <f t="shared" ca="1" si="639"/>
        <v/>
      </c>
      <c r="B804" s="30" t="str">
        <f t="shared" ca="1" si="647"/>
        <v>khajjaltna/ khajjalteena</v>
      </c>
      <c r="D804" s="75" t="str">
        <f t="shared" ca="1" si="660"/>
        <v>Thank you</v>
      </c>
      <c r="E804" s="40" t="str">
        <f t="shared" ca="1" si="661"/>
        <v>khajjaltna/ khajjalteena</v>
      </c>
    </row>
    <row r="805" spans="1:5" ht="15" customHeight="1" x14ac:dyDescent="0.25">
      <c r="A805" s="36" t="str">
        <f t="shared" ca="1" si="639"/>
        <v/>
      </c>
      <c r="B805" s="31" t="str">
        <f t="shared" ca="1" si="648"/>
        <v>خَجَلتنا/ خَجَلتينا</v>
      </c>
      <c r="D805" s="75"/>
      <c r="E805" s="41" t="str">
        <f t="shared" ca="1" si="663"/>
        <v>خَجَلتنا/ خَجَلتينا</v>
      </c>
    </row>
    <row r="806" spans="1:5" ht="31.5" x14ac:dyDescent="0.25">
      <c r="A806" s="34" t="str">
        <f t="shared" ca="1" si="639"/>
        <v>cheeks</v>
      </c>
      <c r="B806" s="30" t="str">
        <f t="shared" ca="1" si="649"/>
        <v>ykhaleelna yeik/ yeikeh</v>
      </c>
      <c r="D806" s="75" t="str">
        <f t="shared" ca="1" si="665"/>
        <v xml:space="preserve">salutation/ may you be well </v>
      </c>
      <c r="E806" s="40" t="str">
        <f t="shared" ca="1" si="666"/>
        <v>ykhaleelna yeik/ yeikeh</v>
      </c>
    </row>
    <row r="807" spans="1:5" ht="15" customHeight="1" x14ac:dyDescent="0.25">
      <c r="A807" s="35" t="str">
        <f t="shared" ca="1" si="639"/>
        <v/>
      </c>
      <c r="B807" s="31" t="str">
        <f t="shared" ca="1" si="652"/>
        <v>يخَليلنا ياك</v>
      </c>
      <c r="D807" s="75"/>
      <c r="E807" s="41" t="str">
        <f t="shared" ca="1" si="668"/>
        <v>يخَليلنا ياك</v>
      </c>
    </row>
    <row r="808" spans="1:5" ht="47.25" x14ac:dyDescent="0.25">
      <c r="A808" s="36" t="str">
        <f t="shared" ca="1" si="639"/>
        <v/>
      </c>
      <c r="B808" s="30" t="str">
        <f t="shared" ca="1" si="654"/>
        <v>ykhaleek/ ykhaleekeh fo' rasna</v>
      </c>
      <c r="D808" s="75" t="str">
        <f t="shared" ca="1" si="669"/>
        <v xml:space="preserve">salutation/ may you be well </v>
      </c>
      <c r="E808" s="40" t="str">
        <f t="shared" ca="1" si="670"/>
        <v>ykhaleek/ ykhaleekeh fo' rasna</v>
      </c>
    </row>
    <row r="809" spans="1:5" ht="15" customHeight="1" x14ac:dyDescent="0.25">
      <c r="A809" s="34" t="str">
        <f t="shared" ca="1" si="639"/>
        <v>hair</v>
      </c>
      <c r="B809" s="31" t="str">
        <f t="shared" ca="1" si="657"/>
        <v>يخلّيك/ يخَلّيكي فوق راسنا</v>
      </c>
      <c r="D809" s="75"/>
      <c r="E809" s="41" t="str">
        <f t="shared" ca="1" si="671"/>
        <v>يخلّيك/ يخَلّيكي فوق راسنا</v>
      </c>
    </row>
    <row r="810" spans="1:5" ht="63" x14ac:dyDescent="0.25">
      <c r="A810" s="35" t="str">
        <f t="shared" ca="1" si="639"/>
        <v/>
      </c>
      <c r="B810" s="30" t="str">
        <f t="shared" ca="1" si="659"/>
        <v>allah yoHfazak</v>
      </c>
      <c r="D810" s="75" t="str">
        <f t="shared" ca="1" si="672"/>
        <v xml:space="preserve">salutation/ may you be well </v>
      </c>
      <c r="E810" s="40" t="str">
        <f t="shared" ca="1" si="673"/>
        <v>allah yoHfazak</v>
      </c>
    </row>
    <row r="811" spans="1:5" ht="15" customHeight="1" x14ac:dyDescent="0.25">
      <c r="A811" s="36" t="str">
        <f t="shared" ca="1" si="639"/>
        <v/>
      </c>
      <c r="B811" s="31" t="str">
        <f t="shared" ca="1" si="662"/>
        <v>الله يُحفَظَك/ يُحفَظِك</v>
      </c>
      <c r="D811" s="75"/>
      <c r="E811" s="41" t="str">
        <f t="shared" ca="1" si="674"/>
        <v>الله يُحفَظَك/ يُحفَظِك</v>
      </c>
    </row>
    <row r="812" spans="1:5" ht="31.5" x14ac:dyDescent="0.25">
      <c r="A812" s="34" t="str">
        <f t="shared" ca="1" si="639"/>
        <v>neck</v>
      </c>
      <c r="B812" s="30" t="str">
        <f t="shared" ref="B812" ca="1" si="683">IF(MOD(ROW()-2,2)=0, INDIRECT("Sheet1!D" &amp;4+((ROW()-2)/2)-2), "")</f>
        <v>allah ykhalleek</v>
      </c>
      <c r="D812" s="75" t="str">
        <f t="shared" ca="1" si="675"/>
        <v xml:space="preserve">salutation/ may you be well </v>
      </c>
      <c r="E812" s="40" t="str">
        <f t="shared" ca="1" si="676"/>
        <v>allah ykhalleek</v>
      </c>
    </row>
    <row r="813" spans="1:5" ht="15" customHeight="1" x14ac:dyDescent="0.25">
      <c r="A813" s="35" t="str">
        <f t="shared" ca="1" si="639"/>
        <v/>
      </c>
      <c r="B813" s="31" t="str">
        <f t="shared" ref="B813" ca="1" si="684">IF(MOD(ROW()-3,2)=0, INDIRECT("Sheet1!E" &amp;4+((ROW()-3)/2)-2), "")</f>
        <v>الله يخَلّيك/ يخَلّيكي</v>
      </c>
      <c r="D813" s="75"/>
      <c r="E813" s="41" t="str">
        <f t="shared" ca="1" si="677"/>
        <v>الله يخَلّيك/ يخَلّيكي</v>
      </c>
    </row>
    <row r="814" spans="1:5" ht="31.5" x14ac:dyDescent="0.25">
      <c r="A814" s="36" t="str">
        <f t="shared" ca="1" si="639"/>
        <v/>
      </c>
      <c r="B814" s="30" t="str">
        <f t="shared" ca="1" si="647"/>
        <v>ya3teek/ ya3teekeh el 3afyeh</v>
      </c>
      <c r="D814" s="75" t="str">
        <f t="shared" ref="D814" ca="1" si="685">IF(MOD(ROW()-2,2)=0, INDIRECT("Sheet1!A" &amp;4+((ROW()-2)/2)-2), "")</f>
        <v xml:space="preserve">salutation/ may you be well </v>
      </c>
      <c r="E814" s="40" t="str">
        <f t="shared" ref="E814" ca="1" si="686">IF(MOD(ROW()-2,2)=0, INDIRECT("Sheet1!D" &amp;4+((ROW()-2)/2)-2), "")</f>
        <v>ya3teek/ ya3teekeh el 3afyeh</v>
      </c>
    </row>
    <row r="815" spans="1:5" ht="15" customHeight="1" x14ac:dyDescent="0.25">
      <c r="A815" s="34" t="str">
        <f t="shared" ca="1" si="639"/>
        <v>chest/breast</v>
      </c>
      <c r="B815" s="31" t="str">
        <f t="shared" ca="1" si="648"/>
        <v>يَعطيك/ يَعطيكي العافية</v>
      </c>
      <c r="D815" s="75"/>
      <c r="E815" s="41" t="str">
        <f t="shared" ref="E815" ca="1" si="687">IF(MOD(ROW()-3,2)=0, INDIRECT("Sheet1!E" &amp;4+((ROW()-3)/2)-2), "")</f>
        <v>يَعطيك/ يَعطيكي العافية</v>
      </c>
    </row>
    <row r="816" spans="1:5" x14ac:dyDescent="0.25">
      <c r="A816" s="35" t="str">
        <f t="shared" ca="1" si="639"/>
        <v/>
      </c>
      <c r="B816" s="30" t="str">
        <f t="shared" ca="1" si="649"/>
        <v xml:space="preserve">allah y3afeek/ y3afeekeh </v>
      </c>
      <c r="D816" s="75" t="str">
        <f t="shared" ca="1" si="655"/>
        <v xml:space="preserve">salutation/ may you be well </v>
      </c>
      <c r="E816" s="40" t="str">
        <f t="shared" ca="1" si="656"/>
        <v xml:space="preserve">allah y3afeek/ y3afeekeh </v>
      </c>
    </row>
    <row r="817" spans="1:5" ht="15" customHeight="1" x14ac:dyDescent="0.25">
      <c r="A817" s="36" t="str">
        <f t="shared" ca="1" si="639"/>
        <v/>
      </c>
      <c r="B817" s="31" t="str">
        <f t="shared" ca="1" si="652"/>
        <v>الله يعافيك: يعافيكي</v>
      </c>
      <c r="D817" s="75"/>
      <c r="E817" s="41" t="str">
        <f t="shared" ca="1" si="658"/>
        <v>الله يعافيك: يعافيكي</v>
      </c>
    </row>
    <row r="818" spans="1:5" ht="31.5" x14ac:dyDescent="0.25">
      <c r="A818" s="34" t="str">
        <f t="shared" ca="1" si="639"/>
        <v>shoulders</v>
      </c>
      <c r="B818" s="30" t="str">
        <f t="shared" ca="1" si="654"/>
        <v>b amrak/ b amrik</v>
      </c>
      <c r="D818" s="75" t="str">
        <f t="shared" ca="1" si="660"/>
        <v>your wish is my command</v>
      </c>
      <c r="E818" s="40" t="str">
        <f t="shared" ca="1" si="661"/>
        <v>b amrak/ b amrik</v>
      </c>
    </row>
    <row r="819" spans="1:5" ht="15" customHeight="1" x14ac:dyDescent="0.25">
      <c r="A819" s="35" t="str">
        <f t="shared" ca="1" si="639"/>
        <v/>
      </c>
      <c r="B819" s="31" t="str">
        <f t="shared" ca="1" si="657"/>
        <v>بِأمرَك</v>
      </c>
      <c r="D819" s="75"/>
      <c r="E819" s="41" t="str">
        <f t="shared" ca="1" si="663"/>
        <v>بِأمرَك</v>
      </c>
    </row>
    <row r="820" spans="1:5" x14ac:dyDescent="0.25">
      <c r="A820" s="36" t="str">
        <f t="shared" ca="1" si="639"/>
        <v/>
      </c>
      <c r="B820" s="30" t="str">
        <f t="shared" ca="1" si="659"/>
        <v>ma3leh iza?</v>
      </c>
      <c r="D820" s="75" t="str">
        <f t="shared" ca="1" si="665"/>
        <v>Is it ok?</v>
      </c>
      <c r="E820" s="40" t="str">
        <f t="shared" ca="1" si="666"/>
        <v>ma3leh iza?</v>
      </c>
    </row>
    <row r="821" spans="1:5" ht="15" customHeight="1" x14ac:dyDescent="0.25">
      <c r="A821" s="34" t="str">
        <f t="shared" ca="1" si="639"/>
        <v>arm</v>
      </c>
      <c r="B821" s="31" t="str">
        <f t="shared" ca="1" si="662"/>
        <v>مَعلي إذا؟</v>
      </c>
      <c r="D821" s="75"/>
      <c r="E821" s="41" t="str">
        <f t="shared" ca="1" si="668"/>
        <v>مَعلي إذا؟</v>
      </c>
    </row>
    <row r="822" spans="1:5" ht="63" x14ac:dyDescent="0.25">
      <c r="A822" s="35" t="str">
        <f t="shared" ca="1" si="639"/>
        <v/>
      </c>
      <c r="B822" s="30" t="str">
        <f t="shared" ref="B822" ca="1" si="688">IF(MOD(ROW()-2,2)=0, INDIRECT("Sheet1!D" &amp;4+((ROW()-2)/2)-2), "")</f>
        <v>3andak/3andik meshkleh?</v>
      </c>
      <c r="D822" s="75" t="str">
        <f t="shared" ca="1" si="669"/>
        <v>Do you have a problem?</v>
      </c>
      <c r="E822" s="40" t="str">
        <f t="shared" ca="1" si="670"/>
        <v>3andak/3andik meshkleh?</v>
      </c>
    </row>
    <row r="823" spans="1:5" ht="15" customHeight="1" x14ac:dyDescent="0.25">
      <c r="A823" s="36" t="str">
        <f t="shared" ca="1" si="639"/>
        <v/>
      </c>
      <c r="B823" s="31" t="str">
        <f t="shared" ref="B823" ca="1" si="689">IF(MOD(ROW()-3,2)=0, INDIRECT("Sheet1!E" &amp;4+((ROW()-3)/2)-2), "")</f>
        <v>عَندَك/ عَندِك مشكلة؟</v>
      </c>
      <c r="D823" s="75"/>
      <c r="E823" s="41" t="str">
        <f t="shared" ca="1" si="671"/>
        <v>عَندَك/ عَندِك مشكلة؟</v>
      </c>
    </row>
    <row r="824" spans="1:5" ht="31.5" x14ac:dyDescent="0.25">
      <c r="A824" s="34" t="str">
        <f t="shared" ca="1" si="639"/>
        <v>stomach</v>
      </c>
      <c r="B824" s="30" t="str">
        <f t="shared" ca="1" si="647"/>
        <v xml:space="preserve">mish meshkleh </v>
      </c>
      <c r="D824" s="75" t="str">
        <f t="shared" ca="1" si="672"/>
        <v xml:space="preserve">no problem </v>
      </c>
      <c r="E824" s="40" t="str">
        <f t="shared" ca="1" si="673"/>
        <v xml:space="preserve">mish meshkleh </v>
      </c>
    </row>
    <row r="825" spans="1:5" ht="15" customHeight="1" x14ac:dyDescent="0.25">
      <c r="A825" s="35" t="str">
        <f t="shared" ca="1" si="639"/>
        <v/>
      </c>
      <c r="B825" s="31" t="str">
        <f t="shared" ca="1" si="648"/>
        <v xml:space="preserve">مِش مشكلة </v>
      </c>
      <c r="D825" s="75"/>
      <c r="E825" s="41" t="str">
        <f t="shared" ca="1" si="674"/>
        <v xml:space="preserve">مِش مشكلة </v>
      </c>
    </row>
    <row r="826" spans="1:5" ht="63" x14ac:dyDescent="0.25">
      <c r="A826" s="36" t="str">
        <f t="shared" ca="1" si="639"/>
        <v/>
      </c>
      <c r="B826" s="30" t="str">
        <f t="shared" ca="1" si="649"/>
        <v xml:space="preserve">ma bi'assir </v>
      </c>
      <c r="D826" s="75" t="str">
        <f t="shared" ca="1" si="675"/>
        <v xml:space="preserve">It doesn't matter </v>
      </c>
      <c r="E826" s="40" t="str">
        <f t="shared" ca="1" si="676"/>
        <v xml:space="preserve">ma bi'assir </v>
      </c>
    </row>
    <row r="827" spans="1:5" ht="15" customHeight="1" x14ac:dyDescent="0.25">
      <c r="A827" s="34" t="str">
        <f t="shared" ca="1" si="639"/>
        <v>belly</v>
      </c>
      <c r="B827" s="31" t="str">
        <f t="shared" ca="1" si="652"/>
        <v>ما بِأسّر</v>
      </c>
      <c r="D827" s="75"/>
      <c r="E827" s="41" t="str">
        <f t="shared" ca="1" si="677"/>
        <v>ما بِأسّر</v>
      </c>
    </row>
    <row r="828" spans="1:5" ht="47.25" x14ac:dyDescent="0.25">
      <c r="A828" s="35" t="str">
        <f t="shared" ca="1" si="639"/>
        <v/>
      </c>
      <c r="B828" s="30" t="str">
        <f t="shared" ca="1" si="654"/>
        <v>faree'</v>
      </c>
      <c r="D828" s="75" t="str">
        <f t="shared" ref="D828" ca="1" si="690">IF(MOD(ROW()-2,2)=0, INDIRECT("Sheet1!A" &amp;4+((ROW()-2)/2)-2), "")</f>
        <v>team</v>
      </c>
      <c r="E828" s="40" t="str">
        <f t="shared" ref="E828" ca="1" si="691">IF(MOD(ROW()-2,2)=0, INDIRECT("Sheet1!D" &amp;4+((ROW()-2)/2)-2), "")</f>
        <v>faree'</v>
      </c>
    </row>
    <row r="829" spans="1:5" ht="15" customHeight="1" x14ac:dyDescent="0.25">
      <c r="A829" s="36" t="str">
        <f t="shared" ca="1" si="639"/>
        <v/>
      </c>
      <c r="B829" s="31" t="str">
        <f t="shared" ca="1" si="657"/>
        <v>فَريق</v>
      </c>
      <c r="D829" s="75"/>
      <c r="E829" s="41" t="str">
        <f t="shared" ref="E829" ca="1" si="692">IF(MOD(ROW()-3,2)=0, INDIRECT("Sheet1!E" &amp;4+((ROW()-3)/2)-2), "")</f>
        <v>فَريق</v>
      </c>
    </row>
    <row r="830" spans="1:5" ht="47.25" x14ac:dyDescent="0.25">
      <c r="A830" s="34" t="str">
        <f t="shared" ca="1" si="639"/>
        <v>hips</v>
      </c>
      <c r="B830" s="30" t="str">
        <f t="shared" ca="1" si="659"/>
        <v>lei3ib/lei3beh/la3eebeh</v>
      </c>
      <c r="D830" s="75" t="str">
        <f t="shared" ca="1" si="655"/>
        <v>Player/s</v>
      </c>
      <c r="E830" s="40" t="str">
        <f t="shared" ca="1" si="656"/>
        <v>lei3ib/lei3beh/la3eebeh</v>
      </c>
    </row>
    <row r="831" spans="1:5" ht="15" customHeight="1" x14ac:dyDescent="0.25">
      <c r="A831" s="35" t="str">
        <f t="shared" ca="1" si="639"/>
        <v/>
      </c>
      <c r="B831" s="31" t="str">
        <f t="shared" ca="1" si="662"/>
        <v>لاعِب/لاعبي/ لَعّيبي</v>
      </c>
      <c r="D831" s="75"/>
      <c r="E831" s="41" t="str">
        <f t="shared" ca="1" si="658"/>
        <v>لاعِب/لاعبي/ لَعّيبي</v>
      </c>
    </row>
    <row r="832" spans="1:5" x14ac:dyDescent="0.25">
      <c r="A832" s="36" t="str">
        <f t="shared" ca="1" si="639"/>
        <v/>
      </c>
      <c r="B832" s="30" t="str">
        <f t="shared" ref="B832" ca="1" si="693">IF(MOD(ROW()-2,2)=0, INDIRECT("Sheet1!D" &amp;4+((ROW()-2)/2)-2), "")</f>
        <v>ana ma3</v>
      </c>
      <c r="D832" s="75" t="str">
        <f t="shared" ca="1" si="660"/>
        <v xml:space="preserve">I'am with </v>
      </c>
      <c r="E832" s="40" t="str">
        <f t="shared" ca="1" si="661"/>
        <v>ana ma3</v>
      </c>
    </row>
    <row r="833" spans="1:5" ht="15" customHeight="1" x14ac:dyDescent="0.25">
      <c r="A833" s="34" t="str">
        <f t="shared" ref="A833:A896" ca="1" si="694">IF(MOD(ROW()-2,3)=0, INDIRECT("Sheet1!A" &amp;4+((ROW()-2)/3)-2), "")</f>
        <v>waist</v>
      </c>
      <c r="B833" s="31" t="str">
        <f t="shared" ref="B833" ca="1" si="695">IF(MOD(ROW()-3,2)=0, INDIRECT("Sheet1!E" &amp;4+((ROW()-3)/2)-2), "")</f>
        <v>أنا مَع</v>
      </c>
      <c r="D833" s="75"/>
      <c r="E833" s="41" t="str">
        <f t="shared" ca="1" si="663"/>
        <v>أنا مَع</v>
      </c>
    </row>
    <row r="834" spans="1:5" ht="47.25" x14ac:dyDescent="0.25">
      <c r="A834" s="35" t="str">
        <f t="shared" ca="1" si="694"/>
        <v/>
      </c>
      <c r="B834" s="30" t="str">
        <f t="shared" ca="1" si="647"/>
        <v>ana dodd</v>
      </c>
      <c r="D834" s="75" t="str">
        <f t="shared" ca="1" si="665"/>
        <v xml:space="preserve">I'am against </v>
      </c>
      <c r="E834" s="40" t="str">
        <f t="shared" ca="1" si="666"/>
        <v>ana dodd</v>
      </c>
    </row>
    <row r="835" spans="1:5" ht="15" customHeight="1" x14ac:dyDescent="0.25">
      <c r="A835" s="36" t="str">
        <f t="shared" ca="1" si="694"/>
        <v/>
      </c>
      <c r="B835" s="31" t="str">
        <f t="shared" ca="1" si="648"/>
        <v>أنا ضُد</v>
      </c>
      <c r="D835" s="75"/>
      <c r="E835" s="41" t="str">
        <f t="shared" ca="1" si="668"/>
        <v>أنا ضُد</v>
      </c>
    </row>
    <row r="836" spans="1:5" x14ac:dyDescent="0.25">
      <c r="A836" s="34" t="str">
        <f t="shared" ca="1" si="694"/>
        <v>leg</v>
      </c>
      <c r="B836" s="30" t="str">
        <f t="shared" ca="1" si="649"/>
        <v>rebeH</v>
      </c>
      <c r="D836" s="75" t="str">
        <f t="shared" ca="1" si="669"/>
        <v xml:space="preserve">gain </v>
      </c>
      <c r="E836" s="40" t="str">
        <f t="shared" ca="1" si="670"/>
        <v>rebeH</v>
      </c>
    </row>
    <row r="837" spans="1:5" ht="15" customHeight="1" x14ac:dyDescent="0.25">
      <c r="A837" s="35" t="str">
        <f t="shared" ca="1" si="694"/>
        <v/>
      </c>
      <c r="B837" s="31" t="str">
        <f t="shared" ca="1" si="652"/>
        <v>ربح</v>
      </c>
      <c r="D837" s="75"/>
      <c r="E837" s="41" t="str">
        <f t="shared" ca="1" si="671"/>
        <v>ربح</v>
      </c>
    </row>
    <row r="838" spans="1:5" x14ac:dyDescent="0.25">
      <c r="A838" s="36" t="str">
        <f t="shared" ca="1" si="694"/>
        <v/>
      </c>
      <c r="B838" s="30" t="str">
        <f t="shared" ca="1" si="654"/>
        <v>khsara</v>
      </c>
      <c r="D838" s="75" t="str">
        <f t="shared" ca="1" si="672"/>
        <v>Loss</v>
      </c>
      <c r="E838" s="40" t="str">
        <f t="shared" ca="1" si="673"/>
        <v>khsara</v>
      </c>
    </row>
    <row r="839" spans="1:5" ht="15" customHeight="1" x14ac:dyDescent="0.25">
      <c r="A839" s="34" t="str">
        <f t="shared" ca="1" si="694"/>
        <v>legs</v>
      </c>
      <c r="B839" s="31" t="str">
        <f t="shared" ca="1" si="657"/>
        <v>خسارَة</v>
      </c>
      <c r="D839" s="75"/>
      <c r="E839" s="41" t="str">
        <f t="shared" ca="1" si="674"/>
        <v>خسارَة</v>
      </c>
    </row>
    <row r="840" spans="1:5" x14ac:dyDescent="0.25">
      <c r="A840" s="35" t="str">
        <f t="shared" ca="1" si="694"/>
        <v/>
      </c>
      <c r="B840" s="30" t="str">
        <f t="shared" ca="1" si="659"/>
        <v>faree' espaneh</v>
      </c>
      <c r="D840" s="75" t="str">
        <f t="shared" ca="1" si="675"/>
        <v>spanish team</v>
      </c>
      <c r="E840" s="40" t="str">
        <f t="shared" ca="1" si="676"/>
        <v>faree' espaneh</v>
      </c>
    </row>
    <row r="841" spans="1:5" ht="15" customHeight="1" x14ac:dyDescent="0.25">
      <c r="A841" s="36" t="str">
        <f t="shared" ca="1" si="694"/>
        <v/>
      </c>
      <c r="B841" s="31" t="str">
        <f t="shared" ca="1" si="662"/>
        <v>فَريق إسباني</v>
      </c>
      <c r="D841" s="75"/>
      <c r="E841" s="41" t="str">
        <f t="shared" ca="1" si="677"/>
        <v>فَريق إسباني</v>
      </c>
    </row>
    <row r="842" spans="1:5" x14ac:dyDescent="0.25">
      <c r="A842" s="34" t="str">
        <f t="shared" ca="1" si="694"/>
        <v>knee</v>
      </c>
      <c r="B842" s="30" t="str">
        <f t="shared" ref="B842" ca="1" si="696">IF(MOD(ROW()-2,2)=0, INDIRECT("Sheet1!D" &amp;4+((ROW()-2)/2)-2), "")</f>
        <v>faree' brazeeleh</v>
      </c>
      <c r="D842" s="75" t="str">
        <f t="shared" ref="D842" ca="1" si="697">IF(MOD(ROW()-2,2)=0, INDIRECT("Sheet1!A" &amp;4+((ROW()-2)/2)-2), "")</f>
        <v>Brazilian team</v>
      </c>
      <c r="E842" s="40" t="str">
        <f t="shared" ref="E842" ca="1" si="698">IF(MOD(ROW()-2,2)=0, INDIRECT("Sheet1!D" &amp;4+((ROW()-2)/2)-2), "")</f>
        <v>faree' brazeeleh</v>
      </c>
    </row>
    <row r="843" spans="1:5" ht="15" customHeight="1" x14ac:dyDescent="0.25">
      <c r="A843" s="35" t="str">
        <f t="shared" ca="1" si="694"/>
        <v/>
      </c>
      <c r="B843" s="31" t="str">
        <f t="shared" ref="B843" ca="1" si="699">IF(MOD(ROW()-3,2)=0, INDIRECT("Sheet1!E" &amp;4+((ROW()-3)/2)-2), "")</f>
        <v>فَريق برازيلي</v>
      </c>
      <c r="D843" s="75"/>
      <c r="E843" s="41" t="str">
        <f t="shared" ref="E843" ca="1" si="700">IF(MOD(ROW()-3,2)=0, INDIRECT("Sheet1!E" &amp;4+((ROW()-3)/2)-2), "")</f>
        <v>فَريق برازيلي</v>
      </c>
    </row>
    <row r="844" spans="1:5" ht="31.5" x14ac:dyDescent="0.25">
      <c r="A844" s="36" t="str">
        <f t="shared" ca="1" si="694"/>
        <v/>
      </c>
      <c r="B844" s="30" t="str">
        <f t="shared" ca="1" si="647"/>
        <v>faree' telyeineh (or italeh)</v>
      </c>
      <c r="D844" s="75" t="str">
        <f t="shared" ca="1" si="655"/>
        <v>Italian team</v>
      </c>
      <c r="E844" s="40" t="str">
        <f t="shared" ca="1" si="656"/>
        <v>faree' telyeineh (or italeh)</v>
      </c>
    </row>
    <row r="845" spans="1:5" ht="15" customHeight="1" x14ac:dyDescent="0.25">
      <c r="A845" s="34" t="str">
        <f t="shared" ca="1" si="694"/>
        <v>fingers</v>
      </c>
      <c r="B845" s="31" t="str">
        <f t="shared" ca="1" si="648"/>
        <v xml:space="preserve">فَريق طلياني/ إطالي </v>
      </c>
      <c r="D845" s="75"/>
      <c r="E845" s="41" t="str">
        <f t="shared" ca="1" si="658"/>
        <v xml:space="preserve">فَريق طلياني/ إطالي </v>
      </c>
    </row>
    <row r="846" spans="1:5" ht="31.5" x14ac:dyDescent="0.25">
      <c r="A846" s="35" t="str">
        <f t="shared" ca="1" si="694"/>
        <v/>
      </c>
      <c r="B846" s="30" t="str">
        <f t="shared" ca="1" si="649"/>
        <v>faree' almaneh</v>
      </c>
      <c r="D846" s="75" t="str">
        <f t="shared" ca="1" si="660"/>
        <v>Germanic team</v>
      </c>
      <c r="E846" s="40" t="str">
        <f t="shared" ca="1" si="661"/>
        <v>faree' almaneh</v>
      </c>
    </row>
    <row r="847" spans="1:5" ht="15" customHeight="1" x14ac:dyDescent="0.25">
      <c r="A847" s="36" t="str">
        <f t="shared" ca="1" si="694"/>
        <v/>
      </c>
      <c r="B847" s="31" t="str">
        <f t="shared" ca="1" si="652"/>
        <v>فَريق ألماني</v>
      </c>
      <c r="D847" s="75"/>
      <c r="E847" s="41" t="str">
        <f t="shared" ca="1" si="663"/>
        <v>فَريق ألماني</v>
      </c>
    </row>
    <row r="848" spans="1:5" ht="47.25" x14ac:dyDescent="0.25">
      <c r="A848" s="34" t="str">
        <f t="shared" ca="1" si="694"/>
        <v>toes</v>
      </c>
      <c r="B848" s="30" t="str">
        <f t="shared" ca="1" si="654"/>
        <v>faree' faranseh (or frenseiweh)</v>
      </c>
      <c r="D848" s="75" t="str">
        <f t="shared" ca="1" si="665"/>
        <v>French team</v>
      </c>
      <c r="E848" s="40" t="str">
        <f t="shared" ca="1" si="666"/>
        <v>faree' faranseh (or frenseiweh)</v>
      </c>
    </row>
    <row r="849" spans="1:5" ht="15" customHeight="1" x14ac:dyDescent="0.25">
      <c r="A849" s="35" t="str">
        <f t="shared" ca="1" si="694"/>
        <v/>
      </c>
      <c r="B849" s="31" t="str">
        <f t="shared" ca="1" si="657"/>
        <v xml:space="preserve">فَريق فَرَنسي/ فرنساوي </v>
      </c>
      <c r="D849" s="75"/>
      <c r="E849" s="41" t="str">
        <f t="shared" ca="1" si="668"/>
        <v xml:space="preserve">فَريق فَرَنسي/ فرنساوي </v>
      </c>
    </row>
    <row r="850" spans="1:5" ht="31.5" x14ac:dyDescent="0.25">
      <c r="A850" s="36" t="str">
        <f t="shared" ca="1" si="694"/>
        <v/>
      </c>
      <c r="B850" s="30" t="str">
        <f t="shared" ca="1" si="659"/>
        <v>ka'es el 3alam/ mondial</v>
      </c>
      <c r="D850" s="75" t="str">
        <f t="shared" ca="1" si="669"/>
        <v>Mondial</v>
      </c>
      <c r="E850" s="40" t="str">
        <f t="shared" ca="1" si="670"/>
        <v>ka'es el 3alam/ mondial</v>
      </c>
    </row>
    <row r="851" spans="1:5" ht="15" customHeight="1" x14ac:dyDescent="0.25">
      <c r="A851" s="34" t="str">
        <f t="shared" ca="1" si="694"/>
        <v>head</v>
      </c>
      <c r="B851" s="31" t="str">
        <f t="shared" ca="1" si="662"/>
        <v>كأس العالَم</v>
      </c>
      <c r="D851" s="75"/>
      <c r="E851" s="41" t="str">
        <f t="shared" ca="1" si="671"/>
        <v>كأس العالَم</v>
      </c>
    </row>
    <row r="852" spans="1:5" ht="78.75" x14ac:dyDescent="0.25">
      <c r="A852" s="35" t="str">
        <f t="shared" ca="1" si="694"/>
        <v/>
      </c>
      <c r="B852" s="30" t="str">
        <f t="shared" ref="B852" ca="1" si="701">IF(MOD(ROW()-2,2)=0, INDIRECT("Sheet1!D" &amp;4+((ROW()-2)/2)-2), "")</f>
        <v>enta/enteh ma3 ayya faree'/ aya faree' btshaji3/btshaj3eh</v>
      </c>
      <c r="D852" s="75" t="str">
        <f t="shared" ca="1" si="672"/>
        <v>what team do you support</v>
      </c>
      <c r="E852" s="40" t="str">
        <f t="shared" ca="1" si="673"/>
        <v>enta/enteh ma3 ayya faree'/ aya faree' btshaji3/btshaj3eh</v>
      </c>
    </row>
    <row r="853" spans="1:5" ht="15" customHeight="1" x14ac:dyDescent="0.25">
      <c r="A853" s="36" t="str">
        <f t="shared" ca="1" si="694"/>
        <v/>
      </c>
      <c r="B853" s="31" t="str">
        <f t="shared" ref="B853" ca="1" si="702">IF(MOD(ROW()-3,2)=0, INDIRECT("Sheet1!E" &amp;4+((ROW()-3)/2)-2), "")</f>
        <v>إنتَ/إنتِ أيّا فريق بتشَجِّع/ بتشَجعي</v>
      </c>
      <c r="D853" s="75"/>
      <c r="E853" s="41" t="str">
        <f t="shared" ca="1" si="674"/>
        <v>إنتَ/إنتِ أيّا فريق بتشَجِّع/ بتشَجعي</v>
      </c>
    </row>
    <row r="854" spans="1:5" ht="47.25" x14ac:dyDescent="0.25">
      <c r="A854" s="34" t="str">
        <f t="shared" ca="1" si="694"/>
        <v>ear</v>
      </c>
      <c r="B854" s="30" t="str">
        <f t="shared" ref="B854:B914" ca="1" si="703">IF(MOD(ROW()-2,2)=0, INDIRECT("Sheet1!D" &amp;4+((ROW()-2)/2)-2), "")</f>
        <v>heydeh el seneh, ka'es el 3alam bil brazeel</v>
      </c>
      <c r="D854" s="75" t="str">
        <f t="shared" ca="1" si="675"/>
        <v>this year, the world cup is in Brezil</v>
      </c>
      <c r="E854" s="40" t="str">
        <f t="shared" ca="1" si="676"/>
        <v>heydeh el seneh, ka'es el 3alam bil brazeel</v>
      </c>
    </row>
    <row r="855" spans="1:5" ht="15" customHeight="1" x14ac:dyDescent="0.25">
      <c r="A855" s="35" t="str">
        <f t="shared" ca="1" si="694"/>
        <v/>
      </c>
      <c r="B855" s="31" t="str">
        <f t="shared" ref="B855:B915" ca="1" si="704">IF(MOD(ROW()-3,2)=0, INDIRECT("Sheet1!E" &amp;4+((ROW()-3)/2)-2), "")</f>
        <v>هَيدي السنة، كأس العالم بالبرازيل</v>
      </c>
      <c r="D855" s="75"/>
      <c r="E855" s="41" t="str">
        <f t="shared" ca="1" si="677"/>
        <v>هَيدي السنة، كأس العالم بالبرازيل</v>
      </c>
    </row>
    <row r="856" spans="1:5" ht="110.25" x14ac:dyDescent="0.25">
      <c r="A856" s="36" t="str">
        <f t="shared" ca="1" si="694"/>
        <v/>
      </c>
      <c r="B856" s="30" t="str">
        <f t="shared" ref="B856:B916" ca="1" si="705">IF(MOD(ROW()-2,2)=0, INDIRECT("Sheet1!D" &amp;4+((ROW()-2)/2)-2), "")</f>
        <v>min arba3 sneen, kein bi afree'ya el jnoubiyeh</v>
      </c>
      <c r="D856" s="75" t="str">
        <f t="shared" ref="D856" ca="1" si="706">IF(MOD(ROW()-2,2)=0, INDIRECT("Sheet1!A" &amp;4+((ROW()-2)/2)-2), "")</f>
        <v>four years ago, it was in south Africa</v>
      </c>
      <c r="E856" s="40" t="str">
        <f t="shared" ref="E856" ca="1" si="707">IF(MOD(ROW()-2,2)=0, INDIRECT("Sheet1!D" &amp;4+((ROW()-2)/2)-2), "")</f>
        <v>min arba3 sneen, kein bi afree'ya el jnoubiyeh</v>
      </c>
    </row>
    <row r="857" spans="1:5" ht="15" customHeight="1" x14ac:dyDescent="0.25">
      <c r="A857" s="34" t="str">
        <f t="shared" ca="1" si="694"/>
        <v>ears</v>
      </c>
      <c r="B857" s="31" t="str">
        <f t="shared" ref="B857:B917" ca="1" si="708">IF(MOD(ROW()-3,2)=0, INDIRECT("Sheet1!E" &amp;4+((ROW()-3)/2)-2), "")</f>
        <v>مِن أربَع سنين، كان بأفريقيا الجنوبيّة</v>
      </c>
      <c r="D857" s="75"/>
      <c r="E857" s="41" t="str">
        <f t="shared" ref="E857" ca="1" si="709">IF(MOD(ROW()-3,2)=0, INDIRECT("Sheet1!E" &amp;4+((ROW()-3)/2)-2), "")</f>
        <v>مِن أربَع سنين، كان بأفريقيا الجنوبيّة</v>
      </c>
    </row>
    <row r="858" spans="1:5" ht="78.75" x14ac:dyDescent="0.25">
      <c r="A858" s="35" t="str">
        <f t="shared" ca="1" si="694"/>
        <v/>
      </c>
      <c r="B858" s="30" t="str">
        <f t="shared" ref="B858:B918" ca="1" si="710">IF(MOD(ROW()-2,2)=0, INDIRECT("Sheet1!D" &amp;4+((ROW()-2)/2)-2), "")</f>
        <v>hiyeh ma3 el faree' el espaneh</v>
      </c>
      <c r="D858" s="75" t="str">
        <f t="shared" ref="D858" ca="1" si="711">IF(MOD(ROW()-2,2)=0, INDIRECT("Sheet1!A" &amp;4+((ROW()-2)/2)-2), "")</f>
        <v>She is with the Spanish team</v>
      </c>
      <c r="E858" s="40" t="str">
        <f t="shared" ref="E858" ca="1" si="712">IF(MOD(ROW()-2,2)=0, INDIRECT("Sheet1!D" &amp;4+((ROW()-2)/2)-2), "")</f>
        <v>hiyeh ma3 el faree' el espaneh</v>
      </c>
    </row>
    <row r="859" spans="1:5" ht="15" customHeight="1" x14ac:dyDescent="0.25">
      <c r="A859" s="36" t="str">
        <f t="shared" ca="1" si="694"/>
        <v/>
      </c>
      <c r="B859" s="31" t="str">
        <f t="shared" ref="B859:B919" ca="1" si="713">IF(MOD(ROW()-3,2)=0, INDIRECT("Sheet1!E" &amp;4+((ROW()-3)/2)-2), "")</f>
        <v>هيّ مَع الفَريق الأسباني</v>
      </c>
      <c r="D859" s="75"/>
      <c r="E859" s="41" t="str">
        <f t="shared" ref="E859" ca="1" si="714">IF(MOD(ROW()-3,2)=0, INDIRECT("Sheet1!E" &amp;4+((ROW()-3)/2)-2), "")</f>
        <v>هيّ مَع الفَريق الأسباني</v>
      </c>
    </row>
    <row r="860" spans="1:5" ht="110.25" x14ac:dyDescent="0.25">
      <c r="A860" s="34" t="str">
        <f t="shared" ca="1" si="694"/>
        <v>mole</v>
      </c>
      <c r="B860" s="30" t="str">
        <f t="shared" ref="B860:B920" ca="1" si="715">IF(MOD(ROW()-2,2)=0, INDIRECT("Sheet1!D" &amp;4+((ROW()-2)/2)-2), "")</f>
        <v>heydeh el seneh, ana manneh ma3 wala faree'</v>
      </c>
      <c r="D860" s="75" t="str">
        <f t="shared" ref="D860" ca="1" si="716">IF(MOD(ROW()-2,2)=0, INDIRECT("Sheet1!A" &amp;4+((ROW()-2)/2)-2), "")</f>
        <v>this year I don't support any team</v>
      </c>
      <c r="E860" s="40" t="str">
        <f t="shared" ref="E860" ca="1" si="717">IF(MOD(ROW()-2,2)=0, INDIRECT("Sheet1!D" &amp;4+((ROW()-2)/2)-2), "")</f>
        <v>heydeh el seneh, ana manneh ma3 wala faree'</v>
      </c>
    </row>
    <row r="861" spans="1:5" ht="60" x14ac:dyDescent="0.25">
      <c r="A861" s="35" t="str">
        <f t="shared" ca="1" si="694"/>
        <v/>
      </c>
      <c r="B861" s="31" t="str">
        <f t="shared" ref="B861:B921" ca="1" si="718">IF(MOD(ROW()-3,2)=0, INDIRECT("Sheet1!E" &amp;4+((ROW()-3)/2)-2), "")</f>
        <v>هَيدي السنة، أنا مَنّي مَع ولا فَريق</v>
      </c>
      <c r="D861" s="75"/>
      <c r="E861" s="41" t="str">
        <f t="shared" ref="E861" ca="1" si="719">IF(MOD(ROW()-3,2)=0, INDIRECT("Sheet1!E" &amp;4+((ROW()-3)/2)-2), "")</f>
        <v>هَيدي السنة، أنا مَنّي مَع ولا فَريق</v>
      </c>
    </row>
    <row r="862" spans="1:5" ht="63" x14ac:dyDescent="0.25">
      <c r="A862" s="36" t="str">
        <f t="shared" ca="1" si="694"/>
        <v/>
      </c>
      <c r="B862" s="30" t="str">
        <f t="shared" ref="B862" ca="1" si="720">IF(MOD(ROW()-2,2)=0, INDIRECT("Sheet1!D" &amp;4+((ROW()-2)/2)-2), "")</f>
        <v>faree'eh raH yerbaH</v>
      </c>
      <c r="D862" s="75" t="str">
        <f t="shared" ref="D862" ca="1" si="721">IF(MOD(ROW()-2,2)=0, INDIRECT("Sheet1!A" &amp;4+((ROW()-2)/2)-2), "")</f>
        <v>my team will win</v>
      </c>
      <c r="E862" s="40" t="str">
        <f t="shared" ref="E862" ca="1" si="722">IF(MOD(ROW()-2,2)=0, INDIRECT("Sheet1!D" &amp;4+((ROW()-2)/2)-2), "")</f>
        <v>faree'eh raH yerbaH</v>
      </c>
    </row>
    <row r="863" spans="1:5" ht="15" customHeight="1" x14ac:dyDescent="0.25">
      <c r="A863" s="34" t="str">
        <f t="shared" ca="1" si="694"/>
        <v>tooth</v>
      </c>
      <c r="B863" s="31" t="str">
        <f t="shared" ref="B863" ca="1" si="723">IF(MOD(ROW()-3,2)=0, INDIRECT("Sheet1!E" &amp;4+((ROW()-3)/2)-2), "")</f>
        <v>فَريقي رَح يربَح</v>
      </c>
      <c r="D863" s="75"/>
      <c r="E863" s="41" t="str">
        <f t="shared" ref="E863" ca="1" si="724">IF(MOD(ROW()-3,2)=0, INDIRECT("Sheet1!E" &amp;4+((ROW()-3)/2)-2), "")</f>
        <v>فَريقي رَح يربَح</v>
      </c>
    </row>
    <row r="864" spans="1:5" ht="94.5" x14ac:dyDescent="0.25">
      <c r="A864" s="35" t="str">
        <f t="shared" ca="1" si="694"/>
        <v/>
      </c>
      <c r="B864" s="30" t="str">
        <f t="shared" ca="1" si="703"/>
        <v>betmanna faree'ak/faree'ik yekhsar</v>
      </c>
      <c r="D864" s="75" t="str">
        <f t="shared" ref="D864" ca="1" si="725">IF(MOD(ROW()-2,2)=0, INDIRECT("Sheet1!A" &amp;4+((ROW()-2)/2)-2), "")</f>
        <v xml:space="preserve">I hope your team loses </v>
      </c>
      <c r="E864" s="40" t="str">
        <f t="shared" ref="E864" ca="1" si="726">IF(MOD(ROW()-2,2)=0, INDIRECT("Sheet1!D" &amp;4+((ROW()-2)/2)-2), "")</f>
        <v>betmanna faree'ak/faree'ik yekhsar</v>
      </c>
    </row>
    <row r="865" spans="1:5" ht="15" customHeight="1" x14ac:dyDescent="0.25">
      <c r="A865" s="36" t="str">
        <f t="shared" ca="1" si="694"/>
        <v/>
      </c>
      <c r="B865" s="31" t="str">
        <f t="shared" ca="1" si="704"/>
        <v>بتمنّى فريقَك/ فَريقِك يخسَر</v>
      </c>
      <c r="D865" s="75"/>
      <c r="E865" s="41" t="str">
        <f t="shared" ref="E865" ca="1" si="727">IF(MOD(ROW()-3,2)=0, INDIRECT("Sheet1!E" &amp;4+((ROW()-3)/2)-2), "")</f>
        <v>بتمنّى فريقَك/ فَريقِك يخسَر</v>
      </c>
    </row>
    <row r="866" spans="1:5" ht="47.25" x14ac:dyDescent="0.25">
      <c r="A866" s="34" t="str">
        <f t="shared" ca="1" si="694"/>
        <v>teeth</v>
      </c>
      <c r="B866" s="30">
        <f t="shared" ca="1" si="705"/>
        <v>0</v>
      </c>
      <c r="D866" s="75">
        <f t="shared" ref="D866" ca="1" si="728">IF(MOD(ROW()-2,2)=0, INDIRECT("Sheet1!A" &amp;4+((ROW()-2)/2)-2), "")</f>
        <v>0</v>
      </c>
      <c r="E866" s="40">
        <f t="shared" ref="E866" ca="1" si="729">IF(MOD(ROW()-2,2)=0, INDIRECT("Sheet1!D" &amp;4+((ROW()-2)/2)-2), "")</f>
        <v>0</v>
      </c>
    </row>
    <row r="867" spans="1:5" ht="15" customHeight="1" x14ac:dyDescent="0.25">
      <c r="A867" s="35" t="str">
        <f t="shared" ca="1" si="694"/>
        <v/>
      </c>
      <c r="B867" s="31">
        <f t="shared" ca="1" si="708"/>
        <v>0</v>
      </c>
      <c r="D867" s="75"/>
      <c r="E867" s="41">
        <f t="shared" ref="E867" ca="1" si="730">IF(MOD(ROW()-3,2)=0, INDIRECT("Sheet1!E" &amp;4+((ROW()-3)/2)-2), "")</f>
        <v>0</v>
      </c>
    </row>
    <row r="868" spans="1:5" ht="63" x14ac:dyDescent="0.25">
      <c r="A868" s="36" t="str">
        <f t="shared" ca="1" si="694"/>
        <v/>
      </c>
      <c r="B868" s="30">
        <f t="shared" ca="1" si="710"/>
        <v>0</v>
      </c>
      <c r="D868" s="75">
        <f t="shared" ref="D868" ca="1" si="731">IF(MOD(ROW()-2,2)=0, INDIRECT("Sheet1!A" &amp;4+((ROW()-2)/2)-2), "")</f>
        <v>0</v>
      </c>
      <c r="E868" s="40">
        <f t="shared" ref="E868" ca="1" si="732">IF(MOD(ROW()-2,2)=0, INDIRECT("Sheet1!D" &amp;4+((ROW()-2)/2)-2), "")</f>
        <v>0</v>
      </c>
    </row>
    <row r="869" spans="1:5" ht="15" customHeight="1" x14ac:dyDescent="0.25">
      <c r="A869" s="34" t="str">
        <f t="shared" ca="1" si="694"/>
        <v>tongue</v>
      </c>
      <c r="B869" s="31">
        <f t="shared" ca="1" si="713"/>
        <v>0</v>
      </c>
      <c r="D869" s="75"/>
      <c r="E869" s="41">
        <f t="shared" ref="E869" ca="1" si="733">IF(MOD(ROW()-3,2)=0, INDIRECT("Sheet1!E" &amp;4+((ROW()-3)/2)-2), "")</f>
        <v>0</v>
      </c>
    </row>
    <row r="870" spans="1:5" x14ac:dyDescent="0.25">
      <c r="A870" s="35" t="str">
        <f t="shared" ca="1" si="694"/>
        <v/>
      </c>
      <c r="B870" s="30">
        <f t="shared" ca="1" si="715"/>
        <v>0</v>
      </c>
      <c r="D870" s="43"/>
      <c r="E870"/>
    </row>
    <row r="871" spans="1:5" ht="15" customHeight="1" x14ac:dyDescent="0.25">
      <c r="A871" s="36" t="str">
        <f t="shared" ca="1" si="694"/>
        <v/>
      </c>
      <c r="B871" s="31">
        <f t="shared" ca="1" si="718"/>
        <v>0</v>
      </c>
      <c r="D871" s="43"/>
      <c r="E871"/>
    </row>
    <row r="872" spans="1:5" x14ac:dyDescent="0.25">
      <c r="A872" s="34" t="str">
        <f t="shared" ca="1" si="694"/>
        <v>lip</v>
      </c>
      <c r="B872" s="30">
        <f t="shared" ref="B872" ca="1" si="734">IF(MOD(ROW()-2,2)=0, INDIRECT("Sheet1!D" &amp;4+((ROW()-2)/2)-2), "")</f>
        <v>0</v>
      </c>
      <c r="D872" s="43"/>
      <c r="E872"/>
    </row>
    <row r="873" spans="1:5" ht="15" customHeight="1" x14ac:dyDescent="0.25">
      <c r="A873" s="35" t="str">
        <f t="shared" ca="1" si="694"/>
        <v/>
      </c>
      <c r="B873" s="31">
        <f t="shared" ref="B873" ca="1" si="735">IF(MOD(ROW()-3,2)=0, INDIRECT("Sheet1!E" &amp;4+((ROW()-3)/2)-2), "")</f>
        <v>0</v>
      </c>
      <c r="D873" s="43"/>
      <c r="E873"/>
    </row>
    <row r="874" spans="1:5" x14ac:dyDescent="0.25">
      <c r="A874" s="36" t="str">
        <f t="shared" ca="1" si="694"/>
        <v/>
      </c>
      <c r="B874" s="30">
        <f t="shared" ca="1" si="703"/>
        <v>0</v>
      </c>
      <c r="D874" s="43"/>
      <c r="E874"/>
    </row>
    <row r="875" spans="1:5" ht="15" customHeight="1" x14ac:dyDescent="0.25">
      <c r="A875" s="34" t="str">
        <f t="shared" ca="1" si="694"/>
        <v>lips</v>
      </c>
      <c r="B875" s="31">
        <f t="shared" ca="1" si="704"/>
        <v>0</v>
      </c>
      <c r="D875" s="43"/>
      <c r="E875"/>
    </row>
    <row r="876" spans="1:5" x14ac:dyDescent="0.25">
      <c r="A876" s="35" t="str">
        <f t="shared" ca="1" si="694"/>
        <v/>
      </c>
      <c r="B876" s="30">
        <f t="shared" ca="1" si="705"/>
        <v>0</v>
      </c>
      <c r="D876" s="43"/>
      <c r="E876"/>
    </row>
    <row r="877" spans="1:5" ht="15" customHeight="1" x14ac:dyDescent="0.25">
      <c r="A877" s="36" t="str">
        <f t="shared" ca="1" si="694"/>
        <v/>
      </c>
      <c r="B877" s="31">
        <f t="shared" ca="1" si="708"/>
        <v>0</v>
      </c>
      <c r="D877" s="43"/>
      <c r="E877"/>
    </row>
    <row r="878" spans="1:5" x14ac:dyDescent="0.25">
      <c r="A878" s="34" t="str">
        <f t="shared" ca="1" si="694"/>
        <v>My body hurts</v>
      </c>
      <c r="B878" s="30">
        <f t="shared" ca="1" si="710"/>
        <v>0</v>
      </c>
      <c r="D878" s="43"/>
      <c r="E878"/>
    </row>
    <row r="879" spans="1:5" ht="15" customHeight="1" x14ac:dyDescent="0.25">
      <c r="A879" s="35" t="str">
        <f t="shared" ca="1" si="694"/>
        <v/>
      </c>
      <c r="B879" s="31">
        <f t="shared" ca="1" si="713"/>
        <v>0</v>
      </c>
      <c r="D879" s="43"/>
      <c r="E879"/>
    </row>
    <row r="880" spans="1:5" x14ac:dyDescent="0.25">
      <c r="A880" s="36" t="str">
        <f t="shared" ca="1" si="694"/>
        <v/>
      </c>
      <c r="B880" s="30">
        <f t="shared" ca="1" si="715"/>
        <v>0</v>
      </c>
      <c r="D880" s="43"/>
      <c r="E880"/>
    </row>
    <row r="881" spans="1:5" ht="15" customHeight="1" x14ac:dyDescent="0.25">
      <c r="A881" s="34" t="str">
        <f t="shared" ca="1" si="694"/>
        <v>This girl has long hair</v>
      </c>
      <c r="B881" s="31">
        <f t="shared" ca="1" si="718"/>
        <v>0</v>
      </c>
      <c r="D881" s="43"/>
      <c r="E881"/>
    </row>
    <row r="882" spans="1:5" x14ac:dyDescent="0.25">
      <c r="A882" s="35" t="str">
        <f t="shared" ca="1" si="694"/>
        <v/>
      </c>
      <c r="B882" s="30">
        <f t="shared" ref="B882" ca="1" si="736">IF(MOD(ROW()-2,2)=0, INDIRECT("Sheet1!D" &amp;4+((ROW()-2)/2)-2), "")</f>
        <v>0</v>
      </c>
      <c r="D882" s="43"/>
      <c r="E882"/>
    </row>
    <row r="883" spans="1:5" ht="15" customHeight="1" x14ac:dyDescent="0.25">
      <c r="A883" s="36" t="str">
        <f t="shared" ca="1" si="694"/>
        <v/>
      </c>
      <c r="B883" s="31">
        <f t="shared" ref="B883" ca="1" si="737">IF(MOD(ROW()-3,2)=0, INDIRECT("Sheet1!E" &amp;4+((ROW()-3)/2)-2), "")</f>
        <v>0</v>
      </c>
      <c r="D883" s="43"/>
      <c r="E883"/>
    </row>
    <row r="884" spans="1:5" x14ac:dyDescent="0.25">
      <c r="A884" s="34" t="str">
        <f t="shared" ca="1" si="694"/>
        <v>This boy has long hair</v>
      </c>
      <c r="B884" s="30">
        <f t="shared" ca="1" si="703"/>
        <v>0</v>
      </c>
      <c r="D884" s="43"/>
      <c r="E884"/>
    </row>
    <row r="885" spans="1:5" ht="15" customHeight="1" x14ac:dyDescent="0.25">
      <c r="A885" s="35" t="str">
        <f t="shared" ca="1" si="694"/>
        <v/>
      </c>
      <c r="B885" s="31">
        <f t="shared" ca="1" si="704"/>
        <v>0</v>
      </c>
      <c r="D885" s="43"/>
      <c r="E885"/>
    </row>
    <row r="886" spans="1:5" x14ac:dyDescent="0.25">
      <c r="A886" s="36" t="str">
        <f t="shared" ca="1" si="694"/>
        <v/>
      </c>
      <c r="B886" s="30">
        <f t="shared" ca="1" si="705"/>
        <v>0</v>
      </c>
      <c r="D886" s="43"/>
      <c r="E886"/>
    </row>
    <row r="887" spans="1:5" ht="15" customHeight="1" x14ac:dyDescent="0.25">
      <c r="A887" s="34" t="str">
        <f t="shared" ca="1" si="694"/>
        <v>i have a headache</v>
      </c>
      <c r="B887" s="31">
        <f t="shared" ca="1" si="708"/>
        <v>0</v>
      </c>
      <c r="D887" s="43"/>
      <c r="E887"/>
    </row>
    <row r="888" spans="1:5" x14ac:dyDescent="0.25">
      <c r="A888" s="35" t="str">
        <f t="shared" ca="1" si="694"/>
        <v/>
      </c>
      <c r="B888" s="30">
        <f t="shared" ca="1" si="710"/>
        <v>0</v>
      </c>
      <c r="D888" s="43"/>
      <c r="E888"/>
    </row>
    <row r="889" spans="1:5" ht="15" customHeight="1" x14ac:dyDescent="0.25">
      <c r="A889" s="36" t="str">
        <f t="shared" ca="1" si="694"/>
        <v/>
      </c>
      <c r="B889" s="31">
        <f t="shared" ca="1" si="713"/>
        <v>0</v>
      </c>
      <c r="D889" s="43"/>
      <c r="E889"/>
    </row>
    <row r="890" spans="1:5" x14ac:dyDescent="0.25">
      <c r="A890" s="34" t="str">
        <f t="shared" ca="1" si="694"/>
        <v>this girl is so skinny</v>
      </c>
      <c r="B890" s="30">
        <f t="shared" ca="1" si="715"/>
        <v>0</v>
      </c>
      <c r="D890" s="43"/>
      <c r="E890"/>
    </row>
    <row r="891" spans="1:5" ht="15" customHeight="1" x14ac:dyDescent="0.25">
      <c r="A891" s="35" t="str">
        <f t="shared" ca="1" si="694"/>
        <v/>
      </c>
      <c r="B891" s="31">
        <f t="shared" ca="1" si="718"/>
        <v>0</v>
      </c>
      <c r="D891" s="43"/>
      <c r="E891"/>
    </row>
    <row r="892" spans="1:5" x14ac:dyDescent="0.25">
      <c r="A892" s="36" t="str">
        <f t="shared" ca="1" si="694"/>
        <v/>
      </c>
      <c r="B892" s="30">
        <f t="shared" ref="B892" ca="1" si="738">IF(MOD(ROW()-2,2)=0, INDIRECT("Sheet1!D" &amp;4+((ROW()-2)/2)-2), "")</f>
        <v>0</v>
      </c>
      <c r="D892" s="43"/>
      <c r="E892"/>
    </row>
    <row r="893" spans="1:5" ht="15" customHeight="1" x14ac:dyDescent="0.25">
      <c r="A893" s="34" t="str">
        <f t="shared" ca="1" si="694"/>
        <v>this boy is fat</v>
      </c>
      <c r="B893" s="31">
        <f t="shared" ref="B893" ca="1" si="739">IF(MOD(ROW()-3,2)=0, INDIRECT("Sheet1!E" &amp;4+((ROW()-3)/2)-2), "")</f>
        <v>0</v>
      </c>
      <c r="D893" s="43"/>
      <c r="E893"/>
    </row>
    <row r="894" spans="1:5" x14ac:dyDescent="0.25">
      <c r="A894" s="35" t="str">
        <f t="shared" ca="1" si="694"/>
        <v/>
      </c>
      <c r="B894" s="30">
        <f t="shared" ca="1" si="703"/>
        <v>0</v>
      </c>
      <c r="D894" s="43"/>
      <c r="E894"/>
    </row>
    <row r="895" spans="1:5" ht="15" customHeight="1" x14ac:dyDescent="0.25">
      <c r="A895" s="36" t="str">
        <f t="shared" ca="1" si="694"/>
        <v/>
      </c>
      <c r="B895" s="31">
        <f t="shared" ca="1" si="704"/>
        <v>0</v>
      </c>
      <c r="D895" s="43"/>
      <c r="E895"/>
    </row>
    <row r="896" spans="1:5" x14ac:dyDescent="0.25">
      <c r="A896" s="34" t="str">
        <f t="shared" ca="1" si="694"/>
        <v xml:space="preserve">Advice </v>
      </c>
      <c r="B896" s="30">
        <f t="shared" ca="1" si="705"/>
        <v>0</v>
      </c>
      <c r="D896" s="43"/>
      <c r="E896"/>
    </row>
    <row r="897" spans="1:5" ht="15" customHeight="1" x14ac:dyDescent="0.25">
      <c r="A897" s="35" t="str">
        <f t="shared" ref="A897:A960" ca="1" si="740">IF(MOD(ROW()-2,3)=0, INDIRECT("Sheet1!A" &amp;4+((ROW()-2)/3)-2), "")</f>
        <v/>
      </c>
      <c r="B897" s="31">
        <f t="shared" ca="1" si="708"/>
        <v>0</v>
      </c>
      <c r="D897" s="43"/>
      <c r="E897"/>
    </row>
    <row r="898" spans="1:5" x14ac:dyDescent="0.25">
      <c r="A898" s="36" t="str">
        <f t="shared" ca="1" si="740"/>
        <v/>
      </c>
      <c r="B898" s="30">
        <f t="shared" ca="1" si="710"/>
        <v>0</v>
      </c>
      <c r="D898" s="43"/>
      <c r="E898"/>
    </row>
    <row r="899" spans="1:5" ht="15" customHeight="1" x14ac:dyDescent="0.25">
      <c r="A899" s="34" t="str">
        <f t="shared" ca="1" si="740"/>
        <v xml:space="preserve">Cause </v>
      </c>
      <c r="B899" s="31">
        <f t="shared" ca="1" si="713"/>
        <v>0</v>
      </c>
      <c r="D899" s="43"/>
      <c r="E899"/>
    </row>
    <row r="900" spans="1:5" x14ac:dyDescent="0.25">
      <c r="A900" s="35" t="str">
        <f t="shared" ca="1" si="740"/>
        <v/>
      </c>
      <c r="B900" s="30">
        <f t="shared" ca="1" si="715"/>
        <v>0</v>
      </c>
      <c r="D900" s="43"/>
      <c r="E900"/>
    </row>
    <row r="901" spans="1:5" ht="15" customHeight="1" x14ac:dyDescent="0.25">
      <c r="A901" s="36" t="str">
        <f t="shared" ca="1" si="740"/>
        <v/>
      </c>
      <c r="B901" s="31">
        <f t="shared" ca="1" si="718"/>
        <v>0</v>
      </c>
      <c r="D901" s="43"/>
      <c r="E901"/>
    </row>
    <row r="902" spans="1:5" x14ac:dyDescent="0.25">
      <c r="A902" s="34" t="str">
        <f t="shared" ca="1" si="740"/>
        <v xml:space="preserve">Hereditary </v>
      </c>
      <c r="B902" s="30">
        <f t="shared" ref="B902" ca="1" si="741">IF(MOD(ROW()-2,2)=0, INDIRECT("Sheet1!D" &amp;4+((ROW()-2)/2)-2), "")</f>
        <v>0</v>
      </c>
      <c r="D902" s="43"/>
      <c r="E902"/>
    </row>
    <row r="903" spans="1:5" ht="15" customHeight="1" x14ac:dyDescent="0.25">
      <c r="A903" s="35" t="str">
        <f t="shared" ca="1" si="740"/>
        <v/>
      </c>
      <c r="B903" s="31">
        <f t="shared" ref="B903" ca="1" si="742">IF(MOD(ROW()-3,2)=0, INDIRECT("Sheet1!E" &amp;4+((ROW()-3)/2)-2), "")</f>
        <v>0</v>
      </c>
      <c r="D903" s="43"/>
      <c r="E903"/>
    </row>
    <row r="904" spans="1:5" x14ac:dyDescent="0.25">
      <c r="A904" s="36" t="str">
        <f t="shared" ca="1" si="740"/>
        <v/>
      </c>
      <c r="B904" s="30">
        <f t="shared" ca="1" si="703"/>
        <v>0</v>
      </c>
      <c r="D904" s="43"/>
      <c r="E904"/>
    </row>
    <row r="905" spans="1:5" ht="15" customHeight="1" x14ac:dyDescent="0.25">
      <c r="A905" s="34" t="str">
        <f t="shared" ca="1" si="740"/>
        <v xml:space="preserve">Medicine </v>
      </c>
      <c r="B905" s="31">
        <f t="shared" ca="1" si="704"/>
        <v>0</v>
      </c>
      <c r="D905" s="43"/>
      <c r="E905"/>
    </row>
    <row r="906" spans="1:5" x14ac:dyDescent="0.25">
      <c r="A906" s="35" t="str">
        <f t="shared" ca="1" si="740"/>
        <v/>
      </c>
      <c r="B906" s="30">
        <f t="shared" ca="1" si="705"/>
        <v>0</v>
      </c>
      <c r="D906" s="43"/>
      <c r="E906"/>
    </row>
    <row r="907" spans="1:5" ht="15" customHeight="1" x14ac:dyDescent="0.25">
      <c r="A907" s="36" t="str">
        <f t="shared" ca="1" si="740"/>
        <v/>
      </c>
      <c r="B907" s="31">
        <f t="shared" ca="1" si="708"/>
        <v>0</v>
      </c>
      <c r="D907" s="43"/>
      <c r="E907"/>
    </row>
    <row r="908" spans="1:5" x14ac:dyDescent="0.25">
      <c r="A908" s="34" t="str">
        <f t="shared" ca="1" si="740"/>
        <v xml:space="preserve">Medicines </v>
      </c>
      <c r="B908" s="30">
        <f t="shared" ca="1" si="710"/>
        <v>0</v>
      </c>
      <c r="D908" s="43"/>
      <c r="E908"/>
    </row>
    <row r="909" spans="1:5" ht="15" customHeight="1" x14ac:dyDescent="0.25">
      <c r="A909" s="35" t="str">
        <f t="shared" ca="1" si="740"/>
        <v/>
      </c>
      <c r="B909" s="31">
        <f t="shared" ca="1" si="713"/>
        <v>0</v>
      </c>
      <c r="D909" s="43"/>
      <c r="E909"/>
    </row>
    <row r="910" spans="1:5" x14ac:dyDescent="0.25">
      <c r="A910" s="36" t="str">
        <f t="shared" ca="1" si="740"/>
        <v/>
      </c>
      <c r="B910" s="30">
        <f t="shared" ca="1" si="715"/>
        <v>0</v>
      </c>
      <c r="D910" s="43"/>
      <c r="E910"/>
    </row>
    <row r="911" spans="1:5" ht="15" customHeight="1" x14ac:dyDescent="0.25">
      <c r="A911" s="34" t="str">
        <f t="shared" ca="1" si="740"/>
        <v>I'm sick</v>
      </c>
      <c r="B911" s="31">
        <f t="shared" ca="1" si="718"/>
        <v>0</v>
      </c>
      <c r="D911" s="43"/>
      <c r="E911"/>
    </row>
    <row r="912" spans="1:5" x14ac:dyDescent="0.25">
      <c r="A912" s="35" t="str">
        <f t="shared" ca="1" si="740"/>
        <v/>
      </c>
      <c r="B912" s="30">
        <f t="shared" ref="B912" ca="1" si="743">IF(MOD(ROW()-2,2)=0, INDIRECT("Sheet1!D" &amp;4+((ROW()-2)/2)-2), "")</f>
        <v>0</v>
      </c>
      <c r="D912" s="43"/>
      <c r="E912"/>
    </row>
    <row r="913" spans="1:5" ht="15" customHeight="1" x14ac:dyDescent="0.25">
      <c r="A913" s="36" t="str">
        <f t="shared" ca="1" si="740"/>
        <v/>
      </c>
      <c r="B913" s="31">
        <f t="shared" ref="B913" ca="1" si="744">IF(MOD(ROW()-3,2)=0, INDIRECT("Sheet1!E" &amp;4+((ROW()-3)/2)-2), "")</f>
        <v>0</v>
      </c>
      <c r="D913" s="43"/>
      <c r="E913"/>
    </row>
    <row r="914" spans="1:5" x14ac:dyDescent="0.25">
      <c r="A914" s="34" t="str">
        <f t="shared" ca="1" si="740"/>
        <v xml:space="preserve">I'm feeling tired </v>
      </c>
      <c r="B914" s="30">
        <f t="shared" ca="1" si="703"/>
        <v>0</v>
      </c>
      <c r="D914" s="43"/>
      <c r="E914"/>
    </row>
    <row r="915" spans="1:5" ht="15" customHeight="1" x14ac:dyDescent="0.25">
      <c r="A915" s="35" t="str">
        <f t="shared" ca="1" si="740"/>
        <v/>
      </c>
      <c r="B915" s="31">
        <f t="shared" ca="1" si="704"/>
        <v>0</v>
      </c>
      <c r="D915" s="43"/>
      <c r="E915"/>
    </row>
    <row r="916" spans="1:5" x14ac:dyDescent="0.25">
      <c r="A916" s="36" t="str">
        <f t="shared" ca="1" si="740"/>
        <v/>
      </c>
      <c r="B916" s="30">
        <f t="shared" ca="1" si="705"/>
        <v>0</v>
      </c>
      <c r="D916" s="43"/>
      <c r="E916"/>
    </row>
    <row r="917" spans="1:5" ht="15" customHeight="1" x14ac:dyDescent="0.25">
      <c r="A917" s="34" t="str">
        <f t="shared" ca="1" si="740"/>
        <v xml:space="preserve">I want to see a doctor </v>
      </c>
      <c r="B917" s="31">
        <f t="shared" ca="1" si="708"/>
        <v>0</v>
      </c>
      <c r="D917" s="43"/>
      <c r="E917"/>
    </row>
    <row r="918" spans="1:5" x14ac:dyDescent="0.25">
      <c r="A918" s="35" t="str">
        <f t="shared" ca="1" si="740"/>
        <v/>
      </c>
      <c r="B918" s="30">
        <f t="shared" ca="1" si="710"/>
        <v>0</v>
      </c>
      <c r="D918" s="43"/>
      <c r="E918"/>
    </row>
    <row r="919" spans="1:5" ht="15" customHeight="1" x14ac:dyDescent="0.25">
      <c r="A919" s="36" t="str">
        <f t="shared" ca="1" si="740"/>
        <v/>
      </c>
      <c r="B919" s="31">
        <f t="shared" ca="1" si="713"/>
        <v>0</v>
      </c>
      <c r="D919" s="43"/>
      <c r="E919"/>
    </row>
    <row r="920" spans="1:5" ht="15.75" customHeight="1" x14ac:dyDescent="0.25">
      <c r="A920" s="34" t="str">
        <f t="shared" ca="1" si="740"/>
        <v>Can you advice a good doctor</v>
      </c>
      <c r="B920" s="30">
        <f t="shared" ca="1" si="715"/>
        <v>0</v>
      </c>
      <c r="D920" s="43"/>
      <c r="E920"/>
    </row>
    <row r="921" spans="1:5" ht="15" customHeight="1" x14ac:dyDescent="0.25">
      <c r="A921" s="35" t="str">
        <f t="shared" ca="1" si="740"/>
        <v/>
      </c>
      <c r="B921" s="31">
        <f t="shared" ca="1" si="718"/>
        <v>0</v>
      </c>
      <c r="D921" s="43"/>
      <c r="E921"/>
    </row>
    <row r="922" spans="1:5" x14ac:dyDescent="0.25">
      <c r="A922" s="36" t="str">
        <f t="shared" ca="1" si="740"/>
        <v/>
      </c>
      <c r="B922" s="30">
        <f t="shared" ref="B922" ca="1" si="745">IF(MOD(ROW()-2,2)=0, INDIRECT("Sheet1!D" &amp;4+((ROW()-2)/2)-2), "")</f>
        <v>0</v>
      </c>
      <c r="D922" s="43"/>
      <c r="E922"/>
    </row>
    <row r="923" spans="1:5" ht="15" customHeight="1" x14ac:dyDescent="0.25">
      <c r="A923" s="34" t="str">
        <f t="shared" ca="1" si="740"/>
        <v xml:space="preserve">I feel pain in my stomach </v>
      </c>
      <c r="B923" s="31">
        <f t="shared" ref="B923" ca="1" si="746">IF(MOD(ROW()-3,2)=0, INDIRECT("Sheet1!E" &amp;4+((ROW()-3)/2)-2), "")</f>
        <v>0</v>
      </c>
      <c r="D923" s="43"/>
      <c r="E923"/>
    </row>
    <row r="924" spans="1:5" x14ac:dyDescent="0.25">
      <c r="A924" s="35" t="str">
        <f t="shared" ca="1" si="740"/>
        <v/>
      </c>
      <c r="B924" s="30">
        <f t="shared" ref="B924:B984" ca="1" si="747">IF(MOD(ROW()-2,2)=0, INDIRECT("Sheet1!D" &amp;4+((ROW()-2)/2)-2), "")</f>
        <v>0</v>
      </c>
      <c r="D924" s="43"/>
      <c r="E924"/>
    </row>
    <row r="925" spans="1:5" ht="15" customHeight="1" x14ac:dyDescent="0.25">
      <c r="A925" s="36" t="str">
        <f t="shared" ca="1" si="740"/>
        <v/>
      </c>
      <c r="B925" s="31">
        <f t="shared" ref="B925:B985" ca="1" si="748">IF(MOD(ROW()-3,2)=0, INDIRECT("Sheet1!E" &amp;4+((ROW()-3)/2)-2), "")</f>
        <v>0</v>
      </c>
      <c r="D925" s="43"/>
      <c r="E925"/>
    </row>
    <row r="926" spans="1:5" x14ac:dyDescent="0.25">
      <c r="A926" s="34" t="str">
        <f t="shared" ca="1" si="740"/>
        <v xml:space="preserve">I have  a headache </v>
      </c>
      <c r="B926" s="30">
        <f t="shared" ref="B926:B986" ca="1" si="749">IF(MOD(ROW()-2,2)=0, INDIRECT("Sheet1!D" &amp;4+((ROW()-2)/2)-2), "")</f>
        <v>0</v>
      </c>
      <c r="D926" s="43"/>
      <c r="E926"/>
    </row>
    <row r="927" spans="1:5" ht="15" customHeight="1" x14ac:dyDescent="0.25">
      <c r="A927" s="35" t="str">
        <f t="shared" ca="1" si="740"/>
        <v/>
      </c>
      <c r="B927" s="31">
        <f t="shared" ref="B927:B987" ca="1" si="750">IF(MOD(ROW()-3,2)=0, INDIRECT("Sheet1!E" &amp;4+((ROW()-3)/2)-2), "")</f>
        <v>0</v>
      </c>
      <c r="D927" s="43"/>
      <c r="E927"/>
    </row>
    <row r="928" spans="1:5" x14ac:dyDescent="0.25">
      <c r="A928" s="36" t="str">
        <f t="shared" ca="1" si="740"/>
        <v/>
      </c>
      <c r="B928" s="30">
        <f t="shared" ref="B928:B988" ca="1" si="751">IF(MOD(ROW()-2,2)=0, INDIRECT("Sheet1!D" &amp;4+((ROW()-2)/2)-2), "")</f>
        <v>0</v>
      </c>
      <c r="D928" s="43"/>
      <c r="E928"/>
    </row>
    <row r="929" spans="1:5" ht="15" customHeight="1" x14ac:dyDescent="0.25">
      <c r="A929" s="34" t="str">
        <f t="shared" ca="1" si="740"/>
        <v xml:space="preserve">My arm hearts </v>
      </c>
      <c r="B929" s="31">
        <f t="shared" ref="B929:B989" ca="1" si="752">IF(MOD(ROW()-3,2)=0, INDIRECT("Sheet1!E" &amp;4+((ROW()-3)/2)-2), "")</f>
        <v>0</v>
      </c>
      <c r="D929" s="43"/>
      <c r="E929"/>
    </row>
    <row r="930" spans="1:5" x14ac:dyDescent="0.25">
      <c r="A930" s="35" t="str">
        <f t="shared" ca="1" si="740"/>
        <v/>
      </c>
      <c r="B930" s="30">
        <f t="shared" ref="B930:B990" ca="1" si="753">IF(MOD(ROW()-2,2)=0, INDIRECT("Sheet1!D" &amp;4+((ROW()-2)/2)-2), "")</f>
        <v>0</v>
      </c>
      <c r="D930" s="43"/>
      <c r="E930"/>
    </row>
    <row r="931" spans="1:5" ht="15" customHeight="1" x14ac:dyDescent="0.25">
      <c r="A931" s="36" t="str">
        <f t="shared" ca="1" si="740"/>
        <v/>
      </c>
      <c r="B931" s="31">
        <f t="shared" ref="B931:B991" ca="1" si="754">IF(MOD(ROW()-3,2)=0, INDIRECT("Sheet1!E" &amp;4+((ROW()-3)/2)-2), "")</f>
        <v>0</v>
      </c>
      <c r="D931" s="43"/>
      <c r="E931"/>
    </row>
    <row r="932" spans="1:5" ht="15.75" customHeight="1" x14ac:dyDescent="0.25">
      <c r="A932" s="34" t="str">
        <f t="shared" ca="1" si="740"/>
        <v xml:space="preserve">Doctor, is it something serious (dangerous) </v>
      </c>
      <c r="B932" s="30">
        <f t="shared" ref="B932" ca="1" si="755">IF(MOD(ROW()-2,2)=0, INDIRECT("Sheet1!D" &amp;4+((ROW()-2)/2)-2), "")</f>
        <v>0</v>
      </c>
      <c r="D932" s="43"/>
      <c r="E932"/>
    </row>
    <row r="933" spans="1:5" ht="15" customHeight="1" x14ac:dyDescent="0.25">
      <c r="A933" s="35" t="str">
        <f t="shared" ca="1" si="740"/>
        <v/>
      </c>
      <c r="B933" s="31">
        <f t="shared" ref="B933" ca="1" si="756">IF(MOD(ROW()-3,2)=0, INDIRECT("Sheet1!E" &amp;4+((ROW()-3)/2)-2), "")</f>
        <v>0</v>
      </c>
      <c r="D933" s="43"/>
      <c r="E933"/>
    </row>
    <row r="934" spans="1:5" x14ac:dyDescent="0.25">
      <c r="A934" s="36" t="str">
        <f t="shared" ca="1" si="740"/>
        <v/>
      </c>
      <c r="B934" s="30">
        <f t="shared" ca="1" si="747"/>
        <v>0</v>
      </c>
      <c r="D934" s="43"/>
      <c r="E934"/>
    </row>
    <row r="935" spans="1:5" ht="15" customHeight="1" x14ac:dyDescent="0.25">
      <c r="A935" s="34" t="str">
        <f t="shared" ca="1" si="740"/>
        <v>What's causing me this pain?</v>
      </c>
      <c r="B935" s="31">
        <f t="shared" ca="1" si="748"/>
        <v>0</v>
      </c>
      <c r="D935" s="43"/>
      <c r="E935"/>
    </row>
    <row r="936" spans="1:5" x14ac:dyDescent="0.25">
      <c r="A936" s="35" t="str">
        <f t="shared" ca="1" si="740"/>
        <v/>
      </c>
      <c r="B936" s="30">
        <f t="shared" ca="1" si="749"/>
        <v>0</v>
      </c>
      <c r="D936" s="43"/>
      <c r="E936"/>
    </row>
    <row r="937" spans="1:5" ht="15" customHeight="1" x14ac:dyDescent="0.25">
      <c r="A937" s="36" t="str">
        <f t="shared" ca="1" si="740"/>
        <v/>
      </c>
      <c r="B937" s="31">
        <f t="shared" ca="1" si="750"/>
        <v>0</v>
      </c>
      <c r="D937" s="43"/>
      <c r="E937"/>
    </row>
    <row r="938" spans="1:5" ht="15.75" customHeight="1" x14ac:dyDescent="0.25">
      <c r="A938" s="34" t="str">
        <f t="shared" ca="1" si="740"/>
        <v xml:space="preserve">Is their a solution/ treatment </v>
      </c>
      <c r="B938" s="30">
        <f t="shared" ca="1" si="751"/>
        <v>0</v>
      </c>
      <c r="D938" s="43"/>
      <c r="E938"/>
    </row>
    <row r="939" spans="1:5" ht="15" customHeight="1" x14ac:dyDescent="0.25">
      <c r="A939" s="35" t="str">
        <f t="shared" ca="1" si="740"/>
        <v/>
      </c>
      <c r="B939" s="31">
        <f t="shared" ca="1" si="752"/>
        <v>0</v>
      </c>
      <c r="D939" s="43"/>
      <c r="E939"/>
    </row>
    <row r="940" spans="1:5" x14ac:dyDescent="0.25">
      <c r="A940" s="36" t="str">
        <f t="shared" ca="1" si="740"/>
        <v/>
      </c>
      <c r="B940" s="30">
        <f t="shared" ca="1" si="753"/>
        <v>0</v>
      </c>
      <c r="D940" s="43"/>
      <c r="E940"/>
    </row>
    <row r="941" spans="1:5" ht="15" customHeight="1" x14ac:dyDescent="0.25">
      <c r="A941" s="34" t="str">
        <f t="shared" ca="1" si="740"/>
        <v>Shoud I do more exams?</v>
      </c>
      <c r="B941" s="31">
        <f t="shared" ca="1" si="754"/>
        <v>0</v>
      </c>
      <c r="D941" s="43"/>
      <c r="E941"/>
    </row>
    <row r="942" spans="1:5" x14ac:dyDescent="0.25">
      <c r="A942" s="35" t="str">
        <f t="shared" ca="1" si="740"/>
        <v/>
      </c>
      <c r="B942" s="30">
        <f t="shared" ref="B942" ca="1" si="757">IF(MOD(ROW()-2,2)=0, INDIRECT("Sheet1!D" &amp;4+((ROW()-2)/2)-2), "")</f>
        <v>0</v>
      </c>
      <c r="D942" s="43"/>
      <c r="E942"/>
    </row>
    <row r="943" spans="1:5" ht="15" customHeight="1" x14ac:dyDescent="0.25">
      <c r="A943" s="36" t="str">
        <f t="shared" ca="1" si="740"/>
        <v/>
      </c>
      <c r="B943" s="31">
        <f t="shared" ref="B943" ca="1" si="758">IF(MOD(ROW()-3,2)=0, INDIRECT("Sheet1!E" &amp;4+((ROW()-3)/2)-2), "")</f>
        <v>0</v>
      </c>
      <c r="D943" s="43"/>
      <c r="E943"/>
    </row>
    <row r="944" spans="1:5" ht="15.75" customHeight="1" x14ac:dyDescent="0.25">
      <c r="A944" s="34" t="str">
        <f t="shared" ca="1" si="740"/>
        <v>Do you think I should do an operation?</v>
      </c>
      <c r="B944" s="30">
        <f t="shared" ca="1" si="747"/>
        <v>0</v>
      </c>
      <c r="D944" s="43"/>
      <c r="E944"/>
    </row>
    <row r="945" spans="1:5" ht="15" customHeight="1" x14ac:dyDescent="0.25">
      <c r="A945" s="35" t="str">
        <f t="shared" ca="1" si="740"/>
        <v/>
      </c>
      <c r="B945" s="31">
        <f t="shared" ca="1" si="748"/>
        <v>0</v>
      </c>
      <c r="D945" s="43"/>
      <c r="E945"/>
    </row>
    <row r="946" spans="1:5" x14ac:dyDescent="0.25">
      <c r="A946" s="36" t="str">
        <f t="shared" ca="1" si="740"/>
        <v/>
      </c>
      <c r="B946" s="30">
        <f t="shared" ca="1" si="749"/>
        <v>0</v>
      </c>
      <c r="D946" s="43"/>
      <c r="E946"/>
    </row>
    <row r="947" spans="1:5" ht="15" customHeight="1" x14ac:dyDescent="0.25">
      <c r="A947" s="34" t="str">
        <f t="shared" ca="1" si="740"/>
        <v xml:space="preserve">Tell me what are you feeling </v>
      </c>
      <c r="B947" s="31">
        <f t="shared" ca="1" si="750"/>
        <v>0</v>
      </c>
      <c r="D947" s="43"/>
      <c r="E947"/>
    </row>
    <row r="948" spans="1:5" x14ac:dyDescent="0.25">
      <c r="A948" s="35" t="str">
        <f t="shared" ca="1" si="740"/>
        <v/>
      </c>
      <c r="B948" s="30">
        <f t="shared" ca="1" si="751"/>
        <v>0</v>
      </c>
      <c r="D948" s="43"/>
      <c r="E948"/>
    </row>
    <row r="949" spans="1:5" ht="15" customHeight="1" x14ac:dyDescent="0.25">
      <c r="A949" s="36" t="str">
        <f t="shared" ca="1" si="740"/>
        <v/>
      </c>
      <c r="B949" s="31">
        <f t="shared" ca="1" si="752"/>
        <v>0</v>
      </c>
      <c r="D949" s="43"/>
      <c r="E949"/>
    </row>
    <row r="950" spans="1:5" x14ac:dyDescent="0.25">
      <c r="A950" s="34" t="str">
        <f t="shared" ca="1" si="740"/>
        <v>Where do you feel pain?</v>
      </c>
      <c r="B950" s="30">
        <f t="shared" ca="1" si="753"/>
        <v>0</v>
      </c>
      <c r="D950" s="43"/>
      <c r="E950"/>
    </row>
    <row r="951" spans="1:5" ht="15" customHeight="1" x14ac:dyDescent="0.25">
      <c r="A951" s="35" t="str">
        <f t="shared" ca="1" si="740"/>
        <v/>
      </c>
      <c r="B951" s="31">
        <f t="shared" ca="1" si="754"/>
        <v>0</v>
      </c>
      <c r="D951" s="43"/>
      <c r="E951"/>
    </row>
    <row r="952" spans="1:5" x14ac:dyDescent="0.25">
      <c r="A952" s="36" t="str">
        <f t="shared" ca="1" si="740"/>
        <v/>
      </c>
      <c r="B952" s="30">
        <f t="shared" ref="B952" ca="1" si="759">IF(MOD(ROW()-2,2)=0, INDIRECT("Sheet1!D" &amp;4+((ROW()-2)/2)-2), "")</f>
        <v>0</v>
      </c>
      <c r="D952" s="43"/>
      <c r="E952"/>
    </row>
    <row r="953" spans="1:5" ht="15" customHeight="1" x14ac:dyDescent="0.25">
      <c r="A953" s="34" t="str">
        <f t="shared" ca="1" si="740"/>
        <v>For how long has it been hearting</v>
      </c>
      <c r="B953" s="31">
        <f t="shared" ref="B953" ca="1" si="760">IF(MOD(ROW()-3,2)=0, INDIRECT("Sheet1!E" &amp;4+((ROW()-3)/2)-2), "")</f>
        <v>0</v>
      </c>
      <c r="D953" s="43"/>
      <c r="E953"/>
    </row>
    <row r="954" spans="1:5" x14ac:dyDescent="0.25">
      <c r="A954" s="35" t="str">
        <f t="shared" ca="1" si="740"/>
        <v/>
      </c>
      <c r="B954" s="30">
        <f t="shared" ca="1" si="747"/>
        <v>0</v>
      </c>
      <c r="D954" s="43"/>
      <c r="E954"/>
    </row>
    <row r="955" spans="1:5" ht="15" customHeight="1" x14ac:dyDescent="0.25">
      <c r="A955" s="36" t="str">
        <f t="shared" ca="1" si="740"/>
        <v/>
      </c>
      <c r="B955" s="31">
        <f t="shared" ca="1" si="748"/>
        <v>0</v>
      </c>
      <c r="D955" s="43"/>
      <c r="E955"/>
    </row>
    <row r="956" spans="1:5" ht="15.75" customHeight="1" x14ac:dyDescent="0.25">
      <c r="A956" s="34" t="str">
        <f t="shared" ca="1" si="740"/>
        <v>Is it something common in your family</v>
      </c>
      <c r="B956" s="30">
        <f t="shared" ca="1" si="749"/>
        <v>0</v>
      </c>
      <c r="D956" s="43"/>
      <c r="E956"/>
    </row>
    <row r="957" spans="1:5" ht="15" customHeight="1" x14ac:dyDescent="0.25">
      <c r="A957" s="35" t="str">
        <f t="shared" ca="1" si="740"/>
        <v/>
      </c>
      <c r="B957" s="31">
        <f t="shared" ca="1" si="750"/>
        <v>0</v>
      </c>
      <c r="D957" s="43"/>
      <c r="E957"/>
    </row>
    <row r="958" spans="1:5" x14ac:dyDescent="0.25">
      <c r="A958" s="36" t="str">
        <f t="shared" ca="1" si="740"/>
        <v/>
      </c>
      <c r="B958" s="30">
        <f t="shared" ca="1" si="751"/>
        <v>0</v>
      </c>
      <c r="D958" s="43"/>
      <c r="E958"/>
    </row>
    <row r="959" spans="1:5" ht="15" customHeight="1" x14ac:dyDescent="0.25">
      <c r="A959" s="34" t="str">
        <f t="shared" ca="1" si="740"/>
        <v xml:space="preserve">Do you have any chronic disease? </v>
      </c>
      <c r="B959" s="31">
        <f t="shared" ca="1" si="752"/>
        <v>0</v>
      </c>
      <c r="D959" s="43"/>
      <c r="E959"/>
    </row>
    <row r="960" spans="1:5" x14ac:dyDescent="0.25">
      <c r="A960" s="35" t="str">
        <f t="shared" ca="1" si="740"/>
        <v/>
      </c>
      <c r="B960" s="30">
        <f t="shared" ca="1" si="753"/>
        <v>0</v>
      </c>
      <c r="D960" s="43"/>
      <c r="E960"/>
    </row>
    <row r="961" spans="1:5" ht="15" customHeight="1" x14ac:dyDescent="0.25">
      <c r="A961" s="36" t="str">
        <f t="shared" ref="A961:A1024" ca="1" si="761">IF(MOD(ROW()-2,3)=0, INDIRECT("Sheet1!A" &amp;4+((ROW()-2)/3)-2), "")</f>
        <v/>
      </c>
      <c r="B961" s="31">
        <f t="shared" ca="1" si="754"/>
        <v>0</v>
      </c>
      <c r="D961" s="43"/>
      <c r="E961"/>
    </row>
    <row r="962" spans="1:5" ht="15.75" customHeight="1" x14ac:dyDescent="0.25">
      <c r="A962" s="34" t="str">
        <f t="shared" ca="1" si="761"/>
        <v>Do you have any kind of allergies?</v>
      </c>
      <c r="B962" s="30">
        <f t="shared" ref="B962" ca="1" si="762">IF(MOD(ROW()-2,2)=0, INDIRECT("Sheet1!D" &amp;4+((ROW()-2)/2)-2), "")</f>
        <v>0</v>
      </c>
      <c r="D962" s="43"/>
      <c r="E962"/>
    </row>
    <row r="963" spans="1:5" ht="15" customHeight="1" x14ac:dyDescent="0.25">
      <c r="A963" s="35" t="str">
        <f t="shared" ca="1" si="761"/>
        <v/>
      </c>
      <c r="B963" s="31">
        <f t="shared" ref="B963" ca="1" si="763">IF(MOD(ROW()-3,2)=0, INDIRECT("Sheet1!E" &amp;4+((ROW()-3)/2)-2), "")</f>
        <v>0</v>
      </c>
      <c r="D963" s="43"/>
      <c r="E963"/>
    </row>
    <row r="964" spans="1:5" x14ac:dyDescent="0.25">
      <c r="A964" s="36" t="str">
        <f t="shared" ca="1" si="761"/>
        <v/>
      </c>
      <c r="B964" s="30">
        <f t="shared" ca="1" si="747"/>
        <v>0</v>
      </c>
      <c r="D964" s="43"/>
      <c r="E964"/>
    </row>
    <row r="965" spans="1:5" ht="15" customHeight="1" x14ac:dyDescent="0.25">
      <c r="A965" s="34" t="str">
        <f t="shared" ca="1" si="761"/>
        <v xml:space="preserve">Take the medicine three times per day </v>
      </c>
      <c r="B965" s="31">
        <f t="shared" ca="1" si="748"/>
        <v>0</v>
      </c>
      <c r="D965" s="43"/>
      <c r="E965"/>
    </row>
    <row r="966" spans="1:5" x14ac:dyDescent="0.25">
      <c r="A966" s="35" t="str">
        <f t="shared" ca="1" si="761"/>
        <v/>
      </c>
      <c r="B966" s="30">
        <f t="shared" ca="1" si="749"/>
        <v>0</v>
      </c>
      <c r="D966" s="43"/>
      <c r="E966"/>
    </row>
    <row r="967" spans="1:5" ht="15" customHeight="1" x14ac:dyDescent="0.25">
      <c r="A967" s="36" t="str">
        <f t="shared" ca="1" si="761"/>
        <v/>
      </c>
      <c r="B967" s="31">
        <f t="shared" ca="1" si="750"/>
        <v>0</v>
      </c>
      <c r="D967" s="43"/>
      <c r="E967"/>
    </row>
    <row r="968" spans="1:5" x14ac:dyDescent="0.25">
      <c r="A968" s="34" t="str">
        <f t="shared" ca="1" si="761"/>
        <v>Politics</v>
      </c>
      <c r="B968" s="30">
        <f t="shared" ca="1" si="751"/>
        <v>0</v>
      </c>
      <c r="D968" s="43"/>
      <c r="E968"/>
    </row>
    <row r="969" spans="1:5" ht="15" customHeight="1" x14ac:dyDescent="0.25">
      <c r="A969" s="35" t="str">
        <f t="shared" ca="1" si="761"/>
        <v/>
      </c>
      <c r="B969" s="31">
        <f t="shared" ca="1" si="752"/>
        <v>0</v>
      </c>
      <c r="D969" s="43"/>
      <c r="E969"/>
    </row>
    <row r="970" spans="1:5" x14ac:dyDescent="0.25">
      <c r="A970" s="36" t="str">
        <f t="shared" ca="1" si="761"/>
        <v/>
      </c>
      <c r="B970" s="30">
        <f t="shared" ca="1" si="753"/>
        <v>0</v>
      </c>
      <c r="D970" s="43"/>
      <c r="E970"/>
    </row>
    <row r="971" spans="1:5" ht="15" customHeight="1" x14ac:dyDescent="0.25">
      <c r="A971" s="34" t="str">
        <f t="shared" ca="1" si="761"/>
        <v>Country</v>
      </c>
      <c r="B971" s="31">
        <f t="shared" ca="1" si="754"/>
        <v>0</v>
      </c>
      <c r="D971" s="43"/>
      <c r="E971"/>
    </row>
    <row r="972" spans="1:5" x14ac:dyDescent="0.25">
      <c r="A972" s="35" t="str">
        <f t="shared" ca="1" si="761"/>
        <v/>
      </c>
      <c r="B972" s="30">
        <f t="shared" ref="B972" ca="1" si="764">IF(MOD(ROW()-2,2)=0, INDIRECT("Sheet1!D" &amp;4+((ROW()-2)/2)-2), "")</f>
        <v>0</v>
      </c>
      <c r="D972" s="43"/>
      <c r="E972"/>
    </row>
    <row r="973" spans="1:5" ht="15" customHeight="1" x14ac:dyDescent="0.25">
      <c r="A973" s="36" t="str">
        <f t="shared" ca="1" si="761"/>
        <v/>
      </c>
      <c r="B973" s="31">
        <f t="shared" ref="B973" ca="1" si="765">IF(MOD(ROW()-3,2)=0, INDIRECT("Sheet1!E" &amp;4+((ROW()-3)/2)-2), "")</f>
        <v>0</v>
      </c>
      <c r="D973" s="43"/>
      <c r="E973"/>
    </row>
    <row r="974" spans="1:5" x14ac:dyDescent="0.25">
      <c r="A974" s="34" t="str">
        <f t="shared" ca="1" si="761"/>
        <v>Capital</v>
      </c>
      <c r="B974" s="30">
        <f t="shared" ca="1" si="747"/>
        <v>0</v>
      </c>
      <c r="D974" s="43"/>
      <c r="E974"/>
    </row>
    <row r="975" spans="1:5" ht="15" customHeight="1" x14ac:dyDescent="0.25">
      <c r="A975" s="35" t="str">
        <f t="shared" ca="1" si="761"/>
        <v/>
      </c>
      <c r="B975" s="31">
        <f t="shared" ca="1" si="748"/>
        <v>0</v>
      </c>
      <c r="D975" s="43"/>
      <c r="E975"/>
    </row>
    <row r="976" spans="1:5" x14ac:dyDescent="0.25">
      <c r="A976" s="36" t="str">
        <f t="shared" ca="1" si="761"/>
        <v/>
      </c>
      <c r="B976" s="30">
        <f t="shared" ca="1" si="749"/>
        <v>0</v>
      </c>
      <c r="D976" s="43"/>
      <c r="E976"/>
    </row>
    <row r="977" spans="1:5" ht="15" customHeight="1" x14ac:dyDescent="0.25">
      <c r="A977" s="34" t="str">
        <f t="shared" ca="1" si="761"/>
        <v>State</v>
      </c>
      <c r="B977" s="31">
        <f t="shared" ca="1" si="750"/>
        <v>0</v>
      </c>
      <c r="D977" s="43"/>
      <c r="E977"/>
    </row>
    <row r="978" spans="1:5" x14ac:dyDescent="0.25">
      <c r="A978" s="35" t="str">
        <f t="shared" ca="1" si="761"/>
        <v/>
      </c>
      <c r="B978" s="30">
        <f t="shared" ca="1" si="751"/>
        <v>0</v>
      </c>
      <c r="D978" s="43"/>
      <c r="E978"/>
    </row>
    <row r="979" spans="1:5" ht="15" customHeight="1" x14ac:dyDescent="0.25">
      <c r="A979" s="36" t="str">
        <f t="shared" ca="1" si="761"/>
        <v/>
      </c>
      <c r="B979" s="31">
        <f t="shared" ca="1" si="752"/>
        <v>0</v>
      </c>
      <c r="D979" s="43"/>
      <c r="E979"/>
    </row>
    <row r="980" spans="1:5" x14ac:dyDescent="0.25">
      <c r="A980" s="34" t="str">
        <f t="shared" ca="1" si="761"/>
        <v>President</v>
      </c>
      <c r="B980" s="30">
        <f t="shared" ca="1" si="753"/>
        <v>0</v>
      </c>
      <c r="D980" s="43"/>
      <c r="E980"/>
    </row>
    <row r="981" spans="1:5" ht="15" customHeight="1" x14ac:dyDescent="0.25">
      <c r="A981" s="35" t="str">
        <f t="shared" ca="1" si="761"/>
        <v/>
      </c>
      <c r="B981" s="31">
        <f t="shared" ca="1" si="754"/>
        <v>0</v>
      </c>
      <c r="D981" s="43"/>
      <c r="E981"/>
    </row>
    <row r="982" spans="1:5" x14ac:dyDescent="0.25">
      <c r="A982" s="36" t="str">
        <f t="shared" ca="1" si="761"/>
        <v/>
      </c>
      <c r="B982" s="30">
        <f t="shared" ref="B982" ca="1" si="766">IF(MOD(ROW()-2,2)=0, INDIRECT("Sheet1!D" &amp;4+((ROW()-2)/2)-2), "")</f>
        <v>0</v>
      </c>
      <c r="D982" s="43"/>
      <c r="E982"/>
    </row>
    <row r="983" spans="1:5" ht="15" customHeight="1" x14ac:dyDescent="0.25">
      <c r="A983" s="34" t="str">
        <f t="shared" ca="1" si="761"/>
        <v>King</v>
      </c>
      <c r="B983" s="31">
        <f t="shared" ref="B983" ca="1" si="767">IF(MOD(ROW()-3,2)=0, INDIRECT("Sheet1!E" &amp;4+((ROW()-3)/2)-2), "")</f>
        <v>0</v>
      </c>
      <c r="D983" s="43"/>
      <c r="E983"/>
    </row>
    <row r="984" spans="1:5" x14ac:dyDescent="0.25">
      <c r="A984" s="35" t="str">
        <f t="shared" ca="1" si="761"/>
        <v/>
      </c>
      <c r="B984" s="30">
        <f t="shared" ca="1" si="747"/>
        <v>0</v>
      </c>
      <c r="D984" s="43"/>
      <c r="E984"/>
    </row>
    <row r="985" spans="1:5" ht="15" customHeight="1" x14ac:dyDescent="0.25">
      <c r="A985" s="36" t="str">
        <f t="shared" ca="1" si="761"/>
        <v/>
      </c>
      <c r="B985" s="31">
        <f t="shared" ca="1" si="748"/>
        <v>0</v>
      </c>
      <c r="D985" s="43"/>
      <c r="E985"/>
    </row>
    <row r="986" spans="1:5" x14ac:dyDescent="0.25">
      <c r="A986" s="34" t="str">
        <f t="shared" ca="1" si="761"/>
        <v>Queen</v>
      </c>
      <c r="B986" s="30">
        <f t="shared" ca="1" si="749"/>
        <v>0</v>
      </c>
      <c r="D986" s="43"/>
      <c r="E986"/>
    </row>
    <row r="987" spans="1:5" ht="15" customHeight="1" x14ac:dyDescent="0.25">
      <c r="A987" s="35" t="str">
        <f t="shared" ca="1" si="761"/>
        <v/>
      </c>
      <c r="B987" s="31">
        <f t="shared" ca="1" si="750"/>
        <v>0</v>
      </c>
      <c r="D987" s="43"/>
      <c r="E987"/>
    </row>
    <row r="988" spans="1:5" x14ac:dyDescent="0.25">
      <c r="A988" s="36" t="str">
        <f t="shared" ca="1" si="761"/>
        <v/>
      </c>
      <c r="B988" s="30">
        <f t="shared" ca="1" si="751"/>
        <v>0</v>
      </c>
      <c r="D988" s="43"/>
      <c r="E988"/>
    </row>
    <row r="989" spans="1:5" ht="15" customHeight="1" x14ac:dyDescent="0.25">
      <c r="A989" s="34" t="str">
        <f t="shared" ca="1" si="761"/>
        <v>Republic</v>
      </c>
      <c r="B989" s="31">
        <f t="shared" ca="1" si="752"/>
        <v>0</v>
      </c>
      <c r="D989" s="43"/>
      <c r="E989"/>
    </row>
    <row r="990" spans="1:5" x14ac:dyDescent="0.25">
      <c r="A990" s="35" t="str">
        <f t="shared" ca="1" si="761"/>
        <v/>
      </c>
      <c r="B990" s="30">
        <f t="shared" ca="1" si="753"/>
        <v>0</v>
      </c>
      <c r="D990" s="43"/>
      <c r="E990"/>
    </row>
    <row r="991" spans="1:5" ht="15" customHeight="1" x14ac:dyDescent="0.25">
      <c r="A991" s="36" t="str">
        <f t="shared" ca="1" si="761"/>
        <v/>
      </c>
      <c r="B991" s="31">
        <f t="shared" ca="1" si="754"/>
        <v>0</v>
      </c>
      <c r="D991" s="43"/>
      <c r="E991"/>
    </row>
    <row r="992" spans="1:5" x14ac:dyDescent="0.25">
      <c r="A992" s="34" t="str">
        <f t="shared" ca="1" si="761"/>
        <v>Kingdom</v>
      </c>
      <c r="B992" s="30">
        <f t="shared" ref="B992" ca="1" si="768">IF(MOD(ROW()-2,2)=0, INDIRECT("Sheet1!D" &amp;4+((ROW()-2)/2)-2), "")</f>
        <v>0</v>
      </c>
      <c r="D992" s="43"/>
      <c r="E992"/>
    </row>
    <row r="993" spans="1:5" ht="15" customHeight="1" x14ac:dyDescent="0.25">
      <c r="A993" s="35" t="str">
        <f t="shared" ca="1" si="761"/>
        <v/>
      </c>
      <c r="B993" s="31">
        <f t="shared" ref="B993" ca="1" si="769">IF(MOD(ROW()-3,2)=0, INDIRECT("Sheet1!E" &amp;4+((ROW()-3)/2)-2), "")</f>
        <v>0</v>
      </c>
      <c r="D993" s="43"/>
      <c r="E993"/>
    </row>
    <row r="994" spans="1:5" x14ac:dyDescent="0.25">
      <c r="A994" s="36" t="str">
        <f t="shared" ca="1" si="761"/>
        <v/>
      </c>
      <c r="B994" s="30">
        <f t="shared" ref="B994:B1054" ca="1" si="770">IF(MOD(ROW()-2,2)=0, INDIRECT("Sheet1!D" &amp;4+((ROW()-2)/2)-2), "")</f>
        <v>0</v>
      </c>
      <c r="D994" s="43"/>
      <c r="E994"/>
    </row>
    <row r="995" spans="1:5" ht="15" customHeight="1" x14ac:dyDescent="0.25">
      <c r="A995" s="34" t="str">
        <f t="shared" ca="1" si="761"/>
        <v>Parliament</v>
      </c>
      <c r="B995" s="31">
        <f t="shared" ref="B995:B1055" ca="1" si="771">IF(MOD(ROW()-3,2)=0, INDIRECT("Sheet1!E" &amp;4+((ROW()-3)/2)-2), "")</f>
        <v>0</v>
      </c>
      <c r="D995" s="43"/>
      <c r="E995"/>
    </row>
    <row r="996" spans="1:5" x14ac:dyDescent="0.25">
      <c r="A996" s="35" t="str">
        <f t="shared" ca="1" si="761"/>
        <v/>
      </c>
      <c r="B996" s="30">
        <f t="shared" ref="B996:B1056" ca="1" si="772">IF(MOD(ROW()-2,2)=0, INDIRECT("Sheet1!D" &amp;4+((ROW()-2)/2)-2), "")</f>
        <v>0</v>
      </c>
      <c r="D996" s="43"/>
      <c r="E996"/>
    </row>
    <row r="997" spans="1:5" ht="15" customHeight="1" x14ac:dyDescent="0.25">
      <c r="A997" s="36" t="str">
        <f t="shared" ca="1" si="761"/>
        <v/>
      </c>
      <c r="B997" s="31">
        <f t="shared" ref="B997:B1057" ca="1" si="773">IF(MOD(ROW()-3,2)=0, INDIRECT("Sheet1!E" &amp;4+((ROW()-3)/2)-2), "")</f>
        <v>0</v>
      </c>
      <c r="D997" s="43"/>
      <c r="E997"/>
    </row>
    <row r="998" spans="1:5" x14ac:dyDescent="0.25">
      <c r="A998" s="34" t="str">
        <f t="shared" ca="1" si="761"/>
        <v>Ministry</v>
      </c>
      <c r="B998" s="30">
        <f t="shared" ref="B998:B1058" ca="1" si="774">IF(MOD(ROW()-2,2)=0, INDIRECT("Sheet1!D" &amp;4+((ROW()-2)/2)-2), "")</f>
        <v>0</v>
      </c>
      <c r="D998" s="43"/>
      <c r="E998"/>
    </row>
    <row r="999" spans="1:5" ht="15" customHeight="1" x14ac:dyDescent="0.25">
      <c r="A999" s="35" t="str">
        <f t="shared" ca="1" si="761"/>
        <v/>
      </c>
      <c r="B999" s="31">
        <f t="shared" ref="B999:B1059" ca="1" si="775">IF(MOD(ROW()-3,2)=0, INDIRECT("Sheet1!E" &amp;4+((ROW()-3)/2)-2), "")</f>
        <v>0</v>
      </c>
      <c r="D999" s="43"/>
      <c r="E999"/>
    </row>
    <row r="1000" spans="1:5" x14ac:dyDescent="0.25">
      <c r="A1000" s="36" t="str">
        <f t="shared" ca="1" si="761"/>
        <v/>
      </c>
      <c r="B1000" s="30">
        <f t="shared" ref="B1000:B1060" ca="1" si="776">IF(MOD(ROW()-2,2)=0, INDIRECT("Sheet1!D" &amp;4+((ROW()-2)/2)-2), "")</f>
        <v>0</v>
      </c>
      <c r="D1000" s="43"/>
      <c r="E1000"/>
    </row>
    <row r="1001" spans="1:5" ht="15" customHeight="1" x14ac:dyDescent="0.25">
      <c r="A1001" s="34" t="str">
        <f t="shared" ca="1" si="761"/>
        <v>Minister</v>
      </c>
      <c r="B1001" s="31">
        <f t="shared" ref="B1001:B1061" ca="1" si="777">IF(MOD(ROW()-3,2)=0, INDIRECT("Sheet1!E" &amp;4+((ROW()-3)/2)-2), "")</f>
        <v>0</v>
      </c>
      <c r="D1001" s="43"/>
      <c r="E1001"/>
    </row>
    <row r="1002" spans="1:5" x14ac:dyDescent="0.25">
      <c r="A1002" s="35" t="str">
        <f t="shared" ca="1" si="761"/>
        <v/>
      </c>
      <c r="B1002" s="30">
        <f t="shared" ref="B1002" ca="1" si="778">IF(MOD(ROW()-2,2)=0, INDIRECT("Sheet1!D" &amp;4+((ROW()-2)/2)-2), "")</f>
        <v>0</v>
      </c>
      <c r="D1002" s="43"/>
      <c r="E1002"/>
    </row>
    <row r="1003" spans="1:5" ht="15" customHeight="1" x14ac:dyDescent="0.25">
      <c r="A1003" s="36" t="str">
        <f t="shared" ca="1" si="761"/>
        <v/>
      </c>
      <c r="B1003" s="31">
        <f t="shared" ref="B1003" ca="1" si="779">IF(MOD(ROW()-3,2)=0, INDIRECT("Sheet1!E" &amp;4+((ROW()-3)/2)-2), "")</f>
        <v>0</v>
      </c>
      <c r="D1003" s="43"/>
      <c r="E1003"/>
    </row>
    <row r="1004" spans="1:5" x14ac:dyDescent="0.25">
      <c r="A1004" s="34" t="str">
        <f t="shared" ca="1" si="761"/>
        <v>Ministers</v>
      </c>
      <c r="B1004" s="30">
        <f t="shared" ca="1" si="770"/>
        <v>0</v>
      </c>
      <c r="D1004" s="43"/>
      <c r="E1004"/>
    </row>
    <row r="1005" spans="1:5" ht="15" customHeight="1" x14ac:dyDescent="0.25">
      <c r="A1005" s="35" t="str">
        <f t="shared" ca="1" si="761"/>
        <v/>
      </c>
      <c r="B1005" s="31">
        <f t="shared" ca="1" si="771"/>
        <v>0</v>
      </c>
      <c r="D1005" s="43"/>
      <c r="E1005"/>
    </row>
    <row r="1006" spans="1:5" x14ac:dyDescent="0.25">
      <c r="A1006" s="36" t="str">
        <f t="shared" ca="1" si="761"/>
        <v/>
      </c>
      <c r="B1006" s="30">
        <f t="shared" ca="1" si="772"/>
        <v>0</v>
      </c>
      <c r="D1006" s="43"/>
      <c r="E1006"/>
    </row>
    <row r="1007" spans="1:5" ht="15" customHeight="1" x14ac:dyDescent="0.25">
      <c r="A1007" s="34" t="str">
        <f t="shared" ca="1" si="761"/>
        <v>Representative</v>
      </c>
      <c r="B1007" s="31">
        <f t="shared" ca="1" si="773"/>
        <v>0</v>
      </c>
      <c r="D1007" s="43"/>
      <c r="E1007"/>
    </row>
    <row r="1008" spans="1:5" x14ac:dyDescent="0.25">
      <c r="A1008" s="35" t="str">
        <f t="shared" ca="1" si="761"/>
        <v/>
      </c>
      <c r="B1008" s="30">
        <f t="shared" ca="1" si="774"/>
        <v>0</v>
      </c>
      <c r="D1008" s="43"/>
      <c r="E1008"/>
    </row>
    <row r="1009" spans="1:5" ht="15" customHeight="1" x14ac:dyDescent="0.25">
      <c r="A1009" s="36" t="str">
        <f t="shared" ca="1" si="761"/>
        <v/>
      </c>
      <c r="B1009" s="31">
        <f t="shared" ca="1" si="775"/>
        <v>0</v>
      </c>
      <c r="D1009" s="43"/>
      <c r="E1009"/>
    </row>
    <row r="1010" spans="1:5" x14ac:dyDescent="0.25">
      <c r="A1010" s="34" t="str">
        <f t="shared" ca="1" si="761"/>
        <v>Representatives</v>
      </c>
      <c r="B1010" s="30">
        <f t="shared" ca="1" si="776"/>
        <v>0</v>
      </c>
      <c r="D1010" s="43"/>
      <c r="E1010"/>
    </row>
    <row r="1011" spans="1:5" ht="15" customHeight="1" x14ac:dyDescent="0.25">
      <c r="A1011" s="35" t="str">
        <f t="shared" ca="1" si="761"/>
        <v/>
      </c>
      <c r="B1011" s="31">
        <f t="shared" ca="1" si="777"/>
        <v>0</v>
      </c>
      <c r="D1011" s="43"/>
      <c r="E1011"/>
    </row>
    <row r="1012" spans="1:5" x14ac:dyDescent="0.25">
      <c r="A1012" s="36" t="str">
        <f t="shared" ca="1" si="761"/>
        <v/>
      </c>
      <c r="B1012" s="30">
        <f t="shared" ref="B1012" ca="1" si="780">IF(MOD(ROW()-2,2)=0, INDIRECT("Sheet1!D" &amp;4+((ROW()-2)/2)-2), "")</f>
        <v>0</v>
      </c>
      <c r="D1012" s="43"/>
      <c r="E1012"/>
    </row>
    <row r="1013" spans="1:5" ht="15" customHeight="1" x14ac:dyDescent="0.25">
      <c r="A1013" s="34" t="str">
        <f t="shared" ca="1" si="761"/>
        <v>Nation</v>
      </c>
      <c r="B1013" s="31">
        <f t="shared" ref="B1013" ca="1" si="781">IF(MOD(ROW()-3,2)=0, INDIRECT("Sheet1!E" &amp;4+((ROW()-3)/2)-2), "")</f>
        <v>0</v>
      </c>
      <c r="D1013" s="43"/>
      <c r="E1013"/>
    </row>
    <row r="1014" spans="1:5" x14ac:dyDescent="0.25">
      <c r="A1014" s="35" t="str">
        <f t="shared" ca="1" si="761"/>
        <v/>
      </c>
      <c r="B1014" s="30">
        <f t="shared" ca="1" si="770"/>
        <v>0</v>
      </c>
      <c r="D1014" s="43"/>
      <c r="E1014"/>
    </row>
    <row r="1015" spans="1:5" ht="15" customHeight="1" x14ac:dyDescent="0.25">
      <c r="A1015" s="36" t="str">
        <f t="shared" ca="1" si="761"/>
        <v/>
      </c>
      <c r="B1015" s="31">
        <f t="shared" ca="1" si="771"/>
        <v>0</v>
      </c>
      <c r="D1015" s="43"/>
      <c r="E1015"/>
    </row>
    <row r="1016" spans="1:5" x14ac:dyDescent="0.25">
      <c r="A1016" s="34" t="str">
        <f t="shared" ca="1" si="761"/>
        <v>Party</v>
      </c>
      <c r="B1016" s="30">
        <f t="shared" ca="1" si="772"/>
        <v>0</v>
      </c>
      <c r="D1016" s="43"/>
      <c r="E1016"/>
    </row>
    <row r="1017" spans="1:5" ht="15" customHeight="1" x14ac:dyDescent="0.25">
      <c r="A1017" s="35" t="str">
        <f t="shared" ca="1" si="761"/>
        <v/>
      </c>
      <c r="B1017" s="31">
        <f t="shared" ca="1" si="773"/>
        <v>0</v>
      </c>
      <c r="D1017" s="43"/>
      <c r="E1017"/>
    </row>
    <row r="1018" spans="1:5" x14ac:dyDescent="0.25">
      <c r="A1018" s="36" t="str">
        <f t="shared" ca="1" si="761"/>
        <v/>
      </c>
      <c r="B1018" s="30">
        <f t="shared" ca="1" si="774"/>
        <v>0</v>
      </c>
      <c r="D1018" s="43"/>
      <c r="E1018"/>
    </row>
    <row r="1019" spans="1:5" ht="15" customHeight="1" x14ac:dyDescent="0.25">
      <c r="A1019" s="34" t="str">
        <f t="shared" ca="1" si="761"/>
        <v>Parties</v>
      </c>
      <c r="B1019" s="31">
        <f t="shared" ca="1" si="775"/>
        <v>0</v>
      </c>
      <c r="D1019" s="43"/>
      <c r="E1019"/>
    </row>
    <row r="1020" spans="1:5" x14ac:dyDescent="0.25">
      <c r="A1020" s="35" t="str">
        <f t="shared" ca="1" si="761"/>
        <v/>
      </c>
      <c r="B1020" s="30">
        <f t="shared" ca="1" si="776"/>
        <v>0</v>
      </c>
      <c r="D1020" s="43"/>
      <c r="E1020"/>
    </row>
    <row r="1021" spans="1:5" ht="15" customHeight="1" x14ac:dyDescent="0.25">
      <c r="A1021" s="36" t="str">
        <f t="shared" ca="1" si="761"/>
        <v/>
      </c>
      <c r="B1021" s="31">
        <f t="shared" ca="1" si="777"/>
        <v>0</v>
      </c>
      <c r="D1021" s="43"/>
      <c r="E1021"/>
    </row>
    <row r="1022" spans="1:5" x14ac:dyDescent="0.25">
      <c r="A1022" s="34" t="str">
        <f t="shared" ca="1" si="761"/>
        <v>Elections</v>
      </c>
      <c r="B1022" s="30">
        <f t="shared" ref="B1022" ca="1" si="782">IF(MOD(ROW()-2,2)=0, INDIRECT("Sheet1!D" &amp;4+((ROW()-2)/2)-2), "")</f>
        <v>0</v>
      </c>
      <c r="D1022" s="43"/>
      <c r="E1022"/>
    </row>
    <row r="1023" spans="1:5" ht="15" customHeight="1" x14ac:dyDescent="0.25">
      <c r="A1023" s="35" t="str">
        <f t="shared" ca="1" si="761"/>
        <v/>
      </c>
      <c r="B1023" s="31">
        <f t="shared" ref="B1023" ca="1" si="783">IF(MOD(ROW()-3,2)=0, INDIRECT("Sheet1!E" &amp;4+((ROW()-3)/2)-2), "")</f>
        <v>0</v>
      </c>
      <c r="D1023" s="43"/>
      <c r="E1023"/>
    </row>
    <row r="1024" spans="1:5" x14ac:dyDescent="0.25">
      <c r="A1024" s="36" t="str">
        <f t="shared" ca="1" si="761"/>
        <v/>
      </c>
      <c r="B1024" s="30">
        <f t="shared" ca="1" si="770"/>
        <v>0</v>
      </c>
      <c r="D1024" s="43"/>
      <c r="E1024"/>
    </row>
    <row r="1025" spans="1:5" ht="15" customHeight="1" x14ac:dyDescent="0.25">
      <c r="A1025" s="34" t="str">
        <f t="shared" ref="A1025:A1088" ca="1" si="784">IF(MOD(ROW()-2,3)=0, INDIRECT("Sheet1!A" &amp;4+((ROW()-2)/3)-2), "")</f>
        <v>Revolution</v>
      </c>
      <c r="B1025" s="31">
        <f t="shared" ca="1" si="771"/>
        <v>0</v>
      </c>
      <c r="D1025" s="43"/>
      <c r="E1025"/>
    </row>
    <row r="1026" spans="1:5" x14ac:dyDescent="0.25">
      <c r="A1026" s="35" t="str">
        <f t="shared" ca="1" si="784"/>
        <v/>
      </c>
      <c r="B1026" s="30">
        <f t="shared" ca="1" si="772"/>
        <v>0</v>
      </c>
      <c r="D1026" s="43"/>
      <c r="E1026"/>
    </row>
    <row r="1027" spans="1:5" ht="15" customHeight="1" x14ac:dyDescent="0.25">
      <c r="A1027" s="36" t="str">
        <f t="shared" ca="1" si="784"/>
        <v/>
      </c>
      <c r="B1027" s="31">
        <f t="shared" ca="1" si="773"/>
        <v>0</v>
      </c>
      <c r="D1027" s="43"/>
      <c r="E1027"/>
    </row>
    <row r="1028" spans="1:5" ht="15.75" customHeight="1" x14ac:dyDescent="0.25">
      <c r="A1028" s="34" t="str">
        <f t="shared" ca="1" si="784"/>
        <v>The capital of Lebanon is Beirut</v>
      </c>
      <c r="B1028" s="30">
        <f t="shared" ca="1" si="774"/>
        <v>0</v>
      </c>
      <c r="D1028" s="43"/>
      <c r="E1028"/>
    </row>
    <row r="1029" spans="1:5" ht="15" customHeight="1" x14ac:dyDescent="0.25">
      <c r="A1029" s="35" t="str">
        <f t="shared" ca="1" si="784"/>
        <v/>
      </c>
      <c r="B1029" s="31">
        <f t="shared" ca="1" si="775"/>
        <v>0</v>
      </c>
      <c r="D1029" s="43"/>
      <c r="E1029"/>
    </row>
    <row r="1030" spans="1:5" x14ac:dyDescent="0.25">
      <c r="A1030" s="36" t="str">
        <f t="shared" ca="1" si="784"/>
        <v/>
      </c>
      <c r="B1030" s="30">
        <f t="shared" ca="1" si="776"/>
        <v>0</v>
      </c>
      <c r="D1030" s="43"/>
      <c r="E1030"/>
    </row>
    <row r="1031" spans="1:5" ht="15" customHeight="1" x14ac:dyDescent="0.25">
      <c r="A1031" s="34" t="str">
        <f t="shared" ca="1" si="784"/>
        <v>Republic of Lebanon</v>
      </c>
      <c r="B1031" s="31">
        <f t="shared" ca="1" si="777"/>
        <v>0</v>
      </c>
      <c r="D1031" s="43"/>
      <c r="E1031"/>
    </row>
    <row r="1032" spans="1:5" x14ac:dyDescent="0.25">
      <c r="A1032" s="35" t="str">
        <f t="shared" ca="1" si="784"/>
        <v/>
      </c>
      <c r="B1032" s="30">
        <f t="shared" ref="B1032" ca="1" si="785">IF(MOD(ROW()-2,2)=0, INDIRECT("Sheet1!D" &amp;4+((ROW()-2)/2)-2), "")</f>
        <v>0</v>
      </c>
      <c r="D1032" s="43"/>
      <c r="E1032"/>
    </row>
    <row r="1033" spans="1:5" ht="15" customHeight="1" x14ac:dyDescent="0.25">
      <c r="A1033" s="36" t="str">
        <f t="shared" ca="1" si="784"/>
        <v/>
      </c>
      <c r="B1033" s="31">
        <f t="shared" ref="B1033" ca="1" si="786">IF(MOD(ROW()-3,2)=0, INDIRECT("Sheet1!E" &amp;4+((ROW()-3)/2)-2), "")</f>
        <v>0</v>
      </c>
      <c r="D1033" s="43"/>
      <c r="E1033"/>
    </row>
    <row r="1034" spans="1:5" x14ac:dyDescent="0.25">
      <c r="A1034" s="34" t="str">
        <f t="shared" ca="1" si="784"/>
        <v>United Nations</v>
      </c>
      <c r="B1034" s="30">
        <f t="shared" ca="1" si="770"/>
        <v>0</v>
      </c>
      <c r="D1034" s="43"/>
      <c r="E1034"/>
    </row>
    <row r="1035" spans="1:5" ht="15" customHeight="1" x14ac:dyDescent="0.25">
      <c r="A1035" s="35" t="str">
        <f t="shared" ca="1" si="784"/>
        <v/>
      </c>
      <c r="B1035" s="31">
        <f t="shared" ca="1" si="771"/>
        <v>0</v>
      </c>
      <c r="D1035" s="43"/>
      <c r="E1035"/>
    </row>
    <row r="1036" spans="1:5" x14ac:dyDescent="0.25">
      <c r="A1036" s="36" t="str">
        <f t="shared" ca="1" si="784"/>
        <v/>
      </c>
      <c r="B1036" s="30">
        <f t="shared" ca="1" si="772"/>
        <v>0</v>
      </c>
      <c r="D1036" s="43"/>
      <c r="E1036"/>
    </row>
    <row r="1037" spans="1:5" ht="15" customHeight="1" x14ac:dyDescent="0.25">
      <c r="A1037" s="34" t="str">
        <f t="shared" ca="1" si="784"/>
        <v>Today, the representatives met at the patliament to elect a president</v>
      </c>
      <c r="B1037" s="31">
        <f t="shared" ca="1" si="773"/>
        <v>0</v>
      </c>
      <c r="D1037" s="43"/>
      <c r="E1037"/>
    </row>
    <row r="1038" spans="1:5" x14ac:dyDescent="0.25">
      <c r="A1038" s="35" t="str">
        <f t="shared" ca="1" si="784"/>
        <v/>
      </c>
      <c r="B1038" s="30">
        <f t="shared" ca="1" si="774"/>
        <v>0</v>
      </c>
      <c r="D1038" s="43"/>
      <c r="E1038"/>
    </row>
    <row r="1039" spans="1:5" ht="15" customHeight="1" x14ac:dyDescent="0.25">
      <c r="A1039" s="36" t="str">
        <f t="shared" ca="1" si="784"/>
        <v/>
      </c>
      <c r="B1039" s="31">
        <f t="shared" ca="1" si="775"/>
        <v>0</v>
      </c>
      <c r="D1039" s="43"/>
      <c r="E1039"/>
    </row>
    <row r="1040" spans="1:5" ht="15.75" customHeight="1" x14ac:dyDescent="0.25">
      <c r="A1040" s="34" t="str">
        <f t="shared" ca="1" si="784"/>
        <v>There are two main political parties in the United States</v>
      </c>
      <c r="B1040" s="30">
        <f t="shared" ca="1" si="776"/>
        <v>0</v>
      </c>
      <c r="D1040" s="43"/>
      <c r="E1040"/>
    </row>
    <row r="1041" spans="1:5" ht="15" customHeight="1" x14ac:dyDescent="0.25">
      <c r="A1041" s="35" t="str">
        <f t="shared" ca="1" si="784"/>
        <v/>
      </c>
      <c r="B1041" s="31">
        <f t="shared" ca="1" si="777"/>
        <v>0</v>
      </c>
      <c r="D1041" s="43"/>
      <c r="E1041"/>
    </row>
    <row r="1042" spans="1:5" x14ac:dyDescent="0.25">
      <c r="A1042" s="36" t="str">
        <f t="shared" ca="1" si="784"/>
        <v/>
      </c>
      <c r="B1042" s="30">
        <f t="shared" ref="B1042" ca="1" si="787">IF(MOD(ROW()-2,2)=0, INDIRECT("Sheet1!D" &amp;4+((ROW()-2)/2)-2), "")</f>
        <v>0</v>
      </c>
      <c r="D1042" s="43"/>
      <c r="E1042"/>
    </row>
    <row r="1043" spans="1:5" ht="15" customHeight="1" x14ac:dyDescent="0.25">
      <c r="A1043" s="34" t="str">
        <f t="shared" ca="1" si="784"/>
        <v>Municipality/ies</v>
      </c>
      <c r="B1043" s="31">
        <f t="shared" ref="B1043" ca="1" si="788">IF(MOD(ROW()-3,2)=0, INDIRECT("Sheet1!E" &amp;4+((ROW()-3)/2)-2), "")</f>
        <v>0</v>
      </c>
      <c r="D1043" s="43"/>
      <c r="E1043"/>
    </row>
    <row r="1044" spans="1:5" x14ac:dyDescent="0.25">
      <c r="A1044" s="35" t="str">
        <f t="shared" ca="1" si="784"/>
        <v/>
      </c>
      <c r="B1044" s="30">
        <f t="shared" ca="1" si="770"/>
        <v>0</v>
      </c>
      <c r="D1044" s="43"/>
      <c r="E1044"/>
    </row>
    <row r="1045" spans="1:5" ht="15" customHeight="1" x14ac:dyDescent="0.25">
      <c r="A1045" s="36" t="str">
        <f t="shared" ca="1" si="784"/>
        <v/>
      </c>
      <c r="B1045" s="31">
        <f t="shared" ca="1" si="771"/>
        <v>0</v>
      </c>
      <c r="D1045" s="43"/>
      <c r="E1045"/>
    </row>
    <row r="1046" spans="1:5" x14ac:dyDescent="0.25">
      <c r="A1046" s="34" t="str">
        <f t="shared" ca="1" si="784"/>
        <v>Peace</v>
      </c>
      <c r="B1046" s="30">
        <f t="shared" ca="1" si="772"/>
        <v>0</v>
      </c>
      <c r="D1046" s="43"/>
      <c r="E1046"/>
    </row>
    <row r="1047" spans="1:5" ht="15" customHeight="1" x14ac:dyDescent="0.25">
      <c r="A1047" s="35" t="str">
        <f t="shared" ca="1" si="784"/>
        <v/>
      </c>
      <c r="B1047" s="31">
        <f t="shared" ca="1" si="773"/>
        <v>0</v>
      </c>
      <c r="D1047" s="43"/>
      <c r="E1047"/>
    </row>
    <row r="1048" spans="1:5" x14ac:dyDescent="0.25">
      <c r="A1048" s="36" t="str">
        <f t="shared" ca="1" si="784"/>
        <v/>
      </c>
      <c r="B1048" s="30">
        <f t="shared" ca="1" si="774"/>
        <v>0</v>
      </c>
      <c r="D1048" s="43"/>
      <c r="E1048"/>
    </row>
    <row r="1049" spans="1:5" ht="15" customHeight="1" x14ac:dyDescent="0.25">
      <c r="A1049" s="34" t="str">
        <f t="shared" ca="1" si="784"/>
        <v>Peaceful</v>
      </c>
      <c r="B1049" s="31">
        <f t="shared" ca="1" si="775"/>
        <v>0</v>
      </c>
      <c r="D1049" s="43"/>
      <c r="E1049"/>
    </row>
    <row r="1050" spans="1:5" x14ac:dyDescent="0.25">
      <c r="A1050" s="35" t="str">
        <f t="shared" ca="1" si="784"/>
        <v/>
      </c>
      <c r="B1050" s="30">
        <f t="shared" ca="1" si="776"/>
        <v>0</v>
      </c>
      <c r="D1050" s="43"/>
      <c r="E1050"/>
    </row>
    <row r="1051" spans="1:5" ht="15" customHeight="1" x14ac:dyDescent="0.25">
      <c r="A1051" s="36" t="str">
        <f t="shared" ca="1" si="784"/>
        <v/>
      </c>
      <c r="B1051" s="31">
        <f t="shared" ca="1" si="777"/>
        <v>0</v>
      </c>
      <c r="D1051" s="43"/>
      <c r="E1051"/>
    </row>
    <row r="1052" spans="1:5" x14ac:dyDescent="0.25">
      <c r="A1052" s="34" t="str">
        <f t="shared" ca="1" si="784"/>
        <v>Protest</v>
      </c>
      <c r="B1052" s="30">
        <f t="shared" ref="B1052" ca="1" si="789">IF(MOD(ROW()-2,2)=0, INDIRECT("Sheet1!D" &amp;4+((ROW()-2)/2)-2), "")</f>
        <v>0</v>
      </c>
      <c r="D1052" s="43"/>
      <c r="E1052"/>
    </row>
    <row r="1053" spans="1:5" ht="15" customHeight="1" x14ac:dyDescent="0.25">
      <c r="A1053" s="35" t="str">
        <f t="shared" ca="1" si="784"/>
        <v/>
      </c>
      <c r="B1053" s="31">
        <f t="shared" ref="B1053" ca="1" si="790">IF(MOD(ROW()-3,2)=0, INDIRECT("Sheet1!E" &amp;4+((ROW()-3)/2)-2), "")</f>
        <v>0</v>
      </c>
      <c r="D1053" s="43"/>
      <c r="E1053"/>
    </row>
    <row r="1054" spans="1:5" x14ac:dyDescent="0.25">
      <c r="A1054" s="36" t="str">
        <f t="shared" ca="1" si="784"/>
        <v/>
      </c>
      <c r="B1054" s="30">
        <f t="shared" ca="1" si="770"/>
        <v>0</v>
      </c>
      <c r="D1054" s="43"/>
      <c r="E1054"/>
    </row>
    <row r="1055" spans="1:5" ht="15" customHeight="1" x14ac:dyDescent="0.25">
      <c r="A1055" s="34" t="str">
        <f t="shared" ca="1" si="784"/>
        <v>Protests</v>
      </c>
      <c r="B1055" s="31">
        <f t="shared" ca="1" si="771"/>
        <v>0</v>
      </c>
      <c r="D1055" s="43"/>
      <c r="E1055"/>
    </row>
    <row r="1056" spans="1:5" x14ac:dyDescent="0.25">
      <c r="A1056" s="35" t="str">
        <f t="shared" ca="1" si="784"/>
        <v/>
      </c>
      <c r="B1056" s="30">
        <f t="shared" ca="1" si="772"/>
        <v>0</v>
      </c>
      <c r="D1056" s="43"/>
      <c r="E1056"/>
    </row>
    <row r="1057" spans="1:5" ht="15" customHeight="1" x14ac:dyDescent="0.25">
      <c r="A1057" s="36" t="str">
        <f t="shared" ca="1" si="784"/>
        <v/>
      </c>
      <c r="B1057" s="31">
        <f t="shared" ca="1" si="773"/>
        <v>0</v>
      </c>
      <c r="D1057" s="43"/>
      <c r="E1057"/>
    </row>
    <row r="1058" spans="1:5" x14ac:dyDescent="0.25">
      <c r="A1058" s="34" t="str">
        <f t="shared" ca="1" si="784"/>
        <v>Martyr</v>
      </c>
      <c r="B1058" s="30">
        <f t="shared" ca="1" si="774"/>
        <v>0</v>
      </c>
      <c r="D1058" s="43"/>
      <c r="E1058"/>
    </row>
    <row r="1059" spans="1:5" ht="15" customHeight="1" x14ac:dyDescent="0.25">
      <c r="A1059" s="35" t="str">
        <f t="shared" ca="1" si="784"/>
        <v/>
      </c>
      <c r="B1059" s="31">
        <f t="shared" ca="1" si="775"/>
        <v>0</v>
      </c>
      <c r="D1059" s="43"/>
      <c r="E1059"/>
    </row>
    <row r="1060" spans="1:5" x14ac:dyDescent="0.25">
      <c r="A1060" s="36" t="str">
        <f t="shared" ca="1" si="784"/>
        <v/>
      </c>
      <c r="B1060" s="30">
        <f t="shared" ca="1" si="776"/>
        <v>0</v>
      </c>
      <c r="D1060" s="43"/>
      <c r="E1060"/>
    </row>
    <row r="1061" spans="1:5" ht="15" customHeight="1" x14ac:dyDescent="0.25">
      <c r="A1061" s="34" t="str">
        <f t="shared" ca="1" si="784"/>
        <v>There is a garbage crisis in Lebanon, and the government did not find a solution yet.</v>
      </c>
      <c r="B1061" s="31">
        <f t="shared" ca="1" si="777"/>
        <v>0</v>
      </c>
      <c r="D1061" s="43"/>
      <c r="E1061"/>
    </row>
    <row r="1062" spans="1:5" x14ac:dyDescent="0.25">
      <c r="A1062" s="35" t="str">
        <f t="shared" ca="1" si="784"/>
        <v/>
      </c>
      <c r="B1062" s="30">
        <f t="shared" ref="B1062" ca="1" si="791">IF(MOD(ROW()-2,2)=0, INDIRECT("Sheet1!D" &amp;4+((ROW()-2)/2)-2), "")</f>
        <v>0</v>
      </c>
      <c r="D1062" s="43"/>
      <c r="E1062"/>
    </row>
    <row r="1063" spans="1:5" ht="15" customHeight="1" x14ac:dyDescent="0.25">
      <c r="A1063" s="36" t="str">
        <f t="shared" ca="1" si="784"/>
        <v/>
      </c>
      <c r="B1063" s="31">
        <f t="shared" ref="B1063" ca="1" si="792">IF(MOD(ROW()-3,2)=0, INDIRECT("Sheet1!E" &amp;4+((ROW()-3)/2)-2), "")</f>
        <v>0</v>
      </c>
      <c r="D1063" s="43"/>
      <c r="E1063"/>
    </row>
    <row r="1064" spans="1:5" ht="15.75" customHeight="1" x14ac:dyDescent="0.25">
      <c r="A1064" s="34" t="str">
        <f t="shared" ca="1" si="784"/>
        <v>Every municipality is responsible for waste sorting</v>
      </c>
      <c r="B1064" s="30">
        <f t="shared" ref="B1064:B1124" ca="1" si="793">IF(MOD(ROW()-2,2)=0, INDIRECT("Sheet1!D" &amp;4+((ROW()-2)/2)-2), "")</f>
        <v>0</v>
      </c>
      <c r="D1064" s="43"/>
      <c r="E1064"/>
    </row>
    <row r="1065" spans="1:5" ht="15" customHeight="1" x14ac:dyDescent="0.25">
      <c r="A1065" s="35" t="str">
        <f t="shared" ca="1" si="784"/>
        <v/>
      </c>
      <c r="B1065" s="31">
        <f t="shared" ref="B1065:B1125" ca="1" si="794">IF(MOD(ROW()-3,2)=0, INDIRECT("Sheet1!E" &amp;4+((ROW()-3)/2)-2), "")</f>
        <v>0</v>
      </c>
      <c r="D1065" s="43"/>
      <c r="E1065"/>
    </row>
    <row r="1066" spans="1:5" x14ac:dyDescent="0.25">
      <c r="A1066" s="36" t="str">
        <f t="shared" ca="1" si="784"/>
        <v/>
      </c>
      <c r="B1066" s="30">
        <f t="shared" ref="B1066:B1126" ca="1" si="795">IF(MOD(ROW()-2,2)=0, INDIRECT("Sheet1!D" &amp;4+((ROW()-2)/2)-2), "")</f>
        <v>0</v>
      </c>
      <c r="D1066" s="43"/>
      <c r="E1066"/>
    </row>
    <row r="1067" spans="1:5" ht="15" customHeight="1" x14ac:dyDescent="0.25">
      <c r="A1067" s="34" t="str">
        <f t="shared" ca="1" si="784"/>
        <v>There are ongoing peacful protests in the Lebanese capital demanding the resignation of the minister of the environment</v>
      </c>
      <c r="B1067" s="31">
        <f t="shared" ref="B1067:B1127" ca="1" si="796">IF(MOD(ROW()-3,2)=0, INDIRECT("Sheet1!E" &amp;4+((ROW()-3)/2)-2), "")</f>
        <v>0</v>
      </c>
      <c r="D1067" s="43"/>
      <c r="E1067"/>
    </row>
    <row r="1068" spans="1:5" x14ac:dyDescent="0.25">
      <c r="A1068" s="35" t="str">
        <f t="shared" ca="1" si="784"/>
        <v/>
      </c>
      <c r="B1068" s="30">
        <f t="shared" ref="B1068:B1128" ca="1" si="797">IF(MOD(ROW()-2,2)=0, INDIRECT("Sheet1!D" &amp;4+((ROW()-2)/2)-2), "")</f>
        <v>0</v>
      </c>
      <c r="D1068" s="43"/>
      <c r="E1068"/>
    </row>
    <row r="1069" spans="1:5" ht="15" customHeight="1" x14ac:dyDescent="0.25">
      <c r="A1069" s="36" t="str">
        <f t="shared" ca="1" si="784"/>
        <v/>
      </c>
      <c r="B1069" s="31">
        <f t="shared" ref="B1069:B1129" ca="1" si="798">IF(MOD(ROW()-3,2)=0, INDIRECT("Sheet1!E" &amp;4+((ROW()-3)/2)-2), "")</f>
        <v>0</v>
      </c>
      <c r="D1069" s="43"/>
      <c r="E1069"/>
    </row>
    <row r="1070" spans="1:5" ht="15.75" customHeight="1" x14ac:dyDescent="0.25">
      <c r="A1070" s="34" t="str">
        <f t="shared" ca="1" si="784"/>
        <v>Today, fifty people were killed as a result of an explosion</v>
      </c>
      <c r="B1070" s="30">
        <f t="shared" ref="B1070:B1130" ca="1" si="799">IF(MOD(ROW()-2,2)=0, INDIRECT("Sheet1!D" &amp;4+((ROW()-2)/2)-2), "")</f>
        <v>0</v>
      </c>
      <c r="D1070" s="43"/>
      <c r="E1070"/>
    </row>
    <row r="1071" spans="1:5" ht="15" customHeight="1" x14ac:dyDescent="0.25">
      <c r="A1071" s="35" t="str">
        <f t="shared" ca="1" si="784"/>
        <v/>
      </c>
      <c r="B1071" s="31">
        <f t="shared" ref="B1071:B1131" ca="1" si="800">IF(MOD(ROW()-3,2)=0, INDIRECT("Sheet1!E" &amp;4+((ROW()-3)/2)-2), "")</f>
        <v>0</v>
      </c>
      <c r="D1071" s="43"/>
      <c r="E1071"/>
    </row>
    <row r="1072" spans="1:5" x14ac:dyDescent="0.25">
      <c r="A1072" s="36" t="str">
        <f t="shared" ca="1" si="784"/>
        <v/>
      </c>
      <c r="B1072" s="30">
        <f t="shared" ref="B1072" ca="1" si="801">IF(MOD(ROW()-2,2)=0, INDIRECT("Sheet1!D" &amp;4+((ROW()-2)/2)-2), "")</f>
        <v>0</v>
      </c>
      <c r="D1072" s="43"/>
      <c r="E1072"/>
    </row>
    <row r="1073" spans="1:5" ht="15" customHeight="1" x14ac:dyDescent="0.25">
      <c r="A1073" s="34" t="str">
        <f t="shared" ca="1" si="784"/>
        <v>In 2013, the parliament ammended the constitution to be able to extend their term</v>
      </c>
      <c r="B1073" s="31">
        <f t="shared" ref="B1073" ca="1" si="802">IF(MOD(ROW()-3,2)=0, INDIRECT("Sheet1!E" &amp;4+((ROW()-3)/2)-2), "")</f>
        <v>0</v>
      </c>
      <c r="D1073" s="43"/>
      <c r="E1073"/>
    </row>
    <row r="1074" spans="1:5" x14ac:dyDescent="0.25">
      <c r="A1074" s="35" t="str">
        <f t="shared" ca="1" si="784"/>
        <v/>
      </c>
      <c r="B1074" s="30">
        <f t="shared" ca="1" si="793"/>
        <v>0</v>
      </c>
      <c r="D1074" s="43"/>
      <c r="E1074"/>
    </row>
    <row r="1075" spans="1:5" ht="15" customHeight="1" x14ac:dyDescent="0.25">
      <c r="A1075" s="36" t="str">
        <f t="shared" ca="1" si="784"/>
        <v/>
      </c>
      <c r="B1075" s="31">
        <f t="shared" ca="1" si="794"/>
        <v>0</v>
      </c>
      <c r="D1075" s="43"/>
      <c r="E1075"/>
    </row>
    <row r="1076" spans="1:5" x14ac:dyDescent="0.25">
      <c r="A1076" s="34" t="str">
        <f t="shared" ca="1" si="784"/>
        <v>good luck</v>
      </c>
      <c r="B1076" s="30">
        <f t="shared" ca="1" si="795"/>
        <v>0</v>
      </c>
      <c r="D1076" s="43"/>
      <c r="E1076"/>
    </row>
    <row r="1077" spans="1:5" ht="15" customHeight="1" x14ac:dyDescent="0.25">
      <c r="A1077" s="35" t="str">
        <f t="shared" ca="1" si="784"/>
        <v/>
      </c>
      <c r="B1077" s="31">
        <f t="shared" ca="1" si="796"/>
        <v>0</v>
      </c>
      <c r="D1077" s="43"/>
      <c r="E1077"/>
    </row>
    <row r="1078" spans="1:5" x14ac:dyDescent="0.25">
      <c r="A1078" s="36" t="str">
        <f t="shared" ca="1" si="784"/>
        <v/>
      </c>
      <c r="B1078" s="30">
        <f t="shared" ca="1" si="797"/>
        <v>0</v>
      </c>
      <c r="D1078" s="43"/>
      <c r="E1078"/>
    </row>
    <row r="1079" spans="1:5" ht="15" customHeight="1" x14ac:dyDescent="0.25">
      <c r="A1079" s="34" t="str">
        <f t="shared" ca="1" si="784"/>
        <v>Go with peace</v>
      </c>
      <c r="B1079" s="31">
        <f t="shared" ca="1" si="798"/>
        <v>0</v>
      </c>
      <c r="D1079" s="43"/>
      <c r="E1079"/>
    </row>
    <row r="1080" spans="1:5" x14ac:dyDescent="0.25">
      <c r="A1080" s="35" t="str">
        <f t="shared" ca="1" si="784"/>
        <v/>
      </c>
      <c r="B1080" s="30">
        <f t="shared" ca="1" si="799"/>
        <v>0</v>
      </c>
      <c r="D1080" s="43"/>
      <c r="E1080"/>
    </row>
    <row r="1081" spans="1:5" ht="15" customHeight="1" x14ac:dyDescent="0.25">
      <c r="A1081" s="36" t="str">
        <f t="shared" ca="1" si="784"/>
        <v/>
      </c>
      <c r="B1081" s="31">
        <f t="shared" ca="1" si="800"/>
        <v>0</v>
      </c>
      <c r="D1081" s="43"/>
      <c r="E1081"/>
    </row>
    <row r="1082" spans="1:5" x14ac:dyDescent="0.25">
      <c r="A1082" s="34" t="str">
        <f t="shared" ca="1" si="784"/>
        <v>Stay</v>
      </c>
      <c r="B1082" s="30">
        <f t="shared" ref="B1082" ca="1" si="803">IF(MOD(ROW()-2,2)=0, INDIRECT("Sheet1!D" &amp;4+((ROW()-2)/2)-2), "")</f>
        <v>0</v>
      </c>
      <c r="D1082" s="43"/>
      <c r="E1082"/>
    </row>
    <row r="1083" spans="1:5" ht="15" customHeight="1" x14ac:dyDescent="0.25">
      <c r="A1083" s="35" t="str">
        <f t="shared" ca="1" si="784"/>
        <v/>
      </c>
      <c r="B1083" s="31">
        <f t="shared" ref="B1083" ca="1" si="804">IF(MOD(ROW()-3,2)=0, INDIRECT("Sheet1!E" &amp;4+((ROW()-3)/2)-2), "")</f>
        <v>0</v>
      </c>
      <c r="D1083" s="43"/>
      <c r="E1083"/>
    </row>
    <row r="1084" spans="1:5" x14ac:dyDescent="0.25">
      <c r="A1084" s="36" t="str">
        <f t="shared" ca="1" si="784"/>
        <v/>
      </c>
      <c r="B1084" s="30">
        <f t="shared" ca="1" si="793"/>
        <v>0</v>
      </c>
      <c r="D1084" s="43"/>
      <c r="E1084"/>
    </row>
    <row r="1085" spans="1:5" ht="15" customHeight="1" x14ac:dyDescent="0.25">
      <c r="A1085" s="34" t="str">
        <f t="shared" ca="1" si="784"/>
        <v>stay a little more</v>
      </c>
      <c r="B1085" s="31">
        <f t="shared" ca="1" si="794"/>
        <v>0</v>
      </c>
      <c r="D1085" s="43"/>
      <c r="E1085"/>
    </row>
    <row r="1086" spans="1:5" x14ac:dyDescent="0.25">
      <c r="A1086" s="35" t="str">
        <f t="shared" ca="1" si="784"/>
        <v/>
      </c>
      <c r="B1086" s="30">
        <f t="shared" ca="1" si="795"/>
        <v>0</v>
      </c>
      <c r="D1086" s="43"/>
      <c r="E1086"/>
    </row>
    <row r="1087" spans="1:5" ht="15" customHeight="1" x14ac:dyDescent="0.25">
      <c r="A1087" s="36" t="str">
        <f t="shared" ca="1" si="784"/>
        <v/>
      </c>
      <c r="B1087" s="31">
        <f t="shared" ca="1" si="796"/>
        <v>0</v>
      </c>
      <c r="D1087" s="43"/>
      <c r="E1087"/>
    </row>
    <row r="1088" spans="1:5" x14ac:dyDescent="0.25">
      <c r="A1088" s="34" t="str">
        <f t="shared" ca="1" si="784"/>
        <v>God is with you</v>
      </c>
      <c r="B1088" s="30">
        <f t="shared" ca="1" si="797"/>
        <v>0</v>
      </c>
      <c r="D1088" s="43"/>
      <c r="E1088"/>
    </row>
    <row r="1089" spans="1:5" ht="15" customHeight="1" x14ac:dyDescent="0.25">
      <c r="A1089" s="35" t="str">
        <f t="shared" ref="A1089:A1152" ca="1" si="805">IF(MOD(ROW()-2,3)=0, INDIRECT("Sheet1!A" &amp;4+((ROW()-2)/3)-2), "")</f>
        <v/>
      </c>
      <c r="B1089" s="31">
        <f t="shared" ca="1" si="798"/>
        <v>0</v>
      </c>
      <c r="D1089" s="43"/>
      <c r="E1089"/>
    </row>
    <row r="1090" spans="1:5" x14ac:dyDescent="0.25">
      <c r="A1090" s="36" t="str">
        <f t="shared" ca="1" si="805"/>
        <v/>
      </c>
      <c r="B1090" s="30">
        <f t="shared" ca="1" si="799"/>
        <v>0</v>
      </c>
      <c r="D1090" s="43"/>
      <c r="E1090"/>
    </row>
    <row r="1091" spans="1:5" ht="15" customHeight="1" x14ac:dyDescent="0.25">
      <c r="A1091" s="34" t="str">
        <f t="shared" ca="1" si="805"/>
        <v>drop by soon</v>
      </c>
      <c r="B1091" s="31">
        <f t="shared" ca="1" si="800"/>
        <v>0</v>
      </c>
      <c r="D1091" s="43"/>
      <c r="E1091"/>
    </row>
    <row r="1092" spans="1:5" x14ac:dyDescent="0.25">
      <c r="A1092" s="35" t="str">
        <f t="shared" ca="1" si="805"/>
        <v/>
      </c>
      <c r="B1092" s="30">
        <f t="shared" ref="B1092" ca="1" si="806">IF(MOD(ROW()-2,2)=0, INDIRECT("Sheet1!D" &amp;4+((ROW()-2)/2)-2), "")</f>
        <v>0</v>
      </c>
      <c r="D1092" s="43"/>
      <c r="E1092"/>
    </row>
    <row r="1093" spans="1:5" ht="15" customHeight="1" x14ac:dyDescent="0.25">
      <c r="A1093" s="36" t="str">
        <f t="shared" ca="1" si="805"/>
        <v/>
      </c>
      <c r="B1093" s="31">
        <f t="shared" ref="B1093" ca="1" si="807">IF(MOD(ROW()-3,2)=0, INDIRECT("Sheet1!E" &amp;4+((ROW()-3)/2)-2), "")</f>
        <v>0</v>
      </c>
      <c r="D1093" s="43"/>
      <c r="E1093"/>
    </row>
    <row r="1094" spans="1:5" x14ac:dyDescent="0.25">
      <c r="A1094" s="34" t="str">
        <f t="shared" ca="1" si="805"/>
        <v>drop by</v>
      </c>
      <c r="B1094" s="30">
        <f t="shared" ca="1" si="793"/>
        <v>0</v>
      </c>
      <c r="D1094" s="43"/>
      <c r="E1094"/>
    </row>
    <row r="1095" spans="1:5" ht="15" customHeight="1" x14ac:dyDescent="0.25">
      <c r="A1095" s="35" t="str">
        <f t="shared" ca="1" si="805"/>
        <v/>
      </c>
      <c r="B1095" s="31">
        <f t="shared" ca="1" si="794"/>
        <v>0</v>
      </c>
      <c r="D1095" s="43"/>
      <c r="E1095"/>
    </row>
    <row r="1096" spans="1:5" x14ac:dyDescent="0.25">
      <c r="A1096" s="36" t="str">
        <f t="shared" ca="1" si="805"/>
        <v/>
      </c>
      <c r="B1096" s="30">
        <f t="shared" ca="1" si="795"/>
        <v>0</v>
      </c>
      <c r="D1096" s="43"/>
      <c r="E1096"/>
    </row>
    <row r="1097" spans="1:5" ht="15" customHeight="1" x14ac:dyDescent="0.25">
      <c r="A1097" s="34" t="str">
        <f t="shared" ca="1" si="805"/>
        <v>come back again</v>
      </c>
      <c r="B1097" s="31">
        <f t="shared" ca="1" si="796"/>
        <v>0</v>
      </c>
      <c r="D1097" s="43"/>
      <c r="E1097"/>
    </row>
    <row r="1098" spans="1:5" x14ac:dyDescent="0.25">
      <c r="A1098" s="35" t="str">
        <f t="shared" ca="1" si="805"/>
        <v/>
      </c>
      <c r="B1098" s="30">
        <f t="shared" ca="1" si="797"/>
        <v>0</v>
      </c>
      <c r="D1098" s="43"/>
      <c r="E1098"/>
    </row>
    <row r="1099" spans="1:5" ht="15" customHeight="1" x14ac:dyDescent="0.25">
      <c r="A1099" s="36" t="str">
        <f t="shared" ca="1" si="805"/>
        <v/>
      </c>
      <c r="B1099" s="31">
        <f t="shared" ca="1" si="798"/>
        <v>0</v>
      </c>
      <c r="D1099" s="43"/>
      <c r="E1099"/>
    </row>
    <row r="1100" spans="1:5" x14ac:dyDescent="0.25">
      <c r="A1100" s="34" t="str">
        <f t="shared" ca="1" si="805"/>
        <v xml:space="preserve">where are you going? </v>
      </c>
      <c r="B1100" s="30">
        <f t="shared" ca="1" si="799"/>
        <v>0</v>
      </c>
      <c r="D1100" s="43"/>
      <c r="E1100"/>
    </row>
    <row r="1101" spans="1:5" ht="15" customHeight="1" x14ac:dyDescent="0.25">
      <c r="A1101" s="35" t="str">
        <f t="shared" ca="1" si="805"/>
        <v/>
      </c>
      <c r="B1101" s="31">
        <f t="shared" ca="1" si="800"/>
        <v>0</v>
      </c>
      <c r="D1101" s="43"/>
      <c r="E1101"/>
    </row>
    <row r="1102" spans="1:5" x14ac:dyDescent="0.25">
      <c r="A1102" s="36" t="str">
        <f t="shared" ca="1" si="805"/>
        <v/>
      </c>
      <c r="B1102" s="30">
        <f t="shared" ref="B1102" ca="1" si="808">IF(MOD(ROW()-2,2)=0, INDIRECT("Sheet1!D" &amp;4+((ROW()-2)/2)-2), "")</f>
        <v>0</v>
      </c>
      <c r="D1102" s="43"/>
      <c r="E1102"/>
    </row>
    <row r="1103" spans="1:5" ht="15" customHeight="1" x14ac:dyDescent="0.25">
      <c r="A1103" s="34" t="str">
        <f t="shared" ca="1" si="805"/>
        <v>come again: (for men, woman and groups)</v>
      </c>
      <c r="B1103" s="31">
        <f t="shared" ref="B1103" ca="1" si="809">IF(MOD(ROW()-3,2)=0, INDIRECT("Sheet1!E" &amp;4+((ROW()-3)/2)-2), "")</f>
        <v>0</v>
      </c>
      <c r="D1103" s="43"/>
      <c r="E1103"/>
    </row>
    <row r="1104" spans="1:5" x14ac:dyDescent="0.25">
      <c r="A1104" s="35" t="str">
        <f t="shared" ca="1" si="805"/>
        <v/>
      </c>
      <c r="B1104" s="30">
        <f t="shared" ca="1" si="793"/>
        <v>0</v>
      </c>
      <c r="D1104" s="43"/>
      <c r="E1104"/>
    </row>
    <row r="1105" spans="1:5" ht="15" customHeight="1" x14ac:dyDescent="0.25">
      <c r="A1105" s="36" t="str">
        <f t="shared" ca="1" si="805"/>
        <v/>
      </c>
      <c r="B1105" s="31">
        <f t="shared" ca="1" si="794"/>
        <v>0</v>
      </c>
      <c r="D1105" s="43"/>
      <c r="E1105"/>
    </row>
    <row r="1106" spans="1:5" x14ac:dyDescent="0.25">
      <c r="A1106" s="34" t="str">
        <f t="shared" ca="1" si="805"/>
        <v>good night</v>
      </c>
      <c r="B1106" s="30">
        <f t="shared" ca="1" si="795"/>
        <v>0</v>
      </c>
      <c r="D1106" s="43"/>
      <c r="E1106"/>
    </row>
    <row r="1107" spans="1:5" ht="15" customHeight="1" x14ac:dyDescent="0.25">
      <c r="A1107" s="35" t="str">
        <f t="shared" ca="1" si="805"/>
        <v/>
      </c>
      <c r="B1107" s="31">
        <f t="shared" ca="1" si="796"/>
        <v>0</v>
      </c>
      <c r="D1107" s="43"/>
      <c r="E1107"/>
    </row>
    <row r="1108" spans="1:5" x14ac:dyDescent="0.25">
      <c r="A1108" s="36" t="str">
        <f t="shared" ca="1" si="805"/>
        <v/>
      </c>
      <c r="B1108" s="30">
        <f t="shared" ca="1" si="797"/>
        <v>0</v>
      </c>
      <c r="D1108" s="43"/>
      <c r="E1108"/>
    </row>
    <row r="1109" spans="1:5" ht="15" customHeight="1" x14ac:dyDescent="0.25">
      <c r="A1109" s="34" t="str">
        <f t="shared" ca="1" si="805"/>
        <v>good night for you too</v>
      </c>
      <c r="B1109" s="31">
        <f t="shared" ca="1" si="798"/>
        <v>0</v>
      </c>
      <c r="D1109" s="43"/>
      <c r="E1109"/>
    </row>
    <row r="1110" spans="1:5" x14ac:dyDescent="0.25">
      <c r="A1110" s="35" t="str">
        <f t="shared" ca="1" si="805"/>
        <v/>
      </c>
      <c r="B1110" s="30">
        <f t="shared" ca="1" si="799"/>
        <v>0</v>
      </c>
      <c r="D1110" s="43"/>
      <c r="E1110"/>
    </row>
    <row r="1111" spans="1:5" ht="15" customHeight="1" x14ac:dyDescent="0.25">
      <c r="A1111" s="36" t="str">
        <f t="shared" ca="1" si="805"/>
        <v/>
      </c>
      <c r="B1111" s="31">
        <f t="shared" ca="1" si="800"/>
        <v>0</v>
      </c>
      <c r="D1111" s="43"/>
      <c r="E1111"/>
    </row>
    <row r="1112" spans="1:5" x14ac:dyDescent="0.25">
      <c r="A1112" s="34" t="str">
        <f t="shared" ca="1" si="805"/>
        <v>say hi</v>
      </c>
      <c r="B1112" s="30">
        <f t="shared" ref="B1112" ca="1" si="810">IF(MOD(ROW()-2,2)=0, INDIRECT("Sheet1!D" &amp;4+((ROW()-2)/2)-2), "")</f>
        <v>0</v>
      </c>
      <c r="D1112" s="43"/>
      <c r="E1112"/>
    </row>
    <row r="1113" spans="1:5" ht="15" customHeight="1" x14ac:dyDescent="0.25">
      <c r="A1113" s="35" t="str">
        <f t="shared" ca="1" si="805"/>
        <v/>
      </c>
      <c r="B1113" s="31">
        <f t="shared" ref="B1113" ca="1" si="811">IF(MOD(ROW()-3,2)=0, INDIRECT("Sheet1!E" &amp;4+((ROW()-3)/2)-2), "")</f>
        <v>0</v>
      </c>
      <c r="D1113" s="43"/>
      <c r="E1113"/>
    </row>
    <row r="1114" spans="1:5" x14ac:dyDescent="0.25">
      <c r="A1114" s="36" t="str">
        <f t="shared" ca="1" si="805"/>
        <v/>
      </c>
      <c r="B1114" s="30">
        <f t="shared" ca="1" si="793"/>
        <v>0</v>
      </c>
      <c r="D1114" s="43"/>
      <c r="E1114"/>
    </row>
    <row r="1115" spans="1:5" ht="15" customHeight="1" x14ac:dyDescent="0.25">
      <c r="A1115" s="34" t="str">
        <f t="shared" ca="1" si="805"/>
        <v>done!</v>
      </c>
      <c r="B1115" s="31">
        <f t="shared" ca="1" si="794"/>
        <v>0</v>
      </c>
      <c r="D1115" s="43"/>
      <c r="E1115"/>
    </row>
    <row r="1116" spans="1:5" x14ac:dyDescent="0.25">
      <c r="A1116" s="35" t="str">
        <f t="shared" ca="1" si="805"/>
        <v/>
      </c>
      <c r="B1116" s="30">
        <f t="shared" ca="1" si="795"/>
        <v>0</v>
      </c>
      <c r="D1116" s="43"/>
      <c r="E1116"/>
    </row>
    <row r="1117" spans="1:5" ht="15" customHeight="1" x14ac:dyDescent="0.25">
      <c r="A1117" s="36" t="str">
        <f t="shared" ca="1" si="805"/>
        <v/>
      </c>
      <c r="B1117" s="31">
        <f t="shared" ca="1" si="796"/>
        <v>0</v>
      </c>
      <c r="D1117" s="43"/>
      <c r="E1117"/>
    </row>
    <row r="1118" spans="1:5" x14ac:dyDescent="0.25">
      <c r="A1118" s="34" t="str">
        <f t="shared" ca="1" si="805"/>
        <v>ok, i have to go</v>
      </c>
      <c r="B1118" s="30">
        <f t="shared" ca="1" si="797"/>
        <v>0</v>
      </c>
      <c r="D1118" s="43"/>
      <c r="E1118"/>
    </row>
    <row r="1119" spans="1:5" ht="15" customHeight="1" x14ac:dyDescent="0.25">
      <c r="A1119" s="35" t="str">
        <f t="shared" ca="1" si="805"/>
        <v/>
      </c>
      <c r="B1119" s="31">
        <f t="shared" ca="1" si="798"/>
        <v>0</v>
      </c>
      <c r="D1119" s="43"/>
      <c r="E1119"/>
    </row>
    <row r="1120" spans="1:5" x14ac:dyDescent="0.25">
      <c r="A1120" s="36" t="str">
        <f t="shared" ca="1" si="805"/>
        <v/>
      </c>
      <c r="B1120" s="30">
        <f t="shared" ca="1" si="799"/>
        <v>0</v>
      </c>
      <c r="D1120" s="43"/>
      <c r="E1120"/>
    </row>
    <row r="1121" spans="1:5" ht="15" customHeight="1" x14ac:dyDescent="0.25">
      <c r="A1121" s="34" t="str">
        <f t="shared" ca="1" si="805"/>
        <v>ok we saw you  (we have to leave)</v>
      </c>
      <c r="B1121" s="31">
        <f t="shared" ca="1" si="800"/>
        <v>0</v>
      </c>
      <c r="D1121" s="43"/>
      <c r="E1121"/>
    </row>
    <row r="1122" spans="1:5" x14ac:dyDescent="0.25">
      <c r="A1122" s="35" t="str">
        <f t="shared" ca="1" si="805"/>
        <v/>
      </c>
      <c r="B1122" s="30">
        <f t="shared" ref="B1122" ca="1" si="812">IF(MOD(ROW()-2,2)=0, INDIRECT("Sheet1!D" &amp;4+((ROW()-2)/2)-2), "")</f>
        <v>0</v>
      </c>
      <c r="D1122" s="43"/>
      <c r="E1122"/>
    </row>
    <row r="1123" spans="1:5" ht="15" customHeight="1" x14ac:dyDescent="0.25">
      <c r="A1123" s="36" t="str">
        <f t="shared" ca="1" si="805"/>
        <v/>
      </c>
      <c r="B1123" s="31">
        <f t="shared" ref="B1123" ca="1" si="813">IF(MOD(ROW()-3,2)=0, INDIRECT("Sheet1!E" &amp;4+((ROW()-3)/2)-2), "")</f>
        <v>0</v>
      </c>
      <c r="D1123" s="43"/>
      <c r="E1123"/>
    </row>
    <row r="1124" spans="1:5" ht="15.75" customHeight="1" x14ac:dyDescent="0.25">
      <c r="A1124" s="34" t="str">
        <f t="shared" ca="1" si="805"/>
        <v>do you want somenthing?</v>
      </c>
      <c r="B1124" s="30">
        <f t="shared" ca="1" si="793"/>
        <v>0</v>
      </c>
      <c r="D1124" s="43"/>
      <c r="E1124"/>
    </row>
    <row r="1125" spans="1:5" ht="15" customHeight="1" x14ac:dyDescent="0.25">
      <c r="A1125" s="35" t="str">
        <f t="shared" ca="1" si="805"/>
        <v/>
      </c>
      <c r="B1125" s="31">
        <f t="shared" ca="1" si="794"/>
        <v>0</v>
      </c>
      <c r="D1125" s="43"/>
      <c r="E1125"/>
    </row>
    <row r="1126" spans="1:5" x14ac:dyDescent="0.25">
      <c r="A1126" s="36" t="str">
        <f t="shared" ca="1" si="805"/>
        <v/>
      </c>
      <c r="B1126" s="30">
        <f t="shared" ca="1" si="795"/>
        <v>0</v>
      </c>
      <c r="D1126" s="43"/>
      <c r="E1126"/>
    </row>
    <row r="1127" spans="1:5" ht="15" customHeight="1" x14ac:dyDescent="0.25">
      <c r="A1127" s="34" t="str">
        <f t="shared" ca="1" si="805"/>
        <v>we're happy we saw you</v>
      </c>
      <c r="B1127" s="31">
        <f t="shared" ca="1" si="796"/>
        <v>0</v>
      </c>
      <c r="D1127" s="43"/>
      <c r="E1127"/>
    </row>
    <row r="1128" spans="1:5" x14ac:dyDescent="0.25">
      <c r="A1128" s="35" t="str">
        <f t="shared" ca="1" si="805"/>
        <v/>
      </c>
      <c r="B1128" s="30">
        <f t="shared" ca="1" si="797"/>
        <v>0</v>
      </c>
      <c r="D1128" s="43"/>
      <c r="E1128"/>
    </row>
    <row r="1129" spans="1:5" ht="15" customHeight="1" x14ac:dyDescent="0.25">
      <c r="A1129" s="36" t="str">
        <f t="shared" ca="1" si="805"/>
        <v/>
      </c>
      <c r="B1129" s="31">
        <f t="shared" ca="1" si="798"/>
        <v>0</v>
      </c>
      <c r="D1129" s="43"/>
      <c r="E1129"/>
    </row>
    <row r="1130" spans="1:5" x14ac:dyDescent="0.25">
      <c r="A1130" s="34" t="str">
        <f t="shared" ca="1" si="805"/>
        <v>we will come back again</v>
      </c>
      <c r="B1130" s="30">
        <f t="shared" ca="1" si="799"/>
        <v>0</v>
      </c>
      <c r="D1130" s="43"/>
      <c r="E1130"/>
    </row>
    <row r="1131" spans="1:5" ht="15" customHeight="1" x14ac:dyDescent="0.25">
      <c r="A1131" s="35" t="str">
        <f t="shared" ca="1" si="805"/>
        <v/>
      </c>
      <c r="B1131" s="31">
        <f t="shared" ca="1" si="800"/>
        <v>0</v>
      </c>
      <c r="D1131" s="43"/>
      <c r="E1131"/>
    </row>
    <row r="1132" spans="1:5" x14ac:dyDescent="0.25">
      <c r="A1132" s="36" t="str">
        <f t="shared" ca="1" si="805"/>
        <v/>
      </c>
      <c r="B1132" s="30">
        <f t="shared" ref="B1132" ca="1" si="814">IF(MOD(ROW()-2,2)=0, INDIRECT("Sheet1!D" &amp;4+((ROW()-2)/2)-2), "")</f>
        <v>0</v>
      </c>
      <c r="D1132" s="43"/>
      <c r="E1132"/>
    </row>
    <row r="1133" spans="1:5" ht="15" customHeight="1" x14ac:dyDescent="0.25">
      <c r="A1133" s="34" t="str">
        <f t="shared" ca="1" si="805"/>
        <v>please</v>
      </c>
      <c r="B1133" s="31">
        <f t="shared" ref="B1133" ca="1" si="815">IF(MOD(ROW()-3,2)=0, INDIRECT("Sheet1!E" &amp;4+((ROW()-3)/2)-2), "")</f>
        <v>0</v>
      </c>
      <c r="D1133" s="43"/>
      <c r="E1133"/>
    </row>
    <row r="1134" spans="1:5" x14ac:dyDescent="0.25">
      <c r="A1134" s="35" t="str">
        <f t="shared" ca="1" si="805"/>
        <v/>
      </c>
      <c r="B1134" s="30">
        <f t="shared" ref="B1134:B1194" ca="1" si="816">IF(MOD(ROW()-2,2)=0, INDIRECT("Sheet1!D" &amp;4+((ROW()-2)/2)-2), "")</f>
        <v>0</v>
      </c>
      <c r="D1134" s="43"/>
      <c r="E1134"/>
    </row>
    <row r="1135" spans="1:5" ht="15" customHeight="1" x14ac:dyDescent="0.25">
      <c r="A1135" s="36" t="str">
        <f t="shared" ca="1" si="805"/>
        <v/>
      </c>
      <c r="B1135" s="31">
        <f t="shared" ref="B1135:B1195" ca="1" si="817">IF(MOD(ROW()-3,2)=0, INDIRECT("Sheet1!E" &amp;4+((ROW()-3)/2)-2), "")</f>
        <v>0</v>
      </c>
      <c r="D1135" s="43"/>
      <c r="E1135"/>
    </row>
    <row r="1136" spans="1:5" x14ac:dyDescent="0.25">
      <c r="A1136" s="34" t="str">
        <f t="shared" ca="1" si="805"/>
        <v>please</v>
      </c>
      <c r="B1136" s="30">
        <f t="shared" ref="B1136:B1196" ca="1" si="818">IF(MOD(ROW()-2,2)=0, INDIRECT("Sheet1!D" &amp;4+((ROW()-2)/2)-2), "")</f>
        <v>0</v>
      </c>
      <c r="D1136" s="43"/>
      <c r="E1136"/>
    </row>
    <row r="1137" spans="1:5" ht="15" customHeight="1" x14ac:dyDescent="0.25">
      <c r="A1137" s="35" t="str">
        <f t="shared" ca="1" si="805"/>
        <v/>
      </c>
      <c r="B1137" s="31">
        <f t="shared" ref="B1137:B1197" ca="1" si="819">IF(MOD(ROW()-3,2)=0, INDIRECT("Sheet1!E" &amp;4+((ROW()-3)/2)-2), "")</f>
        <v>0</v>
      </c>
      <c r="D1137" s="43"/>
      <c r="E1137"/>
    </row>
    <row r="1138" spans="1:5" x14ac:dyDescent="0.25">
      <c r="A1138" s="36" t="str">
        <f t="shared" ca="1" si="805"/>
        <v/>
      </c>
      <c r="B1138" s="30">
        <f t="shared" ref="B1138:B1198" ca="1" si="820">IF(MOD(ROW()-2,2)=0, INDIRECT("Sheet1!D" &amp;4+((ROW()-2)/2)-2), "")</f>
        <v>0</v>
      </c>
      <c r="D1138" s="43"/>
      <c r="E1138"/>
    </row>
    <row r="1139" spans="1:5" ht="15" customHeight="1" x14ac:dyDescent="0.25">
      <c r="A1139" s="34" t="str">
        <f t="shared" ca="1" si="805"/>
        <v>please</v>
      </c>
      <c r="B1139" s="31">
        <f t="shared" ref="B1139:B1199" ca="1" si="821">IF(MOD(ROW()-3,2)=0, INDIRECT("Sheet1!E" &amp;4+((ROW()-3)/2)-2), "")</f>
        <v>0</v>
      </c>
      <c r="D1139" s="43"/>
      <c r="E1139"/>
    </row>
    <row r="1140" spans="1:5" x14ac:dyDescent="0.25">
      <c r="A1140" s="35" t="str">
        <f t="shared" ca="1" si="805"/>
        <v/>
      </c>
      <c r="B1140" s="30">
        <f t="shared" ref="B1140:B1200" ca="1" si="822">IF(MOD(ROW()-2,2)=0, INDIRECT("Sheet1!D" &amp;4+((ROW()-2)/2)-2), "")</f>
        <v>0</v>
      </c>
      <c r="D1140" s="43"/>
      <c r="E1140"/>
    </row>
    <row r="1141" spans="1:5" ht="15" customHeight="1" x14ac:dyDescent="0.25">
      <c r="A1141" s="36" t="str">
        <f t="shared" ca="1" si="805"/>
        <v/>
      </c>
      <c r="B1141" s="31">
        <f t="shared" ref="B1141:B1201" ca="1" si="823">IF(MOD(ROW()-3,2)=0, INDIRECT("Sheet1!E" &amp;4+((ROW()-3)/2)-2), "")</f>
        <v>0</v>
      </c>
      <c r="D1141" s="43"/>
      <c r="E1141"/>
    </row>
    <row r="1142" spans="1:5" x14ac:dyDescent="0.25">
      <c r="A1142" s="34" t="str">
        <f t="shared" ca="1" si="805"/>
        <v>please</v>
      </c>
      <c r="B1142" s="30">
        <f t="shared" ref="B1142" ca="1" si="824">IF(MOD(ROW()-2,2)=0, INDIRECT("Sheet1!D" &amp;4+((ROW()-2)/2)-2), "")</f>
        <v>0</v>
      </c>
      <c r="D1142" s="43"/>
      <c r="E1142"/>
    </row>
    <row r="1143" spans="1:5" ht="15" customHeight="1" x14ac:dyDescent="0.25">
      <c r="A1143" s="35" t="str">
        <f t="shared" ca="1" si="805"/>
        <v/>
      </c>
      <c r="B1143" s="31">
        <f t="shared" ref="B1143" ca="1" si="825">IF(MOD(ROW()-3,2)=0, INDIRECT("Sheet1!E" &amp;4+((ROW()-3)/2)-2), "")</f>
        <v>0</v>
      </c>
      <c r="D1143" s="43"/>
      <c r="E1143"/>
    </row>
    <row r="1144" spans="1:5" x14ac:dyDescent="0.25">
      <c r="A1144" s="36" t="str">
        <f t="shared" ca="1" si="805"/>
        <v/>
      </c>
      <c r="B1144" s="30">
        <f t="shared" ca="1" si="816"/>
        <v>0</v>
      </c>
      <c r="D1144" s="43"/>
      <c r="E1144"/>
    </row>
    <row r="1145" spans="1:5" ht="15" customHeight="1" x14ac:dyDescent="0.25">
      <c r="A1145" s="34" t="str">
        <f t="shared" ca="1" si="805"/>
        <v>please</v>
      </c>
      <c r="B1145" s="31">
        <f t="shared" ca="1" si="817"/>
        <v>0</v>
      </c>
      <c r="D1145" s="43"/>
      <c r="E1145"/>
    </row>
    <row r="1146" spans="1:5" x14ac:dyDescent="0.25">
      <c r="A1146" s="35" t="str">
        <f t="shared" ca="1" si="805"/>
        <v/>
      </c>
      <c r="B1146" s="30">
        <f t="shared" ca="1" si="818"/>
        <v>0</v>
      </c>
      <c r="D1146" s="43"/>
      <c r="E1146"/>
    </row>
    <row r="1147" spans="1:5" ht="15" customHeight="1" x14ac:dyDescent="0.25">
      <c r="A1147" s="36" t="str">
        <f t="shared" ca="1" si="805"/>
        <v/>
      </c>
      <c r="B1147" s="31">
        <f t="shared" ca="1" si="819"/>
        <v>0</v>
      </c>
      <c r="D1147" s="43"/>
      <c r="E1147"/>
    </row>
    <row r="1148" spans="1:5" x14ac:dyDescent="0.25">
      <c r="A1148" s="34" t="str">
        <f t="shared" ca="1" si="805"/>
        <v xml:space="preserve">excuse me </v>
      </c>
      <c r="B1148" s="30">
        <f t="shared" ca="1" si="820"/>
        <v>0</v>
      </c>
      <c r="D1148" s="43"/>
      <c r="E1148"/>
    </row>
    <row r="1149" spans="1:5" ht="15" customHeight="1" x14ac:dyDescent="0.25">
      <c r="A1149" s="35" t="str">
        <f t="shared" ca="1" si="805"/>
        <v/>
      </c>
      <c r="B1149" s="31">
        <f t="shared" ca="1" si="821"/>
        <v>0</v>
      </c>
      <c r="D1149" s="43"/>
      <c r="E1149"/>
    </row>
    <row r="1150" spans="1:5" x14ac:dyDescent="0.25">
      <c r="A1150" s="36" t="str">
        <f t="shared" ca="1" si="805"/>
        <v/>
      </c>
      <c r="B1150" s="30">
        <f t="shared" ca="1" si="822"/>
        <v>0</v>
      </c>
      <c r="D1150" s="43"/>
      <c r="E1150"/>
    </row>
    <row r="1151" spans="1:5" ht="15" customHeight="1" x14ac:dyDescent="0.25">
      <c r="A1151" s="34" t="str">
        <f t="shared" ca="1" si="805"/>
        <v xml:space="preserve">excuse me </v>
      </c>
      <c r="B1151" s="31">
        <f t="shared" ca="1" si="823"/>
        <v>0</v>
      </c>
      <c r="D1151" s="43"/>
      <c r="E1151"/>
    </row>
    <row r="1152" spans="1:5" x14ac:dyDescent="0.25">
      <c r="A1152" s="35" t="str">
        <f t="shared" ca="1" si="805"/>
        <v/>
      </c>
      <c r="B1152" s="30">
        <f t="shared" ref="B1152" ca="1" si="826">IF(MOD(ROW()-2,2)=0, INDIRECT("Sheet1!D" &amp;4+((ROW()-2)/2)-2), "")</f>
        <v>0</v>
      </c>
      <c r="D1152" s="43"/>
      <c r="E1152"/>
    </row>
    <row r="1153" spans="1:5" ht="15" customHeight="1" x14ac:dyDescent="0.25">
      <c r="A1153" s="36" t="str">
        <f t="shared" ref="A1153:A1216" ca="1" si="827">IF(MOD(ROW()-2,3)=0, INDIRECT("Sheet1!A" &amp;4+((ROW()-2)/3)-2), "")</f>
        <v/>
      </c>
      <c r="B1153" s="31">
        <f t="shared" ref="B1153" ca="1" si="828">IF(MOD(ROW()-3,2)=0, INDIRECT("Sheet1!E" &amp;4+((ROW()-3)/2)-2), "")</f>
        <v>0</v>
      </c>
      <c r="D1153" s="43"/>
      <c r="E1153"/>
    </row>
    <row r="1154" spans="1:5" x14ac:dyDescent="0.25">
      <c r="A1154" s="34" t="str">
        <f t="shared" ca="1" si="827"/>
        <v xml:space="preserve">excuse me </v>
      </c>
      <c r="B1154" s="30">
        <f t="shared" ca="1" si="816"/>
        <v>0</v>
      </c>
      <c r="D1154" s="43"/>
      <c r="E1154"/>
    </row>
    <row r="1155" spans="1:5" ht="15" customHeight="1" x14ac:dyDescent="0.25">
      <c r="A1155" s="35" t="str">
        <f t="shared" ca="1" si="827"/>
        <v/>
      </c>
      <c r="B1155" s="31">
        <f t="shared" ca="1" si="817"/>
        <v>0</v>
      </c>
      <c r="D1155" s="43"/>
      <c r="E1155"/>
    </row>
    <row r="1156" spans="1:5" x14ac:dyDescent="0.25">
      <c r="A1156" s="36" t="str">
        <f t="shared" ca="1" si="827"/>
        <v/>
      </c>
      <c r="B1156" s="30">
        <f t="shared" ca="1" si="818"/>
        <v>0</v>
      </c>
      <c r="D1156" s="43"/>
      <c r="E1156"/>
    </row>
    <row r="1157" spans="1:5" ht="15" customHeight="1" x14ac:dyDescent="0.25">
      <c r="A1157" s="34" t="str">
        <f t="shared" ca="1" si="827"/>
        <v xml:space="preserve">excuse me </v>
      </c>
      <c r="B1157" s="31">
        <f t="shared" ca="1" si="819"/>
        <v>0</v>
      </c>
      <c r="D1157" s="43"/>
      <c r="E1157"/>
    </row>
    <row r="1158" spans="1:5" x14ac:dyDescent="0.25">
      <c r="A1158" s="35" t="str">
        <f t="shared" ca="1" si="827"/>
        <v/>
      </c>
      <c r="B1158" s="30">
        <f t="shared" ca="1" si="820"/>
        <v>0</v>
      </c>
      <c r="D1158" s="43"/>
      <c r="E1158"/>
    </row>
    <row r="1159" spans="1:5" ht="15" customHeight="1" x14ac:dyDescent="0.25">
      <c r="A1159" s="36" t="str">
        <f t="shared" ca="1" si="827"/>
        <v/>
      </c>
      <c r="B1159" s="31">
        <f t="shared" ca="1" si="821"/>
        <v>0</v>
      </c>
      <c r="D1159" s="43"/>
      <c r="E1159"/>
    </row>
    <row r="1160" spans="1:5" x14ac:dyDescent="0.25">
      <c r="A1160" s="34" t="str">
        <f t="shared" ca="1" si="827"/>
        <v xml:space="preserve">excuse me </v>
      </c>
      <c r="B1160" s="30">
        <f t="shared" ca="1" si="822"/>
        <v>0</v>
      </c>
      <c r="D1160" s="43"/>
      <c r="E1160"/>
    </row>
    <row r="1161" spans="1:5" ht="15" customHeight="1" x14ac:dyDescent="0.25">
      <c r="A1161" s="35" t="str">
        <f t="shared" ca="1" si="827"/>
        <v/>
      </c>
      <c r="B1161" s="31">
        <f t="shared" ca="1" si="823"/>
        <v>0</v>
      </c>
      <c r="D1161" s="43"/>
      <c r="E1161"/>
    </row>
    <row r="1162" spans="1:5" x14ac:dyDescent="0.25">
      <c r="A1162" s="36" t="str">
        <f t="shared" ca="1" si="827"/>
        <v/>
      </c>
      <c r="B1162" s="30">
        <f t="shared" ref="B1162" ca="1" si="829">IF(MOD(ROW()-2,2)=0, INDIRECT("Sheet1!D" &amp;4+((ROW()-2)/2)-2), "")</f>
        <v>0</v>
      </c>
      <c r="D1162" s="43"/>
      <c r="E1162"/>
    </row>
    <row r="1163" spans="1:5" ht="15" customHeight="1" x14ac:dyDescent="0.25">
      <c r="A1163" s="34" t="str">
        <f t="shared" ca="1" si="827"/>
        <v xml:space="preserve">you're welcome </v>
      </c>
      <c r="B1163" s="31">
        <f t="shared" ref="B1163" ca="1" si="830">IF(MOD(ROW()-3,2)=0, INDIRECT("Sheet1!E" &amp;4+((ROW()-3)/2)-2), "")</f>
        <v>0</v>
      </c>
      <c r="D1163" s="43"/>
      <c r="E1163"/>
    </row>
    <row r="1164" spans="1:5" x14ac:dyDescent="0.25">
      <c r="A1164" s="35" t="str">
        <f t="shared" ca="1" si="827"/>
        <v/>
      </c>
      <c r="B1164" s="30">
        <f t="shared" ca="1" si="816"/>
        <v>0</v>
      </c>
      <c r="D1164" s="43"/>
      <c r="E1164"/>
    </row>
    <row r="1165" spans="1:5" ht="15" customHeight="1" x14ac:dyDescent="0.25">
      <c r="A1165" s="36" t="str">
        <f t="shared" ca="1" si="827"/>
        <v/>
      </c>
      <c r="B1165" s="31">
        <f t="shared" ca="1" si="817"/>
        <v>0</v>
      </c>
      <c r="D1165" s="43"/>
      <c r="E1165"/>
    </row>
    <row r="1166" spans="1:5" x14ac:dyDescent="0.25">
      <c r="A1166" s="34" t="str">
        <f t="shared" ca="1" si="827"/>
        <v xml:space="preserve">you're welcome </v>
      </c>
      <c r="B1166" s="30">
        <f t="shared" ca="1" si="818"/>
        <v>0</v>
      </c>
      <c r="D1166" s="43"/>
      <c r="E1166"/>
    </row>
    <row r="1167" spans="1:5" ht="15" customHeight="1" x14ac:dyDescent="0.25">
      <c r="A1167" s="35" t="str">
        <f t="shared" ca="1" si="827"/>
        <v/>
      </c>
      <c r="B1167" s="31">
        <f t="shared" ca="1" si="819"/>
        <v>0</v>
      </c>
      <c r="D1167" s="43"/>
      <c r="E1167"/>
    </row>
    <row r="1168" spans="1:5" x14ac:dyDescent="0.25">
      <c r="A1168" s="36" t="str">
        <f t="shared" ca="1" si="827"/>
        <v/>
      </c>
      <c r="B1168" s="30">
        <f t="shared" ca="1" si="820"/>
        <v>0</v>
      </c>
      <c r="D1168" s="43"/>
      <c r="E1168"/>
    </row>
    <row r="1169" spans="1:5" ht="15" customHeight="1" x14ac:dyDescent="0.25">
      <c r="A1169" s="34" t="str">
        <f t="shared" ca="1" si="827"/>
        <v xml:space="preserve">you're welcome </v>
      </c>
      <c r="B1169" s="31">
        <f t="shared" ca="1" si="821"/>
        <v>0</v>
      </c>
      <c r="D1169" s="43"/>
      <c r="E1169"/>
    </row>
    <row r="1170" spans="1:5" x14ac:dyDescent="0.25">
      <c r="A1170" s="35" t="str">
        <f t="shared" ca="1" si="827"/>
        <v/>
      </c>
      <c r="B1170" s="30">
        <f t="shared" ca="1" si="822"/>
        <v>0</v>
      </c>
      <c r="D1170" s="43"/>
      <c r="E1170"/>
    </row>
    <row r="1171" spans="1:5" ht="15" customHeight="1" x14ac:dyDescent="0.25">
      <c r="A1171" s="36" t="str">
        <f t="shared" ca="1" si="827"/>
        <v/>
      </c>
      <c r="B1171" s="31">
        <f t="shared" ca="1" si="823"/>
        <v>0</v>
      </c>
      <c r="D1171" s="43"/>
      <c r="E1171"/>
    </row>
    <row r="1172" spans="1:5" x14ac:dyDescent="0.25">
      <c r="A1172" s="34" t="str">
        <f t="shared" ca="1" si="827"/>
        <v xml:space="preserve">you're welcome </v>
      </c>
      <c r="B1172" s="30">
        <f t="shared" ref="B1172" ca="1" si="831">IF(MOD(ROW()-2,2)=0, INDIRECT("Sheet1!D" &amp;4+((ROW()-2)/2)-2), "")</f>
        <v>0</v>
      </c>
      <c r="D1172" s="43"/>
      <c r="E1172"/>
    </row>
    <row r="1173" spans="1:5" ht="15" customHeight="1" x14ac:dyDescent="0.25">
      <c r="A1173" s="35" t="str">
        <f t="shared" ca="1" si="827"/>
        <v/>
      </c>
      <c r="B1173" s="31">
        <f t="shared" ref="B1173" ca="1" si="832">IF(MOD(ROW()-3,2)=0, INDIRECT("Sheet1!E" &amp;4+((ROW()-3)/2)-2), "")</f>
        <v>0</v>
      </c>
      <c r="D1173" s="43"/>
      <c r="E1173"/>
    </row>
    <row r="1174" spans="1:5" x14ac:dyDescent="0.25">
      <c r="A1174" s="36" t="str">
        <f t="shared" ca="1" si="827"/>
        <v/>
      </c>
      <c r="B1174" s="30">
        <f t="shared" ca="1" si="816"/>
        <v>0</v>
      </c>
      <c r="D1174" s="43"/>
      <c r="E1174"/>
    </row>
    <row r="1175" spans="1:5" ht="15" customHeight="1" x14ac:dyDescent="0.25">
      <c r="A1175" s="34" t="str">
        <f t="shared" ca="1" si="827"/>
        <v xml:space="preserve">you're welcome </v>
      </c>
      <c r="B1175" s="31">
        <f t="shared" ca="1" si="817"/>
        <v>0</v>
      </c>
      <c r="D1175" s="43"/>
      <c r="E1175"/>
    </row>
    <row r="1176" spans="1:5" x14ac:dyDescent="0.25">
      <c r="A1176" s="35" t="str">
        <f t="shared" ca="1" si="827"/>
        <v/>
      </c>
      <c r="B1176" s="30">
        <f t="shared" ca="1" si="818"/>
        <v>0</v>
      </c>
      <c r="D1176" s="43"/>
      <c r="E1176"/>
    </row>
    <row r="1177" spans="1:5" ht="15" customHeight="1" x14ac:dyDescent="0.25">
      <c r="A1177" s="36" t="str">
        <f t="shared" ca="1" si="827"/>
        <v/>
      </c>
      <c r="B1177" s="31">
        <f t="shared" ca="1" si="819"/>
        <v>0</v>
      </c>
      <c r="D1177" s="43"/>
      <c r="E1177"/>
    </row>
    <row r="1178" spans="1:5" x14ac:dyDescent="0.25">
      <c r="A1178" s="34" t="str">
        <f t="shared" ca="1" si="827"/>
        <v xml:space="preserve">don't mention it </v>
      </c>
      <c r="B1178" s="30">
        <f t="shared" ca="1" si="820"/>
        <v>0</v>
      </c>
      <c r="D1178" s="43"/>
      <c r="E1178"/>
    </row>
    <row r="1179" spans="1:5" ht="15" customHeight="1" x14ac:dyDescent="0.25">
      <c r="A1179" s="35" t="str">
        <f t="shared" ca="1" si="827"/>
        <v/>
      </c>
      <c r="B1179" s="31">
        <f t="shared" ca="1" si="821"/>
        <v>0</v>
      </c>
      <c r="D1179" s="43"/>
      <c r="E1179"/>
    </row>
    <row r="1180" spans="1:5" x14ac:dyDescent="0.25">
      <c r="A1180" s="36" t="str">
        <f t="shared" ca="1" si="827"/>
        <v/>
      </c>
      <c r="B1180" s="30">
        <f t="shared" ca="1" si="822"/>
        <v>0</v>
      </c>
      <c r="D1180" s="43"/>
      <c r="E1180"/>
    </row>
    <row r="1181" spans="1:5" ht="15" customHeight="1" x14ac:dyDescent="0.25">
      <c r="A1181" s="34" t="str">
        <f t="shared" ca="1" si="827"/>
        <v>Don't mention it</v>
      </c>
      <c r="B1181" s="31">
        <f t="shared" ca="1" si="823"/>
        <v>0</v>
      </c>
      <c r="D1181" s="43"/>
      <c r="E1181"/>
    </row>
    <row r="1182" spans="1:5" x14ac:dyDescent="0.25">
      <c r="A1182" s="35" t="str">
        <f t="shared" ca="1" si="827"/>
        <v/>
      </c>
      <c r="B1182" s="30">
        <f t="shared" ref="B1182" ca="1" si="833">IF(MOD(ROW()-2,2)=0, INDIRECT("Sheet1!D" &amp;4+((ROW()-2)/2)-2), "")</f>
        <v>0</v>
      </c>
      <c r="D1182" s="43"/>
      <c r="E1182"/>
    </row>
    <row r="1183" spans="1:5" ht="15" customHeight="1" x14ac:dyDescent="0.25">
      <c r="A1183" s="36" t="str">
        <f t="shared" ca="1" si="827"/>
        <v/>
      </c>
      <c r="B1183" s="31">
        <f t="shared" ref="B1183" ca="1" si="834">IF(MOD(ROW()-3,2)=0, INDIRECT("Sheet1!E" &amp;4+((ROW()-3)/2)-2), "")</f>
        <v>0</v>
      </c>
      <c r="D1183" s="43"/>
      <c r="E1183"/>
    </row>
    <row r="1184" spans="1:5" ht="15.75" customHeight="1" x14ac:dyDescent="0.25">
      <c r="A1184" s="34" t="str">
        <f t="shared" ca="1" si="827"/>
        <v>Thank you</v>
      </c>
      <c r="B1184" s="30">
        <f t="shared" ca="1" si="816"/>
        <v>0</v>
      </c>
      <c r="D1184" s="43"/>
      <c r="E1184"/>
    </row>
    <row r="1185" spans="1:5" ht="15" customHeight="1" x14ac:dyDescent="0.25">
      <c r="A1185" s="35" t="str">
        <f t="shared" ca="1" si="827"/>
        <v/>
      </c>
      <c r="B1185" s="31">
        <f t="shared" ca="1" si="817"/>
        <v>0</v>
      </c>
      <c r="D1185" s="43"/>
      <c r="E1185"/>
    </row>
    <row r="1186" spans="1:5" x14ac:dyDescent="0.25">
      <c r="A1186" s="36" t="str">
        <f t="shared" ca="1" si="827"/>
        <v/>
      </c>
      <c r="B1186" s="30">
        <f t="shared" ca="1" si="818"/>
        <v>0</v>
      </c>
      <c r="D1186" s="43"/>
      <c r="E1186"/>
    </row>
    <row r="1187" spans="1:5" ht="15" customHeight="1" x14ac:dyDescent="0.25">
      <c r="A1187" s="34" t="str">
        <f t="shared" ca="1" si="827"/>
        <v>Thank you</v>
      </c>
      <c r="B1187" s="31">
        <f t="shared" ca="1" si="819"/>
        <v>0</v>
      </c>
      <c r="D1187" s="43"/>
      <c r="E1187"/>
    </row>
    <row r="1188" spans="1:5" x14ac:dyDescent="0.25">
      <c r="A1188" s="35" t="str">
        <f t="shared" ca="1" si="827"/>
        <v/>
      </c>
      <c r="B1188" s="30">
        <f t="shared" ca="1" si="820"/>
        <v>0</v>
      </c>
      <c r="D1188" s="43"/>
      <c r="E1188"/>
    </row>
    <row r="1189" spans="1:5" ht="15" customHeight="1" x14ac:dyDescent="0.25">
      <c r="A1189" s="36" t="str">
        <f t="shared" ca="1" si="827"/>
        <v/>
      </c>
      <c r="B1189" s="31">
        <f t="shared" ca="1" si="821"/>
        <v>0</v>
      </c>
      <c r="D1189" s="43"/>
      <c r="E1189"/>
    </row>
    <row r="1190" spans="1:5" x14ac:dyDescent="0.25">
      <c r="A1190" s="34" t="str">
        <f t="shared" ca="1" si="827"/>
        <v>Thank you</v>
      </c>
      <c r="B1190" s="30">
        <f t="shared" ca="1" si="822"/>
        <v>0</v>
      </c>
      <c r="D1190" s="43"/>
      <c r="E1190"/>
    </row>
    <row r="1191" spans="1:5" ht="15" customHeight="1" x14ac:dyDescent="0.25">
      <c r="A1191" s="35" t="str">
        <f t="shared" ca="1" si="827"/>
        <v/>
      </c>
      <c r="B1191" s="31">
        <f t="shared" ca="1" si="823"/>
        <v>0</v>
      </c>
      <c r="D1191" s="43"/>
      <c r="E1191"/>
    </row>
    <row r="1192" spans="1:5" x14ac:dyDescent="0.25">
      <c r="A1192" s="36" t="str">
        <f t="shared" ca="1" si="827"/>
        <v/>
      </c>
      <c r="B1192" s="30">
        <f t="shared" ref="B1192" ca="1" si="835">IF(MOD(ROW()-2,2)=0, INDIRECT("Sheet1!D" &amp;4+((ROW()-2)/2)-2), "")</f>
        <v>0</v>
      </c>
      <c r="D1192" s="43"/>
      <c r="E1192"/>
    </row>
    <row r="1193" spans="1:5" ht="15" customHeight="1" x14ac:dyDescent="0.25">
      <c r="A1193" s="34" t="str">
        <f t="shared" ca="1" si="827"/>
        <v>Thank you</v>
      </c>
      <c r="B1193" s="31">
        <f t="shared" ref="B1193" ca="1" si="836">IF(MOD(ROW()-3,2)=0, INDIRECT("Sheet1!E" &amp;4+((ROW()-3)/2)-2), "")</f>
        <v>0</v>
      </c>
      <c r="D1193" s="43"/>
      <c r="E1193"/>
    </row>
    <row r="1194" spans="1:5" x14ac:dyDescent="0.25">
      <c r="A1194" s="35" t="str">
        <f t="shared" ca="1" si="827"/>
        <v/>
      </c>
      <c r="B1194" s="30">
        <f t="shared" ca="1" si="816"/>
        <v>0</v>
      </c>
      <c r="D1194" s="43"/>
      <c r="E1194"/>
    </row>
    <row r="1195" spans="1:5" ht="15" customHeight="1" x14ac:dyDescent="0.25">
      <c r="A1195" s="36" t="str">
        <f t="shared" ca="1" si="827"/>
        <v/>
      </c>
      <c r="B1195" s="31">
        <f t="shared" ca="1" si="817"/>
        <v>0</v>
      </c>
      <c r="D1195" s="43"/>
      <c r="E1195"/>
    </row>
    <row r="1196" spans="1:5" x14ac:dyDescent="0.25">
      <c r="A1196" s="34" t="str">
        <f t="shared" ca="1" si="827"/>
        <v>Thank you</v>
      </c>
      <c r="B1196" s="30">
        <f t="shared" ca="1" si="818"/>
        <v>0</v>
      </c>
      <c r="D1196" s="43"/>
      <c r="E1196"/>
    </row>
    <row r="1197" spans="1:5" ht="15" customHeight="1" x14ac:dyDescent="0.25">
      <c r="A1197" s="35" t="str">
        <f t="shared" ca="1" si="827"/>
        <v/>
      </c>
      <c r="B1197" s="31">
        <f t="shared" ca="1" si="819"/>
        <v>0</v>
      </c>
      <c r="D1197" s="43"/>
      <c r="E1197"/>
    </row>
    <row r="1198" spans="1:5" x14ac:dyDescent="0.25">
      <c r="A1198" s="36" t="str">
        <f t="shared" ca="1" si="827"/>
        <v/>
      </c>
      <c r="B1198" s="30">
        <f t="shared" ca="1" si="820"/>
        <v>0</v>
      </c>
      <c r="D1198" s="43"/>
      <c r="E1198"/>
    </row>
    <row r="1199" spans="1:5" ht="15" customHeight="1" x14ac:dyDescent="0.25">
      <c r="A1199" s="34" t="str">
        <f t="shared" ca="1" si="827"/>
        <v>Thank you</v>
      </c>
      <c r="B1199" s="31">
        <f t="shared" ca="1" si="821"/>
        <v>0</v>
      </c>
      <c r="D1199" s="43"/>
      <c r="E1199"/>
    </row>
    <row r="1200" spans="1:5" x14ac:dyDescent="0.25">
      <c r="A1200" s="35" t="str">
        <f t="shared" ca="1" si="827"/>
        <v/>
      </c>
      <c r="B1200" s="30">
        <f t="shared" ca="1" si="822"/>
        <v>0</v>
      </c>
      <c r="D1200" s="43"/>
      <c r="E1200"/>
    </row>
    <row r="1201" spans="1:5" ht="15" customHeight="1" x14ac:dyDescent="0.25">
      <c r="A1201" s="36" t="str">
        <f t="shared" ca="1" si="827"/>
        <v/>
      </c>
      <c r="B1201" s="31">
        <f t="shared" ca="1" si="823"/>
        <v>0</v>
      </c>
      <c r="D1201" s="43"/>
      <c r="E1201"/>
    </row>
    <row r="1202" spans="1:5" x14ac:dyDescent="0.25">
      <c r="A1202" s="34" t="str">
        <f t="shared" ca="1" si="827"/>
        <v>Thank you</v>
      </c>
      <c r="B1202" s="30">
        <f t="shared" ref="B1202" ca="1" si="837">IF(MOD(ROW()-2,2)=0, INDIRECT("Sheet1!D" &amp;4+((ROW()-2)/2)-2), "")</f>
        <v>0</v>
      </c>
      <c r="D1202" s="43"/>
      <c r="E1202"/>
    </row>
    <row r="1203" spans="1:5" ht="15" customHeight="1" x14ac:dyDescent="0.25">
      <c r="A1203" s="35" t="str">
        <f t="shared" ca="1" si="827"/>
        <v/>
      </c>
      <c r="B1203" s="31">
        <f t="shared" ref="B1203" ca="1" si="838">IF(MOD(ROW()-3,2)=0, INDIRECT("Sheet1!E" &amp;4+((ROW()-3)/2)-2), "")</f>
        <v>0</v>
      </c>
      <c r="D1203" s="43"/>
      <c r="E1203"/>
    </row>
    <row r="1204" spans="1:5" x14ac:dyDescent="0.25">
      <c r="A1204" s="36" t="str">
        <f t="shared" ca="1" si="827"/>
        <v/>
      </c>
      <c r="B1204" s="30">
        <f t="shared" ref="B1204:B1264" ca="1" si="839">IF(MOD(ROW()-2,2)=0, INDIRECT("Sheet1!D" &amp;4+((ROW()-2)/2)-2), "")</f>
        <v>0</v>
      </c>
      <c r="D1204" s="43"/>
      <c r="E1204"/>
    </row>
    <row r="1205" spans="1:5" ht="15" customHeight="1" x14ac:dyDescent="0.25">
      <c r="A1205" s="34" t="str">
        <f t="shared" ca="1" si="827"/>
        <v>Thank you</v>
      </c>
      <c r="B1205" s="31">
        <f t="shared" ref="B1205:B1265" ca="1" si="840">IF(MOD(ROW()-3,2)=0, INDIRECT("Sheet1!E" &amp;4+((ROW()-3)/2)-2), "")</f>
        <v>0</v>
      </c>
      <c r="D1205" s="43"/>
      <c r="E1205"/>
    </row>
    <row r="1206" spans="1:5" x14ac:dyDescent="0.25">
      <c r="A1206" s="35" t="str">
        <f t="shared" ca="1" si="827"/>
        <v/>
      </c>
      <c r="B1206" s="30">
        <f t="shared" ref="B1206:B1266" ca="1" si="841">IF(MOD(ROW()-2,2)=0, INDIRECT("Sheet1!D" &amp;4+((ROW()-2)/2)-2), "")</f>
        <v>0</v>
      </c>
      <c r="D1206" s="43"/>
      <c r="E1206"/>
    </row>
    <row r="1207" spans="1:5" ht="15" customHeight="1" x14ac:dyDescent="0.25">
      <c r="A1207" s="36" t="str">
        <f t="shared" ca="1" si="827"/>
        <v/>
      </c>
      <c r="B1207" s="31">
        <f t="shared" ref="B1207:B1267" ca="1" si="842">IF(MOD(ROW()-3,2)=0, INDIRECT("Sheet1!E" &amp;4+((ROW()-3)/2)-2), "")</f>
        <v>0</v>
      </c>
      <c r="D1207" s="43"/>
      <c r="E1207"/>
    </row>
    <row r="1208" spans="1:5" x14ac:dyDescent="0.25">
      <c r="A1208" s="34" t="str">
        <f t="shared" ca="1" si="827"/>
        <v xml:space="preserve">salutation/ may you be well </v>
      </c>
      <c r="B1208" s="30">
        <f t="shared" ref="B1208:B1268" ca="1" si="843">IF(MOD(ROW()-2,2)=0, INDIRECT("Sheet1!D" &amp;4+((ROW()-2)/2)-2), "")</f>
        <v>0</v>
      </c>
      <c r="D1208" s="43"/>
      <c r="E1208"/>
    </row>
    <row r="1209" spans="1:5" ht="15" customHeight="1" x14ac:dyDescent="0.25">
      <c r="A1209" s="35" t="str">
        <f t="shared" ca="1" si="827"/>
        <v/>
      </c>
      <c r="B1209" s="31">
        <f t="shared" ref="B1209:B1269" ca="1" si="844">IF(MOD(ROW()-3,2)=0, INDIRECT("Sheet1!E" &amp;4+((ROW()-3)/2)-2), "")</f>
        <v>0</v>
      </c>
      <c r="D1209" s="43"/>
      <c r="E1209"/>
    </row>
    <row r="1210" spans="1:5" x14ac:dyDescent="0.25">
      <c r="A1210" s="36" t="str">
        <f t="shared" ca="1" si="827"/>
        <v/>
      </c>
      <c r="B1210" s="30">
        <f t="shared" ref="B1210:B1270" ca="1" si="845">IF(MOD(ROW()-2,2)=0, INDIRECT("Sheet1!D" &amp;4+((ROW()-2)/2)-2), "")</f>
        <v>0</v>
      </c>
      <c r="D1210" s="43"/>
      <c r="E1210"/>
    </row>
    <row r="1211" spans="1:5" ht="15" customHeight="1" x14ac:dyDescent="0.25">
      <c r="A1211" s="34" t="str">
        <f t="shared" ca="1" si="827"/>
        <v xml:space="preserve">salutation/ may you be well </v>
      </c>
      <c r="B1211" s="31">
        <f t="shared" ref="B1211:B1271" ca="1" si="846">IF(MOD(ROW()-3,2)=0, INDIRECT("Sheet1!E" &amp;4+((ROW()-3)/2)-2), "")</f>
        <v>0</v>
      </c>
      <c r="D1211" s="43"/>
      <c r="E1211"/>
    </row>
    <row r="1212" spans="1:5" x14ac:dyDescent="0.25">
      <c r="A1212" s="35" t="str">
        <f t="shared" ca="1" si="827"/>
        <v/>
      </c>
      <c r="B1212" s="30">
        <f t="shared" ref="B1212" ca="1" si="847">IF(MOD(ROW()-2,2)=0, INDIRECT("Sheet1!D" &amp;4+((ROW()-2)/2)-2), "")</f>
        <v>0</v>
      </c>
      <c r="D1212" s="43"/>
      <c r="E1212"/>
    </row>
    <row r="1213" spans="1:5" ht="15" customHeight="1" x14ac:dyDescent="0.25">
      <c r="A1213" s="36" t="str">
        <f t="shared" ca="1" si="827"/>
        <v/>
      </c>
      <c r="B1213" s="31">
        <f t="shared" ref="B1213" ca="1" si="848">IF(MOD(ROW()-3,2)=0, INDIRECT("Sheet1!E" &amp;4+((ROW()-3)/2)-2), "")</f>
        <v>0</v>
      </c>
      <c r="D1213" s="43"/>
      <c r="E1213"/>
    </row>
    <row r="1214" spans="1:5" x14ac:dyDescent="0.25">
      <c r="A1214" s="34" t="str">
        <f t="shared" ca="1" si="827"/>
        <v xml:space="preserve">salutation/ may you be well </v>
      </c>
      <c r="B1214" s="30">
        <f t="shared" ca="1" si="839"/>
        <v>0</v>
      </c>
      <c r="D1214" s="43"/>
      <c r="E1214"/>
    </row>
    <row r="1215" spans="1:5" ht="15" customHeight="1" x14ac:dyDescent="0.25">
      <c r="A1215" s="35" t="str">
        <f t="shared" ca="1" si="827"/>
        <v/>
      </c>
      <c r="B1215" s="31">
        <f t="shared" ca="1" si="840"/>
        <v>0</v>
      </c>
      <c r="D1215" s="43"/>
      <c r="E1215"/>
    </row>
    <row r="1216" spans="1:5" x14ac:dyDescent="0.25">
      <c r="A1216" s="36" t="str">
        <f t="shared" ca="1" si="827"/>
        <v/>
      </c>
      <c r="B1216" s="30">
        <f t="shared" ca="1" si="841"/>
        <v>0</v>
      </c>
      <c r="D1216" s="43"/>
      <c r="E1216"/>
    </row>
    <row r="1217" spans="1:5" ht="15" customHeight="1" x14ac:dyDescent="0.25">
      <c r="A1217" s="34" t="str">
        <f t="shared" ref="A1217:A1280" ca="1" si="849">IF(MOD(ROW()-2,3)=0, INDIRECT("Sheet1!A" &amp;4+((ROW()-2)/3)-2), "")</f>
        <v xml:space="preserve">salutation/ may you be well </v>
      </c>
      <c r="B1217" s="31">
        <f t="shared" ca="1" si="842"/>
        <v>0</v>
      </c>
      <c r="D1217" s="43"/>
      <c r="E1217"/>
    </row>
    <row r="1218" spans="1:5" x14ac:dyDescent="0.25">
      <c r="A1218" s="35" t="str">
        <f t="shared" ca="1" si="849"/>
        <v/>
      </c>
      <c r="B1218" s="30">
        <f t="shared" ca="1" si="843"/>
        <v>0</v>
      </c>
      <c r="D1218" s="43"/>
      <c r="E1218"/>
    </row>
    <row r="1219" spans="1:5" ht="15" customHeight="1" x14ac:dyDescent="0.25">
      <c r="A1219" s="36" t="str">
        <f t="shared" ca="1" si="849"/>
        <v/>
      </c>
      <c r="B1219" s="31">
        <f t="shared" ca="1" si="844"/>
        <v>0</v>
      </c>
      <c r="D1219" s="43"/>
      <c r="E1219"/>
    </row>
    <row r="1220" spans="1:5" x14ac:dyDescent="0.25">
      <c r="A1220" s="34" t="str">
        <f t="shared" ca="1" si="849"/>
        <v xml:space="preserve">salutation/ may you be well </v>
      </c>
      <c r="B1220" s="30">
        <f t="shared" ca="1" si="845"/>
        <v>0</v>
      </c>
      <c r="D1220" s="43"/>
      <c r="E1220"/>
    </row>
    <row r="1221" spans="1:5" ht="15" customHeight="1" x14ac:dyDescent="0.25">
      <c r="A1221" s="35" t="str">
        <f t="shared" ca="1" si="849"/>
        <v/>
      </c>
      <c r="B1221" s="31">
        <f t="shared" ca="1" si="846"/>
        <v>0</v>
      </c>
      <c r="D1221" s="43"/>
      <c r="E1221"/>
    </row>
    <row r="1222" spans="1:5" x14ac:dyDescent="0.25">
      <c r="A1222" s="36" t="str">
        <f t="shared" ca="1" si="849"/>
        <v/>
      </c>
      <c r="B1222" s="30">
        <f t="shared" ref="B1222" ca="1" si="850">IF(MOD(ROW()-2,2)=0, INDIRECT("Sheet1!D" &amp;4+((ROW()-2)/2)-2), "")</f>
        <v>0</v>
      </c>
      <c r="D1222" s="43"/>
      <c r="E1222"/>
    </row>
    <row r="1223" spans="1:5" ht="15" customHeight="1" x14ac:dyDescent="0.25">
      <c r="A1223" s="34" t="str">
        <f t="shared" ca="1" si="849"/>
        <v xml:space="preserve">salutation/ may you be well </v>
      </c>
      <c r="B1223" s="31">
        <f t="shared" ref="B1223" ca="1" si="851">IF(MOD(ROW()-3,2)=0, INDIRECT("Sheet1!E" &amp;4+((ROW()-3)/2)-2), "")</f>
        <v>0</v>
      </c>
      <c r="D1223" s="43"/>
      <c r="E1223"/>
    </row>
    <row r="1224" spans="1:5" x14ac:dyDescent="0.25">
      <c r="A1224" s="35" t="str">
        <f t="shared" ca="1" si="849"/>
        <v/>
      </c>
      <c r="B1224" s="30">
        <f t="shared" ca="1" si="839"/>
        <v>0</v>
      </c>
      <c r="D1224" s="43"/>
      <c r="E1224"/>
    </row>
    <row r="1225" spans="1:5" ht="15" customHeight="1" x14ac:dyDescent="0.25">
      <c r="A1225" s="36" t="str">
        <f t="shared" ca="1" si="849"/>
        <v/>
      </c>
      <c r="B1225" s="31">
        <f t="shared" ca="1" si="840"/>
        <v>0</v>
      </c>
      <c r="D1225" s="43"/>
      <c r="E1225"/>
    </row>
    <row r="1226" spans="1:5" x14ac:dyDescent="0.25">
      <c r="A1226" s="34" t="str">
        <f t="shared" ca="1" si="849"/>
        <v>your wish is my command</v>
      </c>
      <c r="B1226" s="30">
        <f t="shared" ca="1" si="841"/>
        <v>0</v>
      </c>
      <c r="D1226" s="43"/>
      <c r="E1226"/>
    </row>
    <row r="1227" spans="1:5" ht="15" customHeight="1" x14ac:dyDescent="0.25">
      <c r="A1227" s="35" t="str">
        <f t="shared" ca="1" si="849"/>
        <v/>
      </c>
      <c r="B1227" s="31">
        <f t="shared" ca="1" si="842"/>
        <v>0</v>
      </c>
      <c r="D1227" s="43"/>
      <c r="E1227"/>
    </row>
    <row r="1228" spans="1:5" x14ac:dyDescent="0.25">
      <c r="A1228" s="36" t="str">
        <f t="shared" ca="1" si="849"/>
        <v/>
      </c>
      <c r="B1228" s="30">
        <f t="shared" ca="1" si="843"/>
        <v>0</v>
      </c>
      <c r="D1228" s="43"/>
      <c r="E1228"/>
    </row>
    <row r="1229" spans="1:5" ht="15" customHeight="1" x14ac:dyDescent="0.25">
      <c r="A1229" s="34" t="str">
        <f t="shared" ca="1" si="849"/>
        <v>Is it ok?</v>
      </c>
      <c r="B1229" s="31">
        <f t="shared" ca="1" si="844"/>
        <v>0</v>
      </c>
      <c r="D1229" s="43"/>
      <c r="E1229"/>
    </row>
    <row r="1230" spans="1:5" x14ac:dyDescent="0.25">
      <c r="A1230" s="35" t="str">
        <f t="shared" ca="1" si="849"/>
        <v/>
      </c>
      <c r="B1230" s="30">
        <f t="shared" ca="1" si="845"/>
        <v>0</v>
      </c>
      <c r="D1230" s="43"/>
      <c r="E1230"/>
    </row>
    <row r="1231" spans="1:5" ht="15" customHeight="1" x14ac:dyDescent="0.25">
      <c r="A1231" s="36" t="str">
        <f t="shared" ca="1" si="849"/>
        <v/>
      </c>
      <c r="B1231" s="31">
        <f t="shared" ca="1" si="846"/>
        <v>0</v>
      </c>
      <c r="D1231" s="43"/>
      <c r="E1231"/>
    </row>
    <row r="1232" spans="1:5" x14ac:dyDescent="0.25">
      <c r="A1232" s="34" t="str">
        <f t="shared" ca="1" si="849"/>
        <v>Do you have a problem?</v>
      </c>
      <c r="B1232" s="30">
        <f t="shared" ref="B1232" ca="1" si="852">IF(MOD(ROW()-2,2)=0, INDIRECT("Sheet1!D" &amp;4+((ROW()-2)/2)-2), "")</f>
        <v>0</v>
      </c>
      <c r="D1232" s="43"/>
      <c r="E1232"/>
    </row>
    <row r="1233" spans="1:5" ht="15" customHeight="1" x14ac:dyDescent="0.25">
      <c r="A1233" s="35" t="str">
        <f t="shared" ca="1" si="849"/>
        <v/>
      </c>
      <c r="B1233" s="31">
        <f t="shared" ref="B1233" ca="1" si="853">IF(MOD(ROW()-3,2)=0, INDIRECT("Sheet1!E" &amp;4+((ROW()-3)/2)-2), "")</f>
        <v>0</v>
      </c>
      <c r="D1233" s="43"/>
      <c r="E1233"/>
    </row>
    <row r="1234" spans="1:5" x14ac:dyDescent="0.25">
      <c r="A1234" s="36" t="str">
        <f t="shared" ca="1" si="849"/>
        <v/>
      </c>
      <c r="B1234" s="30">
        <f t="shared" ca="1" si="839"/>
        <v>0</v>
      </c>
      <c r="D1234" s="43"/>
      <c r="E1234"/>
    </row>
    <row r="1235" spans="1:5" ht="15" customHeight="1" x14ac:dyDescent="0.25">
      <c r="A1235" s="34" t="str">
        <f t="shared" ca="1" si="849"/>
        <v xml:space="preserve">no problem </v>
      </c>
      <c r="B1235" s="31">
        <f t="shared" ca="1" si="840"/>
        <v>0</v>
      </c>
      <c r="D1235" s="43"/>
      <c r="E1235"/>
    </row>
    <row r="1236" spans="1:5" x14ac:dyDescent="0.25">
      <c r="A1236" s="35" t="str">
        <f t="shared" ca="1" si="849"/>
        <v/>
      </c>
      <c r="B1236" s="30">
        <f t="shared" ca="1" si="841"/>
        <v>0</v>
      </c>
      <c r="D1236" s="43"/>
      <c r="E1236"/>
    </row>
    <row r="1237" spans="1:5" ht="15" customHeight="1" x14ac:dyDescent="0.25">
      <c r="A1237" s="36" t="str">
        <f t="shared" ca="1" si="849"/>
        <v/>
      </c>
      <c r="B1237" s="31">
        <f t="shared" ca="1" si="842"/>
        <v>0</v>
      </c>
      <c r="D1237" s="43"/>
      <c r="E1237"/>
    </row>
    <row r="1238" spans="1:5" x14ac:dyDescent="0.25">
      <c r="A1238" s="34" t="str">
        <f t="shared" ca="1" si="849"/>
        <v xml:space="preserve">It doesn't matter </v>
      </c>
      <c r="B1238" s="30">
        <f t="shared" ca="1" si="843"/>
        <v>0</v>
      </c>
      <c r="D1238" s="43"/>
      <c r="E1238"/>
    </row>
    <row r="1239" spans="1:5" ht="15" customHeight="1" x14ac:dyDescent="0.25">
      <c r="A1239" s="35" t="str">
        <f t="shared" ca="1" si="849"/>
        <v/>
      </c>
      <c r="B1239" s="31">
        <f t="shared" ca="1" si="844"/>
        <v>0</v>
      </c>
      <c r="D1239" s="43"/>
      <c r="E1239"/>
    </row>
    <row r="1240" spans="1:5" x14ac:dyDescent="0.25">
      <c r="A1240" s="36" t="str">
        <f t="shared" ca="1" si="849"/>
        <v/>
      </c>
      <c r="B1240" s="30">
        <f t="shared" ca="1" si="845"/>
        <v>0</v>
      </c>
      <c r="D1240" s="43"/>
      <c r="E1240"/>
    </row>
    <row r="1241" spans="1:5" ht="15" customHeight="1" x14ac:dyDescent="0.25">
      <c r="A1241" s="34" t="str">
        <f t="shared" ca="1" si="849"/>
        <v>team</v>
      </c>
      <c r="B1241" s="31">
        <f t="shared" ca="1" si="846"/>
        <v>0</v>
      </c>
      <c r="D1241" s="43"/>
      <c r="E1241"/>
    </row>
    <row r="1242" spans="1:5" x14ac:dyDescent="0.25">
      <c r="A1242" s="35" t="str">
        <f t="shared" ca="1" si="849"/>
        <v/>
      </c>
      <c r="B1242" s="30">
        <f t="shared" ref="B1242" ca="1" si="854">IF(MOD(ROW()-2,2)=0, INDIRECT("Sheet1!D" &amp;4+((ROW()-2)/2)-2), "")</f>
        <v>0</v>
      </c>
      <c r="D1242" s="43"/>
      <c r="E1242"/>
    </row>
    <row r="1243" spans="1:5" ht="15" customHeight="1" x14ac:dyDescent="0.25">
      <c r="A1243" s="36" t="str">
        <f t="shared" ca="1" si="849"/>
        <v/>
      </c>
      <c r="B1243" s="31">
        <f t="shared" ref="B1243" ca="1" si="855">IF(MOD(ROW()-3,2)=0, INDIRECT("Sheet1!E" &amp;4+((ROW()-3)/2)-2), "")</f>
        <v>0</v>
      </c>
      <c r="D1243" s="43"/>
      <c r="E1243"/>
    </row>
    <row r="1244" spans="1:5" x14ac:dyDescent="0.25">
      <c r="A1244" s="34" t="str">
        <f t="shared" ca="1" si="849"/>
        <v>Player/s</v>
      </c>
      <c r="B1244" s="30">
        <f t="shared" ca="1" si="839"/>
        <v>0</v>
      </c>
      <c r="D1244" s="43"/>
      <c r="E1244"/>
    </row>
    <row r="1245" spans="1:5" ht="15" customHeight="1" x14ac:dyDescent="0.25">
      <c r="A1245" s="35" t="str">
        <f t="shared" ca="1" si="849"/>
        <v/>
      </c>
      <c r="B1245" s="31">
        <f t="shared" ca="1" si="840"/>
        <v>0</v>
      </c>
      <c r="D1245" s="43"/>
      <c r="E1245"/>
    </row>
    <row r="1246" spans="1:5" x14ac:dyDescent="0.25">
      <c r="A1246" s="36" t="str">
        <f t="shared" ca="1" si="849"/>
        <v/>
      </c>
      <c r="B1246" s="30">
        <f t="shared" ca="1" si="841"/>
        <v>0</v>
      </c>
      <c r="D1246" s="43"/>
      <c r="E1246"/>
    </row>
    <row r="1247" spans="1:5" ht="15" customHeight="1" x14ac:dyDescent="0.25">
      <c r="A1247" s="34" t="str">
        <f t="shared" ca="1" si="849"/>
        <v xml:space="preserve">I'am with </v>
      </c>
      <c r="B1247" s="31">
        <f t="shared" ca="1" si="842"/>
        <v>0</v>
      </c>
      <c r="D1247" s="43"/>
      <c r="E1247"/>
    </row>
    <row r="1248" spans="1:5" x14ac:dyDescent="0.25">
      <c r="A1248" s="35" t="str">
        <f t="shared" ca="1" si="849"/>
        <v/>
      </c>
      <c r="B1248" s="30">
        <f t="shared" ca="1" si="843"/>
        <v>0</v>
      </c>
      <c r="D1248" s="43"/>
      <c r="E1248"/>
    </row>
    <row r="1249" spans="1:5" ht="15" customHeight="1" x14ac:dyDescent="0.25">
      <c r="A1249" s="36" t="str">
        <f t="shared" ca="1" si="849"/>
        <v/>
      </c>
      <c r="B1249" s="31">
        <f t="shared" ca="1" si="844"/>
        <v>0</v>
      </c>
      <c r="D1249" s="43"/>
      <c r="E1249"/>
    </row>
    <row r="1250" spans="1:5" x14ac:dyDescent="0.25">
      <c r="A1250" s="34" t="str">
        <f t="shared" ca="1" si="849"/>
        <v xml:space="preserve">I'am against </v>
      </c>
      <c r="B1250" s="30">
        <f t="shared" ca="1" si="845"/>
        <v>0</v>
      </c>
      <c r="D1250" s="43"/>
      <c r="E1250"/>
    </row>
    <row r="1251" spans="1:5" ht="15" customHeight="1" x14ac:dyDescent="0.25">
      <c r="A1251" s="35" t="str">
        <f t="shared" ca="1" si="849"/>
        <v/>
      </c>
      <c r="B1251" s="31">
        <f t="shared" ca="1" si="846"/>
        <v>0</v>
      </c>
      <c r="D1251" s="43"/>
      <c r="E1251"/>
    </row>
    <row r="1252" spans="1:5" x14ac:dyDescent="0.25">
      <c r="A1252" s="36" t="str">
        <f t="shared" ca="1" si="849"/>
        <v/>
      </c>
      <c r="B1252" s="30">
        <f t="shared" ref="B1252" ca="1" si="856">IF(MOD(ROW()-2,2)=0, INDIRECT("Sheet1!D" &amp;4+((ROW()-2)/2)-2), "")</f>
        <v>0</v>
      </c>
      <c r="D1252" s="43"/>
      <c r="E1252"/>
    </row>
    <row r="1253" spans="1:5" ht="15" customHeight="1" x14ac:dyDescent="0.25">
      <c r="A1253" s="34" t="str">
        <f t="shared" ca="1" si="849"/>
        <v xml:space="preserve">gain </v>
      </c>
      <c r="B1253" s="31">
        <f t="shared" ref="B1253" ca="1" si="857">IF(MOD(ROW()-3,2)=0, INDIRECT("Sheet1!E" &amp;4+((ROW()-3)/2)-2), "")</f>
        <v>0</v>
      </c>
      <c r="D1253" s="43"/>
      <c r="E1253"/>
    </row>
    <row r="1254" spans="1:5" x14ac:dyDescent="0.25">
      <c r="A1254" s="35" t="str">
        <f t="shared" ca="1" si="849"/>
        <v/>
      </c>
      <c r="B1254" s="30">
        <f t="shared" ca="1" si="839"/>
        <v>0</v>
      </c>
      <c r="D1254" s="43"/>
      <c r="E1254"/>
    </row>
    <row r="1255" spans="1:5" ht="15" customHeight="1" x14ac:dyDescent="0.25">
      <c r="A1255" s="36" t="str">
        <f t="shared" ca="1" si="849"/>
        <v/>
      </c>
      <c r="B1255" s="31">
        <f t="shared" ca="1" si="840"/>
        <v>0</v>
      </c>
      <c r="D1255" s="43"/>
      <c r="E1255"/>
    </row>
    <row r="1256" spans="1:5" x14ac:dyDescent="0.25">
      <c r="A1256" s="34" t="str">
        <f t="shared" ca="1" si="849"/>
        <v>Loss</v>
      </c>
      <c r="B1256" s="30">
        <f t="shared" ca="1" si="841"/>
        <v>0</v>
      </c>
      <c r="D1256" s="43"/>
      <c r="E1256"/>
    </row>
    <row r="1257" spans="1:5" ht="15" customHeight="1" x14ac:dyDescent="0.25">
      <c r="A1257" s="35" t="str">
        <f t="shared" ca="1" si="849"/>
        <v/>
      </c>
      <c r="B1257" s="31">
        <f t="shared" ca="1" si="842"/>
        <v>0</v>
      </c>
      <c r="D1257" s="43"/>
      <c r="E1257"/>
    </row>
    <row r="1258" spans="1:5" x14ac:dyDescent="0.25">
      <c r="A1258" s="36" t="str">
        <f t="shared" ca="1" si="849"/>
        <v/>
      </c>
      <c r="B1258" s="30">
        <f t="shared" ca="1" si="843"/>
        <v>0</v>
      </c>
      <c r="D1258" s="43"/>
      <c r="E1258"/>
    </row>
    <row r="1259" spans="1:5" ht="15" customHeight="1" x14ac:dyDescent="0.25">
      <c r="A1259" s="34" t="str">
        <f t="shared" ca="1" si="849"/>
        <v>spanish team</v>
      </c>
      <c r="B1259" s="31">
        <f t="shared" ca="1" si="844"/>
        <v>0</v>
      </c>
      <c r="D1259" s="43"/>
      <c r="E1259"/>
    </row>
    <row r="1260" spans="1:5" x14ac:dyDescent="0.25">
      <c r="A1260" s="35" t="str">
        <f t="shared" ca="1" si="849"/>
        <v/>
      </c>
      <c r="B1260" s="30">
        <f t="shared" ca="1" si="845"/>
        <v>0</v>
      </c>
      <c r="D1260" s="43"/>
      <c r="E1260"/>
    </row>
    <row r="1261" spans="1:5" ht="15" customHeight="1" x14ac:dyDescent="0.25">
      <c r="A1261" s="36" t="str">
        <f t="shared" ca="1" si="849"/>
        <v/>
      </c>
      <c r="B1261" s="31">
        <f t="shared" ca="1" si="846"/>
        <v>0</v>
      </c>
      <c r="D1261" s="43"/>
      <c r="E1261"/>
    </row>
    <row r="1262" spans="1:5" x14ac:dyDescent="0.25">
      <c r="A1262" s="34" t="str">
        <f t="shared" ca="1" si="849"/>
        <v>Brazilian team</v>
      </c>
      <c r="B1262" s="30">
        <f t="shared" ref="B1262" ca="1" si="858">IF(MOD(ROW()-2,2)=0, INDIRECT("Sheet1!D" &amp;4+((ROW()-2)/2)-2), "")</f>
        <v>0</v>
      </c>
      <c r="D1262" s="43"/>
      <c r="E1262"/>
    </row>
    <row r="1263" spans="1:5" ht="15" customHeight="1" x14ac:dyDescent="0.25">
      <c r="A1263" s="35" t="str">
        <f t="shared" ca="1" si="849"/>
        <v/>
      </c>
      <c r="B1263" s="31">
        <f t="shared" ref="B1263" ca="1" si="859">IF(MOD(ROW()-3,2)=0, INDIRECT("Sheet1!E" &amp;4+((ROW()-3)/2)-2), "")</f>
        <v>0</v>
      </c>
      <c r="D1263" s="43"/>
      <c r="E1263"/>
    </row>
    <row r="1264" spans="1:5" x14ac:dyDescent="0.25">
      <c r="A1264" s="36" t="str">
        <f t="shared" ca="1" si="849"/>
        <v/>
      </c>
      <c r="B1264" s="30">
        <f t="shared" ca="1" si="839"/>
        <v>0</v>
      </c>
      <c r="D1264" s="43"/>
      <c r="E1264"/>
    </row>
    <row r="1265" spans="1:5" ht="15" customHeight="1" x14ac:dyDescent="0.25">
      <c r="A1265" s="34" t="str">
        <f t="shared" ca="1" si="849"/>
        <v>Italian team</v>
      </c>
      <c r="B1265" s="31">
        <f t="shared" ca="1" si="840"/>
        <v>0</v>
      </c>
      <c r="D1265" s="43"/>
      <c r="E1265"/>
    </row>
    <row r="1266" spans="1:5" x14ac:dyDescent="0.25">
      <c r="A1266" s="35" t="str">
        <f t="shared" ca="1" si="849"/>
        <v/>
      </c>
      <c r="B1266" s="30">
        <f t="shared" ca="1" si="841"/>
        <v>0</v>
      </c>
      <c r="D1266" s="43"/>
      <c r="E1266"/>
    </row>
    <row r="1267" spans="1:5" ht="15" customHeight="1" x14ac:dyDescent="0.25">
      <c r="A1267" s="36" t="str">
        <f t="shared" ca="1" si="849"/>
        <v/>
      </c>
      <c r="B1267" s="31">
        <f t="shared" ca="1" si="842"/>
        <v>0</v>
      </c>
      <c r="D1267" s="43"/>
      <c r="E1267"/>
    </row>
    <row r="1268" spans="1:5" x14ac:dyDescent="0.25">
      <c r="A1268" s="34" t="str">
        <f t="shared" ca="1" si="849"/>
        <v>Germanic team</v>
      </c>
      <c r="B1268" s="30">
        <f t="shared" ca="1" si="843"/>
        <v>0</v>
      </c>
      <c r="D1268" s="43"/>
      <c r="E1268"/>
    </row>
    <row r="1269" spans="1:5" ht="15" customHeight="1" x14ac:dyDescent="0.25">
      <c r="A1269" s="35" t="str">
        <f t="shared" ca="1" si="849"/>
        <v/>
      </c>
      <c r="B1269" s="31">
        <f t="shared" ca="1" si="844"/>
        <v>0</v>
      </c>
      <c r="D1269" s="43"/>
      <c r="E1269"/>
    </row>
    <row r="1270" spans="1:5" x14ac:dyDescent="0.25">
      <c r="A1270" s="36" t="str">
        <f t="shared" ca="1" si="849"/>
        <v/>
      </c>
      <c r="B1270" s="30">
        <f t="shared" ca="1" si="845"/>
        <v>0</v>
      </c>
      <c r="D1270" s="43"/>
      <c r="E1270"/>
    </row>
    <row r="1271" spans="1:5" ht="15" customHeight="1" x14ac:dyDescent="0.25">
      <c r="A1271" s="34" t="str">
        <f t="shared" ca="1" si="849"/>
        <v>French team</v>
      </c>
      <c r="B1271" s="31">
        <f t="shared" ca="1" si="846"/>
        <v>0</v>
      </c>
      <c r="D1271" s="43"/>
      <c r="E1271"/>
    </row>
    <row r="1272" spans="1:5" x14ac:dyDescent="0.25">
      <c r="A1272" s="35" t="str">
        <f t="shared" ca="1" si="849"/>
        <v/>
      </c>
      <c r="B1272" s="30">
        <f t="shared" ref="B1272" ca="1" si="860">IF(MOD(ROW()-2,2)=0, INDIRECT("Sheet1!D" &amp;4+((ROW()-2)/2)-2), "")</f>
        <v>0</v>
      </c>
      <c r="D1272" s="43"/>
      <c r="E1272"/>
    </row>
    <row r="1273" spans="1:5" ht="15" customHeight="1" x14ac:dyDescent="0.25">
      <c r="A1273" s="36" t="str">
        <f t="shared" ca="1" si="849"/>
        <v/>
      </c>
      <c r="B1273" s="31">
        <f t="shared" ref="B1273" ca="1" si="861">IF(MOD(ROW()-3,2)=0, INDIRECT("Sheet1!E" &amp;4+((ROW()-3)/2)-2), "")</f>
        <v>0</v>
      </c>
      <c r="D1273" s="43"/>
      <c r="E1273"/>
    </row>
    <row r="1274" spans="1:5" x14ac:dyDescent="0.25">
      <c r="A1274" s="34" t="str">
        <f t="shared" ca="1" si="849"/>
        <v>Mondial</v>
      </c>
      <c r="B1274" s="30">
        <f t="shared" ref="B1274:B1294" ca="1" si="862">IF(MOD(ROW()-2,2)=0, INDIRECT("Sheet1!D" &amp;4+((ROW()-2)/2)-2), "")</f>
        <v>0</v>
      </c>
      <c r="D1274" s="43"/>
      <c r="E1274"/>
    </row>
    <row r="1275" spans="1:5" ht="15" customHeight="1" x14ac:dyDescent="0.25">
      <c r="A1275" s="35" t="str">
        <f t="shared" ca="1" si="849"/>
        <v/>
      </c>
      <c r="B1275" s="31">
        <f t="shared" ref="B1275:B1295" ca="1" si="863">IF(MOD(ROW()-3,2)=0, INDIRECT("Sheet1!E" &amp;4+((ROW()-3)/2)-2), "")</f>
        <v>0</v>
      </c>
      <c r="D1275" s="43"/>
      <c r="E1275"/>
    </row>
    <row r="1276" spans="1:5" x14ac:dyDescent="0.25">
      <c r="A1276" s="36" t="str">
        <f t="shared" ca="1" si="849"/>
        <v/>
      </c>
      <c r="B1276" s="30">
        <f t="shared" ref="B1276:B1296" ca="1" si="864">IF(MOD(ROW()-2,2)=0, INDIRECT("Sheet1!D" &amp;4+((ROW()-2)/2)-2), "")</f>
        <v>0</v>
      </c>
      <c r="D1276" s="43"/>
      <c r="E1276"/>
    </row>
    <row r="1277" spans="1:5" ht="15" customHeight="1" x14ac:dyDescent="0.25">
      <c r="A1277" s="34" t="str">
        <f t="shared" ca="1" si="849"/>
        <v>what team do you support</v>
      </c>
      <c r="B1277" s="31">
        <f t="shared" ref="B1277:B1297" ca="1" si="865">IF(MOD(ROW()-3,2)=0, INDIRECT("Sheet1!E" &amp;4+((ROW()-3)/2)-2), "")</f>
        <v>0</v>
      </c>
      <c r="D1277" s="43"/>
      <c r="E1277"/>
    </row>
    <row r="1278" spans="1:5" x14ac:dyDescent="0.25">
      <c r="A1278" s="35" t="str">
        <f t="shared" ca="1" si="849"/>
        <v/>
      </c>
      <c r="B1278" s="30">
        <f t="shared" ref="B1278:B1298" ca="1" si="866">IF(MOD(ROW()-2,2)=0, INDIRECT("Sheet1!D" &amp;4+((ROW()-2)/2)-2), "")</f>
        <v>0</v>
      </c>
      <c r="D1278" s="43"/>
      <c r="E1278"/>
    </row>
    <row r="1279" spans="1:5" ht="15" customHeight="1" x14ac:dyDescent="0.25">
      <c r="A1279" s="36" t="str">
        <f t="shared" ca="1" si="849"/>
        <v/>
      </c>
      <c r="B1279" s="31">
        <f t="shared" ref="B1279:B1299" ca="1" si="867">IF(MOD(ROW()-3,2)=0, INDIRECT("Sheet1!E" &amp;4+((ROW()-3)/2)-2), "")</f>
        <v>0</v>
      </c>
      <c r="D1279" s="43"/>
      <c r="E1279"/>
    </row>
    <row r="1280" spans="1:5" x14ac:dyDescent="0.25">
      <c r="A1280" s="34" t="str">
        <f t="shared" ca="1" si="849"/>
        <v>this year, the world cup is in Brezil</v>
      </c>
      <c r="B1280" s="30">
        <f t="shared" ref="B1280:B1300" ca="1" si="868">IF(MOD(ROW()-2,2)=0, INDIRECT("Sheet1!D" &amp;4+((ROW()-2)/2)-2), "")</f>
        <v>0</v>
      </c>
      <c r="D1280" s="43"/>
      <c r="E1280"/>
    </row>
    <row r="1281" spans="1:5" ht="15" customHeight="1" x14ac:dyDescent="0.25">
      <c r="A1281" s="35" t="str">
        <f t="shared" ref="A1281:A1303" ca="1" si="869">IF(MOD(ROW()-2,3)=0, INDIRECT("Sheet1!A" &amp;4+((ROW()-2)/3)-2), "")</f>
        <v/>
      </c>
      <c r="B1281" s="31">
        <f t="shared" ref="B1281:B1301" ca="1" si="870">IF(MOD(ROW()-3,2)=0, INDIRECT("Sheet1!E" &amp;4+((ROW()-3)/2)-2), "")</f>
        <v>0</v>
      </c>
      <c r="D1281" s="43"/>
      <c r="E1281"/>
    </row>
    <row r="1282" spans="1:5" x14ac:dyDescent="0.25">
      <c r="A1282" s="36" t="str">
        <f t="shared" ca="1" si="869"/>
        <v/>
      </c>
      <c r="B1282" s="30">
        <f t="shared" ref="B1282" ca="1" si="871">IF(MOD(ROW()-2,2)=0, INDIRECT("Sheet1!D" &amp;4+((ROW()-2)/2)-2), "")</f>
        <v>0</v>
      </c>
      <c r="D1282" s="43"/>
      <c r="E1282"/>
    </row>
    <row r="1283" spans="1:5" ht="15" customHeight="1" x14ac:dyDescent="0.25">
      <c r="A1283" s="34" t="str">
        <f t="shared" ca="1" si="869"/>
        <v>four years ago, it was in south Africa</v>
      </c>
      <c r="B1283" s="31">
        <f t="shared" ref="B1283" ca="1" si="872">IF(MOD(ROW()-3,2)=0, INDIRECT("Sheet1!E" &amp;4+((ROW()-3)/2)-2), "")</f>
        <v>0</v>
      </c>
      <c r="D1283" s="43"/>
      <c r="E1283"/>
    </row>
    <row r="1284" spans="1:5" x14ac:dyDescent="0.25">
      <c r="A1284" s="35" t="str">
        <f t="shared" ca="1" si="869"/>
        <v/>
      </c>
      <c r="B1284" s="30">
        <f t="shared" ca="1" si="862"/>
        <v>0</v>
      </c>
      <c r="D1284" s="43"/>
      <c r="E1284"/>
    </row>
    <row r="1285" spans="1:5" ht="15" customHeight="1" x14ac:dyDescent="0.25">
      <c r="A1285" s="36" t="str">
        <f t="shared" ca="1" si="869"/>
        <v/>
      </c>
      <c r="B1285" s="31">
        <f t="shared" ca="1" si="863"/>
        <v>0</v>
      </c>
      <c r="D1285" s="43"/>
      <c r="E1285"/>
    </row>
    <row r="1286" spans="1:5" ht="15.75" customHeight="1" x14ac:dyDescent="0.25">
      <c r="A1286" s="34" t="str">
        <f t="shared" ca="1" si="869"/>
        <v>She is with the Spanish team</v>
      </c>
      <c r="B1286" s="30">
        <f t="shared" ca="1" si="864"/>
        <v>0</v>
      </c>
      <c r="D1286" s="43"/>
      <c r="E1286"/>
    </row>
    <row r="1287" spans="1:5" ht="15" customHeight="1" x14ac:dyDescent="0.25">
      <c r="A1287" s="35" t="str">
        <f t="shared" ca="1" si="869"/>
        <v/>
      </c>
      <c r="B1287" s="31">
        <f t="shared" ca="1" si="865"/>
        <v>0</v>
      </c>
      <c r="D1287" s="43"/>
      <c r="E1287"/>
    </row>
    <row r="1288" spans="1:5" x14ac:dyDescent="0.25">
      <c r="A1288" s="36" t="str">
        <f t="shared" ca="1" si="869"/>
        <v/>
      </c>
      <c r="B1288" s="30">
        <f t="shared" ca="1" si="866"/>
        <v>0</v>
      </c>
      <c r="D1288" s="43"/>
      <c r="E1288"/>
    </row>
    <row r="1289" spans="1:5" ht="15" customHeight="1" x14ac:dyDescent="0.25">
      <c r="A1289" s="34" t="str">
        <f t="shared" ca="1" si="869"/>
        <v>this year I don't support any team</v>
      </c>
      <c r="B1289" s="31">
        <f t="shared" ca="1" si="867"/>
        <v>0</v>
      </c>
      <c r="D1289" s="43"/>
      <c r="E1289"/>
    </row>
    <row r="1290" spans="1:5" x14ac:dyDescent="0.25">
      <c r="A1290" s="35" t="str">
        <f t="shared" ca="1" si="869"/>
        <v/>
      </c>
      <c r="B1290" s="30">
        <f t="shared" ca="1" si="868"/>
        <v>0</v>
      </c>
      <c r="D1290" s="43"/>
      <c r="E1290"/>
    </row>
    <row r="1291" spans="1:5" ht="15" customHeight="1" x14ac:dyDescent="0.25">
      <c r="A1291" s="36" t="str">
        <f t="shared" ca="1" si="869"/>
        <v/>
      </c>
      <c r="B1291" s="31">
        <f t="shared" ca="1" si="870"/>
        <v>0</v>
      </c>
      <c r="D1291" s="43"/>
      <c r="E1291"/>
    </row>
    <row r="1292" spans="1:5" ht="15.75" customHeight="1" x14ac:dyDescent="0.25">
      <c r="A1292" s="34" t="str">
        <f t="shared" ca="1" si="869"/>
        <v>my team will win</v>
      </c>
      <c r="B1292" s="30">
        <f t="shared" ref="B1292" ca="1" si="873">IF(MOD(ROW()-2,2)=0, INDIRECT("Sheet1!D" &amp;4+((ROW()-2)/2)-2), "")</f>
        <v>0</v>
      </c>
      <c r="D1292" s="43"/>
      <c r="E1292"/>
    </row>
    <row r="1293" spans="1:5" ht="15" customHeight="1" x14ac:dyDescent="0.25">
      <c r="A1293" s="35" t="str">
        <f t="shared" ca="1" si="869"/>
        <v/>
      </c>
      <c r="B1293" s="31">
        <f t="shared" ref="B1293" ca="1" si="874">IF(MOD(ROW()-3,2)=0, INDIRECT("Sheet1!E" &amp;4+((ROW()-3)/2)-2), "")</f>
        <v>0</v>
      </c>
      <c r="D1293" s="43"/>
      <c r="E1293"/>
    </row>
    <row r="1294" spans="1:5" x14ac:dyDescent="0.25">
      <c r="A1294" s="36" t="str">
        <f t="shared" ca="1" si="869"/>
        <v/>
      </c>
      <c r="B1294" s="30">
        <f t="shared" ca="1" si="862"/>
        <v>0</v>
      </c>
      <c r="D1294" s="43"/>
      <c r="E1294"/>
    </row>
    <row r="1295" spans="1:5" ht="15" customHeight="1" x14ac:dyDescent="0.25">
      <c r="A1295" s="34" t="str">
        <f t="shared" ca="1" si="869"/>
        <v xml:space="preserve">I hope your team loses </v>
      </c>
      <c r="B1295" s="31">
        <f t="shared" ca="1" si="863"/>
        <v>0</v>
      </c>
      <c r="D1295" s="43"/>
      <c r="E1295"/>
    </row>
    <row r="1296" spans="1:5" x14ac:dyDescent="0.25">
      <c r="A1296" s="35" t="str">
        <f t="shared" ca="1" si="869"/>
        <v/>
      </c>
      <c r="B1296" s="30">
        <f t="shared" ca="1" si="864"/>
        <v>0</v>
      </c>
      <c r="D1296" s="43"/>
      <c r="E1296"/>
    </row>
    <row r="1297" spans="1:5" ht="15" customHeight="1" x14ac:dyDescent="0.25">
      <c r="A1297" s="36" t="str">
        <f t="shared" ca="1" si="869"/>
        <v/>
      </c>
      <c r="B1297" s="31">
        <f t="shared" ca="1" si="865"/>
        <v>0</v>
      </c>
      <c r="D1297" s="43"/>
      <c r="E1297"/>
    </row>
    <row r="1298" spans="1:5" x14ac:dyDescent="0.25">
      <c r="A1298" s="34">
        <f t="shared" ca="1" si="869"/>
        <v>0</v>
      </c>
      <c r="B1298" s="30">
        <f t="shared" ca="1" si="866"/>
        <v>0</v>
      </c>
      <c r="D1298" s="43"/>
      <c r="E1298"/>
    </row>
    <row r="1299" spans="1:5" ht="15" customHeight="1" x14ac:dyDescent="0.25">
      <c r="A1299" s="35" t="str">
        <f t="shared" ca="1" si="869"/>
        <v/>
      </c>
      <c r="B1299" s="31">
        <f t="shared" ca="1" si="867"/>
        <v>0</v>
      </c>
      <c r="D1299" s="43"/>
      <c r="E1299"/>
    </row>
    <row r="1300" spans="1:5" x14ac:dyDescent="0.25">
      <c r="A1300" s="36" t="str">
        <f t="shared" ca="1" si="869"/>
        <v/>
      </c>
      <c r="B1300" s="30">
        <f t="shared" ca="1" si="868"/>
        <v>0</v>
      </c>
      <c r="D1300" s="43"/>
      <c r="E1300"/>
    </row>
    <row r="1301" spans="1:5" ht="15" customHeight="1" x14ac:dyDescent="0.25">
      <c r="A1301" s="34">
        <f t="shared" ca="1" si="869"/>
        <v>0</v>
      </c>
      <c r="B1301" s="31">
        <f t="shared" ca="1" si="870"/>
        <v>0</v>
      </c>
      <c r="D1301" s="43"/>
      <c r="E1301"/>
    </row>
    <row r="1302" spans="1:5" x14ac:dyDescent="0.25">
      <c r="A1302" s="35" t="str">
        <f t="shared" ca="1" si="869"/>
        <v/>
      </c>
      <c r="B1302" s="30">
        <f t="shared" ref="B1302" ca="1" si="875">IF(MOD(ROW()-2,2)=0, INDIRECT("Sheet1!D" &amp;4+((ROW()-2)/2)-2), "")</f>
        <v>0</v>
      </c>
      <c r="D1302" s="43"/>
      <c r="E1302"/>
    </row>
    <row r="1303" spans="1:5" ht="15" customHeight="1" x14ac:dyDescent="0.25">
      <c r="A1303" s="36" t="str">
        <f t="shared" ca="1" si="869"/>
        <v/>
      </c>
      <c r="B1303" s="31">
        <f t="shared" ref="B1303" ca="1" si="876">IF(MOD(ROW()-3,2)=0, INDIRECT("Sheet1!E" &amp;4+((ROW()-3)/2)-2), "")</f>
        <v>0</v>
      </c>
      <c r="D1303" s="43"/>
      <c r="E1303"/>
    </row>
    <row r="1304" spans="1:5" ht="15" x14ac:dyDescent="0.25">
      <c r="A1304"/>
      <c r="B1304"/>
    </row>
    <row r="1305" spans="1:5" ht="15" x14ac:dyDescent="0.25">
      <c r="A1305"/>
      <c r="B1305"/>
    </row>
    <row r="1306" spans="1:5" ht="15" x14ac:dyDescent="0.25">
      <c r="A1306"/>
      <c r="B1306"/>
    </row>
    <row r="1307" spans="1:5" ht="15" x14ac:dyDescent="0.25">
      <c r="A1307"/>
      <c r="B1307"/>
    </row>
    <row r="1308" spans="1:5" ht="15" x14ac:dyDescent="0.25">
      <c r="A1308"/>
      <c r="B1308"/>
    </row>
    <row r="1309" spans="1:5" ht="15" x14ac:dyDescent="0.25">
      <c r="A1309"/>
      <c r="B1309"/>
    </row>
    <row r="1310" spans="1:5" ht="15" x14ac:dyDescent="0.25">
      <c r="A1310"/>
      <c r="B1310"/>
    </row>
    <row r="1311" spans="1:5" ht="15" x14ac:dyDescent="0.25">
      <c r="A1311"/>
      <c r="B1311"/>
    </row>
    <row r="1312" spans="1:5" ht="15" x14ac:dyDescent="0.25">
      <c r="A1312"/>
      <c r="B1312"/>
    </row>
    <row r="1313" spans="1:2" ht="15" x14ac:dyDescent="0.25">
      <c r="A1313"/>
      <c r="B1313"/>
    </row>
    <row r="1314" spans="1:2" ht="15" x14ac:dyDescent="0.25">
      <c r="A1314"/>
      <c r="B1314"/>
    </row>
    <row r="1315" spans="1:2" ht="15" x14ac:dyDescent="0.25">
      <c r="A1315"/>
      <c r="B1315"/>
    </row>
    <row r="1316" spans="1:2" ht="15" x14ac:dyDescent="0.25">
      <c r="A1316"/>
      <c r="B1316"/>
    </row>
    <row r="1317" spans="1:2" ht="15" x14ac:dyDescent="0.25">
      <c r="A1317"/>
      <c r="B1317"/>
    </row>
    <row r="1318" spans="1:2" ht="15" x14ac:dyDescent="0.25">
      <c r="A1318"/>
      <c r="B1318"/>
    </row>
    <row r="1319" spans="1:2" ht="15" x14ac:dyDescent="0.25">
      <c r="A1319"/>
      <c r="B1319"/>
    </row>
    <row r="1320" spans="1:2" ht="15" x14ac:dyDescent="0.25">
      <c r="A1320"/>
      <c r="B1320"/>
    </row>
    <row r="1321" spans="1:2" ht="15" x14ac:dyDescent="0.25">
      <c r="A1321"/>
      <c r="B1321"/>
    </row>
    <row r="1322" spans="1:2" ht="15" x14ac:dyDescent="0.25">
      <c r="A1322"/>
      <c r="B1322"/>
    </row>
    <row r="1323" spans="1:2" ht="15" x14ac:dyDescent="0.25">
      <c r="A1323"/>
      <c r="B1323"/>
    </row>
    <row r="1324" spans="1:2" ht="15" x14ac:dyDescent="0.25">
      <c r="A1324"/>
      <c r="B1324"/>
    </row>
    <row r="1325" spans="1:2" ht="15" x14ac:dyDescent="0.25">
      <c r="A1325"/>
      <c r="B1325"/>
    </row>
    <row r="1326" spans="1:2" ht="15" x14ac:dyDescent="0.25">
      <c r="A1326"/>
      <c r="B1326"/>
    </row>
    <row r="1327" spans="1:2" ht="15" x14ac:dyDescent="0.25">
      <c r="A1327"/>
      <c r="B1327"/>
    </row>
    <row r="1328" spans="1:2" ht="15" x14ac:dyDescent="0.25">
      <c r="A1328"/>
      <c r="B1328"/>
    </row>
    <row r="1329" spans="1:2" ht="15" x14ac:dyDescent="0.25">
      <c r="A1329"/>
      <c r="B1329"/>
    </row>
    <row r="1330" spans="1:2" ht="15" x14ac:dyDescent="0.25">
      <c r="A1330"/>
      <c r="B1330"/>
    </row>
    <row r="1331" spans="1:2" ht="15" x14ac:dyDescent="0.25">
      <c r="A1331"/>
      <c r="B1331"/>
    </row>
    <row r="1332" spans="1:2" ht="15" x14ac:dyDescent="0.25">
      <c r="A1332"/>
      <c r="B1332"/>
    </row>
    <row r="1333" spans="1:2" ht="15" x14ac:dyDescent="0.25">
      <c r="A1333"/>
      <c r="B1333"/>
    </row>
    <row r="1334" spans="1:2" ht="15" x14ac:dyDescent="0.25">
      <c r="A1334"/>
      <c r="B1334"/>
    </row>
    <row r="1335" spans="1:2" ht="15" x14ac:dyDescent="0.25">
      <c r="A1335"/>
      <c r="B1335"/>
    </row>
    <row r="1336" spans="1:2" ht="15" x14ac:dyDescent="0.25">
      <c r="A1336"/>
      <c r="B1336"/>
    </row>
    <row r="1337" spans="1:2" ht="15" x14ac:dyDescent="0.25">
      <c r="A1337"/>
      <c r="B1337"/>
    </row>
    <row r="1338" spans="1:2" ht="15" x14ac:dyDescent="0.25">
      <c r="A1338"/>
      <c r="B1338"/>
    </row>
    <row r="1339" spans="1:2" ht="15" x14ac:dyDescent="0.25">
      <c r="A1339"/>
      <c r="B1339"/>
    </row>
    <row r="1340" spans="1:2" ht="15" x14ac:dyDescent="0.25">
      <c r="A1340"/>
      <c r="B1340"/>
    </row>
    <row r="1341" spans="1:2" ht="15" x14ac:dyDescent="0.25">
      <c r="A1341"/>
      <c r="B1341"/>
    </row>
    <row r="1342" spans="1:2" ht="15" x14ac:dyDescent="0.25">
      <c r="A1342"/>
      <c r="B1342"/>
    </row>
    <row r="1343" spans="1:2" ht="15" x14ac:dyDescent="0.25">
      <c r="A1343"/>
      <c r="B1343"/>
    </row>
    <row r="1344" spans="1:2" ht="15" x14ac:dyDescent="0.25">
      <c r="A1344"/>
      <c r="B1344"/>
    </row>
    <row r="1345" spans="1:2" ht="15" x14ac:dyDescent="0.25">
      <c r="A1345"/>
      <c r="B1345"/>
    </row>
    <row r="1346" spans="1:2" ht="15" x14ac:dyDescent="0.25">
      <c r="A1346"/>
      <c r="B1346"/>
    </row>
    <row r="1347" spans="1:2" ht="15" x14ac:dyDescent="0.25">
      <c r="A1347"/>
      <c r="B1347"/>
    </row>
    <row r="1348" spans="1:2" ht="15" x14ac:dyDescent="0.25">
      <c r="A1348"/>
      <c r="B1348"/>
    </row>
    <row r="1349" spans="1:2" ht="15" x14ac:dyDescent="0.25">
      <c r="A1349"/>
      <c r="B1349"/>
    </row>
    <row r="1350" spans="1:2" ht="15" x14ac:dyDescent="0.25">
      <c r="A1350"/>
      <c r="B1350"/>
    </row>
    <row r="1351" spans="1:2" ht="15" x14ac:dyDescent="0.25">
      <c r="A1351"/>
      <c r="B1351"/>
    </row>
    <row r="1352" spans="1:2" ht="15" x14ac:dyDescent="0.25">
      <c r="A1352"/>
      <c r="B1352"/>
    </row>
    <row r="1353" spans="1:2" ht="15" x14ac:dyDescent="0.25">
      <c r="A1353"/>
      <c r="B1353"/>
    </row>
    <row r="1354" spans="1:2" ht="15" x14ac:dyDescent="0.25">
      <c r="A1354"/>
      <c r="B1354"/>
    </row>
    <row r="1355" spans="1:2" ht="15" x14ac:dyDescent="0.25">
      <c r="A1355"/>
      <c r="B1355"/>
    </row>
    <row r="1356" spans="1:2" ht="15" x14ac:dyDescent="0.25">
      <c r="A1356"/>
      <c r="B1356"/>
    </row>
    <row r="1357" spans="1:2" ht="15" x14ac:dyDescent="0.25">
      <c r="A1357"/>
      <c r="B1357"/>
    </row>
    <row r="1358" spans="1:2" ht="15" x14ac:dyDescent="0.25">
      <c r="A1358"/>
      <c r="B1358"/>
    </row>
    <row r="1359" spans="1:2" ht="15" x14ac:dyDescent="0.25">
      <c r="A1359"/>
      <c r="B1359"/>
    </row>
    <row r="1360" spans="1:2" ht="15" x14ac:dyDescent="0.25">
      <c r="A1360"/>
      <c r="B1360"/>
    </row>
    <row r="1361" spans="1:2" ht="15" x14ac:dyDescent="0.25">
      <c r="A1361"/>
      <c r="B1361"/>
    </row>
    <row r="1362" spans="1:2" ht="15" x14ac:dyDescent="0.25">
      <c r="A1362"/>
      <c r="B1362"/>
    </row>
    <row r="1363" spans="1:2" ht="15" x14ac:dyDescent="0.25">
      <c r="A1363"/>
      <c r="B1363"/>
    </row>
    <row r="1364" spans="1:2" ht="15" x14ac:dyDescent="0.25">
      <c r="A1364"/>
      <c r="B1364"/>
    </row>
    <row r="1365" spans="1:2" ht="15" x14ac:dyDescent="0.25">
      <c r="A1365"/>
      <c r="B1365"/>
    </row>
    <row r="1366" spans="1:2" ht="15" x14ac:dyDescent="0.25">
      <c r="A1366"/>
      <c r="B1366"/>
    </row>
    <row r="1367" spans="1:2" ht="15" x14ac:dyDescent="0.25">
      <c r="A1367"/>
      <c r="B1367"/>
    </row>
    <row r="1368" spans="1:2" ht="15" x14ac:dyDescent="0.25">
      <c r="A1368"/>
      <c r="B1368"/>
    </row>
    <row r="1369" spans="1:2" ht="15" x14ac:dyDescent="0.25">
      <c r="A1369"/>
      <c r="B1369"/>
    </row>
    <row r="1370" spans="1:2" ht="15" x14ac:dyDescent="0.25">
      <c r="A1370"/>
      <c r="B1370"/>
    </row>
    <row r="1371" spans="1:2" ht="15" x14ac:dyDescent="0.25">
      <c r="A1371"/>
      <c r="B1371"/>
    </row>
    <row r="1372" spans="1:2" ht="15" x14ac:dyDescent="0.25">
      <c r="A1372"/>
      <c r="B1372"/>
    </row>
    <row r="1373" spans="1:2" ht="15" x14ac:dyDescent="0.25">
      <c r="A1373"/>
      <c r="B1373"/>
    </row>
    <row r="1374" spans="1:2" ht="15" x14ac:dyDescent="0.25">
      <c r="A1374"/>
      <c r="B1374"/>
    </row>
    <row r="1375" spans="1:2" ht="15" x14ac:dyDescent="0.25">
      <c r="A1375"/>
      <c r="B1375"/>
    </row>
    <row r="1376" spans="1:2" ht="15" x14ac:dyDescent="0.25">
      <c r="A1376"/>
      <c r="B1376"/>
    </row>
    <row r="1377" spans="1:2" ht="15" x14ac:dyDescent="0.25">
      <c r="A1377"/>
      <c r="B1377"/>
    </row>
    <row r="1378" spans="1:2" ht="15" x14ac:dyDescent="0.25">
      <c r="A1378"/>
      <c r="B1378"/>
    </row>
    <row r="1379" spans="1:2" ht="15" x14ac:dyDescent="0.25">
      <c r="A1379"/>
      <c r="B1379"/>
    </row>
    <row r="1380" spans="1:2" ht="15" x14ac:dyDescent="0.25">
      <c r="A1380"/>
      <c r="B1380"/>
    </row>
    <row r="1381" spans="1:2" ht="15" x14ac:dyDescent="0.25">
      <c r="A1381"/>
      <c r="B1381"/>
    </row>
    <row r="1382" spans="1:2" ht="15" x14ac:dyDescent="0.25">
      <c r="A1382"/>
      <c r="B1382"/>
    </row>
    <row r="1383" spans="1:2" ht="15" x14ac:dyDescent="0.25">
      <c r="A1383"/>
      <c r="B1383"/>
    </row>
    <row r="1384" spans="1:2" ht="15" x14ac:dyDescent="0.25">
      <c r="A1384"/>
      <c r="B1384"/>
    </row>
    <row r="1385" spans="1:2" ht="15" x14ac:dyDescent="0.25">
      <c r="A1385"/>
      <c r="B1385"/>
    </row>
    <row r="1386" spans="1:2" ht="15" x14ac:dyDescent="0.25">
      <c r="A1386"/>
      <c r="B1386"/>
    </row>
    <row r="1387" spans="1:2" ht="15" x14ac:dyDescent="0.25">
      <c r="A1387"/>
      <c r="B1387"/>
    </row>
    <row r="1388" spans="1:2" ht="15" x14ac:dyDescent="0.25">
      <c r="A1388"/>
      <c r="B1388"/>
    </row>
    <row r="1389" spans="1:2" ht="15" x14ac:dyDescent="0.25">
      <c r="A1389"/>
      <c r="B1389"/>
    </row>
    <row r="1390" spans="1:2" ht="15" x14ac:dyDescent="0.25">
      <c r="A1390"/>
      <c r="B1390"/>
    </row>
    <row r="1391" spans="1:2" ht="15" x14ac:dyDescent="0.25">
      <c r="A1391"/>
      <c r="B1391"/>
    </row>
    <row r="1392" spans="1:2" ht="15" x14ac:dyDescent="0.25">
      <c r="A1392"/>
      <c r="B1392"/>
    </row>
    <row r="1393" spans="1:2" ht="15" x14ac:dyDescent="0.25">
      <c r="A1393"/>
      <c r="B1393"/>
    </row>
    <row r="1394" spans="1:2" ht="15" x14ac:dyDescent="0.25">
      <c r="A1394"/>
      <c r="B1394"/>
    </row>
    <row r="1395" spans="1:2" ht="15" x14ac:dyDescent="0.25">
      <c r="A1395"/>
      <c r="B1395"/>
    </row>
    <row r="1396" spans="1:2" ht="15" x14ac:dyDescent="0.25">
      <c r="A1396"/>
      <c r="B1396"/>
    </row>
    <row r="1397" spans="1:2" ht="15" x14ac:dyDescent="0.25">
      <c r="A1397"/>
      <c r="B1397"/>
    </row>
    <row r="1398" spans="1:2" ht="15" x14ac:dyDescent="0.25">
      <c r="A1398"/>
      <c r="B1398"/>
    </row>
    <row r="1399" spans="1:2" ht="15" x14ac:dyDescent="0.25">
      <c r="A1399"/>
      <c r="B1399"/>
    </row>
    <row r="1400" spans="1:2" ht="15" x14ac:dyDescent="0.25">
      <c r="A1400"/>
      <c r="B1400"/>
    </row>
    <row r="1401" spans="1:2" ht="15" x14ac:dyDescent="0.25">
      <c r="A1401"/>
      <c r="B1401"/>
    </row>
    <row r="1402" spans="1:2" ht="15" x14ac:dyDescent="0.25">
      <c r="A1402"/>
      <c r="B1402"/>
    </row>
    <row r="1403" spans="1:2" ht="15" x14ac:dyDescent="0.25">
      <c r="A1403"/>
      <c r="B1403"/>
    </row>
    <row r="1404" spans="1:2" ht="15" x14ac:dyDescent="0.25">
      <c r="A1404"/>
      <c r="B1404"/>
    </row>
    <row r="1405" spans="1:2" ht="15" x14ac:dyDescent="0.25">
      <c r="A1405"/>
      <c r="B1405"/>
    </row>
    <row r="1406" spans="1:2" ht="15" x14ac:dyDescent="0.25">
      <c r="A1406"/>
      <c r="B1406"/>
    </row>
    <row r="1407" spans="1:2" ht="15" x14ac:dyDescent="0.25">
      <c r="A1407"/>
      <c r="B1407"/>
    </row>
    <row r="1408" spans="1:2" ht="15" x14ac:dyDescent="0.25">
      <c r="A1408"/>
      <c r="B1408"/>
    </row>
    <row r="1409" spans="1:2" ht="15" x14ac:dyDescent="0.25">
      <c r="A1409"/>
      <c r="B1409"/>
    </row>
    <row r="1410" spans="1:2" ht="15" x14ac:dyDescent="0.25">
      <c r="A1410"/>
      <c r="B1410"/>
    </row>
    <row r="1411" spans="1:2" ht="15" x14ac:dyDescent="0.25">
      <c r="A1411"/>
      <c r="B1411"/>
    </row>
    <row r="1412" spans="1:2" ht="15" x14ac:dyDescent="0.25">
      <c r="A1412"/>
      <c r="B1412"/>
    </row>
    <row r="1413" spans="1:2" ht="15" x14ac:dyDescent="0.25">
      <c r="A1413"/>
      <c r="B1413"/>
    </row>
    <row r="1414" spans="1:2" ht="15" x14ac:dyDescent="0.25">
      <c r="A1414"/>
      <c r="B1414"/>
    </row>
    <row r="1415" spans="1:2" ht="15" x14ac:dyDescent="0.25">
      <c r="A1415"/>
      <c r="B1415"/>
    </row>
    <row r="1416" spans="1:2" ht="15" x14ac:dyDescent="0.25">
      <c r="A1416"/>
      <c r="B1416"/>
    </row>
    <row r="1417" spans="1:2" ht="15" x14ac:dyDescent="0.25">
      <c r="A1417"/>
      <c r="B1417"/>
    </row>
    <row r="1418" spans="1:2" ht="15" x14ac:dyDescent="0.25">
      <c r="A1418"/>
      <c r="B1418"/>
    </row>
    <row r="1419" spans="1:2" ht="15" x14ac:dyDescent="0.25">
      <c r="A1419"/>
      <c r="B1419"/>
    </row>
    <row r="1420" spans="1:2" ht="15" x14ac:dyDescent="0.25">
      <c r="A1420"/>
      <c r="B1420"/>
    </row>
    <row r="1421" spans="1:2" ht="15" x14ac:dyDescent="0.25">
      <c r="A1421"/>
      <c r="B1421"/>
    </row>
    <row r="1422" spans="1:2" ht="15" x14ac:dyDescent="0.25">
      <c r="A1422"/>
      <c r="B1422"/>
    </row>
    <row r="1423" spans="1:2" ht="15" x14ac:dyDescent="0.25">
      <c r="A1423"/>
      <c r="B1423"/>
    </row>
    <row r="1424" spans="1:2" ht="15" x14ac:dyDescent="0.25">
      <c r="A1424"/>
      <c r="B1424"/>
    </row>
    <row r="1425" spans="1:2" ht="15" x14ac:dyDescent="0.25">
      <c r="A1425"/>
      <c r="B1425"/>
    </row>
    <row r="1426" spans="1:2" ht="15" x14ac:dyDescent="0.25">
      <c r="A1426"/>
      <c r="B1426"/>
    </row>
    <row r="1427" spans="1:2" ht="15" x14ac:dyDescent="0.25">
      <c r="A1427"/>
      <c r="B1427"/>
    </row>
    <row r="1428" spans="1:2" ht="15" x14ac:dyDescent="0.25">
      <c r="A1428"/>
      <c r="B1428"/>
    </row>
    <row r="1429" spans="1:2" ht="15" x14ac:dyDescent="0.25">
      <c r="A1429"/>
      <c r="B1429"/>
    </row>
    <row r="1430" spans="1:2" ht="15" x14ac:dyDescent="0.25">
      <c r="A1430"/>
      <c r="B1430"/>
    </row>
    <row r="1431" spans="1:2" ht="15" x14ac:dyDescent="0.25">
      <c r="A1431"/>
      <c r="B1431"/>
    </row>
    <row r="1432" spans="1:2" ht="15" x14ac:dyDescent="0.25">
      <c r="A1432"/>
      <c r="B1432"/>
    </row>
    <row r="1433" spans="1:2" ht="15" x14ac:dyDescent="0.25">
      <c r="A1433"/>
      <c r="B1433"/>
    </row>
    <row r="1434" spans="1:2" ht="15" x14ac:dyDescent="0.25">
      <c r="A1434"/>
      <c r="B1434"/>
    </row>
    <row r="1435" spans="1:2" ht="15" x14ac:dyDescent="0.25">
      <c r="A1435"/>
      <c r="B1435"/>
    </row>
    <row r="1436" spans="1:2" ht="15" x14ac:dyDescent="0.25">
      <c r="A1436"/>
      <c r="B1436"/>
    </row>
    <row r="1437" spans="1:2" ht="15" x14ac:dyDescent="0.25">
      <c r="A1437"/>
      <c r="B1437"/>
    </row>
    <row r="1438" spans="1:2" ht="15" x14ac:dyDescent="0.25">
      <c r="A1438"/>
      <c r="B1438"/>
    </row>
    <row r="1439" spans="1:2" ht="15" x14ac:dyDescent="0.25">
      <c r="A1439"/>
      <c r="B1439"/>
    </row>
    <row r="1440" spans="1:2" ht="15" x14ac:dyDescent="0.25">
      <c r="A1440"/>
      <c r="B1440"/>
    </row>
    <row r="1441" spans="1:2" ht="15" x14ac:dyDescent="0.25">
      <c r="A1441"/>
      <c r="B1441"/>
    </row>
    <row r="1442" spans="1:2" ht="15" x14ac:dyDescent="0.25">
      <c r="A1442"/>
      <c r="B1442"/>
    </row>
    <row r="1443" spans="1:2" ht="15" x14ac:dyDescent="0.25">
      <c r="A1443"/>
      <c r="B1443"/>
    </row>
    <row r="1444" spans="1:2" ht="15" x14ac:dyDescent="0.25">
      <c r="A1444"/>
      <c r="B1444"/>
    </row>
    <row r="1445" spans="1:2" ht="15" x14ac:dyDescent="0.25">
      <c r="A1445"/>
      <c r="B1445"/>
    </row>
    <row r="1446" spans="1:2" ht="15" x14ac:dyDescent="0.25">
      <c r="A1446"/>
      <c r="B1446"/>
    </row>
    <row r="1447" spans="1:2" ht="15" x14ac:dyDescent="0.25">
      <c r="A1447"/>
      <c r="B1447"/>
    </row>
    <row r="1448" spans="1:2" ht="15" x14ac:dyDescent="0.25">
      <c r="A1448"/>
      <c r="B1448"/>
    </row>
    <row r="1449" spans="1:2" ht="15" x14ac:dyDescent="0.25">
      <c r="A1449"/>
      <c r="B1449"/>
    </row>
    <row r="1450" spans="1:2" ht="15" x14ac:dyDescent="0.25">
      <c r="A1450"/>
      <c r="B1450"/>
    </row>
    <row r="1451" spans="1:2" ht="15" x14ac:dyDescent="0.25">
      <c r="A1451"/>
      <c r="B1451"/>
    </row>
    <row r="1452" spans="1:2" ht="15" x14ac:dyDescent="0.25">
      <c r="A1452"/>
      <c r="B1452"/>
    </row>
    <row r="1453" spans="1:2" ht="15" x14ac:dyDescent="0.25">
      <c r="A1453"/>
      <c r="B1453"/>
    </row>
    <row r="1454" spans="1:2" ht="15" x14ac:dyDescent="0.25">
      <c r="A1454"/>
      <c r="B1454"/>
    </row>
    <row r="1455" spans="1:2" ht="15" x14ac:dyDescent="0.25">
      <c r="A1455"/>
      <c r="B1455"/>
    </row>
    <row r="1456" spans="1:2" ht="15" x14ac:dyDescent="0.25">
      <c r="A1456"/>
      <c r="B1456"/>
    </row>
    <row r="1457" spans="1:2" ht="15" x14ac:dyDescent="0.25">
      <c r="A1457"/>
      <c r="B1457"/>
    </row>
    <row r="1458" spans="1:2" ht="15" x14ac:dyDescent="0.25">
      <c r="A1458"/>
      <c r="B1458"/>
    </row>
    <row r="1459" spans="1:2" ht="15" x14ac:dyDescent="0.25">
      <c r="A1459"/>
      <c r="B1459"/>
    </row>
    <row r="1460" spans="1:2" ht="15" x14ac:dyDescent="0.25">
      <c r="A1460"/>
      <c r="B1460"/>
    </row>
    <row r="1461" spans="1:2" ht="15" x14ac:dyDescent="0.25">
      <c r="A1461"/>
      <c r="B1461"/>
    </row>
    <row r="1462" spans="1:2" ht="15" x14ac:dyDescent="0.25">
      <c r="A1462"/>
      <c r="B1462"/>
    </row>
    <row r="1463" spans="1:2" ht="15" x14ac:dyDescent="0.25">
      <c r="A1463"/>
      <c r="B1463"/>
    </row>
    <row r="1464" spans="1:2" ht="15" x14ac:dyDescent="0.25">
      <c r="A1464"/>
      <c r="B1464"/>
    </row>
    <row r="1465" spans="1:2" ht="15" x14ac:dyDescent="0.25">
      <c r="A1465"/>
      <c r="B1465"/>
    </row>
    <row r="1466" spans="1:2" ht="15" x14ac:dyDescent="0.25">
      <c r="A1466"/>
      <c r="B1466"/>
    </row>
    <row r="1467" spans="1:2" ht="15" x14ac:dyDescent="0.25">
      <c r="A1467"/>
      <c r="B1467"/>
    </row>
    <row r="1468" spans="1:2" ht="15" x14ac:dyDescent="0.25">
      <c r="A1468"/>
      <c r="B1468"/>
    </row>
    <row r="1469" spans="1:2" ht="15" x14ac:dyDescent="0.25">
      <c r="A1469"/>
      <c r="B1469"/>
    </row>
    <row r="1470" spans="1:2" ht="15" x14ac:dyDescent="0.25">
      <c r="A1470"/>
      <c r="B1470"/>
    </row>
    <row r="1471" spans="1:2" ht="15" x14ac:dyDescent="0.25">
      <c r="A1471"/>
      <c r="B1471"/>
    </row>
    <row r="1472" spans="1:2" ht="15" x14ac:dyDescent="0.25">
      <c r="A1472"/>
      <c r="B1472"/>
    </row>
    <row r="1473" spans="1:2" ht="15" x14ac:dyDescent="0.25">
      <c r="A1473"/>
      <c r="B1473"/>
    </row>
    <row r="1474" spans="1:2" ht="15" x14ac:dyDescent="0.25">
      <c r="A1474"/>
      <c r="B1474"/>
    </row>
    <row r="1475" spans="1:2" ht="15" x14ac:dyDescent="0.25">
      <c r="A1475"/>
      <c r="B1475"/>
    </row>
    <row r="1476" spans="1:2" ht="15" x14ac:dyDescent="0.25">
      <c r="A1476"/>
      <c r="B1476"/>
    </row>
    <row r="1477" spans="1:2" ht="15" x14ac:dyDescent="0.25">
      <c r="A1477"/>
      <c r="B1477"/>
    </row>
    <row r="1478" spans="1:2" ht="15" x14ac:dyDescent="0.25">
      <c r="A1478"/>
      <c r="B1478"/>
    </row>
    <row r="1479" spans="1:2" ht="15" x14ac:dyDescent="0.25">
      <c r="A1479"/>
      <c r="B1479"/>
    </row>
    <row r="1480" spans="1:2" ht="15" x14ac:dyDescent="0.25">
      <c r="A1480"/>
      <c r="B1480"/>
    </row>
    <row r="1481" spans="1:2" ht="15" x14ac:dyDescent="0.25">
      <c r="A1481"/>
      <c r="B1481"/>
    </row>
    <row r="1482" spans="1:2" ht="15" x14ac:dyDescent="0.25">
      <c r="A1482"/>
      <c r="B1482"/>
    </row>
    <row r="1483" spans="1:2" ht="15" x14ac:dyDescent="0.25">
      <c r="A1483"/>
      <c r="B1483"/>
    </row>
    <row r="1484" spans="1:2" ht="15" x14ac:dyDescent="0.25">
      <c r="A1484"/>
      <c r="B1484"/>
    </row>
    <row r="1485" spans="1:2" ht="15" x14ac:dyDescent="0.25">
      <c r="A1485"/>
      <c r="B1485"/>
    </row>
    <row r="1486" spans="1:2" ht="15" x14ac:dyDescent="0.25">
      <c r="A1486"/>
      <c r="B1486"/>
    </row>
    <row r="1487" spans="1:2" ht="15" x14ac:dyDescent="0.25">
      <c r="A1487"/>
      <c r="B1487"/>
    </row>
    <row r="1488" spans="1:2" ht="15" x14ac:dyDescent="0.25">
      <c r="A1488"/>
      <c r="B1488"/>
    </row>
    <row r="1489" spans="1:2" ht="15" x14ac:dyDescent="0.25">
      <c r="A1489"/>
      <c r="B1489"/>
    </row>
    <row r="1490" spans="1:2" ht="15" x14ac:dyDescent="0.25">
      <c r="A1490"/>
      <c r="B1490"/>
    </row>
    <row r="1491" spans="1:2" ht="15" x14ac:dyDescent="0.25">
      <c r="A1491"/>
      <c r="B1491"/>
    </row>
    <row r="1492" spans="1:2" ht="15" x14ac:dyDescent="0.25">
      <c r="A1492"/>
      <c r="B1492"/>
    </row>
    <row r="1493" spans="1:2" ht="15" x14ac:dyDescent="0.25">
      <c r="A1493"/>
      <c r="B1493"/>
    </row>
    <row r="1494" spans="1:2" ht="15" x14ac:dyDescent="0.25">
      <c r="A1494"/>
      <c r="B1494"/>
    </row>
    <row r="1495" spans="1:2" ht="15" x14ac:dyDescent="0.25">
      <c r="A1495"/>
      <c r="B1495"/>
    </row>
    <row r="1496" spans="1:2" ht="15" x14ac:dyDescent="0.25">
      <c r="A1496"/>
      <c r="B1496"/>
    </row>
    <row r="1497" spans="1:2" ht="15" x14ac:dyDescent="0.25">
      <c r="A1497"/>
      <c r="B1497"/>
    </row>
    <row r="1498" spans="1:2" ht="15" x14ac:dyDescent="0.25">
      <c r="A1498"/>
      <c r="B1498"/>
    </row>
    <row r="1499" spans="1:2" ht="15" x14ac:dyDescent="0.25">
      <c r="A1499"/>
      <c r="B1499"/>
    </row>
    <row r="1500" spans="1:2" ht="15" x14ac:dyDescent="0.25">
      <c r="A1500"/>
      <c r="B1500"/>
    </row>
    <row r="1501" spans="1:2" ht="15" x14ac:dyDescent="0.25">
      <c r="A1501"/>
      <c r="B1501"/>
    </row>
    <row r="1502" spans="1:2" ht="15" x14ac:dyDescent="0.25">
      <c r="A1502"/>
      <c r="B1502"/>
    </row>
    <row r="1503" spans="1:2" ht="15" x14ac:dyDescent="0.25">
      <c r="A1503"/>
      <c r="B1503"/>
    </row>
    <row r="1504" spans="1:2" ht="15" x14ac:dyDescent="0.25">
      <c r="A1504"/>
      <c r="B1504"/>
    </row>
    <row r="1505" spans="1:2" ht="15" x14ac:dyDescent="0.25">
      <c r="A1505"/>
      <c r="B1505"/>
    </row>
    <row r="1506" spans="1:2" ht="15" x14ac:dyDescent="0.25">
      <c r="A1506"/>
      <c r="B1506"/>
    </row>
    <row r="1507" spans="1:2" ht="15" x14ac:dyDescent="0.25">
      <c r="A1507"/>
      <c r="B1507"/>
    </row>
    <row r="1508" spans="1:2" ht="15" x14ac:dyDescent="0.25">
      <c r="A1508"/>
      <c r="B1508"/>
    </row>
    <row r="1509" spans="1:2" ht="15" x14ac:dyDescent="0.25">
      <c r="A1509"/>
      <c r="B1509"/>
    </row>
    <row r="1510" spans="1:2" ht="15" x14ac:dyDescent="0.25">
      <c r="A1510"/>
      <c r="B1510"/>
    </row>
    <row r="1511" spans="1:2" ht="15" x14ac:dyDescent="0.25">
      <c r="A1511"/>
      <c r="B1511"/>
    </row>
    <row r="1512" spans="1:2" ht="15" x14ac:dyDescent="0.25">
      <c r="A1512"/>
      <c r="B1512"/>
    </row>
    <row r="1513" spans="1:2" ht="15" x14ac:dyDescent="0.25">
      <c r="A1513"/>
      <c r="B1513"/>
    </row>
    <row r="1514" spans="1:2" ht="15" x14ac:dyDescent="0.25">
      <c r="A1514"/>
      <c r="B1514"/>
    </row>
    <row r="1515" spans="1:2" ht="15" x14ac:dyDescent="0.25">
      <c r="A1515"/>
      <c r="B1515"/>
    </row>
    <row r="1516" spans="1:2" ht="15" x14ac:dyDescent="0.25">
      <c r="A1516"/>
      <c r="B1516"/>
    </row>
    <row r="1517" spans="1:2" ht="15" x14ac:dyDescent="0.25">
      <c r="A1517"/>
      <c r="B1517"/>
    </row>
    <row r="1518" spans="1:2" ht="15" x14ac:dyDescent="0.25">
      <c r="A1518"/>
      <c r="B1518"/>
    </row>
    <row r="1519" spans="1:2" ht="15" x14ac:dyDescent="0.25">
      <c r="A1519"/>
      <c r="B1519"/>
    </row>
    <row r="1520" spans="1:2" ht="15" x14ac:dyDescent="0.25">
      <c r="A1520"/>
      <c r="B1520"/>
    </row>
    <row r="1521" spans="1:2" ht="15" x14ac:dyDescent="0.25">
      <c r="A1521"/>
      <c r="B1521"/>
    </row>
    <row r="1522" spans="1:2" ht="15" x14ac:dyDescent="0.25">
      <c r="A1522"/>
      <c r="B1522"/>
    </row>
    <row r="1523" spans="1:2" ht="15" x14ac:dyDescent="0.25">
      <c r="A1523"/>
      <c r="B1523"/>
    </row>
    <row r="1524" spans="1:2" ht="15" x14ac:dyDescent="0.25">
      <c r="A1524"/>
      <c r="B1524"/>
    </row>
    <row r="1525" spans="1:2" ht="15" x14ac:dyDescent="0.25">
      <c r="A1525"/>
      <c r="B1525"/>
    </row>
    <row r="1526" spans="1:2" ht="15" x14ac:dyDescent="0.25">
      <c r="A1526"/>
      <c r="B1526"/>
    </row>
    <row r="1527" spans="1:2" ht="15" x14ac:dyDescent="0.25">
      <c r="A1527"/>
      <c r="B1527"/>
    </row>
    <row r="1528" spans="1:2" ht="15" x14ac:dyDescent="0.25">
      <c r="A1528"/>
      <c r="B1528"/>
    </row>
    <row r="1529" spans="1:2" ht="15" x14ac:dyDescent="0.25">
      <c r="A1529"/>
      <c r="B1529"/>
    </row>
    <row r="1530" spans="1:2" ht="15" x14ac:dyDescent="0.25">
      <c r="A1530"/>
      <c r="B1530"/>
    </row>
    <row r="1531" spans="1:2" ht="15" x14ac:dyDescent="0.25">
      <c r="A1531"/>
      <c r="B1531"/>
    </row>
    <row r="1532" spans="1:2" ht="15" x14ac:dyDescent="0.25">
      <c r="A1532"/>
      <c r="B1532"/>
    </row>
    <row r="1533" spans="1:2" ht="15" x14ac:dyDescent="0.25">
      <c r="A1533"/>
      <c r="B1533"/>
    </row>
    <row r="1534" spans="1:2" ht="15" x14ac:dyDescent="0.25">
      <c r="A1534"/>
      <c r="B1534"/>
    </row>
    <row r="1535" spans="1:2" ht="15" x14ac:dyDescent="0.25">
      <c r="A1535"/>
      <c r="B1535"/>
    </row>
    <row r="1536" spans="1:2" ht="15" x14ac:dyDescent="0.25">
      <c r="A1536"/>
      <c r="B1536"/>
    </row>
    <row r="1537" spans="1:2" ht="15" x14ac:dyDescent="0.25">
      <c r="A1537"/>
      <c r="B1537"/>
    </row>
    <row r="1538" spans="1:2" ht="15" x14ac:dyDescent="0.25">
      <c r="A1538"/>
      <c r="B1538"/>
    </row>
    <row r="1539" spans="1:2" ht="15" x14ac:dyDescent="0.25">
      <c r="A1539"/>
      <c r="B1539"/>
    </row>
    <row r="1540" spans="1:2" ht="15" x14ac:dyDescent="0.25">
      <c r="A1540"/>
      <c r="B1540"/>
    </row>
    <row r="1541" spans="1:2" ht="15" x14ac:dyDescent="0.25">
      <c r="A1541"/>
      <c r="B1541"/>
    </row>
    <row r="1542" spans="1:2" ht="15" x14ac:dyDescent="0.25">
      <c r="A1542"/>
      <c r="B1542"/>
    </row>
    <row r="1543" spans="1:2" ht="15" x14ac:dyDescent="0.25">
      <c r="A1543"/>
      <c r="B1543"/>
    </row>
    <row r="1544" spans="1:2" ht="15" x14ac:dyDescent="0.25">
      <c r="A1544"/>
      <c r="B1544"/>
    </row>
    <row r="1545" spans="1:2" ht="15" x14ac:dyDescent="0.25">
      <c r="A1545"/>
      <c r="B1545"/>
    </row>
    <row r="1546" spans="1:2" ht="15" x14ac:dyDescent="0.25">
      <c r="A1546"/>
      <c r="B1546"/>
    </row>
    <row r="1547" spans="1:2" ht="15" x14ac:dyDescent="0.25">
      <c r="A1547"/>
      <c r="B1547"/>
    </row>
    <row r="1548" spans="1:2" ht="15" x14ac:dyDescent="0.25">
      <c r="A1548"/>
      <c r="B1548"/>
    </row>
    <row r="1549" spans="1:2" ht="15" x14ac:dyDescent="0.25">
      <c r="A1549"/>
      <c r="B1549"/>
    </row>
    <row r="1550" spans="1:2" ht="15" x14ac:dyDescent="0.25">
      <c r="A1550"/>
      <c r="B1550"/>
    </row>
    <row r="1551" spans="1:2" ht="15" x14ac:dyDescent="0.25">
      <c r="A1551"/>
      <c r="B1551"/>
    </row>
    <row r="1552" spans="1:2" ht="15" x14ac:dyDescent="0.25">
      <c r="A1552"/>
      <c r="B1552"/>
    </row>
    <row r="1553" spans="1:2" ht="15" x14ac:dyDescent="0.25">
      <c r="A1553"/>
      <c r="B1553"/>
    </row>
    <row r="1554" spans="1:2" ht="15" x14ac:dyDescent="0.25">
      <c r="A1554"/>
      <c r="B1554"/>
    </row>
    <row r="1555" spans="1:2" ht="15" x14ac:dyDescent="0.25">
      <c r="A1555"/>
      <c r="B1555"/>
    </row>
    <row r="1556" spans="1:2" ht="15" x14ac:dyDescent="0.25">
      <c r="A1556"/>
      <c r="B1556"/>
    </row>
    <row r="1557" spans="1:2" ht="15" x14ac:dyDescent="0.25">
      <c r="A1557"/>
      <c r="B1557"/>
    </row>
    <row r="1558" spans="1:2" ht="15" x14ac:dyDescent="0.25">
      <c r="A1558"/>
      <c r="B1558"/>
    </row>
    <row r="1559" spans="1:2" ht="15" x14ac:dyDescent="0.25">
      <c r="A1559"/>
      <c r="B1559"/>
    </row>
    <row r="1560" spans="1:2" ht="15" x14ac:dyDescent="0.25">
      <c r="A1560"/>
      <c r="B1560"/>
    </row>
    <row r="1561" spans="1:2" ht="15" x14ac:dyDescent="0.25">
      <c r="A1561"/>
      <c r="B1561"/>
    </row>
  </sheetData>
  <mergeCells count="434">
    <mergeCell ref="D866:D867"/>
    <mergeCell ref="D868:D869"/>
    <mergeCell ref="D854:D855"/>
    <mergeCell ref="D856:D857"/>
    <mergeCell ref="D858:D859"/>
    <mergeCell ref="D860:D861"/>
    <mergeCell ref="D862:D863"/>
    <mergeCell ref="D864:D865"/>
    <mergeCell ref="D842:D843"/>
    <mergeCell ref="D844:D845"/>
    <mergeCell ref="D846:D847"/>
    <mergeCell ref="D848:D849"/>
    <mergeCell ref="D850:D851"/>
    <mergeCell ref="D852:D853"/>
    <mergeCell ref="D830:D831"/>
    <mergeCell ref="D832:D833"/>
    <mergeCell ref="D834:D835"/>
    <mergeCell ref="D836:D837"/>
    <mergeCell ref="D838:D839"/>
    <mergeCell ref="D840:D841"/>
    <mergeCell ref="D818:D819"/>
    <mergeCell ref="D820:D821"/>
    <mergeCell ref="D822:D823"/>
    <mergeCell ref="D824:D825"/>
    <mergeCell ref="D826:D827"/>
    <mergeCell ref="D828:D829"/>
    <mergeCell ref="D806:D807"/>
    <mergeCell ref="D808:D809"/>
    <mergeCell ref="D810:D811"/>
    <mergeCell ref="D812:D813"/>
    <mergeCell ref="D814:D815"/>
    <mergeCell ref="D816:D817"/>
    <mergeCell ref="D794:D795"/>
    <mergeCell ref="D796:D797"/>
    <mergeCell ref="D798:D799"/>
    <mergeCell ref="D800:D801"/>
    <mergeCell ref="D802:D803"/>
    <mergeCell ref="D804:D805"/>
    <mergeCell ref="D782:D783"/>
    <mergeCell ref="D784:D785"/>
    <mergeCell ref="D786:D787"/>
    <mergeCell ref="D788:D789"/>
    <mergeCell ref="D790:D791"/>
    <mergeCell ref="D792:D793"/>
    <mergeCell ref="D770:D771"/>
    <mergeCell ref="D772:D773"/>
    <mergeCell ref="D774:D775"/>
    <mergeCell ref="D776:D777"/>
    <mergeCell ref="D778:D779"/>
    <mergeCell ref="D780:D781"/>
    <mergeCell ref="D758:D759"/>
    <mergeCell ref="D760:D761"/>
    <mergeCell ref="D762:D763"/>
    <mergeCell ref="D764:D765"/>
    <mergeCell ref="D766:D767"/>
    <mergeCell ref="D768:D769"/>
    <mergeCell ref="D746:D747"/>
    <mergeCell ref="D748:D749"/>
    <mergeCell ref="D750:D751"/>
    <mergeCell ref="D752:D753"/>
    <mergeCell ref="D754:D755"/>
    <mergeCell ref="D756:D757"/>
    <mergeCell ref="D734:D735"/>
    <mergeCell ref="D736:D737"/>
    <mergeCell ref="D738:D739"/>
    <mergeCell ref="D740:D741"/>
    <mergeCell ref="D742:D743"/>
    <mergeCell ref="D744:D745"/>
    <mergeCell ref="D722:D723"/>
    <mergeCell ref="D724:D725"/>
    <mergeCell ref="D726:D727"/>
    <mergeCell ref="D728:D729"/>
    <mergeCell ref="D730:D731"/>
    <mergeCell ref="D732:D733"/>
    <mergeCell ref="D710:D711"/>
    <mergeCell ref="D712:D713"/>
    <mergeCell ref="D714:D715"/>
    <mergeCell ref="D716:D717"/>
    <mergeCell ref="D718:D719"/>
    <mergeCell ref="D720:D721"/>
    <mergeCell ref="D698:D699"/>
    <mergeCell ref="D700:D701"/>
    <mergeCell ref="D702:D703"/>
    <mergeCell ref="D704:D705"/>
    <mergeCell ref="D706:D707"/>
    <mergeCell ref="D708:D709"/>
    <mergeCell ref="D686:D687"/>
    <mergeCell ref="D688:D689"/>
    <mergeCell ref="D690:D691"/>
    <mergeCell ref="D692:D693"/>
    <mergeCell ref="D694:D695"/>
    <mergeCell ref="D696:D697"/>
    <mergeCell ref="D674:D675"/>
    <mergeCell ref="D676:D677"/>
    <mergeCell ref="D678:D679"/>
    <mergeCell ref="D680:D681"/>
    <mergeCell ref="D682:D683"/>
    <mergeCell ref="D684:D685"/>
    <mergeCell ref="D662:D663"/>
    <mergeCell ref="D664:D665"/>
    <mergeCell ref="D666:D667"/>
    <mergeCell ref="D668:D669"/>
    <mergeCell ref="D670:D671"/>
    <mergeCell ref="D672:D673"/>
    <mergeCell ref="D650:D651"/>
    <mergeCell ref="D652:D653"/>
    <mergeCell ref="D654:D655"/>
    <mergeCell ref="D656:D657"/>
    <mergeCell ref="D658:D659"/>
    <mergeCell ref="D660:D661"/>
    <mergeCell ref="D638:D639"/>
    <mergeCell ref="D640:D641"/>
    <mergeCell ref="D642:D643"/>
    <mergeCell ref="D644:D645"/>
    <mergeCell ref="D646:D647"/>
    <mergeCell ref="D648:D649"/>
    <mergeCell ref="D626:D627"/>
    <mergeCell ref="D628:D629"/>
    <mergeCell ref="D630:D631"/>
    <mergeCell ref="D632:D633"/>
    <mergeCell ref="D634:D635"/>
    <mergeCell ref="D636:D637"/>
    <mergeCell ref="D614:D615"/>
    <mergeCell ref="D616:D617"/>
    <mergeCell ref="D618:D619"/>
    <mergeCell ref="D620:D621"/>
    <mergeCell ref="D622:D623"/>
    <mergeCell ref="D624:D625"/>
    <mergeCell ref="D602:D603"/>
    <mergeCell ref="D604:D605"/>
    <mergeCell ref="D606:D607"/>
    <mergeCell ref="D608:D609"/>
    <mergeCell ref="D610:D611"/>
    <mergeCell ref="D612:D613"/>
    <mergeCell ref="D590:D591"/>
    <mergeCell ref="D592:D593"/>
    <mergeCell ref="D594:D595"/>
    <mergeCell ref="D596:D597"/>
    <mergeCell ref="D598:D599"/>
    <mergeCell ref="D600:D601"/>
    <mergeCell ref="D578:D579"/>
    <mergeCell ref="D580:D581"/>
    <mergeCell ref="D582:D583"/>
    <mergeCell ref="D584:D585"/>
    <mergeCell ref="D586:D587"/>
    <mergeCell ref="D588:D589"/>
    <mergeCell ref="D566:D567"/>
    <mergeCell ref="D568:D569"/>
    <mergeCell ref="D570:D571"/>
    <mergeCell ref="D572:D573"/>
    <mergeCell ref="D574:D575"/>
    <mergeCell ref="D576:D577"/>
    <mergeCell ref="D554:D555"/>
    <mergeCell ref="D556:D557"/>
    <mergeCell ref="D558:D559"/>
    <mergeCell ref="D560:D561"/>
    <mergeCell ref="D562:D563"/>
    <mergeCell ref="D564:D565"/>
    <mergeCell ref="D542:D543"/>
    <mergeCell ref="D544:D545"/>
    <mergeCell ref="D546:D547"/>
    <mergeCell ref="D548:D549"/>
    <mergeCell ref="D550:D551"/>
    <mergeCell ref="D552:D553"/>
    <mergeCell ref="D530:D531"/>
    <mergeCell ref="D532:D533"/>
    <mergeCell ref="D534:D535"/>
    <mergeCell ref="D536:D537"/>
    <mergeCell ref="D538:D539"/>
    <mergeCell ref="D540:D541"/>
    <mergeCell ref="D518:D519"/>
    <mergeCell ref="D520:D521"/>
    <mergeCell ref="D522:D523"/>
    <mergeCell ref="D524:D525"/>
    <mergeCell ref="D526:D527"/>
    <mergeCell ref="D528:D529"/>
    <mergeCell ref="D506:D507"/>
    <mergeCell ref="D508:D509"/>
    <mergeCell ref="D510:D511"/>
    <mergeCell ref="D512:D513"/>
    <mergeCell ref="D514:D515"/>
    <mergeCell ref="D516:D517"/>
    <mergeCell ref="D494:D495"/>
    <mergeCell ref="D496:D497"/>
    <mergeCell ref="D498:D499"/>
    <mergeCell ref="D500:D501"/>
    <mergeCell ref="D502:D503"/>
    <mergeCell ref="D504:D505"/>
    <mergeCell ref="D482:D483"/>
    <mergeCell ref="D484:D485"/>
    <mergeCell ref="D486:D487"/>
    <mergeCell ref="D488:D489"/>
    <mergeCell ref="D490:D491"/>
    <mergeCell ref="D492:D493"/>
    <mergeCell ref="D470:D471"/>
    <mergeCell ref="D472:D473"/>
    <mergeCell ref="D474:D475"/>
    <mergeCell ref="D476:D477"/>
    <mergeCell ref="D478:D479"/>
    <mergeCell ref="D480:D481"/>
    <mergeCell ref="D458:D459"/>
    <mergeCell ref="D460:D461"/>
    <mergeCell ref="D462:D463"/>
    <mergeCell ref="D464:D465"/>
    <mergeCell ref="D466:D467"/>
    <mergeCell ref="D468:D469"/>
    <mergeCell ref="D446:D447"/>
    <mergeCell ref="D448:D449"/>
    <mergeCell ref="D450:D451"/>
    <mergeCell ref="D452:D453"/>
    <mergeCell ref="D454:D455"/>
    <mergeCell ref="D456:D457"/>
    <mergeCell ref="D434:D435"/>
    <mergeCell ref="D436:D437"/>
    <mergeCell ref="D438:D439"/>
    <mergeCell ref="D440:D441"/>
    <mergeCell ref="D442:D443"/>
    <mergeCell ref="D444:D445"/>
    <mergeCell ref="D422:D423"/>
    <mergeCell ref="D424:D425"/>
    <mergeCell ref="D426:D427"/>
    <mergeCell ref="D428:D429"/>
    <mergeCell ref="D430:D431"/>
    <mergeCell ref="D432:D433"/>
    <mergeCell ref="D410:D411"/>
    <mergeCell ref="D412:D413"/>
    <mergeCell ref="D414:D415"/>
    <mergeCell ref="D416:D417"/>
    <mergeCell ref="D418:D419"/>
    <mergeCell ref="D420:D421"/>
    <mergeCell ref="D398:D399"/>
    <mergeCell ref="D400:D401"/>
    <mergeCell ref="D402:D403"/>
    <mergeCell ref="D404:D405"/>
    <mergeCell ref="D406:D407"/>
    <mergeCell ref="D408:D409"/>
    <mergeCell ref="D386:D387"/>
    <mergeCell ref="D388:D389"/>
    <mergeCell ref="D390:D391"/>
    <mergeCell ref="D392:D393"/>
    <mergeCell ref="D394:D395"/>
    <mergeCell ref="D396:D397"/>
    <mergeCell ref="D374:D375"/>
    <mergeCell ref="D376:D377"/>
    <mergeCell ref="D378:D379"/>
    <mergeCell ref="D380:D381"/>
    <mergeCell ref="D382:D383"/>
    <mergeCell ref="D384:D385"/>
    <mergeCell ref="D362:D363"/>
    <mergeCell ref="D364:D365"/>
    <mergeCell ref="D366:D367"/>
    <mergeCell ref="D368:D369"/>
    <mergeCell ref="D370:D371"/>
    <mergeCell ref="D372:D373"/>
    <mergeCell ref="D350:D351"/>
    <mergeCell ref="D352:D353"/>
    <mergeCell ref="D354:D355"/>
    <mergeCell ref="D356:D357"/>
    <mergeCell ref="D358:D359"/>
    <mergeCell ref="D360:D361"/>
    <mergeCell ref="D338:D339"/>
    <mergeCell ref="D340:D341"/>
    <mergeCell ref="D342:D343"/>
    <mergeCell ref="D344:D345"/>
    <mergeCell ref="D346:D347"/>
    <mergeCell ref="D348:D349"/>
    <mergeCell ref="D326:D327"/>
    <mergeCell ref="D328:D329"/>
    <mergeCell ref="D330:D331"/>
    <mergeCell ref="D332:D333"/>
    <mergeCell ref="D334:D335"/>
    <mergeCell ref="D336:D337"/>
    <mergeCell ref="D314:D315"/>
    <mergeCell ref="D316:D317"/>
    <mergeCell ref="D318:D319"/>
    <mergeCell ref="D320:D321"/>
    <mergeCell ref="D322:D323"/>
    <mergeCell ref="D324:D325"/>
    <mergeCell ref="D302:D303"/>
    <mergeCell ref="D304:D305"/>
    <mergeCell ref="D306:D307"/>
    <mergeCell ref="D308:D309"/>
    <mergeCell ref="D310:D311"/>
    <mergeCell ref="D312:D313"/>
    <mergeCell ref="D290:D291"/>
    <mergeCell ref="D292:D293"/>
    <mergeCell ref="D294:D295"/>
    <mergeCell ref="D296:D297"/>
    <mergeCell ref="D298:D299"/>
    <mergeCell ref="D300:D301"/>
    <mergeCell ref="D278:D279"/>
    <mergeCell ref="D280:D281"/>
    <mergeCell ref="D282:D283"/>
    <mergeCell ref="D284:D285"/>
    <mergeCell ref="D286:D287"/>
    <mergeCell ref="D288:D289"/>
    <mergeCell ref="D266:D267"/>
    <mergeCell ref="D268:D269"/>
    <mergeCell ref="D270:D271"/>
    <mergeCell ref="D272:D273"/>
    <mergeCell ref="D274:D275"/>
    <mergeCell ref="D276:D277"/>
    <mergeCell ref="D254:D255"/>
    <mergeCell ref="D256:D257"/>
    <mergeCell ref="D258:D259"/>
    <mergeCell ref="D260:D261"/>
    <mergeCell ref="D262:D263"/>
    <mergeCell ref="D264:D265"/>
    <mergeCell ref="D242:D243"/>
    <mergeCell ref="D244:D245"/>
    <mergeCell ref="D246:D247"/>
    <mergeCell ref="D248:D249"/>
    <mergeCell ref="D250:D251"/>
    <mergeCell ref="D252:D253"/>
    <mergeCell ref="D230:D231"/>
    <mergeCell ref="D232:D233"/>
    <mergeCell ref="D234:D235"/>
    <mergeCell ref="D236:D237"/>
    <mergeCell ref="D238:D239"/>
    <mergeCell ref="D240:D241"/>
    <mergeCell ref="D218:D219"/>
    <mergeCell ref="D220:D221"/>
    <mergeCell ref="D222:D223"/>
    <mergeCell ref="D224:D225"/>
    <mergeCell ref="D226:D227"/>
    <mergeCell ref="D228:D229"/>
    <mergeCell ref="D206:D207"/>
    <mergeCell ref="D208:D209"/>
    <mergeCell ref="D210:D211"/>
    <mergeCell ref="D212:D213"/>
    <mergeCell ref="D214:D215"/>
    <mergeCell ref="D216:D217"/>
    <mergeCell ref="D194:D195"/>
    <mergeCell ref="D196:D197"/>
    <mergeCell ref="D198:D199"/>
    <mergeCell ref="D200:D201"/>
    <mergeCell ref="D202:D203"/>
    <mergeCell ref="D204:D205"/>
    <mergeCell ref="D182:D183"/>
    <mergeCell ref="D184:D185"/>
    <mergeCell ref="D186:D187"/>
    <mergeCell ref="D188:D189"/>
    <mergeCell ref="D190:D191"/>
    <mergeCell ref="D192:D193"/>
    <mergeCell ref="D170:D171"/>
    <mergeCell ref="D172:D173"/>
    <mergeCell ref="D174:D175"/>
    <mergeCell ref="D176:D177"/>
    <mergeCell ref="D178:D179"/>
    <mergeCell ref="D180:D181"/>
    <mergeCell ref="D158:D159"/>
    <mergeCell ref="D160:D161"/>
    <mergeCell ref="D162:D163"/>
    <mergeCell ref="D164:D165"/>
    <mergeCell ref="D166:D167"/>
    <mergeCell ref="D168:D169"/>
    <mergeCell ref="D146:D147"/>
    <mergeCell ref="D148:D149"/>
    <mergeCell ref="D150:D151"/>
    <mergeCell ref="D152:D153"/>
    <mergeCell ref="D154:D155"/>
    <mergeCell ref="D156:D157"/>
    <mergeCell ref="D134:D135"/>
    <mergeCell ref="D136:D137"/>
    <mergeCell ref="D138:D139"/>
    <mergeCell ref="D140:D141"/>
    <mergeCell ref="D142:D143"/>
    <mergeCell ref="D144:D145"/>
    <mergeCell ref="D122:D123"/>
    <mergeCell ref="D124:D125"/>
    <mergeCell ref="D126:D127"/>
    <mergeCell ref="D128:D129"/>
    <mergeCell ref="D130:D131"/>
    <mergeCell ref="D132:D133"/>
    <mergeCell ref="D110:D111"/>
    <mergeCell ref="D112:D113"/>
    <mergeCell ref="D114:D115"/>
    <mergeCell ref="D116:D117"/>
    <mergeCell ref="D118:D119"/>
    <mergeCell ref="D120:D121"/>
    <mergeCell ref="D98:D99"/>
    <mergeCell ref="D100:D101"/>
    <mergeCell ref="D102:D103"/>
    <mergeCell ref="D104:D105"/>
    <mergeCell ref="D106:D107"/>
    <mergeCell ref="D108:D109"/>
    <mergeCell ref="D86:D87"/>
    <mergeCell ref="D88:D89"/>
    <mergeCell ref="D90:D91"/>
    <mergeCell ref="D92:D93"/>
    <mergeCell ref="D94:D95"/>
    <mergeCell ref="D96:D97"/>
    <mergeCell ref="D74:D75"/>
    <mergeCell ref="D76:D77"/>
    <mergeCell ref="D78:D79"/>
    <mergeCell ref="D80:D81"/>
    <mergeCell ref="D82:D83"/>
    <mergeCell ref="D84:D85"/>
    <mergeCell ref="D62:D63"/>
    <mergeCell ref="D64:D65"/>
    <mergeCell ref="D66:D67"/>
    <mergeCell ref="D68:D69"/>
    <mergeCell ref="D70:D71"/>
    <mergeCell ref="D72:D73"/>
    <mergeCell ref="D50:D51"/>
    <mergeCell ref="D52:D53"/>
    <mergeCell ref="D54:D55"/>
    <mergeCell ref="D56:D57"/>
    <mergeCell ref="D58:D59"/>
    <mergeCell ref="D60:D61"/>
    <mergeCell ref="D38:D39"/>
    <mergeCell ref="D40:D41"/>
    <mergeCell ref="D42:D43"/>
    <mergeCell ref="D44:D45"/>
    <mergeCell ref="D46:D47"/>
    <mergeCell ref="D48:D49"/>
    <mergeCell ref="D26:D27"/>
    <mergeCell ref="D28:D29"/>
    <mergeCell ref="D30:D31"/>
    <mergeCell ref="D32:D33"/>
    <mergeCell ref="D34:D35"/>
    <mergeCell ref="D36:D37"/>
    <mergeCell ref="D14:D15"/>
    <mergeCell ref="D16:D17"/>
    <mergeCell ref="D18:D19"/>
    <mergeCell ref="D20:D21"/>
    <mergeCell ref="D22:D23"/>
    <mergeCell ref="D24:D25"/>
    <mergeCell ref="D2:D3"/>
    <mergeCell ref="D4:D5"/>
    <mergeCell ref="D6:D7"/>
    <mergeCell ref="D8:D9"/>
    <mergeCell ref="D10:D11"/>
    <mergeCell ref="D12:D13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topLeftCell="A103" workbookViewId="0">
      <selection activeCell="G699" sqref="G699"/>
    </sheetView>
  </sheetViews>
  <sheetFormatPr defaultRowHeight="15" x14ac:dyDescent="0.25"/>
  <cols>
    <col min="1" max="1" width="19.875" style="14" customWidth="1"/>
    <col min="6" max="6" width="35.125" customWidth="1"/>
    <col min="7" max="7" width="31.375" style="11" customWidth="1"/>
    <col min="13" max="13" width="28.75" customWidth="1"/>
  </cols>
  <sheetData>
    <row r="1" spans="1:13" x14ac:dyDescent="0.25">
      <c r="A1" s="13" t="str">
        <f>HYPERLINK("https://www.youtube.com/watch?v=e_dFFaECK5E","Video Lesson 4")</f>
        <v>Video Lesson 4</v>
      </c>
      <c r="B1" t="s">
        <v>324</v>
      </c>
      <c r="C1" t="s">
        <v>330</v>
      </c>
      <c r="D1">
        <v>1</v>
      </c>
      <c r="E1">
        <v>1</v>
      </c>
      <c r="F1" s="12" t="str">
        <f>HYPERLINK("https://www.youtube.com/watch?v=YMwQ4agNMPI","Video Lesson '2nd Valentine'")</f>
        <v>Video Lesson '2nd Valentine'</v>
      </c>
      <c r="G1" t="s">
        <v>448</v>
      </c>
      <c r="H1" s="11" t="s">
        <v>440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2" t="str">
        <f>HYPERLINK("https://www.youtube.com/watch?v=EWu4a7ogxVA","Video Lesson 'Improvisation'")</f>
        <v>Video Lesson 'Improvisation'</v>
      </c>
      <c r="G2" t="s">
        <v>449</v>
      </c>
      <c r="H2" s="11" t="s">
        <v>446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3" t="str">
        <f>HYPERLINK("https://www.youtube.com/watch?v=e_dFFaECK5E","Video Lesson 4")</f>
        <v>Video Lesson 4</v>
      </c>
      <c r="B3" t="s">
        <v>324</v>
      </c>
      <c r="C3" t="s">
        <v>330</v>
      </c>
      <c r="D3">
        <v>2</v>
      </c>
      <c r="E3">
        <v>2</v>
      </c>
      <c r="F3" s="12" t="str">
        <f>HYPERLINK("https://www.youtube.com/watch?v=QAEGmTKhMo4","Video Lesson 'Valentine'")</f>
        <v>Video Lesson 'Valentine'</v>
      </c>
      <c r="G3" t="s">
        <v>450</v>
      </c>
      <c r="H3" s="11" t="s">
        <v>420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2" t="str">
        <f>HYPERLINK("https://www.youtube.com/watch?v=7iovf94e4uU","Video Lesson 1")</f>
        <v>Video Lesson 1</v>
      </c>
      <c r="G4" t="s">
        <v>409</v>
      </c>
      <c r="H4" s="11" t="s">
        <v>418</v>
      </c>
      <c r="M4" t="str">
        <f t="shared" si="0"/>
        <v>=hyperlink("https://www.youtube.com/watch?v=7iovf94e4uU","Video Lesson 1")</v>
      </c>
    </row>
    <row r="5" spans="1:13" x14ac:dyDescent="0.25">
      <c r="A5" s="13" t="str">
        <f>HYPERLINK("https://www.youtube.com/watch?v=e_dFFaECK5E","Video Lesson 4")</f>
        <v>Video Lesson 4</v>
      </c>
      <c r="B5" t="s">
        <v>324</v>
      </c>
      <c r="C5" t="s">
        <v>330</v>
      </c>
      <c r="D5">
        <v>3</v>
      </c>
      <c r="E5">
        <v>3</v>
      </c>
      <c r="F5" s="12" t="str">
        <f>HYPERLINK("https://www.youtube.com/watch?v=Ivl-D6m04C4","Video Lesson 10")</f>
        <v>Video Lesson 10</v>
      </c>
      <c r="G5" t="s">
        <v>404</v>
      </c>
      <c r="H5" s="11" t="s">
        <v>431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2" t="str">
        <f>HYPERLINK("https://www.youtube.com/watch?v=1G46tEJOrww","Video Lesson 11")</f>
        <v>Video Lesson 11</v>
      </c>
      <c r="G6" t="s">
        <v>408</v>
      </c>
      <c r="H6" s="11" t="s">
        <v>432</v>
      </c>
      <c r="M6" t="str">
        <f t="shared" si="0"/>
        <v>=hyperlink("https://www.youtube.com/watch?v=1G46tEJOrww","Video Lesson 11")</v>
      </c>
    </row>
    <row r="7" spans="1:13" x14ac:dyDescent="0.25">
      <c r="A7" s="13" t="str">
        <f>HYPERLINK("https://www.youtube.com/watch?v=e_dFFaECK5E","Video Lesson 4")</f>
        <v>Video Lesson 4</v>
      </c>
      <c r="B7" t="s">
        <v>324</v>
      </c>
      <c r="C7" t="s">
        <v>330</v>
      </c>
      <c r="D7">
        <v>4</v>
      </c>
      <c r="E7">
        <v>4</v>
      </c>
      <c r="F7" s="12" t="str">
        <f>HYPERLINK("https://www.youtube.com/watch?v=4qB8qVfkH4A","Video Lesson 12")</f>
        <v>Video Lesson 12</v>
      </c>
      <c r="G7" t="s">
        <v>413</v>
      </c>
      <c r="H7" s="11" t="s">
        <v>433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2" t="str">
        <f>HYPERLINK("https://www.youtube.com/watch?v=CuxAdMsjkyY","Video Lesson 13")</f>
        <v>Video Lesson 13</v>
      </c>
      <c r="G8" t="s">
        <v>403</v>
      </c>
      <c r="H8" s="11" t="s">
        <v>434</v>
      </c>
      <c r="M8" t="str">
        <f t="shared" si="0"/>
        <v>=hyperlink("https://www.youtube.com/watch?v=CuxAdMsjkyY","Video Lesson 13")</v>
      </c>
    </row>
    <row r="9" spans="1:13" x14ac:dyDescent="0.25">
      <c r="A9" s="13" t="str">
        <f>HYPERLINK("https://www.youtube.com/watch?v=e_dFFaECK5E","Video Lesson 4")</f>
        <v>Video Lesson 4</v>
      </c>
      <c r="B9" t="s">
        <v>324</v>
      </c>
      <c r="C9" t="s">
        <v>330</v>
      </c>
      <c r="D9">
        <v>5</v>
      </c>
      <c r="E9">
        <v>5</v>
      </c>
      <c r="F9" s="12" t="str">
        <f>HYPERLINK("https://www.youtube.com/watch?v=CIw5yuG2h7k","Video Lesson 14")</f>
        <v>Video Lesson 14</v>
      </c>
      <c r="G9" t="s">
        <v>399</v>
      </c>
      <c r="H9" s="11" t="s">
        <v>435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2" t="str">
        <f>HYPERLINK("https://www.youtube.com/watch?v=mlf3S2Z-yzM","Video Lesson 15")</f>
        <v>Video Lesson 15</v>
      </c>
      <c r="G10" t="s">
        <v>410</v>
      </c>
      <c r="H10" s="11" t="s">
        <v>436</v>
      </c>
      <c r="M10" t="str">
        <f t="shared" si="0"/>
        <v>=hyperlink("https://www.youtube.com/watch?v=mlf3S2Z-yzM","Video Lesson 15")</v>
      </c>
    </row>
    <row r="11" spans="1:13" x14ac:dyDescent="0.25">
      <c r="A11" s="13" t="str">
        <f>HYPERLINK("https://www.youtube.com/watch?v=e_dFFaECK5E","Video Lesson 4")</f>
        <v>Video Lesson 4</v>
      </c>
      <c r="B11" t="s">
        <v>324</v>
      </c>
      <c r="C11" t="s">
        <v>330</v>
      </c>
      <c r="D11">
        <v>6</v>
      </c>
      <c r="E11">
        <v>6</v>
      </c>
      <c r="F11" s="12" t="str">
        <f>HYPERLINK("https://www.youtube.com/watch?v=-9H0tokUVvc","Video Lesson 16")</f>
        <v>Video Lesson 16</v>
      </c>
      <c r="G11" t="s">
        <v>416</v>
      </c>
      <c r="H11" s="11" t="s">
        <v>437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2" t="str">
        <f>HYPERLINK("https://www.youtube.com/watch?v=FpQEAG3hsdA","Video Lesson 17")</f>
        <v>Video Lesson 17</v>
      </c>
      <c r="G12" t="s">
        <v>412</v>
      </c>
      <c r="H12" s="11" t="s">
        <v>438</v>
      </c>
      <c r="M12" t="str">
        <f t="shared" si="0"/>
        <v>=hyperlink("https://www.youtube.com/watch?v=FpQEAG3hsdA","Video Lesson 17")</v>
      </c>
    </row>
    <row r="13" spans="1:13" x14ac:dyDescent="0.25">
      <c r="A13" s="13" t="str">
        <f>HYPERLINK("https://www.youtube.com/watch?v=e_dFFaECK5E","Video Lesson 4")</f>
        <v>Video Lesson 4</v>
      </c>
      <c r="B13" t="s">
        <v>324</v>
      </c>
      <c r="C13" t="s">
        <v>330</v>
      </c>
      <c r="D13">
        <v>7</v>
      </c>
      <c r="E13">
        <v>7</v>
      </c>
      <c r="F13" s="12" t="str">
        <f>HYPERLINK("https://www.youtube.com/watch?v=Y56hvBhqBaQ","Video Lesson 18")</f>
        <v>Video Lesson 18</v>
      </c>
      <c r="G13" t="s">
        <v>415</v>
      </c>
      <c r="H13" s="11" t="s">
        <v>439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2" t="str">
        <f>HYPERLINK("https://www.youtube.com/watch?v=Xop5dt-yhOA","Video Lesson 19")</f>
        <v>Video Lesson 19</v>
      </c>
      <c r="G14" t="s">
        <v>400</v>
      </c>
      <c r="H14" t="s">
        <v>441</v>
      </c>
      <c r="M14" t="str">
        <f t="shared" si="0"/>
        <v>=hyperlink("https://www.youtube.com/watch?v=Xop5dt-yhOA","Video Lesson 19")</v>
      </c>
    </row>
    <row r="15" spans="1:13" x14ac:dyDescent="0.25">
      <c r="A15" s="13" t="str">
        <f>HYPERLINK("https://www.youtube.com/watch?v=e_dFFaECK5E","Video Lesson 4")</f>
        <v>Video Lesson 4</v>
      </c>
      <c r="B15" t="s">
        <v>324</v>
      </c>
      <c r="C15" t="s">
        <v>330</v>
      </c>
      <c r="D15">
        <v>8</v>
      </c>
      <c r="E15">
        <v>8</v>
      </c>
      <c r="F15" s="12" t="str">
        <f>HYPERLINK("https://www.youtube.com/watch?v=E-TjOWZ5YQ0","Video Lesson 2")</f>
        <v>Video Lesson 2</v>
      </c>
      <c r="G15" t="s">
        <v>405</v>
      </c>
      <c r="H15" s="12" t="s">
        <v>419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2" t="str">
        <f>HYPERLINK("https://www.youtube.com/watch?v=Sjl8iPAcNo0","Video Lesson 20")</f>
        <v>Video Lesson 20</v>
      </c>
      <c r="G16" t="s">
        <v>414</v>
      </c>
      <c r="H16" t="s">
        <v>442</v>
      </c>
      <c r="M16" t="str">
        <f t="shared" si="0"/>
        <v>=hyperlink("https://www.youtube.com/watch?v=Sjl8iPAcNo0","Video Lesson 20")</v>
      </c>
    </row>
    <row r="17" spans="1:13" x14ac:dyDescent="0.25">
      <c r="A17" s="13" t="str">
        <f>HYPERLINK("https://www.youtube.com/watch?v=e_dFFaECK5E","Video Lesson 4")</f>
        <v>Video Lesson 4</v>
      </c>
      <c r="B17" t="s">
        <v>324</v>
      </c>
      <c r="C17" t="s">
        <v>330</v>
      </c>
      <c r="D17">
        <v>9</v>
      </c>
      <c r="E17">
        <v>9</v>
      </c>
      <c r="F17" s="12" t="str">
        <f>HYPERLINK("https://www.youtube.com/watch?v=jVxw8JRCMDk","Video Lesson 21")</f>
        <v>Video Lesson 21</v>
      </c>
      <c r="G17" t="s">
        <v>397</v>
      </c>
      <c r="H17" t="s">
        <v>443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2" t="str">
        <f>HYPERLINK("https://www.youtube.com/watch?v=kLZmQK8CWFU","Video Lesson 22")</f>
        <v>Video Lesson 22</v>
      </c>
      <c r="G18" t="s">
        <v>402</v>
      </c>
      <c r="H18" t="s">
        <v>444</v>
      </c>
      <c r="M18" t="str">
        <f t="shared" si="0"/>
        <v>=hyperlink("https://www.youtube.com/watch?v=kLZmQK8CWFU","Video Lesson 22")</v>
      </c>
    </row>
    <row r="19" spans="1:13" x14ac:dyDescent="0.25">
      <c r="A19" s="13" t="str">
        <f>HYPERLINK("https://www.youtube.com/watch?v=e_dFFaECK5E","Video Lesson 4")</f>
        <v>Video Lesson 4</v>
      </c>
      <c r="B19" t="s">
        <v>324</v>
      </c>
      <c r="C19" t="s">
        <v>330</v>
      </c>
      <c r="D19">
        <v>10</v>
      </c>
      <c r="E19">
        <v>10</v>
      </c>
      <c r="F19" s="12" t="str">
        <f>HYPERLINK("https://www.youtube.com/watch?v=RmEAQDsTTaE","Video Lesson 23")</f>
        <v>Video Lesson 23</v>
      </c>
      <c r="G19" t="s">
        <v>401</v>
      </c>
      <c r="H19" s="12" t="s">
        <v>445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2" t="str">
        <f>HYPERLINK("https://www.youtube.com/watch?v=M-mxlyVa6iM","Video Lesson 24")</f>
        <v>Video Lesson 24</v>
      </c>
      <c r="G20" t="s">
        <v>395</v>
      </c>
      <c r="H20" t="s">
        <v>447</v>
      </c>
      <c r="M20" t="str">
        <f t="shared" si="0"/>
        <v>=hyperlink("https://www.youtube.com/watch?v=M-mxlyVa6iM","Video Lesson 24")</v>
      </c>
    </row>
    <row r="21" spans="1:13" x14ac:dyDescent="0.25">
      <c r="A21" s="13" t="str">
        <f>HYPERLINK("https://www.youtube.com/watch?v=e_dFFaECK5E","Video Lesson 4")</f>
        <v>Video Lesson 4</v>
      </c>
      <c r="B21" t="s">
        <v>324</v>
      </c>
      <c r="C21" t="s">
        <v>330</v>
      </c>
      <c r="D21">
        <v>11</v>
      </c>
      <c r="E21">
        <v>11</v>
      </c>
      <c r="F21" s="12" t="str">
        <f>HYPERLINK("https://www.youtube.com/watch?v=QXklxwQ4px8","Video Lesson 3.1")</f>
        <v>Video Lesson 3.1</v>
      </c>
      <c r="G21" t="s">
        <v>422</v>
      </c>
      <c r="H21" t="s">
        <v>423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2" t="str">
        <f>HYPERLINK("https://www.youtube.com/watch?v=bbpaAUOv8dE","Video Lesson 3.2")</f>
        <v>Video Lesson 3.2</v>
      </c>
      <c r="G22" t="s">
        <v>421</v>
      </c>
      <c r="H22" t="s">
        <v>424</v>
      </c>
      <c r="M22" t="str">
        <f t="shared" si="0"/>
        <v>=hyperlink("https://www.youtube.com/watch?v=bbpaAUOv8dE","Video Lesson 3.2")</v>
      </c>
    </row>
    <row r="23" spans="1:13" x14ac:dyDescent="0.25">
      <c r="A23" s="13" t="str">
        <f>HYPERLINK("https://www.youtube.com/watch?v=CIw5yuG2h7k","Video Lesson 14")</f>
        <v>Video Lesson 14</v>
      </c>
      <c r="B23" t="s">
        <v>324</v>
      </c>
      <c r="C23" t="s">
        <v>331</v>
      </c>
      <c r="D23">
        <v>1</v>
      </c>
      <c r="E23">
        <v>12</v>
      </c>
      <c r="F23" s="12" t="str">
        <f>HYPERLINK("https://www.youtube.com/watch?v=e_dFFaECK5E","Video Lesson 4")</f>
        <v>Video Lesson 4</v>
      </c>
      <c r="G23" t="s">
        <v>398</v>
      </c>
      <c r="H23" t="s">
        <v>425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2" t="str">
        <f>HYPERLINK("https://www.youtube.com/watch?v=HPUSR1ERIv0","Video Lesson 5")</f>
        <v>Video Lesson 5</v>
      </c>
      <c r="G24" t="s">
        <v>406</v>
      </c>
      <c r="H24" t="s">
        <v>426</v>
      </c>
      <c r="M24" t="str">
        <f t="shared" si="0"/>
        <v>=hyperlink("https://www.youtube.com/watch?v=HPUSR1ERIv0","Video Lesson 5")</v>
      </c>
    </row>
    <row r="25" spans="1:13" x14ac:dyDescent="0.25">
      <c r="A25" s="13" t="str">
        <f>HYPERLINK("https://www.youtube.com/watch?v=CIw5yuG2h7k","Video Lesson 14")</f>
        <v>Video Lesson 14</v>
      </c>
      <c r="B25" t="s">
        <v>324</v>
      </c>
      <c r="C25" t="s">
        <v>331</v>
      </c>
      <c r="D25">
        <v>2</v>
      </c>
      <c r="E25">
        <v>13</v>
      </c>
      <c r="F25" s="12" t="str">
        <f>HYPERLINK("https://www.youtube.com/watch?v=DfQwYS9JfME","Video Lesson 6")</f>
        <v>Video Lesson 6</v>
      </c>
      <c r="G25" t="s">
        <v>417</v>
      </c>
      <c r="H25" t="s">
        <v>427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2" t="str">
        <f>HYPERLINK("https://www.youtube.com/watch?v=kN_Mk1vvvzI","Video Lesson 7")</f>
        <v>Video Lesson 7</v>
      </c>
      <c r="G26" t="s">
        <v>411</v>
      </c>
      <c r="H26" t="s">
        <v>428</v>
      </c>
      <c r="M26" t="str">
        <f t="shared" si="0"/>
        <v>=hyperlink("https://www.youtube.com/watch?v=kN_Mk1vvvzI","Video Lesson 7")</v>
      </c>
    </row>
    <row r="27" spans="1:13" x14ac:dyDescent="0.25">
      <c r="A27" s="13" t="str">
        <f>HYPERLINK("https://www.youtube.com/watch?v=CIw5yuG2h7k","Video Lesson 14")</f>
        <v>Video Lesson 14</v>
      </c>
      <c r="B27" t="s">
        <v>324</v>
      </c>
      <c r="C27" t="s">
        <v>331</v>
      </c>
      <c r="D27">
        <v>3</v>
      </c>
      <c r="E27">
        <v>14</v>
      </c>
      <c r="F27" s="12" t="str">
        <f>HYPERLINK("https://www.youtube.com/watch?v=SGeR9HfhVRA","Video Lesson 8")</f>
        <v>Video Lesson 8</v>
      </c>
      <c r="G27" t="s">
        <v>396</v>
      </c>
      <c r="H27" s="12" t="s">
        <v>429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2" t="str">
        <f>HYPERLINK("https://www.youtube.com/watch?v=KUWhrhaqHsg","Video Lesson 9")</f>
        <v>Video Lesson 9</v>
      </c>
      <c r="G28" t="s">
        <v>407</v>
      </c>
      <c r="H28" t="s">
        <v>430</v>
      </c>
      <c r="M28" t="str">
        <f t="shared" si="0"/>
        <v>=hyperlink("https://www.youtube.com/watch?v=KUWhrhaqHsg","Video Lesson 9")</v>
      </c>
    </row>
    <row r="29" spans="1:13" x14ac:dyDescent="0.25">
      <c r="A29" s="13" t="str">
        <f>HYPERLINK("https://www.youtube.com/watch?v=CIw5yuG2h7k","Video Lesson 14")</f>
        <v>Video Lesson 14</v>
      </c>
      <c r="B29" t="s">
        <v>324</v>
      </c>
      <c r="C29" t="s">
        <v>331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3" t="str">
        <f>HYPERLINK("https://www.youtube.com/watch?v=CIw5yuG2h7k","Video Lesson 14")</f>
        <v>Video Lesson 14</v>
      </c>
      <c r="B31" t="s">
        <v>324</v>
      </c>
      <c r="C31" t="s">
        <v>331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3" t="str">
        <f>HYPERLINK("https://www.youtube.com/watch?v=CIw5yuG2h7k","Video Lesson 14")</f>
        <v>Video Lesson 14</v>
      </c>
      <c r="B33" t="s">
        <v>324</v>
      </c>
      <c r="C33" t="s">
        <v>331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3" t="str">
        <f>HYPERLINK("https://www.youtube.com/watch?v=CIw5yuG2h7k","Video Lesson 14")</f>
        <v>Video Lesson 14</v>
      </c>
      <c r="B35" t="s">
        <v>324</v>
      </c>
      <c r="C35" t="s">
        <v>331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3" t="str">
        <f>HYPERLINK("https://www.youtube.com/watch?v=kN_Mk1vvvzI","Video Lesson 7")</f>
        <v>Video Lesson 7</v>
      </c>
      <c r="B37" t="s">
        <v>324</v>
      </c>
      <c r="C37" t="s">
        <v>331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3" t="str">
        <f>HYPERLINK("https://www.youtube.com/watch?v=kN_Mk1vvvzI","Video Lesson 7")</f>
        <v>Video Lesson 7</v>
      </c>
      <c r="B39" t="s">
        <v>324</v>
      </c>
      <c r="C39" t="s">
        <v>331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3" t="str">
        <f>HYPERLINK("https://www.youtube.com/watch?v=kN_Mk1vvvzI","Video Lesson 7")</f>
        <v>Video Lesson 7</v>
      </c>
      <c r="B41" t="s">
        <v>324</v>
      </c>
      <c r="C41" t="s">
        <v>331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3" t="str">
        <f>HYPERLINK("https://www.youtube.com/watch?v=kN_Mk1vvvzI","Video Lesson 7")</f>
        <v>Video Lesson 7</v>
      </c>
      <c r="B43" t="s">
        <v>324</v>
      </c>
      <c r="C43" t="s">
        <v>331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3" t="str">
        <f>HYPERLINK("https://www.youtube.com/watch?v=kN_Mk1vvvzI","Video Lesson 7")</f>
        <v>Video Lesson 7</v>
      </c>
      <c r="B45" t="s">
        <v>324</v>
      </c>
      <c r="C45" t="s">
        <v>331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3" t="str">
        <f>HYPERLINK("https://www.youtube.com/watch?v=Xop5dt-yhOA","Video Lesson 19")</f>
        <v>Video Lesson 19</v>
      </c>
      <c r="B47" t="s">
        <v>324</v>
      </c>
      <c r="C47" t="s">
        <v>331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3" t="str">
        <f>HYPERLINK("https://www.youtube.com/watch?v=jVxw8JRCMDk","Video Lesson 21")</f>
        <v>Video Lesson 21</v>
      </c>
      <c r="B49" t="s">
        <v>324</v>
      </c>
      <c r="C49" t="s">
        <v>331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3" t="str">
        <f>HYPERLINK("https://www.youtube.com/watch?v=kN_Mk1vvvzI","Video Lesson 7")</f>
        <v>Video Lesson 7</v>
      </c>
      <c r="B51" t="s">
        <v>324</v>
      </c>
      <c r="C51" t="s">
        <v>331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3" t="str">
        <f>HYPERLINK("https://www.youtube.com/watch?v=kN_Mk1vvvzI","Video Lesson 7")</f>
        <v>Video Lesson 7</v>
      </c>
      <c r="B53" t="s">
        <v>324</v>
      </c>
      <c r="C53" t="s">
        <v>331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3" t="str">
        <f>HYPERLINK("https://www.youtube.com/watch?v=kN_Mk1vvvzI","Video Lesson 7")</f>
        <v>Video Lesson 7</v>
      </c>
      <c r="B55" t="s">
        <v>324</v>
      </c>
      <c r="C55" t="s">
        <v>331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3" t="str">
        <f>HYPERLINK("https://www.youtube.com/watch?v=RmEAQDsTTaE","Video Lesson 23")</f>
        <v>Video Lesson 23</v>
      </c>
      <c r="B57" t="s">
        <v>324</v>
      </c>
      <c r="C57" t="s">
        <v>331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3" t="str">
        <f>HYPERLINK("https://www.youtube.com/watch?v=kN_Mk1vvvzI","Video Lesson 7")</f>
        <v>Video Lesson 7</v>
      </c>
      <c r="B59" t="s">
        <v>324</v>
      </c>
      <c r="C59" t="s">
        <v>331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3" t="str">
        <f>HYPERLINK("https://www.youtube.com/watch?v=kN_Mk1vvvzI","Video Lesson 7")</f>
        <v>Video Lesson 7</v>
      </c>
      <c r="B61" t="s">
        <v>324</v>
      </c>
      <c r="C61" t="s">
        <v>331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3" t="str">
        <f>HYPERLINK("https://www.youtube.com/watch?v=kN_Mk1vvvzI","Video Lesson 7")</f>
        <v>Video Lesson 7</v>
      </c>
      <c r="B63" t="s">
        <v>324</v>
      </c>
      <c r="C63" t="s">
        <v>331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3" t="str">
        <f>HYPERLINK("https://www.youtube.com/watch?v=kN_Mk1vvvzI","Video Lesson 7")</f>
        <v>Video Lesson 7</v>
      </c>
      <c r="B65" t="s">
        <v>324</v>
      </c>
      <c r="C65" t="s">
        <v>331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3" t="str">
        <f>HYPERLINK("https://www.youtube.com/watch?v=kLZmQK8CWFU","Video Lesson 22")</f>
        <v>Video Lesson 22</v>
      </c>
      <c r="B67" t="s">
        <v>324</v>
      </c>
      <c r="C67" t="s">
        <v>332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3" t="str">
        <f>HYPERLINK("https://www.youtube.com/watch?v=kLZmQK8CWFU","Video Lesson 22")</f>
        <v>Video Lesson 22</v>
      </c>
      <c r="B69" t="s">
        <v>324</v>
      </c>
      <c r="C69" t="s">
        <v>332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3" t="str">
        <f>HYPERLINK("https://www.youtube.com/watch?v=kLZmQK8CWFU","Video Lesson 22")</f>
        <v>Video Lesson 22</v>
      </c>
      <c r="B71" t="s">
        <v>324</v>
      </c>
      <c r="C71" t="s">
        <v>332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3" t="str">
        <f>HYPERLINK("https://www.youtube.com/watch?v=kLZmQK8CWFU","Video Lesson 22")</f>
        <v>Video Lesson 22</v>
      </c>
      <c r="B73" t="s">
        <v>324</v>
      </c>
      <c r="C73" t="s">
        <v>332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3" t="str">
        <f>HYPERLINK("https://www.youtube.com/watch?v=kLZmQK8CWFU","Video Lesson 22")</f>
        <v>Video Lesson 22</v>
      </c>
      <c r="B75" t="s">
        <v>324</v>
      </c>
      <c r="C75" t="s">
        <v>332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3" t="str">
        <f>HYPERLINK("https://www.youtube.com/watch?v=kLZmQK8CWFU","Video Lesson 22")</f>
        <v>Video Lesson 22</v>
      </c>
      <c r="B77" t="s">
        <v>324</v>
      </c>
      <c r="C77" t="s">
        <v>332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3" t="str">
        <f>HYPERLINK("https://www.youtube.com/watch?v=kLZmQK8CWFU","Video Lesson 22")</f>
        <v>Video Lesson 22</v>
      </c>
      <c r="B79" t="s">
        <v>324</v>
      </c>
      <c r="C79" t="s">
        <v>332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3" t="str">
        <f>HYPERLINK("https://www.youtube.com/watch?v=kLZmQK8CWFU","Video Lesson 22")</f>
        <v>Video Lesson 22</v>
      </c>
      <c r="B81" t="s">
        <v>324</v>
      </c>
      <c r="C81" t="s">
        <v>332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3" t="str">
        <f>HYPERLINK("https://www.youtube.com/watch?v=kLZmQK8CWFU","Video Lesson 22")</f>
        <v>Video Lesson 22</v>
      </c>
      <c r="B83" t="s">
        <v>324</v>
      </c>
      <c r="C83" t="s">
        <v>332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3" t="str">
        <f>HYPERLINK("https://www.youtube.com/watch?v=kLZmQK8CWFU","Video Lesson 22")</f>
        <v>Video Lesson 22</v>
      </c>
      <c r="B85" t="s">
        <v>324</v>
      </c>
      <c r="C85" t="s">
        <v>332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3" t="str">
        <f>HYPERLINK("https://www.youtube.com/watch?v=QAEGmTKhMo4","Video Lesson 'Valentine'")</f>
        <v>Video Lesson 'Valentine'</v>
      </c>
      <c r="B87" t="s">
        <v>324</v>
      </c>
      <c r="C87" t="s">
        <v>332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3" t="str">
        <f>HYPERLINK("https://www.youtube.com/watch?v=QAEGmTKhMo4","Video Lesson 'Valentine'")</f>
        <v>Video Lesson 'Valentine'</v>
      </c>
      <c r="B89" t="s">
        <v>324</v>
      </c>
      <c r="C89" t="s">
        <v>332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3" t="str">
        <f>HYPERLINK("https://www.youtube.com/watch?v=CuxAdMsjkyY","Video Lesson 13")</f>
        <v>Video Lesson 13</v>
      </c>
      <c r="B91" t="s">
        <v>324</v>
      </c>
      <c r="C91" t="s">
        <v>333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3" t="str">
        <f>HYPERLINK("https://www.youtube.com/watch?v=CuxAdMsjkyY","Video Lesson 13")</f>
        <v>Video Lesson 13</v>
      </c>
      <c r="B93" t="s">
        <v>324</v>
      </c>
      <c r="C93" t="s">
        <v>333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3" t="str">
        <f>HYPERLINK("https://www.youtube.com/watch?v=CuxAdMsjkyY","Video Lesson 13")</f>
        <v>Video Lesson 13</v>
      </c>
      <c r="B95" t="s">
        <v>324</v>
      </c>
      <c r="C95" t="s">
        <v>333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3" t="str">
        <f>HYPERLINK("https://www.youtube.com/watch?v=CuxAdMsjkyY","Video Lesson 13")</f>
        <v>Video Lesson 13</v>
      </c>
      <c r="B97" t="s">
        <v>324</v>
      </c>
      <c r="C97" t="s">
        <v>333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3" t="str">
        <f>HYPERLINK("https://www.youtube.com/watch?v=CuxAdMsjkyY","Video Lesson 13")</f>
        <v>Video Lesson 13</v>
      </c>
      <c r="B99" t="s">
        <v>324</v>
      </c>
      <c r="C99" t="s">
        <v>333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3" t="str">
        <f>HYPERLINK("https://www.youtube.com/watch?v=CuxAdMsjkyY","Video Lesson 13")</f>
        <v>Video Lesson 13</v>
      </c>
      <c r="B101" t="s">
        <v>324</v>
      </c>
      <c r="C101" t="s">
        <v>333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3" t="str">
        <f>HYPERLINK("https://www.youtube.com/watch?v=CuxAdMsjkyY","Video Lesson 13")</f>
        <v>Video Lesson 13</v>
      </c>
      <c r="B103" t="s">
        <v>324</v>
      </c>
      <c r="C103" t="s">
        <v>333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3" t="str">
        <f>HYPERLINK("https://www.youtube.com/watch?v=Ivl-D6m04C4","Video Lesson 10")</f>
        <v>Video Lesson 10</v>
      </c>
      <c r="B105" t="s">
        <v>324</v>
      </c>
      <c r="C105" t="s">
        <v>334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3" t="str">
        <f>HYPERLINK("https://www.youtube.com/watch?v=Ivl-D6m04C4","Video Lesson 10")</f>
        <v>Video Lesson 10</v>
      </c>
      <c r="B107" t="s">
        <v>324</v>
      </c>
      <c r="C107" t="s">
        <v>334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3" t="str">
        <f>HYPERLINK("https://www.youtube.com/watch?v=Ivl-D6m04C4","Video Lesson 10")</f>
        <v>Video Lesson 10</v>
      </c>
      <c r="B109" t="s">
        <v>324</v>
      </c>
      <c r="C109" t="s">
        <v>334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3" t="str">
        <f>HYPERLINK("https://www.youtube.com/watch?v=Ivl-D6m04C4","Video Lesson 10")</f>
        <v>Video Lesson 10</v>
      </c>
      <c r="B111" t="s">
        <v>324</v>
      </c>
      <c r="C111" t="s">
        <v>334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3" t="str">
        <f>HYPERLINK("https://www.youtube.com/watch?v=Ivl-D6m04C4","Video Lesson 10")</f>
        <v>Video Lesson 10</v>
      </c>
      <c r="B113" t="s">
        <v>324</v>
      </c>
      <c r="C113" t="s">
        <v>334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3" t="str">
        <f>HYPERLINK("https://www.youtube.com/watch?v=Ivl-D6m04C4","Video Lesson 10")</f>
        <v>Video Lesson 10</v>
      </c>
      <c r="B115" t="s">
        <v>324</v>
      </c>
      <c r="C115" t="s">
        <v>334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3" t="str">
        <f>HYPERLINK("https://www.youtube.com/watch?v=Ivl-D6m04C4","Video Lesson 10")</f>
        <v>Video Lesson 10</v>
      </c>
      <c r="B117" t="s">
        <v>324</v>
      </c>
      <c r="C117" t="s">
        <v>334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3" t="str">
        <f>HYPERLINK("https://www.youtube.com/watch?v=Ivl-D6m04C4","Video Lesson 10")</f>
        <v>Video Lesson 10</v>
      </c>
      <c r="B119" t="s">
        <v>324</v>
      </c>
      <c r="C119" t="s">
        <v>334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3" t="str">
        <f>HYPERLINK("https://www.youtube.com/watch?v=Ivl-D6m04C4","Video Lesson 10")</f>
        <v>Video Lesson 10</v>
      </c>
      <c r="B121" t="s">
        <v>324</v>
      </c>
      <c r="C121" t="s">
        <v>334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3" t="str">
        <f>HYPERLINK("https://www.youtube.com/watch?v=Ivl-D6m04C4","Video Lesson 10")</f>
        <v>Video Lesson 10</v>
      </c>
      <c r="B123" t="s">
        <v>324</v>
      </c>
      <c r="C123" t="s">
        <v>334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3" t="str">
        <f>HYPERLINK("https://www.youtube.com/watch?v=Ivl-D6m04C4","Video Lesson 10")</f>
        <v>Video Lesson 10</v>
      </c>
      <c r="B125" t="s">
        <v>324</v>
      </c>
      <c r="C125" t="s">
        <v>334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3" t="str">
        <f>HYPERLINK("https://www.youtube.com/watch?v=Ivl-D6m04C4","Video Lesson 10")</f>
        <v>Video Lesson 10</v>
      </c>
      <c r="B127" t="s">
        <v>324</v>
      </c>
      <c r="C127" t="s">
        <v>334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3" t="str">
        <f>HYPERLINK("https://www.youtube.com/watch?v=Ivl-D6m04C4","Video Lesson 10")</f>
        <v>Video Lesson 10</v>
      </c>
      <c r="B129" t="s">
        <v>324</v>
      </c>
      <c r="C129" t="s">
        <v>334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3" t="str">
        <f>HYPERLINK("https://www.youtube.com/watch?v=Ivl-D6m04C4","Video Lesson 10")</f>
        <v>Video Lesson 10</v>
      </c>
      <c r="B131" t="s">
        <v>324</v>
      </c>
      <c r="C131" t="s">
        <v>334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3" t="str">
        <f>HYPERLINK("https://www.youtube.com/watch?v=Ivl-D6m04C4","Video Lesson 10")</f>
        <v>Video Lesson 10</v>
      </c>
      <c r="B133" t="s">
        <v>324</v>
      </c>
      <c r="C133" t="s">
        <v>334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3" t="str">
        <f>HYPERLINK("https://www.youtube.com/watch?v=Ivl-D6m04C4","Video Lesson 10")</f>
        <v>Video Lesson 10</v>
      </c>
      <c r="B135" t="s">
        <v>324</v>
      </c>
      <c r="C135" t="s">
        <v>334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3" t="str">
        <f>HYPERLINK("https://www.youtube.com/watch?v=Ivl-D6m04C4","Video Lesson 10")</f>
        <v>Video Lesson 10</v>
      </c>
      <c r="B137" t="s">
        <v>324</v>
      </c>
      <c r="C137" t="s">
        <v>334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3" t="str">
        <f>HYPERLINK("https://www.youtube.com/watch?v=Ivl-D6m04C4","Video Lesson 10")</f>
        <v>Video Lesson 10</v>
      </c>
      <c r="B139" t="s">
        <v>324</v>
      </c>
      <c r="C139" t="s">
        <v>334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3" t="str">
        <f>HYPERLINK("https://www.youtube.com/watch?v=Ivl-D6m04C4","Video Lesson 10")</f>
        <v>Video Lesson 10</v>
      </c>
      <c r="B141" t="s">
        <v>324</v>
      </c>
      <c r="C141" t="s">
        <v>334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3" t="str">
        <f>HYPERLINK("https://www.youtube.com/watch?v=Ivl-D6m04C4","Video Lesson 10")</f>
        <v>Video Lesson 10</v>
      </c>
      <c r="B143" t="s">
        <v>324</v>
      </c>
      <c r="C143" t="s">
        <v>334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3" t="str">
        <f>HYPERLINK("https://www.youtube.com/watch?v=Ivl-D6m04C4","Video Lesson 10")</f>
        <v>Video Lesson 10</v>
      </c>
      <c r="B145" t="s">
        <v>324</v>
      </c>
      <c r="C145" t="s">
        <v>334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3" t="str">
        <f>HYPERLINK("https://www.youtube.com/watch?v=Ivl-D6m04C4","Video Lesson 10")</f>
        <v>Video Lesson 10</v>
      </c>
      <c r="B147" t="s">
        <v>324</v>
      </c>
      <c r="C147" t="s">
        <v>334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3" t="str">
        <f>HYPERLINK("https://www.youtube.com/watch?v=Ivl-D6m04C4","Video Lesson 10")</f>
        <v>Video Lesson 10</v>
      </c>
      <c r="B149" t="s">
        <v>324</v>
      </c>
      <c r="C149" t="s">
        <v>334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3" t="str">
        <f>HYPERLINK("https://www.youtube.com/watch?v=E-TjOWZ5YQ0","Video Lesson 2")</f>
        <v>Video Lesson 2</v>
      </c>
      <c r="B151" t="s">
        <v>325</v>
      </c>
      <c r="C151" t="s">
        <v>335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3" t="str">
        <f>HYPERLINK("https://www.youtube.com/watch?v=E-TjOWZ5YQ0","Video Lesson 2")</f>
        <v>Video Lesson 2</v>
      </c>
      <c r="B153" t="s">
        <v>325</v>
      </c>
      <c r="C153" t="s">
        <v>335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3" t="str">
        <f>HYPERLINK("https://www.youtube.com/watch?v=E-TjOWZ5YQ0","Video Lesson 2")</f>
        <v>Video Lesson 2</v>
      </c>
      <c r="B155" t="s">
        <v>325</v>
      </c>
      <c r="C155" t="s">
        <v>335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3" t="str">
        <f>HYPERLINK("https://www.youtube.com/watch?v=E-TjOWZ5YQ0","Video Lesson 2")</f>
        <v>Video Lesson 2</v>
      </c>
      <c r="B157" t="s">
        <v>325</v>
      </c>
      <c r="C157" t="s">
        <v>335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3" t="str">
        <f>HYPERLINK("https://www.youtube.com/watch?v=E-TjOWZ5YQ0","Video Lesson 2")</f>
        <v>Video Lesson 2</v>
      </c>
      <c r="B159" t="s">
        <v>325</v>
      </c>
      <c r="C159" t="s">
        <v>335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3" t="str">
        <f>HYPERLINK("https://www.youtube.com/watch?v=HPUSR1ERIv0","Video Lesson 5")</f>
        <v>Video Lesson 5</v>
      </c>
      <c r="B161" t="s">
        <v>325</v>
      </c>
      <c r="C161" t="s">
        <v>336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3" t="str">
        <f>HYPERLINK("https://www.youtube.com/watch?v=HPUSR1ERIv0","Video Lesson 5")</f>
        <v>Video Lesson 5</v>
      </c>
      <c r="B163" t="s">
        <v>325</v>
      </c>
      <c r="C163" t="s">
        <v>336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3" t="str">
        <f>HYPERLINK("https://www.youtube.com/watch?v=HPUSR1ERIv0","Video Lesson 5")</f>
        <v>Video Lesson 5</v>
      </c>
      <c r="B165" t="s">
        <v>325</v>
      </c>
      <c r="C165" t="s">
        <v>336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3" t="str">
        <f>HYPERLINK("https://www.youtube.com/watch?v=HPUSR1ERIv0","Video Lesson 5")</f>
        <v>Video Lesson 5</v>
      </c>
      <c r="B167" t="s">
        <v>325</v>
      </c>
      <c r="C167" t="s">
        <v>336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3" t="str">
        <f>HYPERLINK("https://www.youtube.com/watch?v=HPUSR1ERIv0","Video Lesson 5")</f>
        <v>Video Lesson 5</v>
      </c>
      <c r="B169" t="s">
        <v>325</v>
      </c>
      <c r="C169" t="s">
        <v>336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3" t="str">
        <f>HYPERLINK("https://www.youtube.com/watch?v=HPUSR1ERIv0","Video Lesson 5")</f>
        <v>Video Lesson 5</v>
      </c>
      <c r="B171" t="s">
        <v>325</v>
      </c>
      <c r="C171" t="s">
        <v>336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3" t="str">
        <f>HYPERLINK("https://www.youtube.com/watch?v=HPUSR1ERIv0","Video Lesson 5")</f>
        <v>Video Lesson 5</v>
      </c>
      <c r="B173" t="s">
        <v>325</v>
      </c>
      <c r="C173" t="s">
        <v>336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3" t="str">
        <f>HYPERLINK("https://www.youtube.com/watch?v=HPUSR1ERIv0","Video Lesson 5")</f>
        <v>Video Lesson 5</v>
      </c>
      <c r="B175" t="s">
        <v>325</v>
      </c>
      <c r="C175" t="s">
        <v>336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3" t="str">
        <f>HYPERLINK("https://www.youtube.com/watch?v=HPUSR1ERIv0","Video Lesson 5")</f>
        <v>Video Lesson 5</v>
      </c>
      <c r="B177" t="s">
        <v>325</v>
      </c>
      <c r="C177" t="s">
        <v>336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3" t="str">
        <f>HYPERLINK("https://www.youtube.com/watch?v=bbpaAUOv8dE","Video Lesson 3.2")</f>
        <v>Video Lesson 3.2</v>
      </c>
      <c r="B179" t="s">
        <v>325</v>
      </c>
      <c r="C179" t="s">
        <v>336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3" t="str">
        <f>HYPERLINK("https://www.youtube.com/watch?v=HPUSR1ERIv0","Video Lesson 5")</f>
        <v>Video Lesson 5</v>
      </c>
      <c r="B181" t="s">
        <v>325</v>
      </c>
      <c r="C181" t="s">
        <v>336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3" t="str">
        <f>HYPERLINK("https://www.youtube.com/watch?v=bbpaAUOv8dE","Video Lesson 3.2")</f>
        <v>Video Lesson 3.2</v>
      </c>
      <c r="B183" t="s">
        <v>325</v>
      </c>
      <c r="C183" t="s">
        <v>336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3" t="str">
        <f>HYPERLINK("https://www.youtube.com/watch?v=e_dFFaECK5E","Video Lesson 4")</f>
        <v>Video Lesson 4</v>
      </c>
      <c r="B185" t="s">
        <v>325</v>
      </c>
      <c r="C185" t="s">
        <v>337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3" t="str">
        <f>HYPERLINK("https://www.youtube.com/watch?v=e_dFFaECK5E","Video Lesson 4")</f>
        <v>Video Lesson 4</v>
      </c>
      <c r="B187" t="s">
        <v>325</v>
      </c>
      <c r="C187" t="s">
        <v>337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3" t="str">
        <f>HYPERLINK("https://www.youtube.com/watch?v=e_dFFaECK5E","Video Lesson 4")</f>
        <v>Video Lesson 4</v>
      </c>
      <c r="B189" t="s">
        <v>325</v>
      </c>
      <c r="C189" t="s">
        <v>337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3" t="str">
        <f>HYPERLINK("https://www.youtube.com/watch?v=e_dFFaECK5E","Video Lesson 4")</f>
        <v>Video Lesson 4</v>
      </c>
      <c r="B191" t="s">
        <v>325</v>
      </c>
      <c r="C191" t="s">
        <v>337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3" t="str">
        <f>HYPERLINK("https://www.youtube.com/watch?v=e_dFFaECK5E","Video Lesson 4")</f>
        <v>Video Lesson 4</v>
      </c>
      <c r="B193" t="s">
        <v>325</v>
      </c>
      <c r="C193" t="s">
        <v>337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3" t="str">
        <f>HYPERLINK("https://www.youtube.com/watch?v=e_dFFaECK5E","Video Lesson 4")</f>
        <v>Video Lesson 4</v>
      </c>
      <c r="B195" t="s">
        <v>325</v>
      </c>
      <c r="C195" t="s">
        <v>337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3" t="str">
        <f>HYPERLINK("https://www.youtube.com/watch?v=e_dFFaECK5E","Video Lesson 4")</f>
        <v>Video Lesson 4</v>
      </c>
      <c r="B197" t="s">
        <v>325</v>
      </c>
      <c r="C197" t="s">
        <v>337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3" t="str">
        <f>HYPERLINK("https://www.youtube.com/watch?v=e_dFFaECK5E","Video Lesson 4")</f>
        <v>Video Lesson 4</v>
      </c>
      <c r="B199" t="s">
        <v>325</v>
      </c>
      <c r="C199" t="s">
        <v>337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3" t="str">
        <f>HYPERLINK("https://www.youtube.com/watch?v=QXklxwQ4px8","Video Lesson 3.1")</f>
        <v>Video Lesson 3.1</v>
      </c>
      <c r="B201" t="s">
        <v>325</v>
      </c>
      <c r="C201" t="s">
        <v>338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3" t="str">
        <f>HYPERLINK("https://www.youtube.com/watch?v=SGeR9HfhVRA","Video Lesson 8")</f>
        <v>Video Lesson 8</v>
      </c>
      <c r="B203" t="s">
        <v>325</v>
      </c>
      <c r="C203" t="s">
        <v>338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3" t="str">
        <f>HYPERLINK("https://www.youtube.com/watch?v=QXklxwQ4px8","Video Lesson 3.1")</f>
        <v>Video Lesson 3.1</v>
      </c>
      <c r="B205" t="s">
        <v>325</v>
      </c>
      <c r="C205" t="s">
        <v>338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3" t="str">
        <f>HYPERLINK("https://www.youtube.com/watch?v=QXklxwQ4px8","Video Lesson 3.1")</f>
        <v>Video Lesson 3.1</v>
      </c>
      <c r="B207" t="s">
        <v>325</v>
      </c>
      <c r="C207" t="s">
        <v>338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3" t="str">
        <f>HYPERLINK("https://www.youtube.com/watch?v=QXklxwQ4px8","Video Lesson 3.1")</f>
        <v>Video Lesson 3.1</v>
      </c>
      <c r="B209" t="s">
        <v>325</v>
      </c>
      <c r="C209" t="s">
        <v>338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3" t="str">
        <f>HYPERLINK("https://www.youtube.com/watch?v=QXklxwQ4px8","Video Lesson 3.1")</f>
        <v>Video Lesson 3.1</v>
      </c>
      <c r="B211" t="s">
        <v>325</v>
      </c>
      <c r="C211" t="s">
        <v>338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3" t="str">
        <f>HYPERLINK("https://www.youtube.com/watch?v=SGeR9HfhVRA","Video Lesson 8")</f>
        <v>Video Lesson 8</v>
      </c>
      <c r="B213" t="s">
        <v>325</v>
      </c>
      <c r="C213" t="s">
        <v>338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3" t="str">
        <f>HYPERLINK("https://www.youtube.com/watch?v=SGeR9HfhVRA","Video Lesson 8")</f>
        <v>Video Lesson 8</v>
      </c>
      <c r="B215" t="s">
        <v>325</v>
      </c>
      <c r="C215" t="s">
        <v>338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3" t="str">
        <f>HYPERLINK("https://www.youtube.com/watch?v=SGeR9HfhVRA","Video Lesson 8")</f>
        <v>Video Lesson 8</v>
      </c>
      <c r="B217" t="s">
        <v>325</v>
      </c>
      <c r="C217" t="s">
        <v>338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3" t="str">
        <f>HYPERLINK("https://www.youtube.com/watch?v=SGeR9HfhVRA","Video Lesson 8")</f>
        <v>Video Lesson 8</v>
      </c>
      <c r="B219" t="s">
        <v>325</v>
      </c>
      <c r="C219" t="s">
        <v>338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3" t="str">
        <f>HYPERLINK("https://www.youtube.com/watch?v=SGeR9HfhVRA","Video Lesson 8")</f>
        <v>Video Lesson 8</v>
      </c>
      <c r="B221" t="s">
        <v>325</v>
      </c>
      <c r="C221" t="s">
        <v>338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3" t="str">
        <f>HYPERLINK("https://www.youtube.com/watch?v=SGeR9HfhVRA","Video Lesson 8")</f>
        <v>Video Lesson 8</v>
      </c>
      <c r="B223" t="s">
        <v>325</v>
      </c>
      <c r="C223" t="s">
        <v>338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3" t="str">
        <f>HYPERLINK("https://www.youtube.com/watch?v=SGeR9HfhVRA","Video Lesson 8")</f>
        <v>Video Lesson 8</v>
      </c>
      <c r="B225" t="s">
        <v>325</v>
      </c>
      <c r="C225" t="s">
        <v>338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3" t="str">
        <f>HYPERLINK("https://www.youtube.com/watch?v=SGeR9HfhVRA","Video Lesson 8")</f>
        <v>Video Lesson 8</v>
      </c>
      <c r="B227" t="s">
        <v>325</v>
      </c>
      <c r="C227" t="s">
        <v>338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3" t="str">
        <f>HYPERLINK("https://www.youtube.com/watch?v=1G46tEJOrww","Video Lesson 11")</f>
        <v>Video Lesson 11</v>
      </c>
      <c r="B229" t="s">
        <v>325</v>
      </c>
      <c r="C229" t="s">
        <v>339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3" t="str">
        <f>HYPERLINK("https://www.youtube.com/watch?v=1G46tEJOrww","Video Lesson 11")</f>
        <v>Video Lesson 11</v>
      </c>
      <c r="B231" t="s">
        <v>325</v>
      </c>
      <c r="C231" t="s">
        <v>339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3" t="str">
        <f>HYPERLINK("https://www.youtube.com/watch?v=1G46tEJOrww","Video Lesson 11")</f>
        <v>Video Lesson 11</v>
      </c>
      <c r="B233" t="s">
        <v>325</v>
      </c>
      <c r="C233" t="s">
        <v>339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3" t="str">
        <f>HYPERLINK("https://www.youtube.com/watch?v=1G46tEJOrww","Video Lesson 11")</f>
        <v>Video Lesson 11</v>
      </c>
      <c r="B235" t="s">
        <v>325</v>
      </c>
      <c r="C235" t="s">
        <v>339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3" t="str">
        <f>HYPERLINK("https://www.youtube.com/watch?v=1G46tEJOrww","Video Lesson 11")</f>
        <v>Video Lesson 11</v>
      </c>
      <c r="B237" t="s">
        <v>325</v>
      </c>
      <c r="C237" t="s">
        <v>339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3" t="str">
        <f>HYPERLINK("https://www.youtube.com/watch?v=1G46tEJOrww","Video Lesson 11")</f>
        <v>Video Lesson 11</v>
      </c>
      <c r="B239" t="s">
        <v>325</v>
      </c>
      <c r="C239" t="s">
        <v>339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3" t="str">
        <f>HYPERLINK("https://www.youtube.com/watch?v=E-TjOWZ5YQ0","Video Lesson 2")</f>
        <v>Video Lesson 2</v>
      </c>
      <c r="B241" t="s">
        <v>325</v>
      </c>
      <c r="C241" t="s">
        <v>339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3" t="str">
        <f>HYPERLINK("https://www.youtube.com/watch?v=1G46tEJOrww","Video Lesson 11")</f>
        <v>Video Lesson 11</v>
      </c>
      <c r="B243" t="s">
        <v>325</v>
      </c>
      <c r="C243" t="s">
        <v>339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3" t="str">
        <f>HYPERLINK("https://www.youtube.com/watch?v=1G46tEJOrww","Video Lesson 11")</f>
        <v>Video Lesson 11</v>
      </c>
      <c r="B245" t="s">
        <v>325</v>
      </c>
      <c r="C245" t="s">
        <v>339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3" t="str">
        <f>HYPERLINK("https://www.youtube.com/watch?v=1G46tEJOrww","Video Lesson 11")</f>
        <v>Video Lesson 11</v>
      </c>
      <c r="B247" t="s">
        <v>325</v>
      </c>
      <c r="C247" t="s">
        <v>339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3" t="str">
        <f>HYPERLINK("https://www.youtube.com/watch?v=1G46tEJOrww","Video Lesson 11")</f>
        <v>Video Lesson 11</v>
      </c>
      <c r="B249" t="s">
        <v>325</v>
      </c>
      <c r="C249" t="s">
        <v>339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3" t="str">
        <f>HYPERLINK("https://www.youtube.com/watch?v=1G46tEJOrww","Video Lesson 11")</f>
        <v>Video Lesson 11</v>
      </c>
      <c r="B251" t="s">
        <v>325</v>
      </c>
      <c r="C251" t="s">
        <v>339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3" t="str">
        <f>HYPERLINK("https://www.youtube.com/watch?v=1G46tEJOrww","Video Lesson 11")</f>
        <v>Video Lesson 11</v>
      </c>
      <c r="B253" t="s">
        <v>325</v>
      </c>
      <c r="C253" t="s">
        <v>339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3" t="str">
        <f>HYPERLINK("https://www.youtube.com/watch?v=1G46tEJOrww","Video Lesson 11")</f>
        <v>Video Lesson 11</v>
      </c>
      <c r="B255" t="s">
        <v>325</v>
      </c>
      <c r="C255" t="s">
        <v>339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3" t="str">
        <f>HYPERLINK("https://www.youtube.com/watch?v=7iovf94e4uU","Video Lesson 1")</f>
        <v>Video Lesson 1</v>
      </c>
      <c r="B257" t="s">
        <v>326</v>
      </c>
      <c r="C257" t="s">
        <v>340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3" t="str">
        <f>HYPERLINK("https://www.youtube.com/watch?v=KUWhrhaqHsg","Video Lesson 9")</f>
        <v>Video Lesson 9</v>
      </c>
      <c r="B259" t="s">
        <v>326</v>
      </c>
      <c r="C259" t="s">
        <v>340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3" t="str">
        <f>HYPERLINK("https://www.youtube.com/watch?v=KUWhrhaqHsg","Video Lesson 9")</f>
        <v>Video Lesson 9</v>
      </c>
      <c r="B261" t="s">
        <v>326</v>
      </c>
      <c r="C261" t="s">
        <v>340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3" t="str">
        <f>HYPERLINK("https://www.youtube.com/watch?v=KUWhrhaqHsg","Video Lesson 9")</f>
        <v>Video Lesson 9</v>
      </c>
      <c r="B263" t="s">
        <v>326</v>
      </c>
      <c r="C263" t="s">
        <v>340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3" t="str">
        <f>HYPERLINK("https://www.youtube.com/watch?v=mlf3S2Z-yzM","Video Lesson 15")</f>
        <v>Video Lesson 15</v>
      </c>
      <c r="B265" t="s">
        <v>326</v>
      </c>
      <c r="C265" t="s">
        <v>340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3" t="str">
        <f>HYPERLINK("https://www.youtube.com/watch?v=mlf3S2Z-yzM","Video Lesson 15")</f>
        <v>Video Lesson 15</v>
      </c>
      <c r="B267" t="s">
        <v>326</v>
      </c>
      <c r="C267" t="s">
        <v>340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3" t="str">
        <f>HYPERLINK("https://www.youtube.com/watch?v=7iovf94e4uU","Video Lesson 1")</f>
        <v>Video Lesson 1</v>
      </c>
      <c r="B269" t="s">
        <v>326</v>
      </c>
      <c r="C269" t="s">
        <v>340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3" t="str">
        <f>HYPERLINK("https://www.youtube.com/watch?v=7iovf94e4uU","Video Lesson 1")</f>
        <v>Video Lesson 1</v>
      </c>
      <c r="B271" t="s">
        <v>326</v>
      </c>
      <c r="C271" t="s">
        <v>340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3" t="str">
        <f>HYPERLINK("https://www.youtube.com/watch?v=mlf3S2Z-yzM","Video Lesson 15")</f>
        <v>Video Lesson 15</v>
      </c>
      <c r="B273" t="s">
        <v>326</v>
      </c>
      <c r="C273" t="s">
        <v>340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3" t="str">
        <f>HYPERLINK("https://www.youtube.com/watch?v=mlf3S2Z-yzM","Video Lesson 15")</f>
        <v>Video Lesson 15</v>
      </c>
      <c r="B275" t="s">
        <v>326</v>
      </c>
      <c r="C275" t="s">
        <v>340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3" t="str">
        <f>HYPERLINK("https://www.youtube.com/watch?v=mlf3S2Z-yzM","Video Lesson 15")</f>
        <v>Video Lesson 15</v>
      </c>
      <c r="B277" t="s">
        <v>326</v>
      </c>
      <c r="C277" t="s">
        <v>340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3" t="str">
        <f>HYPERLINK("https://www.youtube.com/watch?v=mlf3S2Z-yzM","Video Lesson 15")</f>
        <v>Video Lesson 15</v>
      </c>
      <c r="B279" t="s">
        <v>326</v>
      </c>
      <c r="C279" t="s">
        <v>340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3" t="str">
        <f>HYPERLINK("https://www.youtube.com/watch?v=mlf3S2Z-yzM","Video Lesson 15")</f>
        <v>Video Lesson 15</v>
      </c>
      <c r="B281" t="s">
        <v>326</v>
      </c>
      <c r="C281" t="s">
        <v>340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3" t="str">
        <f>HYPERLINK("https://www.youtube.com/watch?v=mlf3S2Z-yzM","Video Lesson 15")</f>
        <v>Video Lesson 15</v>
      </c>
      <c r="B283" t="s">
        <v>326</v>
      </c>
      <c r="C283" t="s">
        <v>340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3" t="str">
        <f>HYPERLINK("https://www.youtube.com/watch?v=mlf3S2Z-yzM","Video Lesson 15")</f>
        <v>Video Lesson 15</v>
      </c>
      <c r="B285" t="s">
        <v>326</v>
      </c>
      <c r="C285" t="s">
        <v>340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3" t="str">
        <f>HYPERLINK("https://www.youtube.com/watch?v=mlf3S2Z-yzM","Video Lesson 15")</f>
        <v>Video Lesson 15</v>
      </c>
      <c r="B287" t="s">
        <v>326</v>
      </c>
      <c r="C287" t="s">
        <v>340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3" t="str">
        <f>HYPERLINK("https://www.youtube.com/watch?v=KUWhrhaqHsg","Video Lesson 9")</f>
        <v>Video Lesson 9</v>
      </c>
      <c r="B289" t="s">
        <v>326</v>
      </c>
      <c r="C289" t="s">
        <v>340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3" t="str">
        <f>HYPERLINK("https://www.youtube.com/watch?v=KUWhrhaqHsg","Video Lesson 9")</f>
        <v>Video Lesson 9</v>
      </c>
      <c r="B291" t="s">
        <v>326</v>
      </c>
      <c r="C291" t="s">
        <v>340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3" t="str">
        <f>HYPERLINK("https://www.youtube.com/watch?v=DfQwYS9JfME","Video Lesson 6")</f>
        <v>Video Lesson 6</v>
      </c>
      <c r="B293" t="s">
        <v>326</v>
      </c>
      <c r="C293" t="s">
        <v>341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3" t="str">
        <f>HYPERLINK("https://www.youtube.com/watch?v=DfQwYS9JfME","Video Lesson 6")</f>
        <v>Video Lesson 6</v>
      </c>
      <c r="B295" t="s">
        <v>326</v>
      </c>
      <c r="C295" t="s">
        <v>341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3" t="str">
        <f>HYPERLINK("https://www.youtube.com/watch?v=1G46tEJOrww","Video Lesson 11")</f>
        <v>Video Lesson 11</v>
      </c>
      <c r="B297" t="s">
        <v>326</v>
      </c>
      <c r="C297" t="s">
        <v>341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3" t="str">
        <f>HYPERLINK("https://www.youtube.com/watch?v=KUWhrhaqHsg","Video Lesson 9")</f>
        <v>Video Lesson 9</v>
      </c>
      <c r="B299" t="s">
        <v>326</v>
      </c>
      <c r="C299" t="s">
        <v>341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3" t="str">
        <f>HYPERLINK("https://www.youtube.com/watch?v=KUWhrhaqHsg","Video Lesson 9")</f>
        <v>Video Lesson 9</v>
      </c>
      <c r="B301" t="s">
        <v>326</v>
      </c>
      <c r="C301" t="s">
        <v>341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3" t="str">
        <f>HYPERLINK("https://www.youtube.com/watch?v=KUWhrhaqHsg","Video Lesson 9")</f>
        <v>Video Lesson 9</v>
      </c>
      <c r="B303" t="s">
        <v>326</v>
      </c>
      <c r="C303" t="s">
        <v>341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3" t="str">
        <f>HYPERLINK("https://www.youtube.com/watch?v=KUWhrhaqHsg","Video Lesson 9")</f>
        <v>Video Lesson 9</v>
      </c>
      <c r="B305" t="s">
        <v>326</v>
      </c>
      <c r="C305" t="s">
        <v>341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3" t="str">
        <f>HYPERLINK("https://www.youtube.com/watch?v=KUWhrhaqHsg","Video Lesson 9")</f>
        <v>Video Lesson 9</v>
      </c>
      <c r="B307" t="s">
        <v>326</v>
      </c>
      <c r="C307" t="s">
        <v>341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3" t="str">
        <f>HYPERLINK("https://www.youtube.com/watch?v=KUWhrhaqHsg","Video Lesson 9")</f>
        <v>Video Lesson 9</v>
      </c>
      <c r="B309" t="s">
        <v>326</v>
      </c>
      <c r="C309" t="s">
        <v>341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3" t="str">
        <f>HYPERLINK("https://www.youtube.com/watch?v=Ivl-D6m04C4","Video Lesson 10")</f>
        <v>Video Lesson 10</v>
      </c>
      <c r="B311" t="s">
        <v>326</v>
      </c>
      <c r="C311" t="s">
        <v>341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3" t="str">
        <f>HYPERLINK("https://www.youtube.com/watch?v=FpQEAG3hsdA","Video Lesson 17")</f>
        <v>Video Lesson 17</v>
      </c>
      <c r="B313" t="s">
        <v>326</v>
      </c>
      <c r="C313" t="s">
        <v>342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3" t="str">
        <f>HYPERLINK("https://www.youtube.com/watch?v=FpQEAG3hsdA","Video Lesson 17")</f>
        <v>Video Lesson 17</v>
      </c>
      <c r="B315" t="s">
        <v>326</v>
      </c>
      <c r="C315" t="s">
        <v>342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3" t="str">
        <f>HYPERLINK("https://www.youtube.com/watch?v=4qB8qVfkH4A","Video Lesson 12")</f>
        <v>Video Lesson 12</v>
      </c>
      <c r="B317" t="s">
        <v>327</v>
      </c>
      <c r="C317" t="s">
        <v>343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3" t="str">
        <f>HYPERLINK("https://www.youtube.com/watch?v=4qB8qVfkH4A","Video Lesson 12")</f>
        <v>Video Lesson 12</v>
      </c>
      <c r="B319" t="s">
        <v>327</v>
      </c>
      <c r="C319" t="s">
        <v>343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3" t="str">
        <f>HYPERLINK("https://www.youtube.com/watch?v=4qB8qVfkH4A","Video Lesson 12")</f>
        <v>Video Lesson 12</v>
      </c>
      <c r="B321" t="s">
        <v>327</v>
      </c>
      <c r="C321" t="s">
        <v>343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3" t="str">
        <f>HYPERLINK("https://www.youtube.com/watch?v=4qB8qVfkH4A","Video Lesson 12")</f>
        <v>Video Lesson 12</v>
      </c>
      <c r="B323" t="s">
        <v>327</v>
      </c>
      <c r="C323" t="s">
        <v>343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3" t="str">
        <f>HYPERLINK("https://www.youtube.com/watch?v=4qB8qVfkH4A","Video Lesson 12")</f>
        <v>Video Lesson 12</v>
      </c>
      <c r="B325" t="s">
        <v>327</v>
      </c>
      <c r="C325" t="s">
        <v>343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3" t="str">
        <f>HYPERLINK("https://www.youtube.com/watch?v=4qB8qVfkH4A","Video Lesson 12")</f>
        <v>Video Lesson 12</v>
      </c>
      <c r="B327" t="s">
        <v>327</v>
      </c>
      <c r="C327" t="s">
        <v>343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3" t="str">
        <f>HYPERLINK("https://www.youtube.com/watch?v=4qB8qVfkH4A","Video Lesson 12")</f>
        <v>Video Lesson 12</v>
      </c>
      <c r="B329" t="s">
        <v>327</v>
      </c>
      <c r="C329" t="s">
        <v>343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3" t="str">
        <f>HYPERLINK("https://www.youtube.com/watch?v=4qB8qVfkH4A","Video Lesson 12")</f>
        <v>Video Lesson 12</v>
      </c>
      <c r="B331" t="s">
        <v>327</v>
      </c>
      <c r="C331" t="s">
        <v>343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3" t="str">
        <f>HYPERLINK("https://www.youtube.com/watch?v=4qB8qVfkH4A","Video Lesson 12")</f>
        <v>Video Lesson 12</v>
      </c>
      <c r="B333" t="s">
        <v>327</v>
      </c>
      <c r="C333" t="s">
        <v>343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3" t="str">
        <f>HYPERLINK("https://www.youtube.com/watch?v=4qB8qVfkH4A","Video Lesson 12")</f>
        <v>Video Lesson 12</v>
      </c>
      <c r="B335" t="s">
        <v>327</v>
      </c>
      <c r="C335" t="s">
        <v>343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3" t="str">
        <f>HYPERLINK("https://www.youtube.com/watch?v=4qB8qVfkH4A","Video Lesson 12")</f>
        <v>Video Lesson 12</v>
      </c>
      <c r="B337" t="s">
        <v>327</v>
      </c>
      <c r="C337" t="s">
        <v>343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3" t="str">
        <f>HYPERLINK("https://www.youtube.com/watch?v=4qB8qVfkH4A","Video Lesson 12")</f>
        <v>Video Lesson 12</v>
      </c>
      <c r="B339" t="s">
        <v>327</v>
      </c>
      <c r="C339" t="s">
        <v>343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3" t="str">
        <f>HYPERLINK("https://www.youtube.com/watch?v=4qB8qVfkH4A","Video Lesson 12")</f>
        <v>Video Lesson 12</v>
      </c>
      <c r="B341" t="s">
        <v>327</v>
      </c>
      <c r="C341" t="s">
        <v>343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3" t="str">
        <f>HYPERLINK("https://www.youtube.com/watch?v=4qB8qVfkH4A","Video Lesson 12")</f>
        <v>Video Lesson 12</v>
      </c>
      <c r="B343" t="s">
        <v>327</v>
      </c>
      <c r="C343" t="s">
        <v>343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3" t="str">
        <f>HYPERLINK("https://www.youtube.com/watch?v=4qB8qVfkH4A","Video Lesson 12")</f>
        <v>Video Lesson 12</v>
      </c>
      <c r="B345" t="s">
        <v>327</v>
      </c>
      <c r="C345" t="s">
        <v>343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3" t="str">
        <f>HYPERLINK("https://www.youtube.com/watch?v=4qB8qVfkH4A","Video Lesson 12")</f>
        <v>Video Lesson 12</v>
      </c>
      <c r="B347" t="s">
        <v>327</v>
      </c>
      <c r="C347" t="s">
        <v>343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3" t="str">
        <f>HYPERLINK("https://www.youtube.com/watch?v=4qB8qVfkH4A","Video Lesson 12")</f>
        <v>Video Lesson 12</v>
      </c>
      <c r="B349" t="s">
        <v>327</v>
      </c>
      <c r="C349" t="s">
        <v>343</v>
      </c>
      <c r="D349">
        <v>17</v>
      </c>
      <c r="E349">
        <v>175</v>
      </c>
      <c r="G349"/>
      <c r="H349" s="11"/>
    </row>
    <row r="350" spans="1:8" x14ac:dyDescent="0.25">
      <c r="E350">
        <v>175</v>
      </c>
      <c r="G350"/>
      <c r="H350" s="11"/>
    </row>
    <row r="351" spans="1:8" x14ac:dyDescent="0.25">
      <c r="A351" s="13" t="str">
        <f>HYPERLINK("https://www.youtube.com/watch?v=4qB8qVfkH4A","Video Lesson 12")</f>
        <v>Video Lesson 12</v>
      </c>
      <c r="B351" t="s">
        <v>327</v>
      </c>
      <c r="C351" t="s">
        <v>343</v>
      </c>
      <c r="D351">
        <v>18</v>
      </c>
      <c r="E351">
        <v>176</v>
      </c>
      <c r="G351"/>
      <c r="H351" s="11"/>
    </row>
    <row r="352" spans="1:8" x14ac:dyDescent="0.25">
      <c r="E352">
        <v>176</v>
      </c>
      <c r="G352"/>
      <c r="H352" s="11"/>
    </row>
    <row r="353" spans="1:8" x14ac:dyDescent="0.25">
      <c r="A353" s="13" t="str">
        <f>HYPERLINK("https://www.youtube.com/watch?v=4qB8qVfkH4A","Video Lesson 12")</f>
        <v>Video Lesson 12</v>
      </c>
      <c r="B353" t="s">
        <v>327</v>
      </c>
      <c r="C353" t="s">
        <v>343</v>
      </c>
      <c r="D353">
        <v>19</v>
      </c>
      <c r="E353">
        <v>177</v>
      </c>
      <c r="G353"/>
      <c r="H353" s="11"/>
    </row>
    <row r="354" spans="1:8" x14ac:dyDescent="0.25">
      <c r="E354">
        <v>177</v>
      </c>
      <c r="G354"/>
      <c r="H354" s="11"/>
    </row>
    <row r="355" spans="1:8" x14ac:dyDescent="0.25">
      <c r="A355" s="13" t="str">
        <f>HYPERLINK("https://www.youtube.com/watch?v=M-mxlyVa6iM","Video Lesson 24")</f>
        <v>Video Lesson 24</v>
      </c>
      <c r="B355" t="s">
        <v>327</v>
      </c>
      <c r="C355" t="s">
        <v>344</v>
      </c>
      <c r="D355">
        <v>1</v>
      </c>
      <c r="E355">
        <v>178</v>
      </c>
      <c r="G355"/>
      <c r="H355" s="11"/>
    </row>
    <row r="356" spans="1:8" x14ac:dyDescent="0.25">
      <c r="E356">
        <v>178</v>
      </c>
      <c r="G356"/>
      <c r="H356" s="11"/>
    </row>
    <row r="357" spans="1:8" x14ac:dyDescent="0.25">
      <c r="A357" s="13" t="str">
        <f>HYPERLINK("https://www.youtube.com/watch?v=M-mxlyVa6iM","Video Lesson 24")</f>
        <v>Video Lesson 24</v>
      </c>
      <c r="B357" t="s">
        <v>327</v>
      </c>
      <c r="C357" t="s">
        <v>344</v>
      </c>
      <c r="D357">
        <v>2</v>
      </c>
      <c r="E357">
        <v>179</v>
      </c>
      <c r="G357"/>
      <c r="H357" s="11"/>
    </row>
    <row r="358" spans="1:8" x14ac:dyDescent="0.25">
      <c r="E358">
        <v>179</v>
      </c>
      <c r="G358"/>
      <c r="H358" s="11"/>
    </row>
    <row r="359" spans="1:8" x14ac:dyDescent="0.25">
      <c r="A359" s="13" t="str">
        <f>HYPERLINK("https://www.youtube.com/watch?v=M-mxlyVa6iM","Video Lesson 24")</f>
        <v>Video Lesson 24</v>
      </c>
      <c r="B359" t="s">
        <v>327</v>
      </c>
      <c r="C359" t="s">
        <v>344</v>
      </c>
      <c r="D359">
        <v>3</v>
      </c>
      <c r="E359">
        <v>180</v>
      </c>
      <c r="G359"/>
      <c r="H359" s="11"/>
    </row>
    <row r="360" spans="1:8" x14ac:dyDescent="0.25">
      <c r="E360">
        <v>180</v>
      </c>
      <c r="G360"/>
      <c r="H360" s="11"/>
    </row>
    <row r="361" spans="1:8" x14ac:dyDescent="0.25">
      <c r="A361" s="13" t="str">
        <f>HYPERLINK("https://www.youtube.com/watch?v=M-mxlyVa6iM","Video Lesson 24")</f>
        <v>Video Lesson 24</v>
      </c>
      <c r="B361" t="s">
        <v>327</v>
      </c>
      <c r="C361" t="s">
        <v>344</v>
      </c>
      <c r="D361">
        <v>4</v>
      </c>
      <c r="E361">
        <v>181</v>
      </c>
      <c r="G361"/>
      <c r="H361" s="11"/>
    </row>
    <row r="362" spans="1:8" x14ac:dyDescent="0.25">
      <c r="E362">
        <v>181</v>
      </c>
      <c r="G362"/>
    </row>
    <row r="363" spans="1:8" x14ac:dyDescent="0.25">
      <c r="A363" s="13" t="str">
        <f>HYPERLINK("https://www.youtube.com/watch?v=M-mxlyVa6iM","Video Lesson 24")</f>
        <v>Video Lesson 24</v>
      </c>
      <c r="B363" t="s">
        <v>327</v>
      </c>
      <c r="C363" t="s">
        <v>344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3" t="str">
        <f>HYPERLINK("https://www.youtube.com/watch?v=M-mxlyVa6iM","Video Lesson 24")</f>
        <v>Video Lesson 24</v>
      </c>
      <c r="B365" t="s">
        <v>327</v>
      </c>
      <c r="C365" t="s">
        <v>344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3" t="str">
        <f>HYPERLINK("https://www.youtube.com/watch?v=M-mxlyVa6iM","Video Lesson 24")</f>
        <v>Video Lesson 24</v>
      </c>
      <c r="B367" t="s">
        <v>327</v>
      </c>
      <c r="C367" t="s">
        <v>344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3" t="str">
        <f>HYPERLINK("https://www.youtube.com/watch?v=M-mxlyVa6iM","Video Lesson 24")</f>
        <v>Video Lesson 24</v>
      </c>
      <c r="B369" t="s">
        <v>327</v>
      </c>
      <c r="C369" t="s">
        <v>344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3" t="str">
        <f>HYPERLINK("https://www.youtube.com/watch?v=M-mxlyVa6iM","Video Lesson 24")</f>
        <v>Video Lesson 24</v>
      </c>
      <c r="B371" t="s">
        <v>327</v>
      </c>
      <c r="C371" t="s">
        <v>344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3" t="str">
        <f>HYPERLINK("https://www.youtube.com/watch?v=M-mxlyVa6iM","Video Lesson 24")</f>
        <v>Video Lesson 24</v>
      </c>
      <c r="B373" t="s">
        <v>327</v>
      </c>
      <c r="C373" t="s">
        <v>344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3" t="str">
        <f>HYPERLINK("https://www.youtube.com/watch?v=M-mxlyVa6iM","Video Lesson 24")</f>
        <v>Video Lesson 24</v>
      </c>
      <c r="B375" t="s">
        <v>327</v>
      </c>
      <c r="C375" t="s">
        <v>344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3" t="str">
        <f>HYPERLINK("https://www.youtube.com/watch?v=M-mxlyVa6iM","Video Lesson 24")</f>
        <v>Video Lesson 24</v>
      </c>
      <c r="B377" t="s">
        <v>327</v>
      </c>
      <c r="C377" t="s">
        <v>344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3" t="str">
        <f>HYPERLINK("https://www.youtube.com/watch?v=M-mxlyVa6iM","Video Lesson 24")</f>
        <v>Video Lesson 24</v>
      </c>
      <c r="B379" t="s">
        <v>327</v>
      </c>
      <c r="C379" t="s">
        <v>344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3" t="str">
        <f>HYPERLINK("https://www.youtube.com/watch?v=M-mxlyVa6iM","Video Lesson 24")</f>
        <v>Video Lesson 24</v>
      </c>
      <c r="B381" t="s">
        <v>327</v>
      </c>
      <c r="C381" t="s">
        <v>344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3" t="str">
        <f>HYPERLINK("https://www.youtube.com/watch?v=QAEGmTKhMo4","Video Lesson 'Valentine'")</f>
        <v>Video Lesson 'Valentine'</v>
      </c>
      <c r="B383" t="s">
        <v>327</v>
      </c>
      <c r="C383" t="s">
        <v>345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3" t="str">
        <f>HYPERLINK("https://www.youtube.com/watch?v=QAEGmTKhMo4","Video Lesson 'Valentine'")</f>
        <v>Video Lesson 'Valentine'</v>
      </c>
      <c r="B385" t="s">
        <v>327</v>
      </c>
      <c r="C385" t="s">
        <v>345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3" t="str">
        <f>HYPERLINK("https://www.youtube.com/watch?v=QAEGmTKhMo4","Video Lesson 'Valentine'")</f>
        <v>Video Lesson 'Valentine'</v>
      </c>
      <c r="B387" t="s">
        <v>327</v>
      </c>
      <c r="C387" t="s">
        <v>345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3" t="str">
        <f>HYPERLINK("https://www.youtube.com/watch?v=QAEGmTKhMo4","Video Lesson 'Valentine'")</f>
        <v>Video Lesson 'Valentine'</v>
      </c>
      <c r="B389" t="s">
        <v>327</v>
      </c>
      <c r="C389" t="s">
        <v>345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3" t="str">
        <f>HYPERLINK("https://www.youtube.com/watch?v=QAEGmTKhMo4","Video Lesson 'Valentine'")</f>
        <v>Video Lesson 'Valentine'</v>
      </c>
      <c r="B391" t="s">
        <v>327</v>
      </c>
      <c r="C391" t="s">
        <v>345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3" t="str">
        <f>HYPERLINK("https://www.youtube.com/watch?v=Sjl8iPAcNo0","Video Lesson 20")</f>
        <v>Video Lesson 20</v>
      </c>
      <c r="B393" t="s">
        <v>327</v>
      </c>
      <c r="C393" t="s">
        <v>346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3" t="str">
        <f>HYPERLINK("https://www.youtube.com/watch?v=Sjl8iPAcNo0","Video Lesson 20")</f>
        <v>Video Lesson 20</v>
      </c>
      <c r="B395" t="s">
        <v>327</v>
      </c>
      <c r="C395" t="s">
        <v>346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3" t="str">
        <f>HYPERLINK("https://www.youtube.com/watch?v=Sjl8iPAcNo0","Video Lesson 20")</f>
        <v>Video Lesson 20</v>
      </c>
      <c r="B397" t="s">
        <v>327</v>
      </c>
      <c r="C397" t="s">
        <v>346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3" t="str">
        <f>HYPERLINK("https://www.youtube.com/watch?v=Sjl8iPAcNo0","Video Lesson 20")</f>
        <v>Video Lesson 20</v>
      </c>
      <c r="B399" t="s">
        <v>327</v>
      </c>
      <c r="C399" t="s">
        <v>346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3" t="str">
        <f>HYPERLINK("https://www.youtube.com/watch?v=Sjl8iPAcNo0","Video Lesson 20")</f>
        <v>Video Lesson 20</v>
      </c>
      <c r="B401" t="s">
        <v>327</v>
      </c>
      <c r="C401" t="s">
        <v>346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3" t="str">
        <f>HYPERLINK("https://www.youtube.com/watch?v=Sjl8iPAcNo0","Video Lesson 20")</f>
        <v>Video Lesson 20</v>
      </c>
      <c r="B403" t="s">
        <v>327</v>
      </c>
      <c r="C403" t="s">
        <v>346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3" t="str">
        <f>HYPERLINK("https://www.youtube.com/watch?v=Sjl8iPAcNo0","Video Lesson 20")</f>
        <v>Video Lesson 20</v>
      </c>
      <c r="B405" t="s">
        <v>327</v>
      </c>
      <c r="C405" t="s">
        <v>346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3" t="str">
        <f>HYPERLINK("https://www.youtube.com/watch?v=Sjl8iPAcNo0","Video Lesson 20")</f>
        <v>Video Lesson 20</v>
      </c>
      <c r="B407" t="s">
        <v>327</v>
      </c>
      <c r="C407" t="s">
        <v>346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3" t="str">
        <f>HYPERLINK("https://www.youtube.com/watch?v=Sjl8iPAcNo0","Video Lesson 20")</f>
        <v>Video Lesson 20</v>
      </c>
      <c r="B409" t="s">
        <v>327</v>
      </c>
      <c r="C409" t="s">
        <v>346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3" t="str">
        <f>HYPERLINK("https://www.youtube.com/watch?v=Sjl8iPAcNo0","Video Lesson 20")</f>
        <v>Video Lesson 20</v>
      </c>
      <c r="B411" t="s">
        <v>327</v>
      </c>
      <c r="C411" t="s">
        <v>346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3" t="str">
        <f>HYPERLINK("https://www.youtube.com/watch?v=Sjl8iPAcNo0","Video Lesson 20")</f>
        <v>Video Lesson 20</v>
      </c>
      <c r="B413" t="s">
        <v>327</v>
      </c>
      <c r="C413" t="s">
        <v>346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3" t="str">
        <f>HYPERLINK("https://www.youtube.com/watch?v=Sjl8iPAcNo0","Video Lesson 20")</f>
        <v>Video Lesson 20</v>
      </c>
      <c r="B415" t="s">
        <v>327</v>
      </c>
      <c r="C415" t="s">
        <v>346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3" t="str">
        <f>HYPERLINK("https://www.youtube.com/watch?v=Sjl8iPAcNo0","Video Lesson 20")</f>
        <v>Video Lesson 20</v>
      </c>
      <c r="B417" t="s">
        <v>327</v>
      </c>
      <c r="C417" t="s">
        <v>346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3" t="str">
        <f>HYPERLINK("https://www.youtube.com/watch?v=Sjl8iPAcNo0","Video Lesson 20")</f>
        <v>Video Lesson 20</v>
      </c>
      <c r="B419" t="s">
        <v>327</v>
      </c>
      <c r="C419" t="s">
        <v>346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3" t="str">
        <f>HYPERLINK("https://www.youtube.com/watch?v=Sjl8iPAcNo0","Video Lesson 20")</f>
        <v>Video Lesson 20</v>
      </c>
      <c r="B421" t="s">
        <v>327</v>
      </c>
      <c r="C421" t="s">
        <v>346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3" t="str">
        <f>HYPERLINK("https://www.youtube.com/watch?v=Sjl8iPAcNo0","Video Lesson 20")</f>
        <v>Video Lesson 20</v>
      </c>
      <c r="B423" t="s">
        <v>327</v>
      </c>
      <c r="C423" t="s">
        <v>346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3" t="str">
        <f>HYPERLINK("https://www.youtube.com/watch?v=Sjl8iPAcNo0","Video Lesson 20")</f>
        <v>Video Lesson 20</v>
      </c>
      <c r="B425" t="s">
        <v>327</v>
      </c>
      <c r="C425" t="s">
        <v>346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3" t="str">
        <f>HYPERLINK("https://www.youtube.com/watch?v=Sjl8iPAcNo0","Video Lesson 20")</f>
        <v>Video Lesson 20</v>
      </c>
      <c r="B427" t="s">
        <v>327</v>
      </c>
      <c r="C427" t="s">
        <v>346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3" t="str">
        <f>HYPERLINK("https://www.youtube.com/watch?v=Sjl8iPAcNo0","Video Lesson 20")</f>
        <v>Video Lesson 20</v>
      </c>
      <c r="B429" t="s">
        <v>327</v>
      </c>
      <c r="C429" t="s">
        <v>346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3" t="str">
        <f>HYPERLINK("https://www.youtube.com/watch?v=Sjl8iPAcNo0","Video Lesson 20")</f>
        <v>Video Lesson 20</v>
      </c>
      <c r="B431" t="s">
        <v>327</v>
      </c>
      <c r="C431" t="s">
        <v>346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3" t="str">
        <f>HYPERLINK("https://www.youtube.com/watch?v=Sjl8iPAcNo0","Video Lesson 20")</f>
        <v>Video Lesson 20</v>
      </c>
      <c r="B433" t="s">
        <v>327</v>
      </c>
      <c r="C433" t="s">
        <v>346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3" t="str">
        <f>HYPERLINK("https://www.youtube.com/watch?v=Y56hvBhqBaQ","Video Lesson 18")</f>
        <v>Video Lesson 18</v>
      </c>
      <c r="B435" t="s">
        <v>328</v>
      </c>
      <c r="C435" t="s">
        <v>347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3" t="str">
        <f>HYPERLINK("https://www.youtube.com/watch?v=Y56hvBhqBaQ","Video Lesson 18")</f>
        <v>Video Lesson 18</v>
      </c>
      <c r="B437" t="s">
        <v>328</v>
      </c>
      <c r="C437" t="s">
        <v>347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3" t="str">
        <f>HYPERLINK("https://www.youtube.com/watch?v=Y56hvBhqBaQ","Video Lesson 18")</f>
        <v>Video Lesson 18</v>
      </c>
      <c r="B439" t="s">
        <v>328</v>
      </c>
      <c r="C439" t="s">
        <v>347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3" t="str">
        <f>HYPERLINK("https://www.youtube.com/watch?v=Y56hvBhqBaQ","Video Lesson 18")</f>
        <v>Video Lesson 18</v>
      </c>
      <c r="B441" t="s">
        <v>328</v>
      </c>
      <c r="C441" t="s">
        <v>347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3" t="str">
        <f>HYPERLINK("https://www.youtube.com/watch?v=Y56hvBhqBaQ","Video Lesson 18")</f>
        <v>Video Lesson 18</v>
      </c>
      <c r="B443" t="s">
        <v>328</v>
      </c>
      <c r="C443" t="s">
        <v>347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3" t="str">
        <f>HYPERLINK("https://www.youtube.com/watch?v=Y56hvBhqBaQ","Video Lesson 18")</f>
        <v>Video Lesson 18</v>
      </c>
      <c r="B445" t="s">
        <v>328</v>
      </c>
      <c r="C445" t="s">
        <v>347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3" t="str">
        <f>HYPERLINK("https://www.youtube.com/watch?v=Y56hvBhqBaQ","Video Lesson 18")</f>
        <v>Video Lesson 18</v>
      </c>
      <c r="B447" t="s">
        <v>328</v>
      </c>
      <c r="C447" t="s">
        <v>347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3" t="str">
        <f>HYPERLINK("https://www.youtube.com/watch?v=Y56hvBhqBaQ","Video Lesson 18")</f>
        <v>Video Lesson 18</v>
      </c>
      <c r="B449" t="s">
        <v>328</v>
      </c>
      <c r="C449" t="s">
        <v>347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3" t="str">
        <f>HYPERLINK("https://www.youtube.com/watch?v=Y56hvBhqBaQ","Video Lesson 18")</f>
        <v>Video Lesson 18</v>
      </c>
      <c r="B451" t="s">
        <v>328</v>
      </c>
      <c r="C451" t="s">
        <v>347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3" t="str">
        <f>HYPERLINK("https://www.youtube.com/watch?v=Y56hvBhqBaQ","Video Lesson 18")</f>
        <v>Video Lesson 18</v>
      </c>
      <c r="B453" t="s">
        <v>328</v>
      </c>
      <c r="C453" t="s">
        <v>347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3" t="str">
        <f>HYPERLINK("https://www.youtube.com/watch?v=Y56hvBhqBaQ","Video Lesson 18")</f>
        <v>Video Lesson 18</v>
      </c>
      <c r="B455" t="s">
        <v>328</v>
      </c>
      <c r="C455" t="s">
        <v>347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3" t="str">
        <f>HYPERLINK("https://www.youtube.com/watch?v=Y56hvBhqBaQ","Video Lesson 18")</f>
        <v>Video Lesson 18</v>
      </c>
      <c r="B457" t="s">
        <v>328</v>
      </c>
      <c r="C457" t="s">
        <v>347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3" t="str">
        <f>HYPERLINK("https://www.youtube.com/watch?v=Y56hvBhqBaQ","Video Lesson 18")</f>
        <v>Video Lesson 18</v>
      </c>
      <c r="B459" t="s">
        <v>328</v>
      </c>
      <c r="C459" t="s">
        <v>347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3" t="str">
        <f>HYPERLINK("https://www.youtube.com/watch?v=Y56hvBhqBaQ","Video Lesson 18")</f>
        <v>Video Lesson 18</v>
      </c>
      <c r="B461" t="s">
        <v>328</v>
      </c>
      <c r="C461" t="s">
        <v>347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3" t="str">
        <f>HYPERLINK("https://www.youtube.com/watch?v=Y56hvBhqBaQ","Video Lesson 18")</f>
        <v>Video Lesson 18</v>
      </c>
      <c r="B463" t="s">
        <v>328</v>
      </c>
      <c r="C463" t="s">
        <v>347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3" t="str">
        <f>HYPERLINK("https://www.youtube.com/watch?v=Y56hvBhqBaQ","Video Lesson 18")</f>
        <v>Video Lesson 18</v>
      </c>
      <c r="B465" t="s">
        <v>328</v>
      </c>
      <c r="C465" t="s">
        <v>347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3" t="str">
        <f>HYPERLINK("https://www.youtube.com/watch?v=Y56hvBhqBaQ","Video Lesson 18")</f>
        <v>Video Lesson 18</v>
      </c>
      <c r="B467" t="s">
        <v>328</v>
      </c>
      <c r="C467" t="s">
        <v>347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3" t="str">
        <f>HYPERLINK("https://www.youtube.com/watch?v=Y56hvBhqBaQ","Video Lesson 18")</f>
        <v>Video Lesson 18</v>
      </c>
      <c r="B469" t="s">
        <v>328</v>
      </c>
      <c r="C469" t="s">
        <v>347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3" t="str">
        <f>HYPERLINK("https://www.youtube.com/watch?v=Y56hvBhqBaQ","Video Lesson 18")</f>
        <v>Video Lesson 18</v>
      </c>
      <c r="B471" t="s">
        <v>328</v>
      </c>
      <c r="C471" t="s">
        <v>347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3" t="str">
        <f>HYPERLINK("https://www.youtube.com/watch?v=Y56hvBhqBaQ","Video Lesson 18")</f>
        <v>Video Lesson 18</v>
      </c>
      <c r="B473" t="s">
        <v>328</v>
      </c>
      <c r="C473" t="s">
        <v>347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3" t="str">
        <f>HYPERLINK("https://www.youtube.com/watch?v=Y56hvBhqBaQ","Video Lesson 18")</f>
        <v>Video Lesson 18</v>
      </c>
      <c r="B475" t="s">
        <v>328</v>
      </c>
      <c r="C475" t="s">
        <v>347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3" t="str">
        <f>HYPERLINK("https://www.youtube.com/watch?v=CuxAdMsjkyY","Video Lesson 13")</f>
        <v>Video Lesson 13</v>
      </c>
      <c r="B477" t="s">
        <v>328</v>
      </c>
      <c r="C477" t="s">
        <v>348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3" t="str">
        <f>HYPERLINK("https://www.youtube.com/watch?v=CuxAdMsjkyY","Video Lesson 13")</f>
        <v>Video Lesson 13</v>
      </c>
      <c r="B479" t="s">
        <v>328</v>
      </c>
      <c r="C479" t="s">
        <v>348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3" t="str">
        <f>HYPERLINK("https://www.youtube.com/watch?v=CuxAdMsjkyY","Video Lesson 13")</f>
        <v>Video Lesson 13</v>
      </c>
      <c r="B481" t="s">
        <v>328</v>
      </c>
      <c r="C481" t="s">
        <v>348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3" t="str">
        <f>HYPERLINK("https://www.youtube.com/watch?v=CuxAdMsjkyY","Video Lesson 13")</f>
        <v>Video Lesson 13</v>
      </c>
      <c r="B483" t="s">
        <v>328</v>
      </c>
      <c r="C483" t="s">
        <v>348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3" t="str">
        <f>HYPERLINK("https://www.youtube.com/watch?v=CuxAdMsjkyY","Video Lesson 13")</f>
        <v>Video Lesson 13</v>
      </c>
      <c r="B485" t="s">
        <v>328</v>
      </c>
      <c r="C485" t="s">
        <v>348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3" t="str">
        <f>HYPERLINK("https://www.youtube.com/watch?v=CuxAdMsjkyY","Video Lesson 13")</f>
        <v>Video Lesson 13</v>
      </c>
      <c r="B487" t="s">
        <v>328</v>
      </c>
      <c r="C487" t="s">
        <v>348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3" t="str">
        <f>HYPERLINK("https://www.youtube.com/watch?v=CuxAdMsjkyY","Video Lesson 13")</f>
        <v>Video Lesson 13</v>
      </c>
      <c r="B489" t="s">
        <v>328</v>
      </c>
      <c r="C489" t="s">
        <v>348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3" t="str">
        <f>HYPERLINK("https://www.youtube.com/watch?v=CuxAdMsjkyY","Video Lesson 13")</f>
        <v>Video Lesson 13</v>
      </c>
      <c r="B491" t="s">
        <v>328</v>
      </c>
      <c r="C491" t="s">
        <v>348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3" t="str">
        <f>HYPERLINK("https://www.youtube.com/watch?v=CuxAdMsjkyY","Video Lesson 13")</f>
        <v>Video Lesson 13</v>
      </c>
      <c r="B493" t="s">
        <v>328</v>
      </c>
      <c r="C493" t="s">
        <v>348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3" t="str">
        <f>HYPERLINK("https://www.youtube.com/watch?v=CuxAdMsjkyY","Video Lesson 13")</f>
        <v>Video Lesson 13</v>
      </c>
      <c r="B495" t="s">
        <v>328</v>
      </c>
      <c r="C495" t="s">
        <v>348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3" t="str">
        <f>HYPERLINK("https://www.youtube.com/watch?v=CuxAdMsjkyY","Video Lesson 13")</f>
        <v>Video Lesson 13</v>
      </c>
      <c r="B497" t="s">
        <v>328</v>
      </c>
      <c r="C497" t="s">
        <v>348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3" t="str">
        <f>HYPERLINK("https://www.youtube.com/watch?v=CuxAdMsjkyY","Video Lesson 13")</f>
        <v>Video Lesson 13</v>
      </c>
      <c r="B499" t="s">
        <v>328</v>
      </c>
      <c r="C499" t="s">
        <v>348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3" t="str">
        <f>HYPERLINK("https://www.youtube.com/watch?v=CuxAdMsjkyY","Video Lesson 13")</f>
        <v>Video Lesson 13</v>
      </c>
      <c r="B501" t="s">
        <v>328</v>
      </c>
      <c r="C501" t="s">
        <v>348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3" t="str">
        <f>HYPERLINK("https://www.youtube.com/watch?v=CuxAdMsjkyY","Video Lesson 13")</f>
        <v>Video Lesson 13</v>
      </c>
      <c r="B503" t="s">
        <v>328</v>
      </c>
      <c r="C503" t="s">
        <v>348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3" t="str">
        <f>HYPERLINK("https://www.youtube.com/watch?v=CuxAdMsjkyY","Video Lesson 13")</f>
        <v>Video Lesson 13</v>
      </c>
      <c r="B505" t="s">
        <v>328</v>
      </c>
      <c r="C505" t="s">
        <v>348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3" t="str">
        <f>HYPERLINK("https://www.youtube.com/watch?v=CuxAdMsjkyY","Video Lesson 13")</f>
        <v>Video Lesson 13</v>
      </c>
      <c r="B507" t="s">
        <v>328</v>
      </c>
      <c r="C507" t="s">
        <v>348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3" t="str">
        <f>HYPERLINK("https://www.youtube.com/watch?v=CuxAdMsjkyY","Video Lesson 13")</f>
        <v>Video Lesson 13</v>
      </c>
      <c r="B509" t="s">
        <v>328</v>
      </c>
      <c r="C509" t="s">
        <v>348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3" t="str">
        <f>HYPERLINK("https://www.youtube.com/watch?v=CuxAdMsjkyY","Video Lesson 13")</f>
        <v>Video Lesson 13</v>
      </c>
      <c r="B511" t="s">
        <v>328</v>
      </c>
      <c r="C511" t="s">
        <v>348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3" t="str">
        <f>HYPERLINK("https://www.youtube.com/watch?v=CuxAdMsjkyY","Video Lesson 13")</f>
        <v>Video Lesson 13</v>
      </c>
      <c r="B513" t="s">
        <v>328</v>
      </c>
      <c r="C513" t="s">
        <v>348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3" t="str">
        <f>HYPERLINK("https://www.youtube.com/watch?v=CuxAdMsjkyY","Video Lesson 13")</f>
        <v>Video Lesson 13</v>
      </c>
      <c r="B515" t="s">
        <v>328</v>
      </c>
      <c r="C515" t="s">
        <v>348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3" t="str">
        <f>HYPERLINK("https://www.youtube.com/watch?v=CuxAdMsjkyY","Video Lesson 13")</f>
        <v>Video Lesson 13</v>
      </c>
      <c r="B517" t="s">
        <v>328</v>
      </c>
      <c r="C517" t="s">
        <v>348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3" t="str">
        <f>HYPERLINK("https://www.youtube.com/watch?v=-9H0tokUVvc","Video Lesson 16")</f>
        <v>Video Lesson 16</v>
      </c>
      <c r="B519" t="s">
        <v>328</v>
      </c>
      <c r="C519" t="s">
        <v>349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3" t="str">
        <f>HYPERLINK("https://www.youtube.com/watch?v=-9H0tokUVvc","Video Lesson 16")</f>
        <v>Video Lesson 16</v>
      </c>
      <c r="B521" t="s">
        <v>328</v>
      </c>
      <c r="C521" t="s">
        <v>349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3" t="str">
        <f>HYPERLINK("https://www.youtube.com/watch?v=-9H0tokUVvc","Video Lesson 16")</f>
        <v>Video Lesson 16</v>
      </c>
      <c r="B523" t="s">
        <v>328</v>
      </c>
      <c r="C523" t="s">
        <v>349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3" t="str">
        <f>HYPERLINK("https://www.youtube.com/watch?v=-9H0tokUVvc","Video Lesson 16")</f>
        <v>Video Lesson 16</v>
      </c>
      <c r="B525" t="s">
        <v>328</v>
      </c>
      <c r="C525" t="s">
        <v>349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3" t="str">
        <f>HYPERLINK("https://www.youtube.com/watch?v=-9H0tokUVvc","Video Lesson 16")</f>
        <v>Video Lesson 16</v>
      </c>
      <c r="B527" t="s">
        <v>328</v>
      </c>
      <c r="C527" t="s">
        <v>349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3" t="str">
        <f>HYPERLINK("https://www.youtube.com/watch?v=-9H0tokUVvc","Video Lesson 16")</f>
        <v>Video Lesson 16</v>
      </c>
      <c r="B529" t="s">
        <v>328</v>
      </c>
      <c r="C529" t="s">
        <v>349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3" t="str">
        <f>HYPERLINK("https://www.youtube.com/watch?v=-9H0tokUVvc","Video Lesson 16")</f>
        <v>Video Lesson 16</v>
      </c>
      <c r="B531" t="s">
        <v>328</v>
      </c>
      <c r="C531" t="s">
        <v>349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3" t="str">
        <f>HYPERLINK("https://www.youtube.com/watch?v=-9H0tokUVvc","Video Lesson 16")</f>
        <v>Video Lesson 16</v>
      </c>
      <c r="B533" t="s">
        <v>328</v>
      </c>
      <c r="C533" t="s">
        <v>349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3" t="str">
        <f>HYPERLINK("https://www.youtube.com/watch?v=-9H0tokUVvc","Video Lesson 16")</f>
        <v>Video Lesson 16</v>
      </c>
      <c r="B535" t="s">
        <v>328</v>
      </c>
      <c r="C535" t="s">
        <v>349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3" t="str">
        <f>HYPERLINK("https://www.youtube.com/watch?v=-9H0tokUVvc","Video Lesson 16")</f>
        <v>Video Lesson 16</v>
      </c>
      <c r="B537" t="s">
        <v>328</v>
      </c>
      <c r="C537" t="s">
        <v>349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3" t="str">
        <f>HYPERLINK("https://www.youtube.com/watch?v=-9H0tokUVvc","Video Lesson 16")</f>
        <v>Video Lesson 16</v>
      </c>
      <c r="B539" t="s">
        <v>328</v>
      </c>
      <c r="C539" t="s">
        <v>349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3" t="str">
        <f>HYPERLINK("https://www.youtube.com/watch?v=-9H0tokUVvc","Video Lesson 16")</f>
        <v>Video Lesson 16</v>
      </c>
      <c r="B541" t="s">
        <v>328</v>
      </c>
      <c r="C541" t="s">
        <v>349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3" t="str">
        <f>HYPERLINK("https://www.youtube.com/watch?v=-9H0tokUVvc","Video Lesson 16")</f>
        <v>Video Lesson 16</v>
      </c>
      <c r="B543" t="s">
        <v>328</v>
      </c>
      <c r="C543" t="s">
        <v>349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3" t="str">
        <f>HYPERLINK("https://www.youtube.com/watch?v=-9H0tokUVvc","Video Lesson 16")</f>
        <v>Video Lesson 16</v>
      </c>
      <c r="B545" t="s">
        <v>328</v>
      </c>
      <c r="C545" t="s">
        <v>349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3" t="str">
        <f>HYPERLINK("https://www.youtube.com/watch?v=-9H0tokUVvc","Video Lesson 16")</f>
        <v>Video Lesson 16</v>
      </c>
      <c r="B547" t="s">
        <v>328</v>
      </c>
      <c r="C547" t="s">
        <v>349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3" t="str">
        <f>HYPERLINK("https://www.youtube.com/watch?v=-9H0tokUVvc","Video Lesson 16")</f>
        <v>Video Lesson 16</v>
      </c>
      <c r="B549" t="s">
        <v>328</v>
      </c>
      <c r="C549" t="s">
        <v>349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3" t="str">
        <f>HYPERLINK("https://www.youtube.com/watch?v=-9H0tokUVvc","Video Lesson 16")</f>
        <v>Video Lesson 16</v>
      </c>
      <c r="B551" t="s">
        <v>328</v>
      </c>
      <c r="C551" t="s">
        <v>349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3" t="str">
        <f>HYPERLINK("https://www.youtube.com/watch?v=-9H0tokUVvc","Video Lesson 16")</f>
        <v>Video Lesson 16</v>
      </c>
      <c r="B553" t="s">
        <v>328</v>
      </c>
      <c r="C553" t="s">
        <v>349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3" t="str">
        <f>HYPERLINK("https://www.youtube.com/watch?v=-9H0tokUVvc","Video Lesson 16")</f>
        <v>Video Lesson 16</v>
      </c>
      <c r="B555" t="s">
        <v>328</v>
      </c>
      <c r="C555" t="s">
        <v>349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3" t="str">
        <f>HYPERLINK("https://www.youtube.com/watch?v=-9H0tokUVvc","Video Lesson 16")</f>
        <v>Video Lesson 16</v>
      </c>
      <c r="B557" t="s">
        <v>328</v>
      </c>
      <c r="C557" t="s">
        <v>349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3" t="str">
        <f>HYPERLINK("https://www.youtube.com/watch?v=-9H0tokUVvc","Video Lesson 16")</f>
        <v>Video Lesson 16</v>
      </c>
      <c r="B559" t="s">
        <v>328</v>
      </c>
      <c r="C559" t="s">
        <v>349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3" t="str">
        <f>HYPERLINK("https://www.youtube.com/watch?v=-9H0tokUVvc","Video Lesson 16")</f>
        <v>Video Lesson 16</v>
      </c>
      <c r="B561" t="s">
        <v>328</v>
      </c>
      <c r="C561" t="s">
        <v>349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3" t="str">
        <f>HYPERLINK("https://www.youtube.com/watch?v=-9H0tokUVvc","Video Lesson 16")</f>
        <v>Video Lesson 16</v>
      </c>
      <c r="B563" t="s">
        <v>328</v>
      </c>
      <c r="C563" t="s">
        <v>349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3" t="str">
        <f>HYPERLINK("https://www.youtube.com/watch?v=-9H0tokUVvc","Video Lesson 16")</f>
        <v>Video Lesson 16</v>
      </c>
      <c r="B565" t="s">
        <v>328</v>
      </c>
      <c r="C565" t="s">
        <v>349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3" t="str">
        <f>HYPERLINK("https://www.youtube.com/watch?v=-9H0tokUVvc","Video Lesson 16")</f>
        <v>Video Lesson 16</v>
      </c>
      <c r="B567" t="s">
        <v>328</v>
      </c>
      <c r="C567" t="s">
        <v>349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3" t="str">
        <f>HYPERLINK("https://www.youtube.com/watch?v=-9H0tokUVvc","Video Lesson 16")</f>
        <v>Video Lesson 16</v>
      </c>
      <c r="B569" t="s">
        <v>328</v>
      </c>
      <c r="C569" t="s">
        <v>349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3" t="str">
        <f>HYPERLINK("https://www.youtube.com/watch?v=-9H0tokUVvc","Video Lesson 16")</f>
        <v>Video Lesson 16</v>
      </c>
      <c r="B571" t="s">
        <v>328</v>
      </c>
      <c r="C571" t="s">
        <v>349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3" t="str">
        <f>HYPERLINK("https://www.youtube.com/watch?v=-9H0tokUVvc","Video Lesson 16")</f>
        <v>Video Lesson 16</v>
      </c>
      <c r="B573" t="s">
        <v>328</v>
      </c>
      <c r="C573" t="s">
        <v>349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3" t="str">
        <f>HYPERLINK("https://www.youtube.com/watch?v=Xop5dt-yhOA","Video Lesson 19")</f>
        <v>Video Lesson 19</v>
      </c>
      <c r="B575" t="s">
        <v>328</v>
      </c>
      <c r="C575" t="s">
        <v>350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3" t="str">
        <f>HYPERLINK("https://www.youtube.com/watch?v=Xop5dt-yhOA","Video Lesson 19")</f>
        <v>Video Lesson 19</v>
      </c>
      <c r="B577" t="s">
        <v>328</v>
      </c>
      <c r="C577" t="s">
        <v>350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3" t="str">
        <f>HYPERLINK("https://www.youtube.com/watch?v=Xop5dt-yhOA","Video Lesson 19")</f>
        <v>Video Lesson 19</v>
      </c>
      <c r="B579" t="s">
        <v>328</v>
      </c>
      <c r="C579" t="s">
        <v>350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3" t="str">
        <f>HYPERLINK("https://www.youtube.com/watch?v=Xop5dt-yhOA","Video Lesson 19")</f>
        <v>Video Lesson 19</v>
      </c>
      <c r="B581" t="s">
        <v>328</v>
      </c>
      <c r="C581" t="s">
        <v>350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3" t="str">
        <f>HYPERLINK("https://www.youtube.com/watch?v=Xop5dt-yhOA","Video Lesson 19")</f>
        <v>Video Lesson 19</v>
      </c>
      <c r="B583" t="s">
        <v>328</v>
      </c>
      <c r="C583" t="s">
        <v>350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3" t="str">
        <f>HYPERLINK("https://www.youtube.com/watch?v=Xop5dt-yhOA","Video Lesson 19")</f>
        <v>Video Lesson 19</v>
      </c>
      <c r="B585" t="s">
        <v>328</v>
      </c>
      <c r="C585" t="s">
        <v>350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3" t="str">
        <f>HYPERLINK("https://www.youtube.com/watch?v=Xop5dt-yhOA","Video Lesson 19")</f>
        <v>Video Lesson 19</v>
      </c>
      <c r="B587" t="s">
        <v>328</v>
      </c>
      <c r="C587" t="s">
        <v>350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3" t="str">
        <f>HYPERLINK("https://www.youtube.com/watch?v=Xop5dt-yhOA","Video Lesson 19")</f>
        <v>Video Lesson 19</v>
      </c>
      <c r="B589" t="s">
        <v>328</v>
      </c>
      <c r="C589" t="s">
        <v>350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3" t="str">
        <f>HYPERLINK("https://www.youtube.com/watch?v=Xop5dt-yhOA","Video Lesson 19")</f>
        <v>Video Lesson 19</v>
      </c>
      <c r="B591" t="s">
        <v>328</v>
      </c>
      <c r="C591" t="s">
        <v>350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3" t="str">
        <f>HYPERLINK("https://www.youtube.com/watch?v=Xop5dt-yhOA","Video Lesson 19")</f>
        <v>Video Lesson 19</v>
      </c>
      <c r="B593" t="s">
        <v>328</v>
      </c>
      <c r="C593" t="s">
        <v>350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3" t="str">
        <f>HYPERLINK("https://www.youtube.com/watch?v=Xop5dt-yhOA","Video Lesson 19")</f>
        <v>Video Lesson 19</v>
      </c>
      <c r="B595" t="s">
        <v>328</v>
      </c>
      <c r="C595" t="s">
        <v>350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3" t="str">
        <f>HYPERLINK("https://www.youtube.com/watch?v=Xop5dt-yhOA","Video Lesson 19")</f>
        <v>Video Lesson 19</v>
      </c>
      <c r="B597" t="s">
        <v>328</v>
      </c>
      <c r="C597" t="s">
        <v>350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3" t="str">
        <f>HYPERLINK("https://www.youtube.com/watch?v=Xop5dt-yhOA","Video Lesson 19")</f>
        <v>Video Lesson 19</v>
      </c>
      <c r="B599" t="s">
        <v>328</v>
      </c>
      <c r="C599" t="s">
        <v>350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3" t="str">
        <f>HYPERLINK("https://www.youtube.com/watch?v=Xop5dt-yhOA","Video Lesson 19")</f>
        <v>Video Lesson 19</v>
      </c>
      <c r="B601" t="s">
        <v>328</v>
      </c>
      <c r="C601" t="s">
        <v>350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3" t="str">
        <f>HYPERLINK("https://www.youtube.com/watch?v=Xop5dt-yhOA","Video Lesson 19")</f>
        <v>Video Lesson 19</v>
      </c>
      <c r="B603" t="s">
        <v>328</v>
      </c>
      <c r="C603" t="s">
        <v>350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3" t="str">
        <f>HYPERLINK("https://www.youtube.com/watch?v=Xop5dt-yhOA","Video Lesson 19")</f>
        <v>Video Lesson 19</v>
      </c>
      <c r="B605" t="s">
        <v>328</v>
      </c>
      <c r="C605" t="s">
        <v>350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3" t="str">
        <f>HYPERLINK("https://www.youtube.com/watch?v=Xop5dt-yhOA","Video Lesson 19")</f>
        <v>Video Lesson 19</v>
      </c>
      <c r="B607" t="s">
        <v>328</v>
      </c>
      <c r="C607" t="s">
        <v>350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3" t="str">
        <f>HYPERLINK("https://www.youtube.com/watch?v=Xop5dt-yhOA","Video Lesson 19")</f>
        <v>Video Lesson 19</v>
      </c>
      <c r="B609" t="s">
        <v>328</v>
      </c>
      <c r="C609" t="s">
        <v>350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3" t="str">
        <f>HYPERLINK("https://www.youtube.com/watch?v=Xop5dt-yhOA","Video Lesson 19")</f>
        <v>Video Lesson 19</v>
      </c>
      <c r="B611" t="s">
        <v>328</v>
      </c>
      <c r="C611" t="s">
        <v>350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3" t="str">
        <f>HYPERLINK("https://www.youtube.com/watch?v=Xop5dt-yhOA","Video Lesson 19")</f>
        <v>Video Lesson 19</v>
      </c>
      <c r="B613" t="s">
        <v>328</v>
      </c>
      <c r="C613" t="s">
        <v>350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3" t="str">
        <f>HYPERLINK("https://www.youtube.com/watch?v=Xop5dt-yhOA","Video Lesson 19")</f>
        <v>Video Lesson 19</v>
      </c>
      <c r="B615" t="s">
        <v>328</v>
      </c>
      <c r="C615" t="s">
        <v>350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3" t="str">
        <f>HYPERLINK("https://www.youtube.com/watch?v=Xop5dt-yhOA","Video Lesson 19")</f>
        <v>Video Lesson 19</v>
      </c>
      <c r="B617" t="s">
        <v>328</v>
      </c>
      <c r="C617" t="s">
        <v>350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3" t="str">
        <f>HYPERLINK("https://www.youtube.com/watch?v=Xop5dt-yhOA","Video Lesson 19")</f>
        <v>Video Lesson 19</v>
      </c>
      <c r="B619" t="s">
        <v>328</v>
      </c>
      <c r="C619" t="s">
        <v>350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3" t="str">
        <f>HYPERLINK("https://www.youtube.com/watch?v=Xop5dt-yhOA","Video Lesson 19")</f>
        <v>Video Lesson 19</v>
      </c>
      <c r="B621" t="s">
        <v>328</v>
      </c>
      <c r="C621" t="s">
        <v>350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3" t="str">
        <f>HYPERLINK("https://www.youtube.com/watch?v=Xop5dt-yhOA","Video Lesson 19")</f>
        <v>Video Lesson 19</v>
      </c>
      <c r="B623" t="s">
        <v>328</v>
      </c>
      <c r="C623" t="s">
        <v>350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3" t="str">
        <f>HYPERLINK("https://www.youtube.com/watch?v=Xop5dt-yhOA","Video Lesson 19")</f>
        <v>Video Lesson 19</v>
      </c>
      <c r="B625" t="s">
        <v>328</v>
      </c>
      <c r="C625" t="s">
        <v>350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3" t="str">
        <f>HYPERLINK("https://www.youtube.com/watch?v=Xop5dt-yhOA","Video Lesson 19")</f>
        <v>Video Lesson 19</v>
      </c>
      <c r="B627" t="s">
        <v>328</v>
      </c>
      <c r="C627" t="s">
        <v>350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3" t="str">
        <f>HYPERLINK("https://www.youtube.com/watch?v=Xop5dt-yhOA","Video Lesson 19")</f>
        <v>Video Lesson 19</v>
      </c>
      <c r="B629" t="s">
        <v>328</v>
      </c>
      <c r="C629" t="s">
        <v>350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3" t="str">
        <f>HYPERLINK("https://www.youtube.com/watch?v=DfQwYS9JfME","Video Lesson 6")</f>
        <v>Video Lesson 6</v>
      </c>
      <c r="B631" t="s">
        <v>328</v>
      </c>
      <c r="C631" t="s">
        <v>351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3" t="str">
        <f>HYPERLINK("https://www.youtube.com/watch?v=DfQwYS9JfME","Video Lesson 6")</f>
        <v>Video Lesson 6</v>
      </c>
      <c r="B633" t="s">
        <v>328</v>
      </c>
      <c r="C633" t="s">
        <v>351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3" t="str">
        <f>HYPERLINK("https://www.youtube.com/watch?v=DfQwYS9JfME","Video Lesson 6")</f>
        <v>Video Lesson 6</v>
      </c>
      <c r="B635" t="s">
        <v>328</v>
      </c>
      <c r="C635" t="s">
        <v>351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3" t="str">
        <f>HYPERLINK("https://www.youtube.com/watch?v=DfQwYS9JfME","Video Lesson 6")</f>
        <v>Video Lesson 6</v>
      </c>
      <c r="B637" t="s">
        <v>328</v>
      </c>
      <c r="C637" t="s">
        <v>351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3" t="str">
        <f>HYPERLINK("https://www.youtube.com/watch?v=DfQwYS9JfME","Video Lesson 6")</f>
        <v>Video Lesson 6</v>
      </c>
      <c r="B639" t="s">
        <v>328</v>
      </c>
      <c r="C639" t="s">
        <v>351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3" t="str">
        <f>HYPERLINK("https://www.youtube.com/watch?v=DfQwYS9JfME","Video Lesson 6")</f>
        <v>Video Lesson 6</v>
      </c>
      <c r="B641" t="s">
        <v>328</v>
      </c>
      <c r="C641" t="s">
        <v>351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3" t="str">
        <f>HYPERLINK("https://www.youtube.com/watch?v=DfQwYS9JfME","Video Lesson 6")</f>
        <v>Video Lesson 6</v>
      </c>
      <c r="B643" t="s">
        <v>328</v>
      </c>
      <c r="C643" t="s">
        <v>351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3" t="str">
        <f>HYPERLINK("https://www.youtube.com/watch?v=DfQwYS9JfME","Video Lesson 6")</f>
        <v>Video Lesson 6</v>
      </c>
      <c r="B645" t="s">
        <v>328</v>
      </c>
      <c r="C645" t="s">
        <v>351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3" t="str">
        <f>HYPERLINK("https://www.youtube.com/watch?v=Xop5dt-yhOA","Video Lesson 19")</f>
        <v>Video Lesson 19</v>
      </c>
      <c r="B647" t="s">
        <v>329</v>
      </c>
      <c r="C647" t="s">
        <v>352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3" t="str">
        <f>HYPERLINK("https://www.youtube.com/watch?v=Xop5dt-yhOA","Video Lesson 19")</f>
        <v>Video Lesson 19</v>
      </c>
      <c r="B649" t="s">
        <v>329</v>
      </c>
      <c r="C649" t="s">
        <v>352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3" t="str">
        <f>HYPERLINK("https://www.youtube.com/watch?v=Xop5dt-yhOA","Video Lesson 19")</f>
        <v>Video Lesson 19</v>
      </c>
      <c r="B651" t="s">
        <v>329</v>
      </c>
      <c r="C651" t="s">
        <v>352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3" t="str">
        <f>HYPERLINK("https://www.youtube.com/watch?v=Xop5dt-yhOA","Video Lesson 19")</f>
        <v>Video Lesson 19</v>
      </c>
      <c r="B653" t="s">
        <v>329</v>
      </c>
      <c r="C653" t="s">
        <v>352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3" t="str">
        <f>HYPERLINK("https://www.youtube.com/watch?v=jVxw8JRCMDk","Video Lesson 21")</f>
        <v>Video Lesson 21</v>
      </c>
      <c r="B655" t="s">
        <v>329</v>
      </c>
      <c r="C655" t="s">
        <v>352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3" t="str">
        <f>HYPERLINK("https://www.youtube.com/watch?v=jVxw8JRCMDk","Video Lesson 21")</f>
        <v>Video Lesson 21</v>
      </c>
      <c r="B657" t="s">
        <v>329</v>
      </c>
      <c r="C657" t="s">
        <v>352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3" t="str">
        <f>HYPERLINK("https://www.youtube.com/watch?v=jVxw8JRCMDk","Video Lesson 21")</f>
        <v>Video Lesson 21</v>
      </c>
      <c r="B659" t="s">
        <v>329</v>
      </c>
      <c r="C659" t="s">
        <v>352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3" t="str">
        <f>HYPERLINK("https://www.youtube.com/watch?v=EWu4a7ogxVA","Video Lesson 'Improvisation'")</f>
        <v>Video Lesson 'Improvisation'</v>
      </c>
      <c r="B661" t="s">
        <v>329</v>
      </c>
      <c r="C661" t="s">
        <v>352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3" t="str">
        <f>HYPERLINK("https://www.youtube.com/watch?v=M-mxlyVa6iM","Video Lesson 24")</f>
        <v>Video Lesson 24</v>
      </c>
      <c r="B663" t="s">
        <v>329</v>
      </c>
      <c r="C663" t="s">
        <v>352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3" t="str">
        <f>HYPERLINK("https://www.youtube.com/watch?v=YMwQ4agNMPI","Video Lesson '2nd Valentine'")</f>
        <v>Video Lesson '2nd Valentine'</v>
      </c>
      <c r="B665" t="s">
        <v>329</v>
      </c>
      <c r="C665" t="s">
        <v>352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3" t="str">
        <f>HYPERLINK("https://www.youtube.com/watch?v=EWu4a7ogxVA","Video Lesson 'Improvisation'")</f>
        <v>Video Lesson 'Improvisation'</v>
      </c>
      <c r="B667" t="s">
        <v>329</v>
      </c>
      <c r="C667" t="s">
        <v>352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3" t="str">
        <f>HYPERLINK("https://www.youtube.com/watch?v=EWu4a7ogxVA","Video Lesson 'Improvisation'")</f>
        <v>Video Lesson 'Improvisation'</v>
      </c>
      <c r="B669" t="s">
        <v>329</v>
      </c>
      <c r="C669" t="s">
        <v>352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3" t="str">
        <f>HYPERLINK("https://www.youtube.com/watch?v=EWu4a7ogxVA","Video Lesson 'Improvisation'")</f>
        <v>Video Lesson 'Improvisation'</v>
      </c>
      <c r="B671" t="s">
        <v>329</v>
      </c>
      <c r="C671" t="s">
        <v>352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3" t="str">
        <f>HYPERLINK("https://www.youtube.com/watch?v=EWu4a7ogxVA","Video Lesson 'Improvisation'")</f>
        <v>Video Lesson 'Improvisation'</v>
      </c>
      <c r="B673" t="s">
        <v>329</v>
      </c>
      <c r="C673" t="s">
        <v>352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3" t="str">
        <f>HYPERLINK("https://www.youtube.com/watch?v=EWu4a7ogxVA","Video Lesson 'Improvisation'")</f>
        <v>Video Lesson 'Improvisation'</v>
      </c>
      <c r="B675" t="s">
        <v>329</v>
      </c>
      <c r="C675" t="s">
        <v>352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3" t="str">
        <f>HYPERLINK("https://www.youtube.com/watch?v=EWu4a7ogxVA","Video Lesson 'Improvisation'")</f>
        <v>Video Lesson 'Improvisation'</v>
      </c>
      <c r="B677" t="s">
        <v>329</v>
      </c>
      <c r="C677" t="s">
        <v>352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3" t="str">
        <f>HYPERLINK("https://www.youtube.com/watch?v=EWu4a7ogxVA","Video Lesson 'Improvisation'")</f>
        <v>Video Lesson 'Improvisation'</v>
      </c>
      <c r="B679" t="s">
        <v>329</v>
      </c>
      <c r="C679" t="s">
        <v>352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3" t="str">
        <f>HYPERLINK("https://www.youtube.com/watch?v=EWu4a7ogxVA","Video Lesson 'Improvisation'")</f>
        <v>Video Lesson 'Improvisation'</v>
      </c>
      <c r="B681" t="s">
        <v>329</v>
      </c>
      <c r="C681" t="s">
        <v>352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3" t="str">
        <f>HYPERLINK("https://www.youtube.com/watch?v=EWu4a7ogxVA","Video Lesson 'Improvisation'")</f>
        <v>Video Lesson 'Improvisation'</v>
      </c>
      <c r="B683" t="s">
        <v>329</v>
      </c>
      <c r="C683" t="s">
        <v>352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3" t="str">
        <f>HYPERLINK("https://www.youtube.com/watch?v=RmEAQDsTTaE","Video Lesson 23")</f>
        <v>Video Lesson 23</v>
      </c>
      <c r="B685" t="s">
        <v>329</v>
      </c>
      <c r="C685" t="s">
        <v>352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3" t="str">
        <f>HYPERLINK("https://www.youtube.com/watch?v=RmEAQDsTTaE","Video Lesson 23")</f>
        <v>Video Lesson 23</v>
      </c>
      <c r="B687" t="s">
        <v>329</v>
      </c>
      <c r="C687" t="s">
        <v>352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3" t="str">
        <f>HYPERLINK("https://www.youtube.com/watch?v=RmEAQDsTTaE","Video Lesson 23")</f>
        <v>Video Lesson 23</v>
      </c>
      <c r="B689" t="s">
        <v>329</v>
      </c>
      <c r="C689" t="s">
        <v>352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3" t="str">
        <f>HYPERLINK("https://www.youtube.com/watch?v=RmEAQDsTTaE","Video Lesson 23")</f>
        <v>Video Lesson 23</v>
      </c>
      <c r="B691" t="s">
        <v>329</v>
      </c>
      <c r="C691" t="s">
        <v>352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3" t="str">
        <f>HYPERLINK("https://www.youtube.com/watch?v=RmEAQDsTTaE","Video Lesson 23")</f>
        <v>Video Lesson 23</v>
      </c>
      <c r="B693" t="s">
        <v>329</v>
      </c>
      <c r="C693" t="s">
        <v>352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3" t="str">
        <f>HYPERLINK("https://www.youtube.com/watch?v=EWu4a7ogxVA","Video Lesson 'Improvisation'")</f>
        <v>Video Lesson 'Improvisation'</v>
      </c>
      <c r="B695" t="s">
        <v>329</v>
      </c>
      <c r="C695" t="s">
        <v>352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22" workbookViewId="0">
      <selection activeCell="A28" sqref="A28"/>
    </sheetView>
  </sheetViews>
  <sheetFormatPr defaultRowHeight="15" x14ac:dyDescent="0.25"/>
  <sheetData>
    <row r="1" spans="1:1" x14ac:dyDescent="0.25">
      <c r="A1" t="s">
        <v>128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150</v>
      </c>
    </row>
    <row r="5" spans="1:1" x14ac:dyDescent="0.25">
      <c r="A5" t="s">
        <v>157</v>
      </c>
    </row>
    <row r="6" spans="1:1" x14ac:dyDescent="0.25">
      <c r="A6" t="s">
        <v>164</v>
      </c>
    </row>
    <row r="7" spans="1:1" x14ac:dyDescent="0.25">
      <c r="A7" t="s">
        <v>171</v>
      </c>
    </row>
    <row r="8" spans="1:1" x14ac:dyDescent="0.25">
      <c r="A8" t="s">
        <v>176</v>
      </c>
    </row>
    <row r="9" spans="1:1" x14ac:dyDescent="0.25">
      <c r="A9" t="s">
        <v>181</v>
      </c>
    </row>
    <row r="10" spans="1:1" x14ac:dyDescent="0.25">
      <c r="A10" t="s">
        <v>186</v>
      </c>
    </row>
    <row r="11" spans="1:1" x14ac:dyDescent="0.25">
      <c r="A11" t="s">
        <v>191</v>
      </c>
    </row>
    <row r="12" spans="1:1" x14ac:dyDescent="0.25">
      <c r="A12" t="s">
        <v>198</v>
      </c>
    </row>
    <row r="13" spans="1:1" x14ac:dyDescent="0.25">
      <c r="A13" t="s">
        <v>205</v>
      </c>
    </row>
    <row r="14" spans="1:1" x14ac:dyDescent="0.25">
      <c r="A14" t="s">
        <v>212</v>
      </c>
    </row>
    <row r="15" spans="1:1" x14ac:dyDescent="0.25">
      <c r="A15" t="s">
        <v>219</v>
      </c>
    </row>
    <row r="16" spans="1:1" x14ac:dyDescent="0.25">
      <c r="A16" t="s">
        <v>226</v>
      </c>
    </row>
    <row r="17" spans="1:1" x14ac:dyDescent="0.25">
      <c r="A17" t="s">
        <v>233</v>
      </c>
    </row>
    <row r="18" spans="1:1" x14ac:dyDescent="0.25">
      <c r="A18" t="s">
        <v>240</v>
      </c>
    </row>
    <row r="19" spans="1:1" x14ac:dyDescent="0.25">
      <c r="A19" t="s">
        <v>248</v>
      </c>
    </row>
    <row r="20" spans="1:1" x14ac:dyDescent="0.25">
      <c r="A20" t="s">
        <v>313</v>
      </c>
    </row>
    <row r="21" spans="1:1" x14ac:dyDescent="0.25">
      <c r="A21" t="s">
        <v>314</v>
      </c>
    </row>
    <row r="22" spans="1:1" x14ac:dyDescent="0.25">
      <c r="A22" t="s">
        <v>270</v>
      </c>
    </row>
    <row r="23" spans="1:1" x14ac:dyDescent="0.25">
      <c r="A23" t="s">
        <v>277</v>
      </c>
    </row>
    <row r="24" spans="1:1" x14ac:dyDescent="0.25">
      <c r="A24" t="s">
        <v>284</v>
      </c>
    </row>
    <row r="25" spans="1:1" x14ac:dyDescent="0.25">
      <c r="A25" t="s">
        <v>291</v>
      </c>
    </row>
    <row r="26" spans="1:1" x14ac:dyDescent="0.25">
      <c r="A26" t="s">
        <v>298</v>
      </c>
    </row>
    <row r="27" spans="1:1" x14ac:dyDescent="0.25">
      <c r="A27" t="s">
        <v>304</v>
      </c>
    </row>
    <row r="28" spans="1:1" x14ac:dyDescent="0.25">
      <c r="A28" t="s">
        <v>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5" bestFit="1" customWidth="1"/>
    <col min="2" max="2" width="28.25" customWidth="1"/>
  </cols>
  <sheetData>
    <row r="1" spans="1:16" x14ac:dyDescent="0.25">
      <c r="A1" t="s">
        <v>451</v>
      </c>
      <c r="B1" t="s">
        <v>452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560</v>
      </c>
      <c r="L1">
        <v>1</v>
      </c>
      <c r="M1" t="s">
        <v>714</v>
      </c>
      <c r="O1" t="s">
        <v>0</v>
      </c>
      <c r="P1" t="s">
        <v>65</v>
      </c>
    </row>
    <row r="2" spans="1:16" x14ac:dyDescent="0.25">
      <c r="A2" t="s">
        <v>454</v>
      </c>
      <c r="B2" t="s">
        <v>453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585</v>
      </c>
      <c r="L2">
        <v>1</v>
      </c>
      <c r="M2" t="s">
        <v>611</v>
      </c>
      <c r="O2" t="s">
        <v>454</v>
      </c>
      <c r="P2" t="s">
        <v>453</v>
      </c>
    </row>
    <row r="3" spans="1:16" x14ac:dyDescent="0.25">
      <c r="A3" t="s">
        <v>455</v>
      </c>
      <c r="B3" t="s">
        <v>456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599</v>
      </c>
      <c r="L3">
        <v>1</v>
      </c>
      <c r="M3" t="s">
        <v>612</v>
      </c>
      <c r="O3" t="s">
        <v>498</v>
      </c>
      <c r="P3" t="s">
        <v>499</v>
      </c>
    </row>
    <row r="4" spans="1:16" x14ac:dyDescent="0.25">
      <c r="A4" t="s">
        <v>457</v>
      </c>
      <c r="B4" t="s">
        <v>458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566</v>
      </c>
      <c r="L4">
        <v>1</v>
      </c>
      <c r="M4" t="s">
        <v>613</v>
      </c>
      <c r="O4" t="s">
        <v>385</v>
      </c>
      <c r="P4" t="s">
        <v>49</v>
      </c>
    </row>
    <row r="5" spans="1:16" x14ac:dyDescent="0.25">
      <c r="A5" t="s">
        <v>459</v>
      </c>
      <c r="B5" t="s">
        <v>460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567</v>
      </c>
      <c r="L5">
        <v>1</v>
      </c>
      <c r="M5" t="s">
        <v>614</v>
      </c>
      <c r="O5" t="s">
        <v>480</v>
      </c>
      <c r="P5" t="s">
        <v>481</v>
      </c>
    </row>
    <row r="6" spans="1:16" x14ac:dyDescent="0.25">
      <c r="A6" t="s">
        <v>461</v>
      </c>
      <c r="B6" t="s">
        <v>462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564</v>
      </c>
      <c r="L6">
        <v>1</v>
      </c>
      <c r="M6" t="s">
        <v>615</v>
      </c>
      <c r="O6" t="s">
        <v>16</v>
      </c>
      <c r="P6" t="s">
        <v>81</v>
      </c>
    </row>
    <row r="7" spans="1:16" x14ac:dyDescent="0.25">
      <c r="A7" t="s">
        <v>463</v>
      </c>
      <c r="B7" t="s">
        <v>464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608</v>
      </c>
      <c r="L7">
        <v>1</v>
      </c>
      <c r="M7" t="s">
        <v>616</v>
      </c>
      <c r="O7" t="s">
        <v>363</v>
      </c>
      <c r="P7" t="s">
        <v>26</v>
      </c>
    </row>
    <row r="8" spans="1:16" x14ac:dyDescent="0.25">
      <c r="A8" t="s">
        <v>467</v>
      </c>
      <c r="B8" t="s">
        <v>468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530</v>
      </c>
      <c r="L8">
        <v>1</v>
      </c>
      <c r="M8" t="s">
        <v>617</v>
      </c>
      <c r="O8" t="s">
        <v>5</v>
      </c>
      <c r="P8" t="s">
        <v>71</v>
      </c>
    </row>
    <row r="9" spans="1:16" x14ac:dyDescent="0.25">
      <c r="A9" t="s">
        <v>465</v>
      </c>
      <c r="B9" t="s">
        <v>466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580</v>
      </c>
      <c r="L9">
        <v>1</v>
      </c>
      <c r="M9" t="s">
        <v>618</v>
      </c>
      <c r="O9" t="s">
        <v>451</v>
      </c>
      <c r="P9" t="s">
        <v>452</v>
      </c>
    </row>
    <row r="10" spans="1:16" x14ac:dyDescent="0.25">
      <c r="A10" t="s">
        <v>469</v>
      </c>
      <c r="B10" t="s">
        <v>470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591</v>
      </c>
      <c r="L10">
        <v>2</v>
      </c>
      <c r="M10" t="s">
        <v>619</v>
      </c>
      <c r="O10" t="s">
        <v>36</v>
      </c>
      <c r="P10" t="s">
        <v>37</v>
      </c>
    </row>
    <row r="11" spans="1:16" x14ac:dyDescent="0.25">
      <c r="A11" t="s">
        <v>471</v>
      </c>
      <c r="B11" t="s">
        <v>100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526</v>
      </c>
      <c r="L11">
        <v>2</v>
      </c>
      <c r="M11" t="s">
        <v>620</v>
      </c>
      <c r="O11" t="s">
        <v>23</v>
      </c>
      <c r="P11" t="s">
        <v>87</v>
      </c>
    </row>
    <row r="12" spans="1:16" x14ac:dyDescent="0.25">
      <c r="A12" t="s">
        <v>472</v>
      </c>
      <c r="B12" t="s">
        <v>473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595</v>
      </c>
      <c r="L12">
        <v>2</v>
      </c>
      <c r="M12" t="s">
        <v>621</v>
      </c>
      <c r="O12" t="s">
        <v>10</v>
      </c>
      <c r="P12" t="s">
        <v>75</v>
      </c>
    </row>
    <row r="13" spans="1:16" x14ac:dyDescent="0.25">
      <c r="A13" t="s">
        <v>474</v>
      </c>
      <c r="B13" t="s">
        <v>475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548</v>
      </c>
      <c r="L13">
        <v>2</v>
      </c>
      <c r="M13" t="s">
        <v>622</v>
      </c>
      <c r="O13" t="s">
        <v>14</v>
      </c>
      <c r="P13" t="s">
        <v>79</v>
      </c>
    </row>
    <row r="14" spans="1:16" x14ac:dyDescent="0.25">
      <c r="A14" t="s">
        <v>1</v>
      </c>
      <c r="B14" t="s">
        <v>67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609</v>
      </c>
      <c r="L14">
        <v>2</v>
      </c>
      <c r="M14" t="s">
        <v>623</v>
      </c>
      <c r="O14" t="s">
        <v>20</v>
      </c>
      <c r="P14" t="s">
        <v>84</v>
      </c>
    </row>
    <row r="15" spans="1:16" x14ac:dyDescent="0.25">
      <c r="A15" t="s">
        <v>2</v>
      </c>
      <c r="B15" t="s">
        <v>68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512</v>
      </c>
      <c r="L15">
        <v>2</v>
      </c>
      <c r="M15" t="s">
        <v>624</v>
      </c>
      <c r="O15" t="s">
        <v>494</v>
      </c>
      <c r="P15" t="s">
        <v>495</v>
      </c>
    </row>
    <row r="16" spans="1:16" x14ac:dyDescent="0.25">
      <c r="A16" t="s">
        <v>3</v>
      </c>
      <c r="B16" t="s">
        <v>69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536</v>
      </c>
      <c r="L16">
        <v>2</v>
      </c>
      <c r="M16" t="s">
        <v>625</v>
      </c>
      <c r="O16" t="s">
        <v>46</v>
      </c>
      <c r="P16" t="s">
        <v>100</v>
      </c>
    </row>
    <row r="17" spans="1:16" x14ac:dyDescent="0.25">
      <c r="A17" t="s">
        <v>4</v>
      </c>
      <c r="B17" t="s">
        <v>70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563</v>
      </c>
      <c r="L17">
        <v>2</v>
      </c>
      <c r="M17" t="s">
        <v>626</v>
      </c>
      <c r="O17" t="s">
        <v>496</v>
      </c>
      <c r="P17" t="s">
        <v>497</v>
      </c>
    </row>
    <row r="18" spans="1:16" x14ac:dyDescent="0.25">
      <c r="A18" t="s">
        <v>5</v>
      </c>
      <c r="B18" t="s">
        <v>71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528</v>
      </c>
      <c r="L18">
        <v>2</v>
      </c>
      <c r="M18" t="s">
        <v>627</v>
      </c>
      <c r="O18" t="s">
        <v>22</v>
      </c>
      <c r="P18" t="s">
        <v>86</v>
      </c>
    </row>
    <row r="19" spans="1:16" x14ac:dyDescent="0.25">
      <c r="A19" t="s">
        <v>6</v>
      </c>
      <c r="B19" t="s">
        <v>72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549</v>
      </c>
      <c r="L19">
        <v>3</v>
      </c>
      <c r="M19" t="s">
        <v>628</v>
      </c>
      <c r="O19" t="s">
        <v>12</v>
      </c>
      <c r="P19" t="s">
        <v>78</v>
      </c>
    </row>
    <row r="20" spans="1:16" x14ac:dyDescent="0.25">
      <c r="A20" t="s">
        <v>7</v>
      </c>
      <c r="B20" t="s">
        <v>35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555</v>
      </c>
      <c r="L20">
        <v>3</v>
      </c>
      <c r="M20" t="s">
        <v>629</v>
      </c>
      <c r="O20" t="s">
        <v>355</v>
      </c>
      <c r="P20" t="s">
        <v>59</v>
      </c>
    </row>
    <row r="21" spans="1:16" x14ac:dyDescent="0.25">
      <c r="A21" t="s">
        <v>8</v>
      </c>
      <c r="B21" t="s">
        <v>73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509</v>
      </c>
      <c r="L21">
        <v>3</v>
      </c>
      <c r="M21" t="s">
        <v>630</v>
      </c>
      <c r="O21" t="s">
        <v>44</v>
      </c>
      <c r="P21" t="s">
        <v>97</v>
      </c>
    </row>
    <row r="22" spans="1:16" x14ac:dyDescent="0.25">
      <c r="A22" t="s">
        <v>9</v>
      </c>
      <c r="B22" t="s">
        <v>74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596</v>
      </c>
      <c r="L22">
        <v>3</v>
      </c>
      <c r="M22" t="s">
        <v>631</v>
      </c>
      <c r="O22" t="s">
        <v>488</v>
      </c>
      <c r="P22" t="s">
        <v>489</v>
      </c>
    </row>
    <row r="23" spans="1:16" x14ac:dyDescent="0.25">
      <c r="A23" t="s">
        <v>10</v>
      </c>
      <c r="B23" t="s">
        <v>75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583</v>
      </c>
      <c r="L23">
        <v>3</v>
      </c>
      <c r="M23" t="s">
        <v>632</v>
      </c>
      <c r="O23" t="s">
        <v>377</v>
      </c>
      <c r="P23" t="s">
        <v>114</v>
      </c>
    </row>
    <row r="24" spans="1:16" x14ac:dyDescent="0.25">
      <c r="A24" t="s">
        <v>11</v>
      </c>
      <c r="B24" t="s">
        <v>76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574</v>
      </c>
      <c r="L24">
        <v>3</v>
      </c>
      <c r="M24" t="s">
        <v>633</v>
      </c>
      <c r="O24" t="s">
        <v>369</v>
      </c>
      <c r="P24" t="s">
        <v>90</v>
      </c>
    </row>
    <row r="25" spans="1:16" x14ac:dyDescent="0.25">
      <c r="A25" t="s">
        <v>476</v>
      </c>
      <c r="B25" t="s">
        <v>477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565</v>
      </c>
      <c r="L25">
        <v>3</v>
      </c>
      <c r="M25" t="s">
        <v>634</v>
      </c>
      <c r="O25" t="s">
        <v>469</v>
      </c>
      <c r="P25" t="s">
        <v>470</v>
      </c>
    </row>
    <row r="26" spans="1:16" x14ac:dyDescent="0.25">
      <c r="A26" t="s">
        <v>13</v>
      </c>
      <c r="B26" t="s">
        <v>58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561</v>
      </c>
      <c r="L26">
        <v>3</v>
      </c>
      <c r="M26" t="s">
        <v>635</v>
      </c>
      <c r="O26" t="s">
        <v>3</v>
      </c>
      <c r="P26" t="s">
        <v>69</v>
      </c>
    </row>
    <row r="27" spans="1:16" x14ac:dyDescent="0.25">
      <c r="A27" t="s">
        <v>14</v>
      </c>
      <c r="B27" t="s">
        <v>79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544</v>
      </c>
      <c r="L27">
        <v>4</v>
      </c>
      <c r="M27" t="s">
        <v>636</v>
      </c>
      <c r="O27" t="s">
        <v>368</v>
      </c>
      <c r="P27" t="s">
        <v>318</v>
      </c>
    </row>
    <row r="28" spans="1:16" x14ac:dyDescent="0.25">
      <c r="A28" t="s">
        <v>15</v>
      </c>
      <c r="B28" t="s">
        <v>80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582</v>
      </c>
      <c r="L28">
        <v>4</v>
      </c>
      <c r="M28" t="s">
        <v>637</v>
      </c>
      <c r="O28" t="s">
        <v>392</v>
      </c>
      <c r="P28" t="s">
        <v>109</v>
      </c>
    </row>
    <row r="29" spans="1:16" x14ac:dyDescent="0.25">
      <c r="A29" t="s">
        <v>12</v>
      </c>
      <c r="B29" t="s">
        <v>78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568</v>
      </c>
      <c r="L29">
        <v>4</v>
      </c>
      <c r="M29" t="s">
        <v>638</v>
      </c>
      <c r="O29" t="s">
        <v>2</v>
      </c>
      <c r="P29" t="s">
        <v>68</v>
      </c>
    </row>
    <row r="30" spans="1:16" x14ac:dyDescent="0.25">
      <c r="A30" t="s">
        <v>478</v>
      </c>
      <c r="B30" t="s">
        <v>479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594</v>
      </c>
      <c r="L30">
        <v>4</v>
      </c>
      <c r="M30" t="s">
        <v>639</v>
      </c>
      <c r="O30" t="s">
        <v>354</v>
      </c>
      <c r="P30" t="s">
        <v>110</v>
      </c>
    </row>
    <row r="31" spans="1:16" x14ac:dyDescent="0.25">
      <c r="A31" t="s">
        <v>480</v>
      </c>
      <c r="B31" t="s">
        <v>481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511</v>
      </c>
      <c r="L31">
        <v>4</v>
      </c>
      <c r="M31" t="s">
        <v>640</v>
      </c>
      <c r="O31" t="s">
        <v>353</v>
      </c>
      <c r="P31" t="s">
        <v>95</v>
      </c>
    </row>
    <row r="32" spans="1:16" x14ac:dyDescent="0.25">
      <c r="A32" t="s">
        <v>482</v>
      </c>
      <c r="B32" t="s">
        <v>483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510</v>
      </c>
      <c r="L32">
        <v>4</v>
      </c>
      <c r="M32" t="s">
        <v>641</v>
      </c>
      <c r="O32" t="s">
        <v>474</v>
      </c>
      <c r="P32" t="s">
        <v>475</v>
      </c>
    </row>
    <row r="33" spans="1:16" x14ac:dyDescent="0.25">
      <c r="A33" t="s">
        <v>484</v>
      </c>
      <c r="B33" t="s">
        <v>485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590</v>
      </c>
      <c r="L33">
        <v>4</v>
      </c>
      <c r="M33" t="s">
        <v>642</v>
      </c>
      <c r="O33" t="s">
        <v>379</v>
      </c>
      <c r="P33" t="s">
        <v>103</v>
      </c>
    </row>
    <row r="34" spans="1:16" x14ac:dyDescent="0.25">
      <c r="A34" t="s">
        <v>486</v>
      </c>
      <c r="B34" t="s">
        <v>487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538</v>
      </c>
      <c r="L34">
        <v>4</v>
      </c>
      <c r="M34" t="s">
        <v>643</v>
      </c>
      <c r="O34" t="s">
        <v>47</v>
      </c>
      <c r="P34" t="s">
        <v>43</v>
      </c>
    </row>
    <row r="35" spans="1:16" x14ac:dyDescent="0.25">
      <c r="A35" t="s">
        <v>20</v>
      </c>
      <c r="B35" t="s">
        <v>84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573</v>
      </c>
      <c r="L35">
        <v>4</v>
      </c>
      <c r="M35" t="s">
        <v>644</v>
      </c>
      <c r="O35" t="s">
        <v>394</v>
      </c>
      <c r="P35" t="s">
        <v>98</v>
      </c>
    </row>
    <row r="36" spans="1:16" x14ac:dyDescent="0.25">
      <c r="A36" t="s">
        <v>16</v>
      </c>
      <c r="B36" t="s">
        <v>81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551</v>
      </c>
      <c r="L36">
        <v>5</v>
      </c>
      <c r="M36" t="s">
        <v>645</v>
      </c>
      <c r="O36" t="s">
        <v>8</v>
      </c>
      <c r="P36" t="s">
        <v>73</v>
      </c>
    </row>
    <row r="37" spans="1:16" x14ac:dyDescent="0.25">
      <c r="A37" t="s">
        <v>21</v>
      </c>
      <c r="B37" t="s">
        <v>85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516</v>
      </c>
      <c r="L37">
        <v>5</v>
      </c>
      <c r="M37" t="s">
        <v>646</v>
      </c>
      <c r="O37" t="s">
        <v>471</v>
      </c>
      <c r="P37" t="s">
        <v>100</v>
      </c>
    </row>
    <row r="38" spans="1:16" x14ac:dyDescent="0.25">
      <c r="A38" t="s">
        <v>22</v>
      </c>
      <c r="B38" t="s">
        <v>86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593</v>
      </c>
      <c r="L38">
        <v>5</v>
      </c>
      <c r="M38" t="s">
        <v>647</v>
      </c>
      <c r="O38" t="s">
        <v>361</v>
      </c>
      <c r="P38" t="s">
        <v>39</v>
      </c>
    </row>
    <row r="39" spans="1:16" x14ac:dyDescent="0.25">
      <c r="A39" t="s">
        <v>23</v>
      </c>
      <c r="B39" t="s">
        <v>87</v>
      </c>
      <c r="G39" t="str">
        <f t="shared" si="3"/>
        <v>Night :leil</v>
      </c>
      <c r="J39" t="s">
        <v>584</v>
      </c>
      <c r="L39">
        <v>5</v>
      </c>
      <c r="M39" t="s">
        <v>648</v>
      </c>
      <c r="O39" t="s">
        <v>457</v>
      </c>
      <c r="P39" t="s">
        <v>458</v>
      </c>
    </row>
    <row r="40" spans="1:16" x14ac:dyDescent="0.25">
      <c r="A40" t="s">
        <v>17</v>
      </c>
      <c r="B40" t="s">
        <v>82</v>
      </c>
      <c r="G40" t="str">
        <f t="shared" si="3"/>
        <v>Autumn :khareef</v>
      </c>
      <c r="J40" t="s">
        <v>534</v>
      </c>
      <c r="L40">
        <v>5</v>
      </c>
      <c r="M40" t="s">
        <v>649</v>
      </c>
      <c r="O40" t="s">
        <v>381</v>
      </c>
      <c r="P40" t="s">
        <v>53</v>
      </c>
    </row>
    <row r="41" spans="1:16" x14ac:dyDescent="0.25">
      <c r="A41" t="s">
        <v>18</v>
      </c>
      <c r="B41" t="s">
        <v>323</v>
      </c>
      <c r="G41" t="str">
        <f t="shared" si="3"/>
        <v>Winter :sheteh</v>
      </c>
      <c r="J41" t="s">
        <v>541</v>
      </c>
      <c r="L41">
        <v>5</v>
      </c>
      <c r="M41" t="s">
        <v>650</v>
      </c>
      <c r="O41" t="s">
        <v>484</v>
      </c>
      <c r="P41" t="s">
        <v>485</v>
      </c>
    </row>
    <row r="42" spans="1:16" x14ac:dyDescent="0.25">
      <c r="A42" t="s">
        <v>19</v>
      </c>
      <c r="B42" t="s">
        <v>83</v>
      </c>
      <c r="G42" t="str">
        <f t="shared" si="3"/>
        <v>Spring :rabee3</v>
      </c>
      <c r="J42" t="s">
        <v>546</v>
      </c>
      <c r="L42">
        <v>5</v>
      </c>
      <c r="M42" t="s">
        <v>651</v>
      </c>
      <c r="O42" t="s">
        <v>380</v>
      </c>
      <c r="P42" t="s">
        <v>104</v>
      </c>
    </row>
    <row r="43" spans="1:16" x14ac:dyDescent="0.25">
      <c r="A43" t="s">
        <v>488</v>
      </c>
      <c r="B43" t="s">
        <v>489</v>
      </c>
      <c r="G43" t="str">
        <f t="shared" si="3"/>
        <v>bed :takhet</v>
      </c>
      <c r="J43" t="s">
        <v>521</v>
      </c>
      <c r="L43">
        <v>5</v>
      </c>
      <c r="M43" t="s">
        <v>652</v>
      </c>
      <c r="O43" t="s">
        <v>367</v>
      </c>
      <c r="P43" t="s">
        <v>317</v>
      </c>
    </row>
    <row r="44" spans="1:16" x14ac:dyDescent="0.25">
      <c r="A44" t="s">
        <v>24</v>
      </c>
      <c r="B44" t="s">
        <v>88</v>
      </c>
      <c r="G44" t="str">
        <f t="shared" si="3"/>
        <v>Home :beit</v>
      </c>
      <c r="J44" t="s">
        <v>606</v>
      </c>
      <c r="L44">
        <v>6</v>
      </c>
      <c r="M44" t="s">
        <v>653</v>
      </c>
      <c r="O44" t="s">
        <v>358</v>
      </c>
      <c r="P44" t="s">
        <v>61</v>
      </c>
    </row>
    <row r="45" spans="1:16" x14ac:dyDescent="0.25">
      <c r="A45" t="s">
        <v>25</v>
      </c>
      <c r="B45" t="s">
        <v>89</v>
      </c>
      <c r="G45" t="str">
        <f t="shared" si="3"/>
        <v>Apartement :she'a</v>
      </c>
      <c r="J45" t="s">
        <v>523</v>
      </c>
      <c r="L45">
        <v>6</v>
      </c>
      <c r="M45" t="s">
        <v>654</v>
      </c>
      <c r="O45" t="s">
        <v>7</v>
      </c>
      <c r="P45" t="s">
        <v>35</v>
      </c>
    </row>
    <row r="46" spans="1:16" x14ac:dyDescent="0.25">
      <c r="A46" t="s">
        <v>490</v>
      </c>
      <c r="B46" t="s">
        <v>491</v>
      </c>
      <c r="G46" t="str">
        <f t="shared" si="3"/>
        <v>rent :ajaar</v>
      </c>
      <c r="J46" t="s">
        <v>570</v>
      </c>
      <c r="L46">
        <v>6</v>
      </c>
      <c r="M46" t="s">
        <v>655</v>
      </c>
      <c r="O46" t="s">
        <v>476</v>
      </c>
      <c r="P46" t="s">
        <v>477</v>
      </c>
    </row>
    <row r="47" spans="1:16" x14ac:dyDescent="0.25">
      <c r="A47" t="s">
        <v>492</v>
      </c>
      <c r="B47" t="s">
        <v>493</v>
      </c>
      <c r="G47" t="str">
        <f t="shared" si="3"/>
        <v>bathroom:Hemmeim</v>
      </c>
      <c r="J47" t="s">
        <v>607</v>
      </c>
      <c r="L47">
        <v>6</v>
      </c>
      <c r="M47" t="s">
        <v>656</v>
      </c>
      <c r="O47" t="s">
        <v>364</v>
      </c>
      <c r="P47" t="s">
        <v>27</v>
      </c>
    </row>
    <row r="48" spans="1:16" x14ac:dyDescent="0.25">
      <c r="A48" t="s">
        <v>494</v>
      </c>
      <c r="B48" t="s">
        <v>495</v>
      </c>
      <c r="G48" t="str">
        <f t="shared" si="3"/>
        <v>tomorrow :bukra</v>
      </c>
      <c r="J48" t="s">
        <v>507</v>
      </c>
      <c r="L48">
        <v>6</v>
      </c>
      <c r="M48" t="s">
        <v>657</v>
      </c>
      <c r="O48" t="s">
        <v>18</v>
      </c>
      <c r="P48" t="s">
        <v>323</v>
      </c>
    </row>
    <row r="49" spans="1:16" x14ac:dyDescent="0.25">
      <c r="A49" t="s">
        <v>363</v>
      </c>
      <c r="B49" t="s">
        <v>26</v>
      </c>
      <c r="G49" t="str">
        <f t="shared" si="3"/>
        <v>And:wa</v>
      </c>
      <c r="J49" t="s">
        <v>532</v>
      </c>
      <c r="L49">
        <v>6</v>
      </c>
      <c r="M49" t="s">
        <v>658</v>
      </c>
      <c r="O49" t="s">
        <v>382</v>
      </c>
      <c r="P49" t="s">
        <v>54</v>
      </c>
    </row>
    <row r="50" spans="1:16" x14ac:dyDescent="0.25">
      <c r="A50" t="s">
        <v>364</v>
      </c>
      <c r="B50" t="s">
        <v>27</v>
      </c>
      <c r="G50" t="str">
        <f t="shared" si="3"/>
        <v>So:fa</v>
      </c>
      <c r="J50" t="s">
        <v>577</v>
      </c>
      <c r="L50">
        <v>6</v>
      </c>
      <c r="M50" t="s">
        <v>659</v>
      </c>
      <c r="O50" t="s">
        <v>1</v>
      </c>
      <c r="P50" t="s">
        <v>67</v>
      </c>
    </row>
    <row r="51" spans="1:16" x14ac:dyDescent="0.25">
      <c r="A51" t="s">
        <v>365</v>
      </c>
      <c r="B51" t="s">
        <v>28</v>
      </c>
      <c r="G51" t="str">
        <f t="shared" si="3"/>
        <v>But:bas</v>
      </c>
      <c r="J51" t="s">
        <v>556</v>
      </c>
      <c r="L51">
        <v>7</v>
      </c>
      <c r="M51" t="s">
        <v>660</v>
      </c>
      <c r="O51" t="s">
        <v>357</v>
      </c>
      <c r="P51" t="s">
        <v>60</v>
      </c>
    </row>
    <row r="52" spans="1:16" x14ac:dyDescent="0.25">
      <c r="A52" t="s">
        <v>366</v>
      </c>
      <c r="B52" t="s">
        <v>322</v>
      </c>
      <c r="G52" t="str">
        <f t="shared" si="3"/>
        <v>After:ba3dein</v>
      </c>
      <c r="J52" t="s">
        <v>562</v>
      </c>
      <c r="L52">
        <v>7</v>
      </c>
      <c r="M52" t="s">
        <v>661</v>
      </c>
      <c r="O52" t="s">
        <v>465</v>
      </c>
      <c r="P52" t="s">
        <v>466</v>
      </c>
    </row>
    <row r="53" spans="1:16" x14ac:dyDescent="0.25">
      <c r="A53" t="s">
        <v>367</v>
      </c>
      <c r="B53" t="s">
        <v>317</v>
      </c>
      <c r="G53" t="str">
        <f t="shared" si="3"/>
        <v>When:lamma</v>
      </c>
      <c r="J53" t="s">
        <v>604</v>
      </c>
      <c r="L53">
        <v>7</v>
      </c>
      <c r="M53" t="s">
        <v>662</v>
      </c>
      <c r="O53" t="s">
        <v>490</v>
      </c>
      <c r="P53" t="s">
        <v>491</v>
      </c>
    </row>
    <row r="54" spans="1:16" x14ac:dyDescent="0.25">
      <c r="A54" t="s">
        <v>368</v>
      </c>
      <c r="B54" t="s">
        <v>318</v>
      </c>
      <c r="G54" t="str">
        <f t="shared" si="3"/>
        <v>From:men</v>
      </c>
      <c r="J54" t="s">
        <v>610</v>
      </c>
      <c r="L54">
        <v>7</v>
      </c>
      <c r="M54" t="s">
        <v>663</v>
      </c>
    </row>
    <row r="55" spans="1:16" x14ac:dyDescent="0.25">
      <c r="A55" t="s">
        <v>369</v>
      </c>
      <c r="B55" t="s">
        <v>90</v>
      </c>
      <c r="G55" t="str">
        <f t="shared" si="3"/>
        <v>On:3ala</v>
      </c>
      <c r="J55" t="s">
        <v>506</v>
      </c>
      <c r="L55">
        <v>7</v>
      </c>
      <c r="M55" t="s">
        <v>664</v>
      </c>
    </row>
    <row r="56" spans="1:16" x14ac:dyDescent="0.25">
      <c r="A56" t="s">
        <v>370</v>
      </c>
      <c r="B56" t="s">
        <v>319</v>
      </c>
      <c r="G56" t="str">
        <f t="shared" si="3"/>
        <v>About:3an</v>
      </c>
      <c r="J56" t="s">
        <v>601</v>
      </c>
      <c r="L56">
        <v>7</v>
      </c>
      <c r="M56" t="s">
        <v>665</v>
      </c>
    </row>
    <row r="57" spans="1:16" x14ac:dyDescent="0.25">
      <c r="A57" t="s">
        <v>371</v>
      </c>
      <c r="B57" t="s">
        <v>320</v>
      </c>
      <c r="G57" t="str">
        <f t="shared" si="3"/>
        <v>That:enno</v>
      </c>
      <c r="J57" t="s">
        <v>581</v>
      </c>
      <c r="L57">
        <v>7</v>
      </c>
      <c r="M57" t="s">
        <v>666</v>
      </c>
    </row>
    <row r="58" spans="1:16" x14ac:dyDescent="0.25">
      <c r="A58" t="s">
        <v>372</v>
      </c>
      <c r="B58" t="s">
        <v>321</v>
      </c>
      <c r="G58" t="str">
        <f t="shared" si="3"/>
        <v>Because:la'enno</v>
      </c>
      <c r="J58" t="s">
        <v>535</v>
      </c>
      <c r="L58">
        <v>7</v>
      </c>
      <c r="M58" t="s">
        <v>667</v>
      </c>
    </row>
    <row r="59" spans="1:16" x14ac:dyDescent="0.25">
      <c r="A59" t="s">
        <v>373</v>
      </c>
      <c r="B59" t="s">
        <v>91</v>
      </c>
      <c r="G59" t="str">
        <f t="shared" si="3"/>
        <v>Shirt:ameess</v>
      </c>
      <c r="J59" t="s">
        <v>540</v>
      </c>
      <c r="L59">
        <v>7</v>
      </c>
      <c r="M59" t="s">
        <v>668</v>
      </c>
    </row>
    <row r="60" spans="1:16" x14ac:dyDescent="0.25">
      <c r="A60" t="s">
        <v>374</v>
      </c>
      <c r="B60" t="s">
        <v>92</v>
      </c>
      <c r="G60" t="str">
        <f t="shared" si="3"/>
        <v>High heels:scarbeeneh</v>
      </c>
      <c r="J60" t="s">
        <v>553</v>
      </c>
      <c r="L60">
        <v>8</v>
      </c>
      <c r="M60" t="s">
        <v>669</v>
      </c>
    </row>
    <row r="61" spans="1:16" x14ac:dyDescent="0.25">
      <c r="A61" t="s">
        <v>375</v>
      </c>
      <c r="B61" t="s">
        <v>29</v>
      </c>
      <c r="G61" t="str">
        <f t="shared" si="3"/>
        <v>Shoe:sobbat</v>
      </c>
      <c r="J61" t="s">
        <v>522</v>
      </c>
      <c r="L61">
        <v>8</v>
      </c>
      <c r="M61" t="s">
        <v>670</v>
      </c>
    </row>
    <row r="62" spans="1:16" x14ac:dyDescent="0.25">
      <c r="A62" t="s">
        <v>30</v>
      </c>
      <c r="B62" t="s">
        <v>31</v>
      </c>
      <c r="G62" t="str">
        <f t="shared" si="3"/>
        <v>Dress:fostan</v>
      </c>
      <c r="J62" t="s">
        <v>505</v>
      </c>
      <c r="L62">
        <v>8</v>
      </c>
      <c r="M62" t="s">
        <v>671</v>
      </c>
    </row>
    <row r="63" spans="1:16" x14ac:dyDescent="0.25">
      <c r="A63" t="s">
        <v>376</v>
      </c>
      <c r="B63" t="s">
        <v>93</v>
      </c>
      <c r="G63" t="str">
        <f t="shared" si="3"/>
        <v>Glasses:3wayneit</v>
      </c>
      <c r="J63" t="s">
        <v>569</v>
      </c>
      <c r="L63">
        <v>8</v>
      </c>
      <c r="M63" t="s">
        <v>672</v>
      </c>
    </row>
    <row r="64" spans="1:16" x14ac:dyDescent="0.25">
      <c r="A64" t="s">
        <v>32</v>
      </c>
      <c r="B64" t="s">
        <v>94</v>
      </c>
      <c r="G64" t="str">
        <f t="shared" si="3"/>
        <v>Family:3ayleh</v>
      </c>
      <c r="J64" t="s">
        <v>543</v>
      </c>
      <c r="L64">
        <v>8</v>
      </c>
      <c r="M64" t="s">
        <v>673</v>
      </c>
    </row>
    <row r="65" spans="1:13" x14ac:dyDescent="0.25">
      <c r="A65" t="s">
        <v>36</v>
      </c>
      <c r="B65" t="s">
        <v>37</v>
      </c>
      <c r="G65" t="str">
        <f t="shared" ref="G65:G96" si="4">A65&amp;":"&amp;B65</f>
        <v>I:ana</v>
      </c>
      <c r="J65" t="s">
        <v>527</v>
      </c>
      <c r="L65">
        <v>8</v>
      </c>
      <c r="M65" t="s">
        <v>674</v>
      </c>
    </row>
    <row r="66" spans="1:13" x14ac:dyDescent="0.25">
      <c r="A66" t="s">
        <v>360</v>
      </c>
      <c r="B66" t="s">
        <v>38</v>
      </c>
      <c r="G66" t="str">
        <f t="shared" si="4"/>
        <v>He:howeh</v>
      </c>
      <c r="J66" t="s">
        <v>531</v>
      </c>
      <c r="L66">
        <v>8</v>
      </c>
      <c r="M66" t="s">
        <v>675</v>
      </c>
    </row>
    <row r="67" spans="1:13" x14ac:dyDescent="0.25">
      <c r="A67" t="s">
        <v>361</v>
      </c>
      <c r="B67" t="s">
        <v>39</v>
      </c>
      <c r="G67" t="str">
        <f t="shared" si="4"/>
        <v>She:hiyeh</v>
      </c>
      <c r="J67" t="s">
        <v>539</v>
      </c>
      <c r="L67">
        <v>8</v>
      </c>
      <c r="M67" t="s">
        <v>676</v>
      </c>
    </row>
    <row r="68" spans="1:13" x14ac:dyDescent="0.25">
      <c r="A68" t="s">
        <v>353</v>
      </c>
      <c r="B68" t="s">
        <v>95</v>
      </c>
      <c r="G68" t="str">
        <f t="shared" si="4"/>
        <v>We:neHna</v>
      </c>
      <c r="J68" t="s">
        <v>552</v>
      </c>
      <c r="L68">
        <v>8</v>
      </c>
      <c r="M68" t="s">
        <v>677</v>
      </c>
    </row>
    <row r="69" spans="1:13" x14ac:dyDescent="0.25">
      <c r="A69" t="s">
        <v>362</v>
      </c>
      <c r="B69" t="s">
        <v>41</v>
      </c>
      <c r="G69" t="str">
        <f t="shared" si="4"/>
        <v>They:henneh</v>
      </c>
      <c r="J69" t="s">
        <v>578</v>
      </c>
      <c r="L69">
        <v>9</v>
      </c>
      <c r="M69" t="s">
        <v>678</v>
      </c>
    </row>
    <row r="70" spans="1:13" x14ac:dyDescent="0.25">
      <c r="A70" t="s">
        <v>42</v>
      </c>
      <c r="B70" t="s">
        <v>96</v>
      </c>
      <c r="G70" t="str">
        <f t="shared" si="4"/>
        <v>Monday:tanein</v>
      </c>
      <c r="J70" t="s">
        <v>600</v>
      </c>
      <c r="L70">
        <v>9</v>
      </c>
      <c r="M70" t="s">
        <v>679</v>
      </c>
    </row>
    <row r="71" spans="1:13" x14ac:dyDescent="0.25">
      <c r="A71" t="s">
        <v>44</v>
      </c>
      <c r="B71" t="s">
        <v>97</v>
      </c>
      <c r="G71" t="str">
        <f t="shared" si="4"/>
        <v>Tuesday:taleita</v>
      </c>
      <c r="J71" t="s">
        <v>542</v>
      </c>
      <c r="L71">
        <v>9</v>
      </c>
      <c r="M71" t="s">
        <v>680</v>
      </c>
    </row>
    <row r="72" spans="1:13" x14ac:dyDescent="0.25">
      <c r="A72" t="s">
        <v>394</v>
      </c>
      <c r="B72" t="s">
        <v>98</v>
      </c>
      <c r="G72" t="str">
        <f t="shared" si="4"/>
        <v>Wednsday:orb3a</v>
      </c>
      <c r="J72" t="s">
        <v>533</v>
      </c>
      <c r="L72">
        <v>9</v>
      </c>
      <c r="M72" t="s">
        <v>681</v>
      </c>
    </row>
    <row r="73" spans="1:13" x14ac:dyDescent="0.25">
      <c r="A73" t="s">
        <v>45</v>
      </c>
      <c r="B73" t="s">
        <v>99</v>
      </c>
      <c r="G73" t="str">
        <f t="shared" si="4"/>
        <v>Thursday:khamees</v>
      </c>
      <c r="J73" t="s">
        <v>592</v>
      </c>
      <c r="L73">
        <v>9</v>
      </c>
      <c r="M73" t="s">
        <v>682</v>
      </c>
    </row>
    <row r="74" spans="1:13" x14ac:dyDescent="0.25">
      <c r="A74" t="s">
        <v>46</v>
      </c>
      <c r="B74" t="s">
        <v>100</v>
      </c>
      <c r="G74" t="str">
        <f t="shared" si="4"/>
        <v>Friday:jem3a</v>
      </c>
      <c r="J74" t="s">
        <v>575</v>
      </c>
      <c r="L74">
        <v>9</v>
      </c>
      <c r="M74" t="s">
        <v>683</v>
      </c>
    </row>
    <row r="75" spans="1:13" x14ac:dyDescent="0.25">
      <c r="A75" t="s">
        <v>47</v>
      </c>
      <c r="B75" t="s">
        <v>43</v>
      </c>
      <c r="G75" t="str">
        <f t="shared" si="4"/>
        <v>Saturday:sabet</v>
      </c>
      <c r="J75" t="s">
        <v>547</v>
      </c>
      <c r="L75">
        <v>10</v>
      </c>
      <c r="M75" t="s">
        <v>684</v>
      </c>
    </row>
    <row r="76" spans="1:13" x14ac:dyDescent="0.25">
      <c r="A76" t="s">
        <v>48</v>
      </c>
      <c r="B76" t="s">
        <v>101</v>
      </c>
      <c r="G76" t="str">
        <f t="shared" si="4"/>
        <v>Sunday:aHad</v>
      </c>
      <c r="J76" t="s">
        <v>603</v>
      </c>
      <c r="L76">
        <v>10</v>
      </c>
      <c r="M76" t="s">
        <v>685</v>
      </c>
    </row>
    <row r="77" spans="1:13" x14ac:dyDescent="0.25">
      <c r="A77" t="s">
        <v>385</v>
      </c>
      <c r="B77" t="s">
        <v>49</v>
      </c>
      <c r="G77" t="str">
        <f t="shared" si="4"/>
        <v>Rice:rezz</v>
      </c>
      <c r="J77" t="s">
        <v>559</v>
      </c>
      <c r="L77">
        <v>10</v>
      </c>
      <c r="M77" t="s">
        <v>686</v>
      </c>
    </row>
    <row r="78" spans="1:13" x14ac:dyDescent="0.25">
      <c r="A78" t="s">
        <v>386</v>
      </c>
      <c r="B78" t="s">
        <v>50</v>
      </c>
      <c r="G78" t="str">
        <f t="shared" si="4"/>
        <v>Button:zerr</v>
      </c>
      <c r="J78" t="s">
        <v>514</v>
      </c>
      <c r="L78">
        <v>10</v>
      </c>
      <c r="M78" t="s">
        <v>687</v>
      </c>
    </row>
    <row r="79" spans="1:13" x14ac:dyDescent="0.25">
      <c r="A79" t="s">
        <v>387</v>
      </c>
      <c r="B79" t="s">
        <v>51</v>
      </c>
      <c r="G79" t="str">
        <f t="shared" si="4"/>
        <v>Horn:zammour</v>
      </c>
      <c r="J79" t="s">
        <v>520</v>
      </c>
      <c r="L79">
        <v>10</v>
      </c>
      <c r="M79" t="s">
        <v>688</v>
      </c>
    </row>
    <row r="80" spans="1:13" x14ac:dyDescent="0.25">
      <c r="A80" t="s">
        <v>388</v>
      </c>
      <c r="B80" t="s">
        <v>52</v>
      </c>
      <c r="G80" t="str">
        <f t="shared" si="4"/>
        <v>Gun:fared</v>
      </c>
      <c r="J80" t="s">
        <v>558</v>
      </c>
      <c r="L80">
        <v>11</v>
      </c>
      <c r="M80" t="s">
        <v>689</v>
      </c>
    </row>
    <row r="81" spans="1:13" x14ac:dyDescent="0.25">
      <c r="A81" t="s">
        <v>378</v>
      </c>
      <c r="B81" t="s">
        <v>102</v>
      </c>
      <c r="G81" t="str">
        <f t="shared" si="4"/>
        <v>Anger:to3seeb</v>
      </c>
      <c r="J81" t="s">
        <v>605</v>
      </c>
      <c r="L81">
        <v>11</v>
      </c>
      <c r="M81" t="s">
        <v>690</v>
      </c>
    </row>
    <row r="82" spans="1:13" x14ac:dyDescent="0.25">
      <c r="A82" t="s">
        <v>379</v>
      </c>
      <c r="B82" t="s">
        <v>103</v>
      </c>
      <c r="G82" t="str">
        <f t="shared" si="4"/>
        <v>Optimism:tafei'oul</v>
      </c>
      <c r="J82" t="s">
        <v>519</v>
      </c>
      <c r="L82">
        <v>11</v>
      </c>
      <c r="M82" t="s">
        <v>691</v>
      </c>
    </row>
    <row r="83" spans="1:13" x14ac:dyDescent="0.25">
      <c r="A83" t="s">
        <v>380</v>
      </c>
      <c r="B83" t="s">
        <v>104</v>
      </c>
      <c r="G83" t="str">
        <f t="shared" si="4"/>
        <v>Pessimism:tashei'oum</v>
      </c>
      <c r="J83" t="s">
        <v>602</v>
      </c>
      <c r="L83">
        <v>11</v>
      </c>
      <c r="M83" t="s">
        <v>692</v>
      </c>
    </row>
    <row r="84" spans="1:13" x14ac:dyDescent="0.25">
      <c r="A84" t="s">
        <v>381</v>
      </c>
      <c r="B84" t="s">
        <v>53</v>
      </c>
      <c r="G84" t="str">
        <f t="shared" si="4"/>
        <v>Orgasm:nashweh</v>
      </c>
      <c r="J84" t="s">
        <v>572</v>
      </c>
      <c r="L84">
        <v>11</v>
      </c>
      <c r="M84" t="s">
        <v>693</v>
      </c>
    </row>
    <row r="85" spans="1:13" x14ac:dyDescent="0.25">
      <c r="A85" t="s">
        <v>382</v>
      </c>
      <c r="B85" t="s">
        <v>54</v>
      </c>
      <c r="G85" t="str">
        <f t="shared" si="4"/>
        <v>Pride:fakher</v>
      </c>
      <c r="J85" t="s">
        <v>517</v>
      </c>
      <c r="L85">
        <v>12</v>
      </c>
      <c r="M85" t="s">
        <v>694</v>
      </c>
    </row>
    <row r="86" spans="1:13" x14ac:dyDescent="0.25">
      <c r="A86" t="s">
        <v>383</v>
      </c>
      <c r="B86" t="s">
        <v>55</v>
      </c>
      <c r="G86" t="str">
        <f t="shared" si="4"/>
        <v>Shyness:khajal</v>
      </c>
      <c r="J86" t="s">
        <v>586</v>
      </c>
      <c r="L86">
        <v>12</v>
      </c>
      <c r="M86" t="s">
        <v>695</v>
      </c>
    </row>
    <row r="87" spans="1:13" x14ac:dyDescent="0.25">
      <c r="A87" t="s">
        <v>384</v>
      </c>
      <c r="B87" t="s">
        <v>56</v>
      </c>
      <c r="G87" t="str">
        <f t="shared" si="4"/>
        <v>Anxiety:ala'</v>
      </c>
      <c r="J87" t="s">
        <v>579</v>
      </c>
      <c r="L87">
        <v>12</v>
      </c>
      <c r="M87" t="s">
        <v>696</v>
      </c>
    </row>
    <row r="88" spans="1:13" x14ac:dyDescent="0.25">
      <c r="A88" t="s">
        <v>355</v>
      </c>
      <c r="B88" t="s">
        <v>59</v>
      </c>
      <c r="G88" t="str">
        <f t="shared" si="4"/>
        <v>Sun:shames</v>
      </c>
      <c r="J88" t="s">
        <v>576</v>
      </c>
      <c r="L88">
        <v>12</v>
      </c>
      <c r="M88" t="s">
        <v>697</v>
      </c>
    </row>
    <row r="89" spans="1:13" x14ac:dyDescent="0.25">
      <c r="A89" t="s">
        <v>389</v>
      </c>
      <c r="B89" t="s">
        <v>57</v>
      </c>
      <c r="G89" t="str">
        <f t="shared" si="4"/>
        <v>Fish:samak</v>
      </c>
      <c r="J89" t="s">
        <v>525</v>
      </c>
      <c r="L89">
        <v>13</v>
      </c>
      <c r="M89" t="s">
        <v>698</v>
      </c>
    </row>
    <row r="90" spans="1:13" x14ac:dyDescent="0.25">
      <c r="A90" t="s">
        <v>390</v>
      </c>
      <c r="B90" t="s">
        <v>105</v>
      </c>
      <c r="G90" t="str">
        <f t="shared" si="4"/>
        <v>Guardian:Haares</v>
      </c>
      <c r="J90" t="s">
        <v>515</v>
      </c>
      <c r="L90">
        <v>13</v>
      </c>
      <c r="M90" t="s">
        <v>699</v>
      </c>
    </row>
    <row r="91" spans="1:13" x14ac:dyDescent="0.25">
      <c r="A91" t="s">
        <v>391</v>
      </c>
      <c r="B91" t="s">
        <v>106</v>
      </c>
      <c r="G91" t="str">
        <f t="shared" si="4"/>
        <v>Grass:hasheesh</v>
      </c>
      <c r="J91" t="s">
        <v>571</v>
      </c>
      <c r="L91">
        <v>14</v>
      </c>
      <c r="M91" t="s">
        <v>700</v>
      </c>
    </row>
    <row r="92" spans="1:13" x14ac:dyDescent="0.25">
      <c r="A92" t="s">
        <v>356</v>
      </c>
      <c r="B92" t="s">
        <v>107</v>
      </c>
      <c r="G92" t="str">
        <f t="shared" si="4"/>
        <v>Grey:rmeideh</v>
      </c>
      <c r="J92" t="s">
        <v>508</v>
      </c>
      <c r="L92">
        <v>14</v>
      </c>
      <c r="M92" t="s">
        <v>701</v>
      </c>
    </row>
    <row r="93" spans="1:13" x14ac:dyDescent="0.25">
      <c r="A93" t="s">
        <v>357</v>
      </c>
      <c r="B93" t="s">
        <v>60</v>
      </c>
      <c r="G93" t="str">
        <f t="shared" si="4"/>
        <v>Purple:banafsajeh</v>
      </c>
      <c r="J93" t="s">
        <v>588</v>
      </c>
      <c r="L93">
        <v>15</v>
      </c>
      <c r="M93" t="s">
        <v>702</v>
      </c>
    </row>
    <row r="94" spans="1:13" x14ac:dyDescent="0.25">
      <c r="A94" t="s">
        <v>358</v>
      </c>
      <c r="B94" t="s">
        <v>61</v>
      </c>
      <c r="G94" t="str">
        <f t="shared" si="4"/>
        <v>Pink:zahreh</v>
      </c>
      <c r="J94" t="s">
        <v>537</v>
      </c>
      <c r="L94">
        <v>15</v>
      </c>
      <c r="M94" t="s">
        <v>703</v>
      </c>
    </row>
    <row r="95" spans="1:13" x14ac:dyDescent="0.25">
      <c r="A95" t="s">
        <v>359</v>
      </c>
      <c r="B95" t="s">
        <v>62</v>
      </c>
      <c r="G95" t="str">
        <f t="shared" si="4"/>
        <v>Brown:benneh</v>
      </c>
      <c r="J95" t="s">
        <v>587</v>
      </c>
      <c r="L95">
        <v>16</v>
      </c>
      <c r="M95" t="s">
        <v>704</v>
      </c>
    </row>
    <row r="96" spans="1:13" x14ac:dyDescent="0.25">
      <c r="A96" t="s">
        <v>496</v>
      </c>
      <c r="B96" t="s">
        <v>497</v>
      </c>
      <c r="G96" t="str">
        <f t="shared" si="4"/>
        <v>ice cream:bouza</v>
      </c>
      <c r="J96" t="s">
        <v>557</v>
      </c>
      <c r="L96">
        <v>16</v>
      </c>
      <c r="M96" t="s">
        <v>705</v>
      </c>
    </row>
    <row r="97" spans="1:13" x14ac:dyDescent="0.25">
      <c r="A97" t="s">
        <v>498</v>
      </c>
      <c r="B97" t="s">
        <v>499</v>
      </c>
      <c r="G97" t="str">
        <f t="shared" ref="G97:G106" si="5">A97&amp;":"&amp;B97</f>
        <v>nearest:a'rab</v>
      </c>
      <c r="J97" t="s">
        <v>598</v>
      </c>
      <c r="L97">
        <v>17</v>
      </c>
      <c r="M97" t="s">
        <v>706</v>
      </c>
    </row>
    <row r="98" spans="1:13" x14ac:dyDescent="0.25">
      <c r="A98" t="s">
        <v>354</v>
      </c>
      <c r="B98" t="s">
        <v>110</v>
      </c>
      <c r="G98" t="str">
        <f t="shared" si="5"/>
        <v>Rose:wardeh</v>
      </c>
      <c r="J98" t="s">
        <v>524</v>
      </c>
      <c r="L98">
        <v>17</v>
      </c>
      <c r="M98" t="s">
        <v>707</v>
      </c>
    </row>
    <row r="99" spans="1:13" x14ac:dyDescent="0.25">
      <c r="A99" t="s">
        <v>377</v>
      </c>
      <c r="B99" t="s">
        <v>114</v>
      </c>
      <c r="G99" t="str">
        <f t="shared" si="5"/>
        <v>Friendship:sadaa'a</v>
      </c>
      <c r="J99" t="s">
        <v>529</v>
      </c>
      <c r="L99">
        <v>17</v>
      </c>
      <c r="M99" t="s">
        <v>708</v>
      </c>
    </row>
    <row r="100" spans="1:13" x14ac:dyDescent="0.25">
      <c r="A100" t="s">
        <v>393</v>
      </c>
      <c r="B100" t="s">
        <v>111</v>
      </c>
      <c r="G100" t="str">
        <f t="shared" si="5"/>
        <v>Flower:zahra</v>
      </c>
      <c r="J100" t="s">
        <v>554</v>
      </c>
      <c r="L100">
        <v>18</v>
      </c>
      <c r="M100" t="s">
        <v>709</v>
      </c>
    </row>
    <row r="101" spans="1:13" x14ac:dyDescent="0.25">
      <c r="A101" t="s">
        <v>392</v>
      </c>
      <c r="B101" t="s">
        <v>109</v>
      </c>
      <c r="G101" t="str">
        <f t="shared" si="5"/>
        <v>Improvisation:ertijeil</v>
      </c>
      <c r="J101" t="s">
        <v>545</v>
      </c>
      <c r="L101">
        <v>18</v>
      </c>
      <c r="M101" t="s">
        <v>710</v>
      </c>
    </row>
    <row r="102" spans="1:13" x14ac:dyDescent="0.25">
      <c r="A102" t="s">
        <v>500</v>
      </c>
      <c r="B102" t="s">
        <v>501</v>
      </c>
      <c r="G102" t="str">
        <f t="shared" si="5"/>
        <v>coffee:ahweh</v>
      </c>
      <c r="J102" t="s">
        <v>589</v>
      </c>
      <c r="L102">
        <v>19</v>
      </c>
      <c r="M102" t="s">
        <v>711</v>
      </c>
    </row>
    <row r="103" spans="1:13" x14ac:dyDescent="0.25">
      <c r="A103" t="s">
        <v>108</v>
      </c>
      <c r="B103" t="s">
        <v>113</v>
      </c>
      <c r="G103" t="str">
        <f t="shared" si="5"/>
        <v>I drink coffee everyday:beshrab ahweh kel yom</v>
      </c>
      <c r="J103" t="s">
        <v>518</v>
      </c>
      <c r="L103">
        <v>19</v>
      </c>
      <c r="M103" t="s">
        <v>712</v>
      </c>
    </row>
    <row r="104" spans="1:13" x14ac:dyDescent="0.25">
      <c r="A104" t="s">
        <v>502</v>
      </c>
      <c r="B104" t="s">
        <v>503</v>
      </c>
      <c r="G104" t="str">
        <f t="shared" si="5"/>
        <v>kids:wleid</v>
      </c>
      <c r="J104" t="s">
        <v>597</v>
      </c>
      <c r="L104">
        <v>20</v>
      </c>
      <c r="M104" t="s">
        <v>713</v>
      </c>
    </row>
    <row r="105" spans="1:13" x14ac:dyDescent="0.25">
      <c r="A105" t="s">
        <v>504</v>
      </c>
      <c r="B105" t="s">
        <v>66</v>
      </c>
      <c r="G105" t="str">
        <f t="shared" si="5"/>
        <v>kiss :bawseh</v>
      </c>
      <c r="J105" t="s">
        <v>513</v>
      </c>
      <c r="L105">
        <v>21</v>
      </c>
    </row>
    <row r="106" spans="1:13" x14ac:dyDescent="0.25">
      <c r="A106" t="s">
        <v>0</v>
      </c>
      <c r="B106" t="s">
        <v>65</v>
      </c>
      <c r="G106" t="str">
        <f t="shared" si="5"/>
        <v>Heart :aleb</v>
      </c>
      <c r="J106" t="s">
        <v>550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34</v>
      </c>
      <c r="B1">
        <v>1</v>
      </c>
      <c r="F1">
        <v>1</v>
      </c>
    </row>
    <row r="2" spans="1:6" x14ac:dyDescent="0.25">
      <c r="A2" t="s">
        <v>718</v>
      </c>
      <c r="B2">
        <v>1</v>
      </c>
      <c r="F2">
        <v>1</v>
      </c>
    </row>
    <row r="3" spans="1:6" x14ac:dyDescent="0.25">
      <c r="A3" t="s">
        <v>462</v>
      </c>
      <c r="B3">
        <v>1</v>
      </c>
      <c r="F3">
        <v>1</v>
      </c>
    </row>
    <row r="4" spans="1:6" x14ac:dyDescent="0.25">
      <c r="A4" t="s">
        <v>731</v>
      </c>
      <c r="B4">
        <v>1</v>
      </c>
      <c r="F4">
        <v>1</v>
      </c>
    </row>
    <row r="5" spans="1:6" x14ac:dyDescent="0.25">
      <c r="A5" t="s">
        <v>77</v>
      </c>
      <c r="B5">
        <v>2</v>
      </c>
      <c r="F5">
        <v>1</v>
      </c>
    </row>
    <row r="6" spans="1:6" x14ac:dyDescent="0.25">
      <c r="A6" t="s">
        <v>40</v>
      </c>
      <c r="B6">
        <v>2</v>
      </c>
      <c r="F6">
        <v>1</v>
      </c>
    </row>
    <row r="7" spans="1:6" x14ac:dyDescent="0.25">
      <c r="A7" t="s">
        <v>722</v>
      </c>
      <c r="B7">
        <v>2</v>
      </c>
      <c r="F7">
        <v>1</v>
      </c>
    </row>
    <row r="8" spans="1:6" x14ac:dyDescent="0.25">
      <c r="A8" t="s">
        <v>470</v>
      </c>
      <c r="B8">
        <v>2</v>
      </c>
      <c r="F8">
        <v>1</v>
      </c>
    </row>
    <row r="9" spans="1:6" x14ac:dyDescent="0.25">
      <c r="A9" t="s">
        <v>491</v>
      </c>
      <c r="B9">
        <v>3</v>
      </c>
      <c r="F9">
        <v>1</v>
      </c>
    </row>
    <row r="10" spans="1:6" x14ac:dyDescent="0.25">
      <c r="A10" t="s">
        <v>86</v>
      </c>
      <c r="B10">
        <v>3</v>
      </c>
      <c r="F10">
        <v>1</v>
      </c>
    </row>
    <row r="11" spans="1:6" x14ac:dyDescent="0.25">
      <c r="A11" t="s">
        <v>99</v>
      </c>
      <c r="B11">
        <v>3</v>
      </c>
      <c r="F11">
        <v>1</v>
      </c>
    </row>
    <row r="12" spans="1:6" x14ac:dyDescent="0.25">
      <c r="A12" t="s">
        <v>726</v>
      </c>
      <c r="B12">
        <v>3</v>
      </c>
      <c r="F12">
        <v>1</v>
      </c>
    </row>
    <row r="13" spans="1:6" x14ac:dyDescent="0.25">
      <c r="A13" t="s">
        <v>733</v>
      </c>
      <c r="B13">
        <v>3</v>
      </c>
      <c r="F13">
        <v>1</v>
      </c>
    </row>
    <row r="14" spans="1:6" x14ac:dyDescent="0.25">
      <c r="A14" t="s">
        <v>724</v>
      </c>
      <c r="B14">
        <v>1</v>
      </c>
      <c r="F14">
        <v>2</v>
      </c>
    </row>
    <row r="15" spans="1:6" x14ac:dyDescent="0.25">
      <c r="A15" t="s">
        <v>729</v>
      </c>
      <c r="B15">
        <v>1</v>
      </c>
      <c r="F15">
        <v>2</v>
      </c>
    </row>
    <row r="16" spans="1:6" x14ac:dyDescent="0.25">
      <c r="A16" t="s">
        <v>112</v>
      </c>
      <c r="B16">
        <v>1</v>
      </c>
      <c r="F16">
        <v>2</v>
      </c>
    </row>
    <row r="17" spans="1:6" x14ac:dyDescent="0.25">
      <c r="A17" t="s">
        <v>96</v>
      </c>
      <c r="B17">
        <v>1</v>
      </c>
      <c r="F17">
        <v>2</v>
      </c>
    </row>
    <row r="18" spans="1:6" x14ac:dyDescent="0.25">
      <c r="A18" t="s">
        <v>497</v>
      </c>
      <c r="B18">
        <v>2</v>
      </c>
      <c r="F18">
        <v>2</v>
      </c>
    </row>
    <row r="19" spans="1:6" x14ac:dyDescent="0.25">
      <c r="A19" t="s">
        <v>41</v>
      </c>
      <c r="B19">
        <v>2</v>
      </c>
      <c r="F19">
        <v>2</v>
      </c>
    </row>
    <row r="20" spans="1:6" x14ac:dyDescent="0.25">
      <c r="A20" t="s">
        <v>721</v>
      </c>
      <c r="B20">
        <v>2</v>
      </c>
      <c r="F20">
        <v>2</v>
      </c>
    </row>
    <row r="21" spans="1:6" x14ac:dyDescent="0.25">
      <c r="A21" t="s">
        <v>92</v>
      </c>
      <c r="B21">
        <v>2</v>
      </c>
      <c r="F21">
        <v>2</v>
      </c>
    </row>
    <row r="22" spans="1:6" x14ac:dyDescent="0.25">
      <c r="A22" t="s">
        <v>37</v>
      </c>
      <c r="B22">
        <v>3</v>
      </c>
      <c r="F22">
        <v>2</v>
      </c>
    </row>
    <row r="23" spans="1:6" x14ac:dyDescent="0.25">
      <c r="A23" t="s">
        <v>716</v>
      </c>
      <c r="B23">
        <v>3</v>
      </c>
      <c r="F23">
        <v>2</v>
      </c>
    </row>
    <row r="24" spans="1:6" x14ac:dyDescent="0.25">
      <c r="A24" t="s">
        <v>723</v>
      </c>
      <c r="B24">
        <v>3</v>
      </c>
      <c r="F24">
        <v>2</v>
      </c>
    </row>
    <row r="25" spans="1:6" x14ac:dyDescent="0.25">
      <c r="A25" t="s">
        <v>725</v>
      </c>
      <c r="B25">
        <v>3</v>
      </c>
      <c r="F25">
        <v>2</v>
      </c>
    </row>
    <row r="26" spans="1:6" x14ac:dyDescent="0.25">
      <c r="A26" t="s">
        <v>727</v>
      </c>
      <c r="B26">
        <v>1</v>
      </c>
      <c r="F26">
        <v>3</v>
      </c>
    </row>
    <row r="27" spans="1:6" x14ac:dyDescent="0.25">
      <c r="A27" t="s">
        <v>715</v>
      </c>
      <c r="B27">
        <v>1</v>
      </c>
      <c r="F27">
        <v>3</v>
      </c>
    </row>
    <row r="28" spans="1:6" x14ac:dyDescent="0.25">
      <c r="A28" t="s">
        <v>720</v>
      </c>
      <c r="B28">
        <v>1</v>
      </c>
      <c r="F28">
        <v>3</v>
      </c>
    </row>
    <row r="29" spans="1:6" x14ac:dyDescent="0.25">
      <c r="A29" t="s">
        <v>717</v>
      </c>
      <c r="B29">
        <v>1</v>
      </c>
      <c r="F29">
        <v>3</v>
      </c>
    </row>
    <row r="30" spans="1:6" x14ac:dyDescent="0.25">
      <c r="A30" t="s">
        <v>719</v>
      </c>
      <c r="B30">
        <v>1</v>
      </c>
      <c r="F30">
        <v>3</v>
      </c>
    </row>
    <row r="31" spans="1:6" x14ac:dyDescent="0.25">
      <c r="A31" t="s">
        <v>80</v>
      </c>
      <c r="B31">
        <v>2</v>
      </c>
      <c r="F31">
        <v>3</v>
      </c>
    </row>
    <row r="32" spans="1:6" x14ac:dyDescent="0.25">
      <c r="A32" t="s">
        <v>33</v>
      </c>
      <c r="B32">
        <v>2</v>
      </c>
      <c r="F32">
        <v>3</v>
      </c>
    </row>
    <row r="33" spans="1:6" x14ac:dyDescent="0.25">
      <c r="A33" t="s">
        <v>732</v>
      </c>
      <c r="B33">
        <v>2</v>
      </c>
      <c r="F33">
        <v>3</v>
      </c>
    </row>
    <row r="34" spans="1:6" x14ac:dyDescent="0.25">
      <c r="A34" t="s">
        <v>730</v>
      </c>
      <c r="B34">
        <v>2</v>
      </c>
      <c r="F34">
        <v>3</v>
      </c>
    </row>
    <row r="35" spans="1:6" x14ac:dyDescent="0.25">
      <c r="A35" t="s">
        <v>728</v>
      </c>
      <c r="B35">
        <v>3</v>
      </c>
      <c r="F35">
        <v>3</v>
      </c>
    </row>
    <row r="36" spans="1:6" x14ac:dyDescent="0.25">
      <c r="A36" t="s">
        <v>39</v>
      </c>
      <c r="B36">
        <v>3</v>
      </c>
      <c r="F36">
        <v>3</v>
      </c>
    </row>
    <row r="37" spans="1:6" x14ac:dyDescent="0.25">
      <c r="A37" t="s">
        <v>57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chapters</vt:lpstr>
      <vt:lpstr>Tables</vt:lpstr>
      <vt:lpstr>Sheet2</vt:lpstr>
      <vt:lpstr>Sheet5</vt:lpstr>
      <vt:lpstr>Sheet4</vt:lpstr>
      <vt:lpstr>Sheet3</vt:lpstr>
      <vt:lpstr>Text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2016-10-18T07:45:39Z</dcterms:modified>
</cp:coreProperties>
</file>