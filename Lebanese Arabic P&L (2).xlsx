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" sheetId="1" r:id="rId4"/>
    <sheet state="visible" name="Sales" sheetId="2" r:id="rId5"/>
    <sheet state="visible" name="Student Pivot" sheetId="3" r:id="rId6"/>
    <sheet state="visible" name="Sales Pivot" sheetId="4" r:id="rId7"/>
    <sheet state="visible" name="Expenses" sheetId="5" r:id="rId8"/>
    <sheet state="visible" name="Pivot Table 6" sheetId="6" r:id="rId9"/>
    <sheet state="visible" name="Amazon Royalties" sheetId="7" r:id="rId10"/>
    <sheet state="visible" name="Pivot Table 4" sheetId="8" r:id="rId11"/>
    <sheet state="visible" name="Teacher Salaries" sheetId="9" r:id="rId12"/>
    <sheet state="visible" name="Staff Salaries" sheetId="10" r:id="rId13"/>
    <sheet state="visible" name="Staff Total" sheetId="11" r:id="rId14"/>
    <sheet state="visible" name="Staff Payments" sheetId="12" r:id="rId15"/>
    <sheet state="visible" name="Profit Distributions" sheetId="13" r:id="rId16"/>
  </sheets>
  <definedNames/>
  <calcPr/>
  <pivotCaches>
    <pivotCache cacheId="0" r:id="rId17"/>
    <pivotCache cacheId="1" r:id="rId18"/>
    <pivotCache cacheId="2" r:id="rId19"/>
    <pivotCache cacheId="3" r:id="rId20"/>
  </pivotCaches>
</workbook>
</file>

<file path=xl/sharedStrings.xml><?xml version="1.0" encoding="utf-8"?>
<sst xmlns="http://schemas.openxmlformats.org/spreadsheetml/2006/main" count="8529" uniqueCount="1259">
  <si>
    <t>Month</t>
  </si>
  <si>
    <t>Year</t>
  </si>
  <si>
    <t>Lessons Sales</t>
  </si>
  <si>
    <t>Books</t>
  </si>
  <si>
    <t>Instructor Payment</t>
  </si>
  <si>
    <t>Expenses</t>
  </si>
  <si>
    <t>Staff Salaries</t>
  </si>
  <si>
    <t>Expired Hours (Legacy)</t>
  </si>
  <si>
    <t>Distributed Profit</t>
  </si>
  <si>
    <t>Transfered to Savings</t>
  </si>
  <si>
    <t>Gross Profit</t>
  </si>
  <si>
    <t>Net Profit</t>
  </si>
  <si>
    <t>Cumulative</t>
  </si>
  <si>
    <t>Cash Available</t>
  </si>
  <si>
    <t>Date</t>
  </si>
  <si>
    <t>Name</t>
  </si>
  <si>
    <t>Amount</t>
  </si>
  <si>
    <t>Currency</t>
  </si>
  <si>
    <t>Gateway</t>
  </si>
  <si>
    <t>USD amount</t>
  </si>
  <si>
    <t>Lesson Type</t>
  </si>
  <si>
    <t>Amount of lessons</t>
  </si>
  <si>
    <t>Package</t>
  </si>
  <si>
    <t>Single Lesson Minutes</t>
  </si>
  <si>
    <t>Salary</t>
  </si>
  <si>
    <t>Profit</t>
  </si>
  <si>
    <t>Group #</t>
  </si>
  <si>
    <t>Total Minutes</t>
  </si>
  <si>
    <t>Payment ID</t>
  </si>
  <si>
    <t>gertruda abi mansour</t>
  </si>
  <si>
    <t>EUR</t>
  </si>
  <si>
    <t>Wise</t>
  </si>
  <si>
    <t>Group</t>
  </si>
  <si>
    <t>yes</t>
  </si>
  <si>
    <t>julia rushchenko</t>
  </si>
  <si>
    <t>Conversational</t>
  </si>
  <si>
    <t>-</t>
  </si>
  <si>
    <t>anja younes</t>
  </si>
  <si>
    <t>Paypal</t>
  </si>
  <si>
    <t>45X09692L1553483B</t>
  </si>
  <si>
    <t>hr drs r van wel</t>
  </si>
  <si>
    <t>farah afshar</t>
  </si>
  <si>
    <t>USD</t>
  </si>
  <si>
    <t>Prepared</t>
  </si>
  <si>
    <t>no</t>
  </si>
  <si>
    <t>61V43119MX955022A</t>
  </si>
  <si>
    <t>zach bajaber</t>
  </si>
  <si>
    <t>0GK08633CF767192Y</t>
  </si>
  <si>
    <t>0EH8943775297013M</t>
  </si>
  <si>
    <t>sarah abouhamad</t>
  </si>
  <si>
    <t>8VU098053M190972F</t>
  </si>
  <si>
    <t>anna grouzdev</t>
  </si>
  <si>
    <t>9ES31142T5458205F</t>
  </si>
  <si>
    <t>6P098050J4146573D</t>
  </si>
  <si>
    <t>frank lohÃ©ac</t>
  </si>
  <si>
    <t>philip wynn jones</t>
  </si>
  <si>
    <t>5XX7590587566825B</t>
  </si>
  <si>
    <t>katarina vasilj</t>
  </si>
  <si>
    <t>federico durante</t>
  </si>
  <si>
    <t>1E864407HK994052R</t>
  </si>
  <si>
    <t>1F925158B0669181C</t>
  </si>
  <si>
    <t>oleavanti. llc</t>
  </si>
  <si>
    <t>8F515337L44842545</t>
  </si>
  <si>
    <t>miriam el hilany</t>
  </si>
  <si>
    <t>8A364258NY629935E</t>
  </si>
  <si>
    <t>elena taranina</t>
  </si>
  <si>
    <t>2checkout</t>
  </si>
  <si>
    <t>5WE506375B487062L</t>
  </si>
  <si>
    <t>sevag toujian</t>
  </si>
  <si>
    <t>mckenna mills</t>
  </si>
  <si>
    <t>maya abood</t>
  </si>
  <si>
    <t>renee nassar</t>
  </si>
  <si>
    <t>tony gualtieri</t>
  </si>
  <si>
    <t>tanja traboulsi</t>
  </si>
  <si>
    <t>jessica gerschultz</t>
  </si>
  <si>
    <t>erika whitmore</t>
  </si>
  <si>
    <t>danny hage</t>
  </si>
  <si>
    <t>octavia purdy</t>
  </si>
  <si>
    <t>nina lacaprara</t>
  </si>
  <si>
    <t>ann marie sabath</t>
  </si>
  <si>
    <t>valerie perez</t>
  </si>
  <si>
    <t>john mcgrath</t>
  </si>
  <si>
    <t>GBP</t>
  </si>
  <si>
    <t>wise</t>
  </si>
  <si>
    <t>elissar saleh</t>
  </si>
  <si>
    <t>jonathan donovan</t>
  </si>
  <si>
    <t>alessandra tadei</t>
  </si>
  <si>
    <t>8D114385UT3118807</t>
  </si>
  <si>
    <t>anthony barakat</t>
  </si>
  <si>
    <t>oliver black</t>
  </si>
  <si>
    <t>giulio iacobelli</t>
  </si>
  <si>
    <t>agdaliya mikhalkova</t>
  </si>
  <si>
    <t>chelsea el-azzi</t>
  </si>
  <si>
    <t>natalie hammoud</t>
  </si>
  <si>
    <t>alida</t>
  </si>
  <si>
    <t>ghadi tayeh</t>
  </si>
  <si>
    <t>sophie kenos</t>
  </si>
  <si>
    <t>jason corey</t>
  </si>
  <si>
    <t>anthony wubbena</t>
  </si>
  <si>
    <t>somaya jalal</t>
  </si>
  <si>
    <t>leah halcomb</t>
  </si>
  <si>
    <t>mike calvin</t>
  </si>
  <si>
    <t>ramzi sleiman</t>
  </si>
  <si>
    <t>noura kiridly</t>
  </si>
  <si>
    <t>jeremiah carter</t>
  </si>
  <si>
    <t>emil naamani</t>
  </si>
  <si>
    <t>sophie stansfield</t>
  </si>
  <si>
    <t>helena nelson</t>
  </si>
  <si>
    <t>kelly sciandra</t>
  </si>
  <si>
    <t>polina tsapko</t>
  </si>
  <si>
    <t>chris wehbe</t>
  </si>
  <si>
    <t>lauren blackwell</t>
  </si>
  <si>
    <t>mohamad majzoub</t>
  </si>
  <si>
    <t>florence hajj assaf</t>
  </si>
  <si>
    <t>CAD</t>
  </si>
  <si>
    <t>rose wyatt</t>
  </si>
  <si>
    <t>janice chaoul</t>
  </si>
  <si>
    <t>jared ferrell</t>
  </si>
  <si>
    <t>emile karam</t>
  </si>
  <si>
    <t>stephen keshishian</t>
  </si>
  <si>
    <t>valeriya sotula</t>
  </si>
  <si>
    <t>oksana nastasii</t>
  </si>
  <si>
    <t>medeena barada</t>
  </si>
  <si>
    <t>hussam baydoun</t>
  </si>
  <si>
    <t>gemma fox</t>
  </si>
  <si>
    <t>elena gafton</t>
  </si>
  <si>
    <t>kathleen harding</t>
  </si>
  <si>
    <t>megan lecrone</t>
  </si>
  <si>
    <t>micah collins</t>
  </si>
  <si>
    <t>henrik holgersson</t>
  </si>
  <si>
    <t>christina kheir</t>
  </si>
  <si>
    <t>***</t>
  </si>
  <si>
    <t>tyson duffy</t>
  </si>
  <si>
    <t>maysan benjelloun</t>
  </si>
  <si>
    <t>keiran molaeb</t>
  </si>
  <si>
    <t>liam white</t>
  </si>
  <si>
    <t>najim zaytoun</t>
  </si>
  <si>
    <t>emilia vignola</t>
  </si>
  <si>
    <t>lynnette gonzalez</t>
  </si>
  <si>
    <t>diana tzinis</t>
  </si>
  <si>
    <t>ellen murchie</t>
  </si>
  <si>
    <t>magali</t>
  </si>
  <si>
    <t>jamie tong</t>
  </si>
  <si>
    <t>n</t>
  </si>
  <si>
    <t>lauren haddad</t>
  </si>
  <si>
    <t>merrell brzeczek</t>
  </si>
  <si>
    <t>usd</t>
  </si>
  <si>
    <t>najwa aswad</t>
  </si>
  <si>
    <t>svenja thalmann</t>
  </si>
  <si>
    <t>imogen bole</t>
  </si>
  <si>
    <t>chithra subramoni</t>
  </si>
  <si>
    <t>OMT</t>
  </si>
  <si>
    <t>INTR2388280001668</t>
  </si>
  <si>
    <t>ashleigh stewart</t>
  </si>
  <si>
    <t>AUD</t>
  </si>
  <si>
    <t>afif massih</t>
  </si>
  <si>
    <t>lara bokhowa</t>
  </si>
  <si>
    <t>ammar kurdmisto</t>
  </si>
  <si>
    <t>david jacobs</t>
  </si>
  <si>
    <t>sophie naufal-baker</t>
  </si>
  <si>
    <t>marwan asiff</t>
  </si>
  <si>
    <t>jozef suvada</t>
  </si>
  <si>
    <t>andrea sitta</t>
  </si>
  <si>
    <t>Stripe</t>
  </si>
  <si>
    <t>cs_live_b1FwF6UDoUUltvSSw4vXjsARQkFJGLSoieKggLDJMaT4UP4E66UL5gvzQl</t>
  </si>
  <si>
    <t>mariane labrecque</t>
  </si>
  <si>
    <t>cs_live_b17nsynyCNgcX5DOK18I3Amv0NQXTO0Xt0SA149hYjHWSNPGR57PE15OxI</t>
  </si>
  <si>
    <t>shaghayegh lietz</t>
  </si>
  <si>
    <t>david strider</t>
  </si>
  <si>
    <t>satadru sanyal</t>
  </si>
  <si>
    <t>arianna traverso</t>
  </si>
  <si>
    <t>rachel nagem bou zeid</t>
  </si>
  <si>
    <t>cs_live_b1t5582CYf1dTBLNsjMnQvE2R5QUn4gyXtGrWK1W58P6AfKdHgVvX3fmW8</t>
  </si>
  <si>
    <t>ryan loots</t>
  </si>
  <si>
    <t>cs_live_b15dwlAc6jc4rnFh1xjypRnnBwlkeudErOEiXt0ouunb3VyeeD6QXjFxBN</t>
  </si>
  <si>
    <t>sahar shoaib</t>
  </si>
  <si>
    <t>lindsay betros</t>
  </si>
  <si>
    <t>emiliano stornelli</t>
  </si>
  <si>
    <t>cs_live_a1WyOr0tC0f001ylkdwExsQPYcjJsWek9QfMyYhEbYqVrJAYRYwHUAWJ8D</t>
  </si>
  <si>
    <t>leah najjar</t>
  </si>
  <si>
    <t>lalia bravo</t>
  </si>
  <si>
    <t>aliyah saab</t>
  </si>
  <si>
    <t>charlotte mosquera</t>
  </si>
  <si>
    <t>joshua khoury</t>
  </si>
  <si>
    <t>kelsey nightingale</t>
  </si>
  <si>
    <t>alexandra ayoob</t>
  </si>
  <si>
    <t>sami el solh</t>
  </si>
  <si>
    <t>cad</t>
  </si>
  <si>
    <t>cs_live_a1Efl1i2CNA80V05gnQaXYcJLrR5gvaSugRYYRZvVcWyqV6lsDDNCxe842</t>
  </si>
  <si>
    <t>cs_live_a1Dk96CiJp8PS5zQBRSq5qIHQ7knSfY4Zw50PrAXOlkCQgHSCaCzyJSwgd</t>
  </si>
  <si>
    <t>cs_live_a1s3pMHoVXUT87QjnTiAoaSVR7wKYSfWAdI27Eh2B8lXbjyOw8ahfyNCXu</t>
  </si>
  <si>
    <t>cs_live_a1qIt6Y6MEUojdwlLUxemysCqqHEhteDVqebVMpcxBeDc9HXUgH9x5U1rF</t>
  </si>
  <si>
    <t>cs_live_a15xq8h64WwYHf5o8g5LzO4L6qUPkhUN7S9IjWdSOQWvaIAwEpSoqWiZ9J</t>
  </si>
  <si>
    <t>cs_live_b1ZGslKxSG1uJgxrBREoQMz8iAMhAMmyiD3EuY2BAsOMVXJWsLC9fgaQkc</t>
  </si>
  <si>
    <t>louise pillais</t>
  </si>
  <si>
    <t>cs_live_a1WTg0XzUufOvYlVmXWGW3TKWNoKAOBaKnkrfz61Jm4qw9UOA8W3zg6GCe</t>
  </si>
  <si>
    <t>joseph azzam</t>
  </si>
  <si>
    <t>cs_live_a1viasjoGQ6cl2JBFRrJMkHY6PD6RyAM68zArQENop3nAk4Xnr9Y4SzFc8</t>
  </si>
  <si>
    <t>cs_live_a13QHWVq2o1R5j2X7L6qNHDjF9a5d9jG0Vre5iGEObrOUhkVXOtqEP0mSR</t>
  </si>
  <si>
    <t>cs_live_a1hhjurmMsLdIBV7ZKq6ZJzfS7kA2WMtqRWe9BCtseK5nTRyZCSw5WfaBc</t>
  </si>
  <si>
    <t>coryn carson</t>
  </si>
  <si>
    <t>cs_live_a1yUvKmy0XwKc46lc2TQu31kddafV7Y0ABjRN9jVWQd9u6BP8QnogTfbRu</t>
  </si>
  <si>
    <t>cs_live_a1TcDzmq2DMM9QBeFTGtfk61GiHycD3la7TeWAcFrW2cvbE7OQwFfrgRKT</t>
  </si>
  <si>
    <t>cs_live_b1QxhscktCNNu3wpBgZLo4VA5V5vwghcxv7qvuVuQ0aRre3c1lrf5kj6ug</t>
  </si>
  <si>
    <t>cs_live_a1P4L83KZkHPmFdu6wchuA3cKtmoBn8d4UU3wIHkphalJnfsnjQ2xD2i4s</t>
  </si>
  <si>
    <t>aubrie brault</t>
  </si>
  <si>
    <t>cs_live_a1IMQmEmvHD9XAuZFvNo3zwo1XpseIkmycSRkEVqXu06LaJGsNqhW2kCHy</t>
  </si>
  <si>
    <t>cs_live_a10FTJbbHS5IT2ViriRQ9GnwdhIH1Sz7XCj1VQC8AjH1d1twCi3cz4ns8q</t>
  </si>
  <si>
    <t>Ã©ric hervÃ©</t>
  </si>
  <si>
    <t>cs_live_a1Q1mXLwhJo5BKEeCcHHONd6nVDIngmO6lD1F3cowvKx0wapAxP1mEqctX</t>
  </si>
  <si>
    <t>cs_live_b1L1KAyd2BTWn0C4b6GwKPjSi8ZZWmRpQg3glc8OFBL4k2hVlMdK2X8ZuI</t>
  </si>
  <si>
    <t>cs_live_a1FZXmVsJAO6WziHNT7FIsKWJIb8Dlz24OesYj2whSjo6uWJWcID8JT9yq</t>
  </si>
  <si>
    <t>cs_live_b1ifZlwztpjGgbYkTKm2U8o2Yl95Yb4zRuHYrPIeJ3tz95UihYC3pOV3q2</t>
  </si>
  <si>
    <t>cs_live_a1VdplTI50HQaMdjbBLpIWvcnFFZ8n2S5e5ZfRdcHQ0rPv3umavqeYpkaP</t>
  </si>
  <si>
    <t>cs_live_a1y9zGOQFfYwvXXrfRtEiW6JNW4zmZN9AFySu1cMWELovWTwVKgpqJQeeW</t>
  </si>
  <si>
    <t>cs_live_a1Y07K92q3mYfd7NSgUtp6IQ34PLDeJh1cYlQVr3mpbRwxJoc7tDkQbUPM</t>
  </si>
  <si>
    <t>cs_live_a1VkU3MqqTZ6bF0LVCA9D8ZVTxl7eIpCHLqKY4iWJAE7QHjBWIvr9J7bje</t>
  </si>
  <si>
    <t>cs_live_a1w4S7pi7rPmPDnCLZ5zbED7rTQuCy1lAzJ5OF6aVd9jac1XzRo0kqspIP</t>
  </si>
  <si>
    <t>tanya bernier</t>
  </si>
  <si>
    <t>cs_live_a1HfEXprkGIPxnkJSkNz0zNiCsUMkVEf4N7own93xGdzy2JXGasGduiHja</t>
  </si>
  <si>
    <t>cs_live_b1JPv3IdJc2E3fPuRp0LiLdfqzXCuMIttcxyhqOqhLKeSsrzUXrjiQss7U</t>
  </si>
  <si>
    <t>cs_live_a1vDZBgyAvaLW2gft4Fe5HG3h7KQsQeoKWB9AnRxmhpiGbU90mvr0eHBYx</t>
  </si>
  <si>
    <t>cs_live_a1hVTFVOkOTBwHOHf2hQZXq0s6XBuVF35JIzPRgWCDPTRFpU04pDxMIAsx</t>
  </si>
  <si>
    <t>cs_live_a1cltlCRTQOmU0AVysVQJ2LAQhWaQchVsOky2Rggx6WHeZn7tfT6l6ZXx6</t>
  </si>
  <si>
    <t>cs_live_a1oq7O4W4G9Is01CWY77U9QsSK2hLNU74t3kWYrBLJppUwkSFUTSB7BqpV</t>
  </si>
  <si>
    <t>melanie mcdacy</t>
  </si>
  <si>
    <t>cs_live_a1VE2gxsOGyuLpO627YN836ioexaPdrjWMSpPvAMKFHzYEbUvceKVgEKMa</t>
  </si>
  <si>
    <t>cs_live_a1NHnS665nUM1xyLDEIP7tUxOsYsrhWqiiGen6EWc9zNmLc1GTkEgaZzIP</t>
  </si>
  <si>
    <t>cs_live_a1IEjpyCjRe41kRr9iAdcW65MmRBuuK72YUqGX0GCBDVTYT9aVz0VBIpAA</t>
  </si>
  <si>
    <t>sarah abouhamad davies</t>
  </si>
  <si>
    <t>cs_live_a1BHhlv5SzpYkhnQ7GiPXp3JhII35BMFP4OB0ddp8TtoPprM96NZTtnbVe</t>
  </si>
  <si>
    <t>cs_live_a1R1Buydt5B4WNoyZTWrk53WVeuISFijMvg8VL0SxGCnt1ZKr8RVij3i6T</t>
  </si>
  <si>
    <t>cs_live_a1mBpVc8QZZlKTuaF3RXwciotE2YJBbXGg4iEVVS2AkllY0d8QF2hjQ7St</t>
  </si>
  <si>
    <t>cs_live_a17gZVp5L9oYKNRQwHClOmeV2mS0h5b1Tg9riDKoURnQGxPpGF4vb4riXM</t>
  </si>
  <si>
    <t>cs_live_a11U4TiON6UdSM6QqtmNXirJAbnxRQTLgLg5exF7J0jOtJRKdBTbqKdYGh</t>
  </si>
  <si>
    <t>alyssa hajj assaf</t>
  </si>
  <si>
    <t>cs_live_a19m3vDPiXPTJwcaMa1oZnhIy4wyZu4y8AVmyHusexpguNnbHEvIo19tNG</t>
  </si>
  <si>
    <t>cs_live_a1ev4kvtP9LEH0fiB0nfHhwxcGV4QFrerEZX7wuAZW9yIe9NYWVBEUT1dF</t>
  </si>
  <si>
    <t>jacob clark</t>
  </si>
  <si>
    <t>cs_live_a1RoOK950mHWbMFbtIChQ9dnTon9fAjCb9dZJAnA0lpvN6SHwWcnT6zHqZ</t>
  </si>
  <si>
    <t>cs_live_a1Aw87fkq1HvLVSXUPrg67hhYPonZCZ4ClPiBkwTkucIfFnyZshfRhzGzX</t>
  </si>
  <si>
    <t>cs_live_a1CIzXIITwCffv1jebQpCtcgognIcyB609LI8fozTaPJoMG4XDl8j2k1CP</t>
  </si>
  <si>
    <t>cs_live_a1n7f1FtaO1dV2ztVWHqWbJ3CQ1K5whi7QtZuwxMmkPAlNmo3UFHVsqtcn</t>
  </si>
  <si>
    <t>cs_live_a15AN56AGhGdvfP2UPTS58cAf3smlCueKmV429vvyJDM0pke9djKcr62FN</t>
  </si>
  <si>
    <t>mrs.j. chaoul</t>
  </si>
  <si>
    <t>cs_live_a10LgmrnjaFc35FWJxbPBEX2aoUFRVbCckAiIWlKkf3YRn9DSMoBPAXnGN</t>
  </si>
  <si>
    <t>cs_live_a1YDhAznQlmnjzlSun0zjIbCxNgXxWnJ0vGe0Ss4fYyWZ3mEQdl1RqnSi2</t>
  </si>
  <si>
    <t>mle pillais louise</t>
  </si>
  <si>
    <t>cs_live_a11P7rsB6quchpvvN3TMrq6DXNWrweHbYAkIO6oNZIKy71b1DsNZqwRhkv</t>
  </si>
  <si>
    <t>mike chappell</t>
  </si>
  <si>
    <t>cs_live_a1KtwHrqsIbQEiWCmk0qtHZ3jkah1EYOFSA2gJt2IUGVGDKAURurEzMyYD</t>
  </si>
  <si>
    <t>marcus mola</t>
  </si>
  <si>
    <t>cs_live_a1tLDb9FDKz6Ir9DTDZTjEpGVCF3nqUtF9GGgVdNppq6o6pCUJNmiGwabJ</t>
  </si>
  <si>
    <t>paywand ramazani</t>
  </si>
  <si>
    <t>cs_live_a18yqpq45zTpf78i2DeImtSPwcZuDjR5fd6hFeU0v0E2SPu8lJQrPG2xNK</t>
  </si>
  <si>
    <t>anthony gualtieri</t>
  </si>
  <si>
    <t>cs_live_a1MsewsLJBIMuwBsyVBKLS07gyyDFhLTvERVM8GjZwIRXlEHd4kZjAox2g</t>
  </si>
  <si>
    <t>cs_live_a1izrYZUxHVYN5VGaSonDDNbQvO4Dr6zM4JEp1UyC3KGE4zhUrKcmdgOxh</t>
  </si>
  <si>
    <t>lara wehbe</t>
  </si>
  <si>
    <t>cs_live_a1eYnm5qeggsdyBzmaHDhZA4mfVQgpw5cRQ1Slz9QhaEaM4TWGibz141WS</t>
  </si>
  <si>
    <t>cs_live_a10hZOICE8UGsNPlMR77EFDw7HtH2AwA2ueyBRHBfSYnyLm1OuVBfNM4hC</t>
  </si>
  <si>
    <t>cs_live_a1ZfKsI43EtmsChOX1NHCV4eynLJTkXvFWXE6GOgi8VZVSuwYdiCq2RhSi</t>
  </si>
  <si>
    <t>hicran basalak</t>
  </si>
  <si>
    <t>cs_live_a1o12aRDJAjKThSx6CkyZjL4MsSoTUuqtG6JbCw5E4U5NzJOwUGP3LUSER</t>
  </si>
  <si>
    <t>cs_live_a1733fMp6ZLSV42e87jHHdgZ8UWWWfsviLa0Un5MHFfXjKWPi80SzCKZtC</t>
  </si>
  <si>
    <t>cs_live_a1H1xvoo6fJTMrRGqF4W1YBVbbt1DPwv2Czh8PfT692p1dv0JEyMKPVsN5</t>
  </si>
  <si>
    <t>j rushchenko</t>
  </si>
  <si>
    <t>cs_live_a1v7a0fQq4fFa8SObj7I4ZjLjofoI2w7rvBRXDGWbhq15MvV4vv8kVXq0D</t>
  </si>
  <si>
    <t>cs_live_a1uUBERl0uD0YOEFMjxXW0Q4LfLa7GU8WJ4bhr798Tb8FeuXsHzinPnKIo</t>
  </si>
  <si>
    <t>cs_live_b1BgRNMwTVFiBAxWqpuefRmoHpUYxvxvJRouQzsfJmwxdo8DJQZsMXcxq0</t>
  </si>
  <si>
    <t>cs_live_a1YmWRJTPdCv7ZecXXmrHnMfiOLseG6BNPMvjVCws1VihMEEItB7c2dF0E</t>
  </si>
  <si>
    <t>cs_live_a1arPcWQ20ReB9guCKi05y4Gx6svQ47THn4y6NMvM3jLAksEhOsI8unklx</t>
  </si>
  <si>
    <t>diana demetra tzinis</t>
  </si>
  <si>
    <t>cs_live_a1y3m445iPrYRZabP7Qz32obgVHjdJhzWxXY8le2PWkt1cS8DnUA79mY5X</t>
  </si>
  <si>
    <t>Refund</t>
  </si>
  <si>
    <t>refund_208525607</t>
  </si>
  <si>
    <t>maya jouzaa</t>
  </si>
  <si>
    <t>joseph harake</t>
  </si>
  <si>
    <t>cs_live_a1wN4FYITgTn6vXkbnCOvpFBnS572dBwJ52tVGFfg6UNjWyy86jp53PIXP</t>
  </si>
  <si>
    <t>jeremiah d carter</t>
  </si>
  <si>
    <t>cs_live_a1kxH5tOyQogWuA2xelzmL9LiwiHgiNuAmhlBNhstD2vhv4XvfhZA6XRWg</t>
  </si>
  <si>
    <t>nicole scaffide</t>
  </si>
  <si>
    <t>cs_live_a16U01JTQkrmIZzzpBDuQLTbGYK5aZYQk7RjtK1uUYnV4aIaX0UNWZuzsR</t>
  </si>
  <si>
    <t>megan e lecrone</t>
  </si>
  <si>
    <t>cs_live_a1r3nrBamIsVoftmStL7hyrJPaMbLcmHgRbBLfCXWESNyfEHiiQCmxNMBT</t>
  </si>
  <si>
    <t>kris saad</t>
  </si>
  <si>
    <t>cs_live_a1KbUJuM1oYKDUixmXd2TpoJQHRGRI2DW0iYraY0RYXIEDg7JQ5l4jtz2O</t>
  </si>
  <si>
    <t>cs_live_a1zMAaKHhU5H2mHezPhnzoQ3vdyII3Yfzp36rw877FgszxtJeBUj1QEdKx</t>
  </si>
  <si>
    <t>cs_live_a12Tbgk0FfyMJgI0eJhTzAIAVo3W9omftOphWtJsXradoi5CwQ5tVBYgRi</t>
  </si>
  <si>
    <t>emma scott</t>
  </si>
  <si>
    <t>cs_live_a1XYfgETrXEZ9Jn64aN41SyNzSBdszheAQkM38TI3TtI6ALkhN7bmE6xQn</t>
  </si>
  <si>
    <t>belinda kniese</t>
  </si>
  <si>
    <t>cs_live_a1t2Ms83cHfTd7sl23BXsYwv2WLAmSx23DOto734z1DdaetvXfkG4i5gYF</t>
  </si>
  <si>
    <t>emanuela cisini</t>
  </si>
  <si>
    <t>cs_live_a1y6R0b5tyDV7BRNjLmI4yWQUDfhg5Ye659nOQigvtA44pr8fI3KCr5sLt</t>
  </si>
  <si>
    <t>matthieu fayad</t>
  </si>
  <si>
    <t>cs_live_a1lkTINGrOFMORynfAyTvH0HBcXgL386jP9nofkXE7SzMg7kEAgn7LI67O</t>
  </si>
  <si>
    <t>cs_live_a1xkCiKBkNRtU2cltBbjrCP6f4WLSCGhEHPuxr1H8Cwa4M1yb4EB4X20DS</t>
  </si>
  <si>
    <t>anne rouhban</t>
  </si>
  <si>
    <t>cs_live_a1BZqeMmgXM7cPzF7pHgDlr1YvuxrpRtxXQOMYLtZA1xnIL3ZHkvzuNZ5W</t>
  </si>
  <si>
    <t>andrew chaoul</t>
  </si>
  <si>
    <t>cs_live_b1HSqSPuXIzfg4ygKB5uYAgsmoEYQzXtlWi2Jki3AXJhMB6iqXjGHu5OJo</t>
  </si>
  <si>
    <t>cs_live_a1RO7WaKi3dHtMxeNN6OG5co5mKj3Car2QrOjhgW0I2GXxhch24iNiwMvj</t>
  </si>
  <si>
    <t>edward bechara</t>
  </si>
  <si>
    <t>cs_live_b1bJf1ck4zuSRtR5ZhnQ95trpRHhzNh2WawR2TXehIVFfkdDIyUmfM1GnX</t>
  </si>
  <si>
    <t>cs_live_a19V2kTjKERKTC756lq1J8YvTfuG57TOlbjaRocELZS4bB1fH3ggiRDvkY</t>
  </si>
  <si>
    <t>cs_live_a1Z22Pirbd3RGiBtPubOCcLeObZYyglVvIsX4MPskrhVYvXgFnqDzvWEle</t>
  </si>
  <si>
    <t>cs_live_a1l60D0gzpzmJKuT8sMOjPdLIAC9GDYzH69qKHJyNkGj9OUeY2I69nRMDS</t>
  </si>
  <si>
    <t>cs_live_b1XAsYybbDaMOf0F48wEW4s8ZTgjqVoQINMZXJRacEXmjwtX8OJx2XGSHN</t>
  </si>
  <si>
    <t>manaan mehr</t>
  </si>
  <si>
    <t>cs_live_a1XhBybUystF8JJuw9acs486RwrD0liu8ZmXKmAy4JGFQAzjdbmr7MAfBX</t>
  </si>
  <si>
    <t>mrs j. chaoul</t>
  </si>
  <si>
    <t>cs_live_a1aV3b8Ol3II9auuq0tvjF9612e43D0JMXPrIll1P5HNImjlmEoXaiea7F</t>
  </si>
  <si>
    <t>cs_live_a16wN8yMOZpwtghWlsYWojTTdtEZ2kMl9ENycjurmxZG1u23a6H7Wk3kod</t>
  </si>
  <si>
    <t>cs_live_a10SsPJN9dOT62uspcCh5e3VJfNMln50Evj9Zt4zMZ78bAHlcOIwP7gJaz</t>
  </si>
  <si>
    <t>cs_live_a1AfbdcvZ77XFKIsaT6BKifOTdFEIxRLWAteHCtfadqDx6qk4PUFS7uJoG</t>
  </si>
  <si>
    <t>cs_live_a1Rwf131UxKSa9K8oBJVXAznsEr2U7ct6f1UhwdLbL9XdbiBQczdUAgEtr</t>
  </si>
  <si>
    <t>cs_live_a19DYHVT2Ri82SJai0y8B5YYWUzpsR1x23lnxkkYtjfkAQ9PSYw5G0oIlK</t>
  </si>
  <si>
    <t>svenja meret thalmann</t>
  </si>
  <si>
    <t>cs_live_a1ewCHx1FHYHThuBtPkoS92ghPFkIPeluEVcueeZFpzkEyPYT2LdpqXsta</t>
  </si>
  <si>
    <t>may eid</t>
  </si>
  <si>
    <t>cs_live_a1INy09035MGoLcNwBY5cFNTNeQJJ3qz3zVFIAr8M4Pm5iKL0m3mxyMdgW</t>
  </si>
  <si>
    <t>erika fournier</t>
  </si>
  <si>
    <t>cs_live_a1KCTItijCrBhA4JF339XSDoT2m30H6zN0GbBU6Myqn1XMMrPoFX6qBNRJ</t>
  </si>
  <si>
    <t>cs_live_a1oIQIa47MQigJVS6LvlT87zLNUYpMqpYIRusiJUw7VkYIOLzP1d7Qh01q</t>
  </si>
  <si>
    <t>cs_live_a1HjFBt5WDgNUGxNTXzTAGQACjuXQybD6dCnhiPjCjXfsI4Oe7jO3e69ao</t>
  </si>
  <si>
    <t>leeav nagola</t>
  </si>
  <si>
    <t>cs_live_a13f3ujedGyA3A9WDrFLQAEE2K9PNtqRpt8X33BgQlEWjQh0vTvVkNvsam</t>
  </si>
  <si>
    <t>cs_live_a1es0wA61RFqH6Z82rMFeyQirW64LBOGjssTaJQCyqEYIBfPMjVMLewnJw</t>
  </si>
  <si>
    <t>afif john massih</t>
  </si>
  <si>
    <t>cs_live_a1O47WwsLvs97KBtaCHaKevTDbl3K3rQVdo5pYQq4rBnSn2eztRO7PCxf6</t>
  </si>
  <si>
    <t>mle louise pillais</t>
  </si>
  <si>
    <t>cs_live_a1rojuFwJxC5qK0zVvemNMkEplrkXpXjyJO8C5VaKGDZxNIvkNfjvPBqXW</t>
  </si>
  <si>
    <t>cs_live_a1831PTaOqHabfSwO4QLQ4rGHbghQW1GhfLgSzKEfVfMMXhftIL1m2N19c</t>
  </si>
  <si>
    <t>Tanya Bernier</t>
  </si>
  <si>
    <t>cs_live_a1YhHE7Qqvabtch56y0Wdg83UAjodNmSei17Rybm73OhiBoroFVwgErU11</t>
  </si>
  <si>
    <t>Kelly Sciandra</t>
  </si>
  <si>
    <t>cs_live_a1iVwIlTKRasBpVFJ6vjL30UHdUcFi4N2occKrJD0KCiWEzQda2ru0HKjr</t>
  </si>
  <si>
    <t>Adina Tarcea</t>
  </si>
  <si>
    <t>cs_live_a15tPp6X8l6mYB3meHe3CvKQ1X73rriJlXyHf47rscOSMYcBjp1RrpbiZV</t>
  </si>
  <si>
    <t>Jeremiah D Carter</t>
  </si>
  <si>
    <t>cs_live_a1U6G3amzRXEL7FkHQ03ez2TPDxFW17ApA6UPBi4LfAPGWAqsBM5hs8m3w</t>
  </si>
  <si>
    <t>abie musa</t>
  </si>
  <si>
    <t>cs_live_a1tmIhWxpXHYrBrNqP6Rg1JHpLGtgzmJq97MJykYUDkOKmXsqB4sNbGE33</t>
  </si>
  <si>
    <t>YH Turk</t>
  </si>
  <si>
    <t>cs_live_a1GMHzJTgG43bYmAIlNLUkcQE3NXLNSW7HKq9dz9wYqHBBNh8gIKDTwHL4</t>
  </si>
  <si>
    <t>Florence Hajj Assaf</t>
  </si>
  <si>
    <t>cs_live_a1MDVd8V6cB6skFgLbLZRPbIk6SkWFlkqBdkD66zcQ5hsT1vVpFaEXq9ZT</t>
  </si>
  <si>
    <t>cs_live_a10DrR74c8ZqcDCkEe3hOzdOGuuFv17ngDlxH9skVIuc9Roe66mLUmoIMd</t>
  </si>
  <si>
    <t>GOASDOUE</t>
  </si>
  <si>
    <t>cs_live_a1jYmL6VFPxeSZxUmlTQFP9nH0qpYtyIjdOm3XUZywFvcCvtrXD4I4kR8M</t>
  </si>
  <si>
    <t>MLE PILLAIS LOUISE</t>
  </si>
  <si>
    <t>cs_live_a1exhBOyfuxkVRBYfackksB52TWUgEySCG33INeDxRHuJgIV8q34FhbJX1</t>
  </si>
  <si>
    <t>Leeav Nagola</t>
  </si>
  <si>
    <t>cs_live_a12gmXD60xNMQoGlMywIFYjX23xeL33BOABKZGAjXtTixa80wzDJTnNkMO</t>
  </si>
  <si>
    <t>Lara Wehbe Bokhowa</t>
  </si>
  <si>
    <t>cs_live_a1jjWAlq9lw9jh87te6itln5sFMKue2oUOwQKQmXNWLfZGqa7qGyjL5SiG</t>
  </si>
  <si>
    <t>J Rushchenko</t>
  </si>
  <si>
    <t>cs_live_a1K7L1s7aGMGslqnCwQEUl0aNL2wJymk7xeiVlwWokQBE0LHjgHlVtSvHc</t>
  </si>
  <si>
    <t>Priscilla M Orozco-Raudez</t>
  </si>
  <si>
    <t>Trial</t>
  </si>
  <si>
    <t>cs_live_a1w7ZLTheJkaY4yvyDHmKbOnq5zw7PnqF4GKZDZOZXlJEElaGk63UYSyZi</t>
  </si>
  <si>
    <t>Adele Daboul</t>
  </si>
  <si>
    <t>cs_live_a1cTIineT26ZEud7CUXmIl7SvAbO38NAvSvhPGMjGewTEXGpUxYVsM3mgm</t>
  </si>
  <si>
    <t>Rose Wyatt</t>
  </si>
  <si>
    <t>cs_live_a1UAOrqpp41ydNKgQq4RFNhKjih2iTrMidwRbZxx8OiYIpD5Q2grlzbjQH</t>
  </si>
  <si>
    <t>Sarah Davies</t>
  </si>
  <si>
    <t>cs_live_a1lhEroaXYlFxz8LK9nHkBUOVFzFYCEht9QFfSf8BCxOH6RwRXgO9Wl8Pl</t>
  </si>
  <si>
    <t>Leah Halcomb</t>
  </si>
  <si>
    <t>cs_live_a1x5EHfRvjz05PNThdLY3FAyksf4vYMUtvMm0y4azlr96aDMy6b7Kz5Heq</t>
  </si>
  <si>
    <t>Kris Saad</t>
  </si>
  <si>
    <t>cs_live_a1HCDjEvA7Ov55UuzVqH60eXBYX5tjwRBZ4RewELO9a4SILdWlKBcPccbO</t>
  </si>
  <si>
    <t>P M Orozco-Raudez</t>
  </si>
  <si>
    <t>cs_live_b1KCueKyRMJHXj1jWT5fKLQi3ZeWKUxY2dTnCtzUiR7RxZviy833GcVAPu</t>
  </si>
  <si>
    <t>Joseph azzam</t>
  </si>
  <si>
    <t>cs_live_b11HTjkvKIQF9weqst99IGa3pjgQxLW23wRLUIwaK6xPoZLr4qRuBa8HRT</t>
  </si>
  <si>
    <t>Kathleen M Johnson</t>
  </si>
  <si>
    <t>cs_live_b1XN1MjYkDV0kr1OniGKczLhwsX3S0SL74DAzfNtvIYYSWDiwZAOxYHoOE</t>
  </si>
  <si>
    <t>cs_live_b11VZozZhE6JmKgnDfnSIkX47bjADnMU0Otq6iAnVLUbgElHWV4pbqIrPD</t>
  </si>
  <si>
    <t>cs_live_b1QwT9LPSAB5aReIjHXeL8VGTCPY85vUpWi8l0HCoshPngnscDzw6UVgvn</t>
  </si>
  <si>
    <t>Mrs.J. Chaoul</t>
  </si>
  <si>
    <t>cs_live_b1D3TVtTtttZXjHUspprhPO37I4hG93Rc1MplBu9VBObNdhQCvuzheaGsx</t>
  </si>
  <si>
    <t>MR ANDREW CHAOUL</t>
  </si>
  <si>
    <t>cs_live_b1uFklfluV5iZOLGSjKROSXSi197PKLeNDpIPzg6xL3437N6nuGyeuOmDg</t>
  </si>
  <si>
    <t>Jacob C. Lehman</t>
  </si>
  <si>
    <t>cs_live_b1hPHCrkM8WL69k1y0ErSPYYAs6BB0E2BYF8wbzjz8HILflNy6rjAGsVDz</t>
  </si>
  <si>
    <t>cs_live_b1BguhJo0BB8UD3ZpLhHPgE1aaRvsLEK2riA9tBeZx65AvJsZyQbYRmPTh</t>
  </si>
  <si>
    <t>Sevag Toujian</t>
  </si>
  <si>
    <t>cs_live_b1b1pGNTn2VR9F5B6SsUJqx0RBNEs13BHN1AYAwK4hUTdrz3jjV7hEAusQ</t>
  </si>
  <si>
    <t>Octavia Purdy</t>
  </si>
  <si>
    <t>cs_live_b122BT3ccaT75duoH7hPmdto3h0hbu9jeeQC1DhhaW5eqdPPk4EIyt1eoZ</t>
  </si>
  <si>
    <t>Anne Rouhban</t>
  </si>
  <si>
    <t>cs_live_b1tFeEgQJeSjb7ChRdW4KczVhR6cTVdjTGykdA7Yx2wiUHDgGvapGsqdtE</t>
  </si>
  <si>
    <t>Lauren Blackwell</t>
  </si>
  <si>
    <t>cs_live_b1FHkpy4ltxZxvP5Hj6madU2L4AU08F4r94RtXFIcOaWNDlxF6gwSEMhuL</t>
  </si>
  <si>
    <t>Ramzi Sleiman</t>
  </si>
  <si>
    <t>cs_live_b1IiM31OBSTlrMIC8FNTwLvcD3muw7H5W6eU5Qr3tl15fxX82sZ1G0rebF</t>
  </si>
  <si>
    <t>Emanuela Cisini</t>
  </si>
  <si>
    <t>cs_live_b1xZSkvQhlQa6OCM608Rp6BN51nkL003nQIw9uh0NgosVY9FHsevtfcrzf</t>
  </si>
  <si>
    <t>DIANA DEMETRA TZINIS</t>
  </si>
  <si>
    <t>cs_live_b15tWz0WD05HKOc7ZgkMo6HxiEVU67IWQ3tfmD4cTgdxSabTU8T316thVm</t>
  </si>
  <si>
    <t>Edward Bechara</t>
  </si>
  <si>
    <t>cs_live_b1RHDQGVRNmxmQCBrBudgTUojAfzNvzeGVyvy1LlebpsUpqqG9kwZdZi0H</t>
  </si>
  <si>
    <t>Wolfgang Bruckner</t>
  </si>
  <si>
    <t>cs_live_b1Ou0HyiZOVA8z5uDOseQHdNNgRv6jdLJhBTyItXZqBN3Cz0DsWp3GfFxx</t>
  </si>
  <si>
    <t>cs_live_b185MS4QWvW2T7OQKPuVkaauLmYctbDsdnCT6YlXlnItnThUdNQHCFmIWb</t>
  </si>
  <si>
    <t>Alyssa Hajj Assaf</t>
  </si>
  <si>
    <t>cs_live_b1wDAz55zMXWFTLwQSHio1JfuHtD8YFkt2ZOhg4RtKq8dZdGH4d7wXeZR3</t>
  </si>
  <si>
    <t>cs_live_b1UCLGT8zhSIpNLdVg1uvyKpfFtRlk7KNv4B2GkUpGI6FQjgDeC8TD9DSE</t>
  </si>
  <si>
    <t>ERIC HERVE</t>
  </si>
  <si>
    <t>cs_live_b1FYXUmlUy4AVpksvJI8Eb1vfbV7JccWKsT2muQlJiN61wMjGCxiXoSU9j</t>
  </si>
  <si>
    <t>Naja Kassir</t>
  </si>
  <si>
    <t>cs_live_b1adr9anrI3RVoOP0Xf0nKVSreGwGO8NgUiSVhcjJs2BPLMAFW66ucB5gO</t>
  </si>
  <si>
    <t>cs_live_a1brJ10DeuAhEB0fFZN0CnKzJIXZJXWzux2IXFZTWpFw0jVLxPcsjb9rhf</t>
  </si>
  <si>
    <t>Emiliano Stornelli</t>
  </si>
  <si>
    <t>cs_live_b1o5iM5CkJlCoTdMLUavWmaSW2cU4PVVjcPkUqquAz93akEM1qfBQUendD</t>
  </si>
  <si>
    <t>cs_live_b1AKr2dOzNGocxdqueksUZ41LCOPDF1723XCQCt6tHmME5yvmkNdtIAzjm</t>
  </si>
  <si>
    <t>Sahar Shoaib</t>
  </si>
  <si>
    <t>cs_live_a1DuFT6d8jMBtipATCCjpCAM2XdgoZmZcIDtstxqHKc3oeESWgn7MTscse</t>
  </si>
  <si>
    <t>Sharajer Lietz</t>
  </si>
  <si>
    <t>cs_live_b1swU9Smnkgq33eb2i0lhjr3D5c7RGLlEfwKhgSyien3pS8SHENOYwaC4K</t>
  </si>
  <si>
    <t>cs_live_b1l4orEwFmnEI2LfgjfnACEsV90JqOOpyyimNCmzXCyo00uQ86BNoH2o4z</t>
  </si>
  <si>
    <t>Niki  Farahani</t>
  </si>
  <si>
    <t>cs_live_b190P3sdNqQlXpirD8VaabncvaRgNXOFFyzpvnyF9H0OCOc1gekUASDhda</t>
  </si>
  <si>
    <t>Leah A Halcomb</t>
  </si>
  <si>
    <t>cs_live_b1PkywoDy5hqAIDPSVPjIY4SVL97IHRBNKLVn9PPUAfsPJkAn6Vb5pZWkL</t>
  </si>
  <si>
    <t>cs_live_a1yos0z1YbCU5GpS1GW4Y4BYj3pQt4WEh0iCfD4RfV1XiAj1w7ZE9tMfyH</t>
  </si>
  <si>
    <t>May Eid</t>
  </si>
  <si>
    <t>cs_live_b1JoogXVHVkLgMSXB1HOvzQRsTr29HJxEV9xqGwwqsHVXtotv4yexXykGk</t>
  </si>
  <si>
    <t>cs_live_b1NTQwPC2MLstAlIuHjA0z1xamP1A8HlovtZAMIo9RbB44vff3i5bWBOHz</t>
  </si>
  <si>
    <t>Jack Anderson</t>
  </si>
  <si>
    <t>cs_live_b1HWIBsPQEeXE5Unkjhc73nkzhN8xeM2Abkf6LbbTeN7OJbEGMUdzz3thc</t>
  </si>
  <si>
    <t>Jo-Anna Sfeir</t>
  </si>
  <si>
    <t>cs_live_b1vcjCsyZFnCxGBl9nQZhcP53NRaFQbe4SaERHzkHRM4wqZroJzwpyWu5r</t>
  </si>
  <si>
    <t>Juan Carlos Davila</t>
  </si>
  <si>
    <t>cs_live_b1H0SNbLYXISo9ZQ58GFfHUMv8ltB4hGph8fDE9YnnDJzCxeb0t5SMe5KA</t>
  </si>
  <si>
    <t>cs_live_b1RtUelm8bbaajmfwnKPbLoGKbhqSGTVKtO0G18LTnrwZKuxfOBlutq0hu</t>
  </si>
  <si>
    <t>LEAH NAJJAR</t>
  </si>
  <si>
    <t>cs_live_b1sfn3OA9sqrBo9xKgIXhDnARO7C6RTVJ93z2HMKXsxn4zJ8QqU9AR1HnT</t>
  </si>
  <si>
    <t>Habib Tannnous</t>
  </si>
  <si>
    <t>cs_live_b1mk8vCN3AFGYdvYzqAy3NhKF7qyCtDNLSxhDAeQCbM6xfcN4O7oHCrigc</t>
  </si>
  <si>
    <t>Lara Wehbe</t>
  </si>
  <si>
    <t>cs_live_b1cPrs35RxdA78hq5PnEiLDJgVHgE6ViD0iUHrRUn3NQHFbLujvXnmYW1O</t>
  </si>
  <si>
    <t>cs_live_b1SwMaVJFJMCNXhIqXwkbWcImAqtk1t3v1vIdSFfRRwEqNbRZ8TztVUeCF</t>
  </si>
  <si>
    <t>Mrs Hiba Molaeb</t>
  </si>
  <si>
    <t>cs_live_b1bKHQcqS8vlqChEQE2W5PUiQUyLtRIaOlgwPSVqzGyZIo5KnEW7fRTSHt</t>
  </si>
  <si>
    <t>cs_live_b1g4f8U439uD4oqU2L7yecUBn0OSEUPBhw04yVkYUL6AeT2pQbQYT6WM92</t>
  </si>
  <si>
    <t>Elissar Saleh</t>
  </si>
  <si>
    <t>cs_live_b1SrzfnWyr5TR14xIny2MiYkBfnb06kpdKEuFfkfmEkslThdFY8J0AyHFh</t>
  </si>
  <si>
    <t>cs_live_a1cQ9dFtHLMuPW52fGppx7Hw9bJ53LVeFuzyeDdhD8S3YFlPmtQjvmV72u</t>
  </si>
  <si>
    <t>M EL HILANY-THIES</t>
  </si>
  <si>
    <t>cs_live_b1nVunytLjblDZonpBVmlFBPvFh2ybae3M1goaig77vE1K8A4hbhwzPGlG</t>
  </si>
  <si>
    <t>Oliver Muller</t>
  </si>
  <si>
    <t>cs_live_b1wIubkxOzMnypls8EA6dgDUN24DgjqnlA0T1mL3Sm71BLoL3mCllwuiOX</t>
  </si>
  <si>
    <t>cs_live_b1l2OTU16vDMOxJYMY1ewCKvAY7ogDoXcdSCro55kZfYq3WIIs1JNAufM3</t>
  </si>
  <si>
    <t>Habib Tannous</t>
  </si>
  <si>
    <t>cs_live_b1muctDuqm9sW1gsFU1of1xChJzu0tt4JAbqZO3uHApCYjhnc0r8Aalchw</t>
  </si>
  <si>
    <t>cs_live_b1NzRL6Z8XgcuyUPP5RNGkkO4raXj7Mi9LnCVFvoay1PtzJTCnb61cbJLO</t>
  </si>
  <si>
    <t>Svenja Meret Thalmann</t>
  </si>
  <si>
    <t>cs_live_b1oZGyynIP997GcQSkdFU29fRbIv8wBRfxcwzAHcePPGRSbZbwtkHEFtnR</t>
  </si>
  <si>
    <t>Shaghayegh Lietz</t>
  </si>
  <si>
    <t>cs_live_b1XgWFlUH9EXynrpiPpyggxCRQV7rSj89dh8BTZKb14TEQE6i5X0HnQrf9</t>
  </si>
  <si>
    <t>MIRIAM EL HILANY-THIES</t>
  </si>
  <si>
    <t>cs_live_b1V2IuuJ8WxYUkaIUs8caYMyqpSn1hhXIPT0yU3hdgnbhgWBNlvkAeCtWY</t>
  </si>
  <si>
    <t>cs_live_a1qI8CdHbdoV8fJK1jrWS7igY1QpKt9DIMVBg2O0MzvseW022P1Q37Purn</t>
  </si>
  <si>
    <t>Daphne Joblin</t>
  </si>
  <si>
    <t>cs_live_b1Mlb2wOiBYl0CaCamPpmHj2W9TcJXfnMPdeeM9bn7UU5zBMg9ntfO3Jvk</t>
  </si>
  <si>
    <t>cs_live_b1NFvf94iTHA85PpQHdoPQoHhYD6VxVvPtfewjhs9NgOGVIOsQ2vLZNq0b</t>
  </si>
  <si>
    <t>Abess Makki</t>
  </si>
  <si>
    <t>cs_live_a1UxdC5eMqjVQORskJDbXFIREiauam1an8IAmHapJtUoz7Cr3sR3NT2FvG</t>
  </si>
  <si>
    <t>cs_live_b1Tl0ZhhEkFQUWOPc0poLmqTj5ETLqfSPJhbszADyr2nIwbojra9EzBOkX</t>
  </si>
  <si>
    <t>Miriam El Hilany</t>
  </si>
  <si>
    <t>cs_live_b1vFtJr4UIjeXFgTCQPV6qAHqcgW4bL6edOAdxNpjKdJZkyd6d3BcXOIck</t>
  </si>
  <si>
    <t>Sophie Chaoul</t>
  </si>
  <si>
    <t>cs_live_b1bS60JgAnmRj6W5DtiRY2EUFrfQdIBbGsG6PT4k3YsJlKgUDCeljZUE13</t>
  </si>
  <si>
    <t>Mya Yazbek</t>
  </si>
  <si>
    <t>cs_live_b16u5u37og20uQkmzzBheVNclEnNZ8Fc7HtVMGWKeqeFqS5HAKRYDD0p72</t>
  </si>
  <si>
    <t>cs_live_a1QOPxxMQFWpblxBQSskbp1Sz0gjVWIkl8cBBNKEHY9udKbXj6H3vVQl9Z</t>
  </si>
  <si>
    <t>cs_live_b1X9wCLl9R3eSw1FBW830MQ703dUDOwfTOoBeEqWJPXrvcFRl8oKrOT6pm</t>
  </si>
  <si>
    <t>cs_live_b1wKA9ca99ZXGoqFnrCR8jZkLhDlqnM2NZ8zqBCw9o1RTmMoIQd1XLrVHV</t>
  </si>
  <si>
    <t>cs_live_b1I0e9b1tHNgDz00w9JZF11w5DvsBGeK5bsMVIpBvjv93RwhLJ0KAZmGji</t>
  </si>
  <si>
    <t>Badih ElNemr</t>
  </si>
  <si>
    <t>cs_live_a1TlygAEBvRHozvWHllJG2RgAefpCp0SmAoxxiCs3yqpOAk2wYBsW0DVpk</t>
  </si>
  <si>
    <t>Badih El-Nemr</t>
  </si>
  <si>
    <t>cs_live_b1macw6s50YJM33LZwX3CnsfCka2AJgw5IhFf5YWDGFY5MXKuh8stuVTw1</t>
  </si>
  <si>
    <t>cs_live_b1i2eYlbFBOdWXFstIz2OeZ3ZDVUAwKXajGexJnI5BG4v3sJgQweLQQxg7</t>
  </si>
  <si>
    <t>cs_live_b1nCmE4XQFLUFQIYAmeqNs4hXZlTlAMCTjA7SDl2obTZb6oQidBpheSwvc</t>
  </si>
  <si>
    <t>cs_live_b1u2KHoDJfkUqv2pPzaE65PNgVi1R6IPpZ4pjJLh17DWOLWMNTPJt0rQAb</t>
  </si>
  <si>
    <t>Menghini Pietro</t>
  </si>
  <si>
    <t>cs_live_a1NTTPJgutj0ygD3Q1BjABvrjX3geLVjh9w54vylPaL3P0X9lCwRR6QnoQ</t>
  </si>
  <si>
    <t>cs_live_b1rq0bRjHooCuuLHwRiRDSyNRryp5Acu10lF7XMDqBfFu3vVtePbXcul7u</t>
  </si>
  <si>
    <t>Francesco Romito</t>
  </si>
  <si>
    <t>cs_live_b1tSisiprEBXgUXEefQZd9F3qrRQGVWPK2p5C3pTCxjkfix0Y7P4BXkvFa</t>
  </si>
  <si>
    <t>cs_live_b1okLQE4sR62wQa5U8EKpqJ0zfpLTE6R8STyvjgiZjJVWO9xVL64HYcAF6</t>
  </si>
  <si>
    <t>cs_live_b1fhMcEmDWysZudM1ch2gHuO0lmCNJWF1x5WtW2TEI0iKI2IKOnKd2UJPf</t>
  </si>
  <si>
    <t>cs_live_b1FZDsTr0njbLwlPhXyUrvMyETGlu6Qk6gKTgR3CdCJa07VFCrkynvmZjb</t>
  </si>
  <si>
    <t>Wolfgang Brueckner</t>
  </si>
  <si>
    <t>cs_live_b1ZEDGQSC821FaymqzLkbNWacOfzwtYzLzXrgRHlIw2HvkHxzqzBzjGvPM</t>
  </si>
  <si>
    <t>cs_live_b1LYd4JybX8kkEmbwp9yXMlgeIpHSq9rBzrRPzdeagoxeyfF24zKrRTY0L</t>
  </si>
  <si>
    <t>cs_live_b16gIMEW7vdFL5kQaRNFav2z76voznSJKh2GPqdJuoQ9ruo0Bq7xJxxzJe</t>
  </si>
  <si>
    <t>cs_live_b1l3qbbMLFxTPTHYaldSOQtElmKRzXMi4qU9xmrItIQtCd6eJUjsJiDXLP</t>
  </si>
  <si>
    <t>cs_live_b1KErzmW6EbH3vLQMRwGAQaMh5KwQa1eT626BOf0AQVFnDDhW7kCJtipYJ</t>
  </si>
  <si>
    <t>cs_live_b1YmNpJausE1Qbe7hsikNkGcscpcCjzT3kIzjelT2TYMfd8bUeAk9zzMWf</t>
  </si>
  <si>
    <t>cs_live_b1rf6Wgm6ZlA9mEU8MgBesKS3w78gnqAHDOAJvRhXCAiYmXOWGVnblpfZs</t>
  </si>
  <si>
    <t>cs_live_b1BofZEYdkkfL4xF7Sn54PjC2ELuR1YO6PZYnZIAyUwae0AttFLI74gFXo</t>
  </si>
  <si>
    <t>cs_live_b1jS74lAoCgqUS6zKidQ71cYn3p0fQqqhcte26HL0yKbwJliOB49xisJzu</t>
  </si>
  <si>
    <t>cs_live_b1R3SUi3AyEC1Fgd1YocUBcH6QmWdy31v1RrDfF47XzEoh9v9LMc3pqfc4</t>
  </si>
  <si>
    <t>cs_live_b1w4MldzK2zayLfyo6goDsLzv6YmMUl9swNNG4qmhEDuuJg6sD7J63EkIC</t>
  </si>
  <si>
    <t>cs_live_b1Cm10v8mI8F0emlsJczdz1LSYZkHsDLRMjACg3SssD4EpuKtkb5uVrVPf</t>
  </si>
  <si>
    <t>cs_live_b1zC797PmufJIwX7mEbkTAQeuB5ZUsomu2t0kLwlZHD95IKFAFnk4UfOET</t>
  </si>
  <si>
    <t>Leah Najjar</t>
  </si>
  <si>
    <t>cs_live_b1xmjUKhH5K2mUozPCRTdhZTjrgH1X7P9Vv3q4E0cwqh6Bnp0DurlYEtQu</t>
  </si>
  <si>
    <t>cs_live_b1l9GfvYR4EOtIUT3B9YWhzUxehkAam68PrZRqDfmSNoTT8C9QyIeFJhGH</t>
  </si>
  <si>
    <t>cs_live_b1VlJGPy6fZkGbPJYsVxHmKA7J7Krt8MbJmQr20cVwQMzH0MQtZR8u0Ygz</t>
  </si>
  <si>
    <t>cs_live_b1T7yGnQ9Z8HgKskQpsa5ZtOfPEUp2iA9arJDLFxk8hn0CgxgxDwmyNQXp</t>
  </si>
  <si>
    <t>cs_live_b17cswjFhG8fsaNybTOH2QpfoLUj12sYEzlwBDuTCULBdPkDn5dPmm1pfD</t>
  </si>
  <si>
    <t>cs_live_a1MsIhlNGDzNewRgV6WztSLbCBh9cIj49QmgK1xyk2IPzI40e9tcWlAIzM</t>
  </si>
  <si>
    <t>cs_live_b1Mvir54PchrCpUfFnGC3aApgap7J6Q3TeRWa95nwgpXuI14d0iq9JqhBt</t>
  </si>
  <si>
    <t>cs_live_b1LLE1MkIhYAqOwQwrjwoSiqtcNBmunuauUliqEwmmlkplemd6x1etjbuj</t>
  </si>
  <si>
    <t>Giulio Iacobelli</t>
  </si>
  <si>
    <t>cs_live_a1BnVPKOJnEiboX4d9KgwA6HNLnCz5mLgiHnxQwPAp4U7aj6dHFHC29y9w</t>
  </si>
  <si>
    <t>cs_live_b1HBvoUB1OoH2gdiFVxzphnbsRZflpS3FN54qnYwFn0h0me2nLHomDa0kF</t>
  </si>
  <si>
    <t>Julia Rushchenko</t>
  </si>
  <si>
    <t>cs_live_a1ndRDDuxkoA7NrdBy4hcx5yHqbEbjzkSSQRIejKS6y104uOaRk4gKc282</t>
  </si>
  <si>
    <t>Sarah Abouhamad Davies</t>
  </si>
  <si>
    <t>cs_live_a1Yzln3w1wanqlOeLphbgkuRJzovbzU4HZjDKocKuv5Xzt0AlTxp0JIbSv</t>
  </si>
  <si>
    <t>Leona McNulty</t>
  </si>
  <si>
    <t>cs_live_b1UyIqMmmhm3mruugtzm5acowj1mOJiaXF80BLCNZR0Fg45eeZ7cpngphU</t>
  </si>
  <si>
    <t>Brittany Nohra</t>
  </si>
  <si>
    <t>cs_live_b1bCISu0EISZemm8cfIPMSsJuUcWywF6jOr5na9O3W10vDTrIQZQQeaNMZ</t>
  </si>
  <si>
    <t>cs_live_a1PZGD64T117haG0KkhzegBZcBexH5iysZP8niWYerPeO15hh0j57FvZ1H</t>
  </si>
  <si>
    <t>YUKO NISHIKAWA</t>
  </si>
  <si>
    <t>cs_live_b1q6wyunbrCq3pU2POs5yY9b4yk6ekoOeRHVwjRkBnmiCoZlrjLOVynij2</t>
  </si>
  <si>
    <t>cs_live_b1mTkwd8dhuK8lP7X8utqW35ixKFyQNlSZ6fIPckANjvkDRkOPUgX0lopq</t>
  </si>
  <si>
    <t>cs_live_b1wBGDHZ4yZZH9ZGEotaldNxeqRzH7ytIaG7qXoIK85I7LVMANf2kLPeoo</t>
  </si>
  <si>
    <t>cs_live_b16UGeXtV9Oc0NWWZfX5fKj86qtVR61UxhZ9zyq8RPpr4BaTU3d8wfQMI3</t>
  </si>
  <si>
    <t>cs_live_b1R7iLEHbWGTAoTG4i2DG7hhKTD2N6fR2vIudAk6W1SN7OXnlmZqSmulx3</t>
  </si>
  <si>
    <t>Badih Elnemr</t>
  </si>
  <si>
    <t>cs_live_b16s0lSLHfLmVGYb3t4ju5QWZqtT9oC6QajwXHaTk4iFJibfTXUJAmKO5E</t>
  </si>
  <si>
    <t>cs_live_b1HgIZ2IadUC6XQR340HcOzYWjiWcGyRiuUZn8hvME4Im0n9XjHMPyZIEu</t>
  </si>
  <si>
    <t>cs_live_a1xl4F5ueoiiB4zd7I32VpQ25A2F1oQBtufLa6i99OSCpCHP9qTA3Y5Hy1</t>
  </si>
  <si>
    <t>cs_live_b1Ulpx5KTwjA6gtD199tCOzNn1GrFCQRhexuUrIrZUlEsVkwjUozol9rwF</t>
  </si>
  <si>
    <t>Unknown</t>
  </si>
  <si>
    <t>cs_live_b1tI9XasXdC0y3xysawEKtaUB41OOQgMVXeCwM50iSB3YH2n6uMLQ3VWpV</t>
  </si>
  <si>
    <t>cs_live_b1wnAxHt3j5jRwN1upg3U7esYNyz3Ka3SFhROkiNpuoRcqvZD0jCWniwVO</t>
  </si>
  <si>
    <t>cs_live_b1oYm4UawHRTgfVu6hX2IOmyZ6zQFPgleD6BWjkBaG2S33PTgrgMQTXnVQ</t>
  </si>
  <si>
    <t>cs_live_b1O3qHShAVnlSqfy1w2vqWWE0b8LkbbKnGuFeV5RvUjJuKQffRWkCqFMPO</t>
  </si>
  <si>
    <t>cs_live_b1ytbEPClPJvxK5y08znZSYtMAlamN25jJk5pMihoKtnqdDO15RHSYo34y</t>
  </si>
  <si>
    <t>FRANCESCO ROMITO</t>
  </si>
  <si>
    <t>cs_live_b14qvMsMaxPvJOlqc8qBcWS2p1ZLepQQ4m5CA0wmJnUNDWD4tUVLvsCqhU</t>
  </si>
  <si>
    <t>cs_live_b1acirQabBtFY9os8uWbUChtrrcYLW9qhOBDeLn8rmVzxW4VTiEgmCMIMg</t>
  </si>
  <si>
    <t>Joseph Azzam</t>
  </si>
  <si>
    <t>cs_live_b1J3peq6qRZieVTwLcFk44DcC2Ta0ckh4QcU38ahH17a44lZxiiLIoDLeJ</t>
  </si>
  <si>
    <t>cs_live_b1Dq63USKys7FNTRAB9DTqKMuhDkYLC6WGUBDdLIuOBiKsbXOexUkZXfPI</t>
  </si>
  <si>
    <t>cs_live_b1CyIgTv6Tn2rxGZfp4xsEFLl9U1XeAAYREYwYWgt7ELYkH2ZO5CtD2Qdt</t>
  </si>
  <si>
    <t>Keiran Molaeb</t>
  </si>
  <si>
    <t>cs_live_b1yE4ovhXQ2Jb9xGOyzBFzCsmRTDlEB50Hm9BYck7bgvyir1SDrelTl8Cf</t>
  </si>
  <si>
    <t>cs_live_b1F9PHYTrHM9LagJPlanrGiVQIgOBe7Xih2VX8tiMyxprGwfz3zYc7lIVe</t>
  </si>
  <si>
    <t>cs_live_b1oSUmB7dueIVmPIL72GQRDnswXJ6PKgdpF3cmFzOg0e9AQgQvLt0rvwNh</t>
  </si>
  <si>
    <t>cs_live_b1B0IZZpwRyAGN0ATC7aB56LpBIGlSO4Od7rbs6I8wJwcx9QyRqQCll7Cj</t>
  </si>
  <si>
    <t>cs_live_b1rN8vyIm4IHYaK0o7xiNs12gbEk6hsp3lwk4Obi2aWuSHFZfXhcoqs1F9</t>
  </si>
  <si>
    <t>cs_live_b1MldUvKerWN5p02oP6VhcIrcDwVmerNQaqqXmOIUZVQ4lTsmIUHoYpMLO</t>
  </si>
  <si>
    <t>McKenna Mills</t>
  </si>
  <si>
    <t>cs_live_b1snTkewKEgicN6s7bboMau2hIt6w5o7k3g9pNL2j37W974WHcSg0rX4Cx</t>
  </si>
  <si>
    <t>cs_live_b1kaLYA6nzFH4HINHVQdonQH5AxzP54Q6K5ZyUEYIRgz4sq8jEKLYANM94</t>
  </si>
  <si>
    <t>cs_live_b1oWEyQUZz1kxNNGVXK3kUzA7tNlVQ3L0579W04Mvypx2hGWCYEyLLOQ9D</t>
  </si>
  <si>
    <t>oliver Muller</t>
  </si>
  <si>
    <t>cs_live_b13uUuNtTHO6jQN0eEUGrVUvSpdMKp0NIimKw19imPw4EYED44O6XdRGoB</t>
  </si>
  <si>
    <t>Danyal Budare</t>
  </si>
  <si>
    <t>cs_live_b1LZuwbJzw5E5w3zhQGYehGFNb3nzZtyB9BIOp28w4vVPIYZd1wFdTJQL0</t>
  </si>
  <si>
    <t>cs_live_b17seGu6IwFB9F3juCCZAJ1kDlykj1FtAUo0hqUhE533Irp58nBy4EKnje</t>
  </si>
  <si>
    <t>Jacob Lehman</t>
  </si>
  <si>
    <t>cs_live_b16CDdxDMuxhjGlkSUhip7SIFxn1LKWrtWN38nrTL1JWVUrTNCVVXZrSRc</t>
  </si>
  <si>
    <t>cs_live_b1pzhdULNC0LSCpBvAdkuEcUrFpERR7jVfNe067PIMzUancDu3vIOmdtxt</t>
  </si>
  <si>
    <t>cs_live_b1AOewlhbuEXZQRS0yhWoz5CE9DTNcikuZxoTUF9Y4kn0BX4sWbxNM0HnG</t>
  </si>
  <si>
    <t>Hana Zako</t>
  </si>
  <si>
    <t>cs_live_b1mjmSN81juJdMT1vcnhMRVrjw3YsRgT0VFF6jd1nkZtO8oK2sgRLUyiCi</t>
  </si>
  <si>
    <t>cs_live_b1kWw6jAaBmNgfCD210P0nNyYKkPgTLgBlUOX60YZRzi0wDl4j7L2B6fkd</t>
  </si>
  <si>
    <t>cs_live_b1xGaHLrh2RDgryYzmDZ6wA6Hh7X2OD8VRZPEeCBEcZPXWjTJ3x2marlrL</t>
  </si>
  <si>
    <t>Badih elnemr</t>
  </si>
  <si>
    <t>cs_live_b12GWxDrVDT22qZ3vbgGaRKL1t2qZMNouOiyMzplOAWyHD0hNZMJ1Kfxsf</t>
  </si>
  <si>
    <t>cs_live_b1lrcjPfFFFRk1jITkMgvYPcut5gpcDLLEHUleSfl8qVERCspbaECcxvWN</t>
  </si>
  <si>
    <t>cs_live_a1K8QsUtHShmSxbDSHA3oIb2kF2QCOKuYAUcgONDqF92YPSgNJK5oIYWPG</t>
  </si>
  <si>
    <t>cs_live_b1ZcowcSuK8kGbk9K7gzuIhw9DCfWgf2ijxdX0dUllela4LHDDc41dpvT4</t>
  </si>
  <si>
    <t>Patricia Ward</t>
  </si>
  <si>
    <t>cs_live_b1W7V9JNjTExggltVOmg0VejWyCwIvsj0xBJRmRj37kvjycPHyTttLdphr</t>
  </si>
  <si>
    <t>Joann Buchholz</t>
  </si>
  <si>
    <t>cs_live_b1IQIxTKKyfthBkXWmY46Ljczakhhx6qRFuTdriXl8DiAJLiSjB4oiKryj</t>
  </si>
  <si>
    <t>cs_live_a11zUeaArIvxeLdo6SOe4GtzsFDKwMV3AauH4s4xrbn3zHxM2Om0LzJzl3</t>
  </si>
  <si>
    <t>cs_live_a1oD4QdY4rPwpptiiLMVHFGVSk8MXCXbJ1FNY1MdTui6AFBySeft98TgxH</t>
  </si>
  <si>
    <t>cs_live_b1LnuMmjjyUPMGXPszXEhhKZWAaqstE0DgsBMkZSgmZkjobGxQyClkG7ZR</t>
  </si>
  <si>
    <t>Anthony Gualtieri</t>
  </si>
  <si>
    <t>cs_live_b1sprjYNmnHlgH4FLJ0jCyTUt3Op7xZbWPgRbtgIjEfnKCXoNwFnKXalkt</t>
  </si>
  <si>
    <t>cs_live_b1QSUx4WafDFQ9cpOkkJvhzZUYbt4CwhN2iAdXpnxdi9kxQSxn1BpdkKfq</t>
  </si>
  <si>
    <t>cs_live_b1a6717Wi6uP30vBSRVbHY61PeVQa0sDg70C0POF6XB4eIGphA5ukOqLb5</t>
  </si>
  <si>
    <t>Ayah Zeineddine</t>
  </si>
  <si>
    <t>cs_live_b1l2kr90mLyaADfYbcU6Og3GdGDn6Zz1rUIl3tApRVTjjArg91Z1O8WqWi</t>
  </si>
  <si>
    <t>cs_live_a1x7yzMUTQf8V5E506BRoakF9F8pzP4OYNlxD4X00Y2lYebXs8vyJFb2tf</t>
  </si>
  <si>
    <t>cs_live_b1tE1YJmhgPZX8xl37Tcy98eTeOrjwFtIQyWfp0q4H0cUVPOa9Qs6rA2iM</t>
  </si>
  <si>
    <t>cs_live_b1BN1kFmsf7j5pB0HUHXEo1mFaPEnuRhLZYSGFuCLcT2j120G38F4kndtJ</t>
  </si>
  <si>
    <t>cs_live_b1sz8tdrlSXOxwocQi0HKg39xd5SdFBVFdlRBPrAWdPsBbDU1ZQiXXOBPP</t>
  </si>
  <si>
    <t>cs_live_b1XSMZpZ5FbsT2WUALG16MrYj2Yz2Kuk3yu1qr3KNMVYhXXXncXCwilrD9</t>
  </si>
  <si>
    <t>cs_live_b1IHCWrKq7DcBOII0GruUSnhNu01HA8O448zOqYOVwpAt7ww2zu97LYQtT</t>
  </si>
  <si>
    <t>Syeda Shoaib</t>
  </si>
  <si>
    <t>cs_live_a19QOFCqB2Klv4iFPnq7BicIF84fwQ6dXTjAZVeskuifZYZKBfIZcoWL67</t>
  </si>
  <si>
    <t>cs_live_b12XBhaPm41ahnLjkT0kO0WlZudrrEmsPF4GxcFHqvGMEgj75Rz92S9WlM</t>
  </si>
  <si>
    <t>cs_live_b1o0KD3hjLrLOhh2JVXybYxZlWSlfdpbcKEKgG0HAWhVPykhcPXClF2rtY</t>
  </si>
  <si>
    <t>Wolfgang Brückner</t>
  </si>
  <si>
    <t>cs_live_b1gfN7pLO6C8PJbQBpKVXXYUGAfRHtxI8lDqsO8e8QxfjLM8NDPoqEiKAA</t>
  </si>
  <si>
    <t>Rania Boudiab</t>
  </si>
  <si>
    <t>cs_live_b10NVggFhlTO8zPRCRGsiyhsUQF2Ix3tizB40RVg8Hp6QXaaGx198zadrm</t>
  </si>
  <si>
    <t>Farida Bayramli</t>
  </si>
  <si>
    <t>cs_live_b1Iw6hIOcVW5rrlFkwcuiLxOIlZLE8GaDJfitF6vacFZiSATJ6lMk5dcEA</t>
  </si>
  <si>
    <t>cs_live_b1JLBvtbiyo4y3HgjTRz5VZTNatQmDkmqE8DjzH0Am1T8pOgrPHKD1tjal</t>
  </si>
  <si>
    <t>cs_live_b18gorbUOG6226kuxbdZcZ75OBzseL35o9Qj5VM67c3z75hnT9PkEMGo9R</t>
  </si>
  <si>
    <t>cs_live_b1mav3wAe0G2BkuaGab7IeVQBHK0eH4biZW12XCjO1V5HOIuuH1PeBepfk</t>
  </si>
  <si>
    <t>zara salihi</t>
  </si>
  <si>
    <t>cs_live_b1aLC4z5zFngD6gx57qc9ewwcAOjjppUoUuSbnJD1fgXBuD48LvLFxZVR9</t>
  </si>
  <si>
    <t>cs_live_a1P77ubpSRrGcOtxTyXazwhobS20xhavaD7GqWLsp38Egmap2c9iJRtPnw</t>
  </si>
  <si>
    <t>cs_live_b1jndqNm2yzoWsNajQF5kKVu7S4Gwhn7X3GINaxrsZdI7WL6cP1wmc7vJy</t>
  </si>
  <si>
    <t>cs_live_b1g9BUvrVwmBSG0NTvL1HzpNoXWU5gLs9oeTMlqUS7tlnpDSCd60oGsS4d</t>
  </si>
  <si>
    <t>cs_live_b1NSN6Z2Begf5qJPOWbe9ZnTzca0YtVZCGIVgSNnvGGo5wxqPxPwS9kHr7</t>
  </si>
  <si>
    <t>cs_live_b1ltTfmFLy67v74rPaCl5EjUnA5L1jX12hlqIsvtOfzYbXk3uywpRrXjQY</t>
  </si>
  <si>
    <t>Pietro Menghini</t>
  </si>
  <si>
    <t>cs_live_a1lWPOFLQRi1k1jPMxy8jFPHOALeTcnrA1ZIftcVHw7ffuRWhT3mWW56iS</t>
  </si>
  <si>
    <t>cs_live_b1qZIfUIKopzWEdCGgtnSOxllQ6Y0K5mLh5J4woAZoRECIuEtTR6Eu4oHr</t>
  </si>
  <si>
    <t>cs_live_b1NWuVUGGbPYoQ7rrCCdWZBSNAtMIs2XSDV0uaj2SA6pIwyWKwsbsCk8IP</t>
  </si>
  <si>
    <t>cs_live_b1o0NRoXIFxRB3a9kO23mGrbkAKQLb5malOHITbsf4xBJf6cvxgSghWIm0</t>
  </si>
  <si>
    <t>Zeinab Dayekh</t>
  </si>
  <si>
    <t>cs_live_a1TFWAiixAlOexMoFTB7qtHhn5D2aeRhF3i01TczlzJ2gVOx9I6HAfXOnl</t>
  </si>
  <si>
    <t>Abouhamad</t>
  </si>
  <si>
    <t>cs_live_a1p5j4x5XZgdlxoF4SiIdQiSSThtXJG5MfSgJ1SCxeRKyerfiKKMCaqnsH</t>
  </si>
  <si>
    <t>Hicran Basalak</t>
  </si>
  <si>
    <t>cs_live_b184aCtKgx5yoi27MGrNYsZrKbgYSPsxtGaOX0B5QwMoFLDtcC6snKP5uu</t>
  </si>
  <si>
    <t>cs_live_b1BXWU08mpx4yeJW8t8cn1JWtOmwEwAxZRfaSXM8L5b7fMIBZZgrcuYhAT</t>
  </si>
  <si>
    <t>cs_live_b10Iqsza8A97tOm732aytDLuzKGyXxBz9y6ePdhJeP7NaxwcJlLbgHI2FQ</t>
  </si>
  <si>
    <t>cs_live_a1uOvfiRm3eqWFBJS1QjxRE043oEeyRXT6QbR0X9WyXTLonDnpYi70q8KV</t>
  </si>
  <si>
    <t>cs_live_b13vU6kOhMmuxIg4ypsw4U8GEGfOzjEfkasQK2kMVmVFniO6TtZQcTkAU5</t>
  </si>
  <si>
    <t>Yes</t>
  </si>
  <si>
    <t>cs_live_b182YlrBqIC7ZCepcJqhUTgGrqAHfIOKtCZrwMo7BnRwLRQ6kpVLCgDhVI</t>
  </si>
  <si>
    <t>cs_live_a1b7OcbmDYMtclqRWFfqO6mtZZu1VvBDUJLQyfUGkv2MOrWhwCdllBlM5R</t>
  </si>
  <si>
    <t>Kristopher Turnage</t>
  </si>
  <si>
    <t>No</t>
  </si>
  <si>
    <t>cs_live_b15BsARu8dD8LUVIkr3Akm4QgxivHWuO4BqAowVcnH90SofRlDwh8j8JRz</t>
  </si>
  <si>
    <t>cs_live_b11K5hKnxWaegmEVZo5VhZ2Dr0viPXQ8nHekY643bRlwBQaeq6toeWrJHY</t>
  </si>
  <si>
    <t>Dana Boudiab</t>
  </si>
  <si>
    <t>cs_live_b1gS0xv3p8iH2RNghpUgMTP2d5zvUdIVKNbRoaTHaNWdlQIXzPC1lRxW5U</t>
  </si>
  <si>
    <t>cs_live_b14SORgOtZfjjXSrV7ibwAJMZWisZgbardbMFRt57lvAnAfrs0KFldJwTQ</t>
  </si>
  <si>
    <t>cs_live_b1Vr2WpyTdKfNCChzrrrGs1IxPZyQDZxVQ23IsVP6EumTs4cYwLd3kr61E</t>
  </si>
  <si>
    <t>cs_live_a1OBFXRMNqAIBGki4lTtkiBuAcm3d2fnNj61uiwGt6u2aydBt43uy94vsV</t>
  </si>
  <si>
    <t>cs_live_b1WFCT9U2cvBNGmCB9I6swYzUhxgIIxOrW74AwpJcNpLc9YJfbKxek3dQ7</t>
  </si>
  <si>
    <t>cs_live_b1PBv2RuBIdg3hyvtchDFp0PULCVNGVbdyVzqy7CDtTHa6QZlUVcVqhMrT</t>
  </si>
  <si>
    <t>cs_live_b1QenGAmyBXD0g3Eji2cnu4xQ4n7Ulir1jzeGMMfBbjGzWdeUqWgVBhUil</t>
  </si>
  <si>
    <t>cs_live_a1J2N6OwjavFCXjJUd8QHYhbNYrBMYgfV2o8aPNrn7QYwaZKN7GOpDD6ho</t>
  </si>
  <si>
    <t>cs_live_b1y21ARkVCEfuw46LxsLPP3IME7gOHMiju2xMTrDx3AfeGRcSXyGpoZQIO</t>
  </si>
  <si>
    <t>cs_live_b1D7raOaSQ2phOVhFF5uPij8IqCgihIuTB8ilZlQ2S1jx1nnnq4pYb4hro</t>
  </si>
  <si>
    <t>Tareq EL-KHOURY</t>
  </si>
  <si>
    <t>cs_live_b1VzbpytUQ7fZ7a2kBv8mUZ2r9PNJSpTLSU4mpJJ37fDuDM79C4KdqfcgD</t>
  </si>
  <si>
    <t>Mrs J. Chaoul</t>
  </si>
  <si>
    <t>cs_live_b1zJuMwTPHA8kNyCA2PEEnEQtKNH5M583sBGYaxKk0GohwUV56hWOk3jdw</t>
  </si>
  <si>
    <t>cs_live_b1sQE17NMMRWgEdRpmwkkCMYJs8Eq83E6QnwLMlmsgOPOrUAIlXBYivmxk</t>
  </si>
  <si>
    <t>cs_live_b1h9JZwCjDULesxlDSVTeM2lPY4F0v8rOfU6KwsmpR91frQQVllbNpTUij</t>
  </si>
  <si>
    <t>cs_live_b1kLmp0qtx4BYCHAh4BSc1LFqW1YgOVBnAcKWRI6fEOdH4RHbTEAx0iSW6</t>
  </si>
  <si>
    <t>cs_live_b1Teq7DWRMYeFqpoCn89Ce1fKUFXZubwFaRwXoaNHqbJA0paMsIMXVTLn4</t>
  </si>
  <si>
    <t>cs_live_b1EJxvBnDTLsR4yCcVerFiZb73NP1AOQXjrsXWgtpCVBzGlQrQy7BUIQD8</t>
  </si>
  <si>
    <t>cs_live_a16KeyNX2og0H37594ZMNkvM5xULASxKofYjsjLGIxJfkZrh19bEYpWn7Z</t>
  </si>
  <si>
    <t>Calder Austin</t>
  </si>
  <si>
    <t>cs_live_b1HpLVHEIMWpMjHxphzYTIu86Cph8pCAtbKdCJv5V6CP7ELkIV5gwH4t9p</t>
  </si>
  <si>
    <t>Omar Itani</t>
  </si>
  <si>
    <t>cs_live_b1cLKbPhGNelB0AA71UJDr0vMbSny3jauNZgLeiIuStYy87grgEas2exfz</t>
  </si>
  <si>
    <t>cs_live_b1qXMNOZPFC9vACD2WOOlld5Vh9HgBvuccF2AjBQjklG0UIWL3JqFFaKwZ</t>
  </si>
  <si>
    <t>cs_live_b1gJ6oezjf07By1GNc2e5WbLj3ZDHtsj0CL9CbKJcim0PDz56GCp8oUYPx</t>
  </si>
  <si>
    <t>cs_live_b1eeKtQLlhzGYhidys0nOIztnV0akgAnqBmoxj3XtzF3IMAUwbCd4GxG5G</t>
  </si>
  <si>
    <t>cs_live_b1bLrJ4W7dXGJwzQG9dxrHZFCXBVGRSi5S2AWJLB0RW5JLjDe0j80pOxES</t>
  </si>
  <si>
    <t>cs_live_b1O4wQxU2esN3zirbhyLCM02absoENNTmaONHBp9jcSNahD2ve4bSwEAOl</t>
  </si>
  <si>
    <t>Hana  Zako</t>
  </si>
  <si>
    <t>cs_live_a1jmoAlM1TR9XVvgjkHgF1Z0p0MENPkyamYx0NX6lBEhiU18VFBCpsbt7n</t>
  </si>
  <si>
    <t>cs_live_b1NBkxv8q2XEd56layouU2PP7kx1UJyKEzO7pYeukqLgHb9jWvKS5TYhF4</t>
  </si>
  <si>
    <t>cs_live_b17mXnIEv4OJ15EAlZxc1hExV2A02F2nV2vwfpDqBvPCVyC7ewG0mfjD3v</t>
  </si>
  <si>
    <t>Mckenna Bechara</t>
  </si>
  <si>
    <t>cs_live_a1WSXdq7TsnzB9YCEs70FRxcm29pmf8cAFeGNzhIKkfbp8nLfjeA1vsm0S</t>
  </si>
  <si>
    <t>cs_live_a1ggkTEzA2Vl0OpQvEhmi0aDcRqnPWwvG90yoO8PsMzK9zsOGKfQHlK5BP</t>
  </si>
  <si>
    <t>cs_live_b1dNloUjmcfFiINwssCFFtEoYaWZd2Q6800f6YOWnZq17UCRMgiT0MLW0Q</t>
  </si>
  <si>
    <t>cs_live_b11mTL47f7bDcnVjNjZ3Vu8dn7Zvqe7eNbll97LYLyCsrBSGbjXMrJdwK1</t>
  </si>
  <si>
    <t>cs_live_b11IVxCbZeJ09w1zFHvnfhOh9tFaC8mE3gLr72xHlusF1gJTyeNQZ8JIE0</t>
  </si>
  <si>
    <t>Octavia Sarkis</t>
  </si>
  <si>
    <t>cs_live_b1PI7k2xLUAgPwU3OozDE7oPSZlwAGHv07h7z1NmxRXNoR39oJqKi26s54</t>
  </si>
  <si>
    <t>cs_live_a1afVM8sjNhoygsswtmoIRV4ucSnZbaFIw3PR0VYWuq1zNXkBJUfeeLE2p</t>
  </si>
  <si>
    <t>Leona Mcnulty</t>
  </si>
  <si>
    <t>cs_live_b1lwX80oCk0Lun9XAawhMacaJrQnKQniTQSzzO6aYIlzktOZHmDtETucL6</t>
  </si>
  <si>
    <t>cs_live_a1HY6n5eLmdjLvXQttUodiKHPNV8fvB3mxMS5AyiTVWy9ksDols081dP78</t>
  </si>
  <si>
    <t>cs_live_b10U7ZqzkgeNSiImryCP1gexH496KviD7u1xEYl764kgu8Lglmi3RXhsI7</t>
  </si>
  <si>
    <t>cs_live_b15tl58eXtS4RCvYESwuuks3GdR14248Hb3R6oDaLQ4W2mkt93t5FpIHLG</t>
  </si>
  <si>
    <t>cs_live_b1ynjmh9Ye9RbaUzyFR3TPkcnuiLritaQSwPnMTzAuOCKJqoq8VzXZdXx0</t>
  </si>
  <si>
    <t>cs_live_b1ROfBFpJC9DArAr9uFdHMKp8JQfXpFxZEKKbsybLgNZNuFhUnntNsiJvP</t>
  </si>
  <si>
    <t>cs_live_b128HVt0OE78ajD2mpocJk3EyB5s7XjunLb3UOLQsLDq0fVe8L7c5zJMTp</t>
  </si>
  <si>
    <t>cs_live_b1xDrtxf2C8Ec967u5i8fHDjVWl8FhrbrwBfBG95XPuszY71Ak67tmLXcR</t>
  </si>
  <si>
    <t>Natalie Giannangeli</t>
  </si>
  <si>
    <t>cs_live_b10ssyGJ1mdT47UYSA6PFm0JeqlcjiyZBJKQmUKnci4AoiYDW286M5PWca</t>
  </si>
  <si>
    <t>cs_live_b1CSpKCD9WDAjL1XViVNG9LS2pKybw0xgPFNQ7WfdJ5Lk14hKw2KCCWkF4</t>
  </si>
  <si>
    <t>cs_live_b1csVFaeRV7LlTDHjsafuKadQ2jXvQhkSIU7ncl9nJ6uV4I2ycBN3VwNKR</t>
  </si>
  <si>
    <t>cs_live_b16LZoB2hmVmgmjGXG6kV1UqsLKXrB52kKvfdP6s49FiOP6JLsgoPWNmAd</t>
  </si>
  <si>
    <t>cs_live_a1Vdy3a9UKT7MfC9Je3k1n3fmSVnRQ8502Dv5hgctP1DaU936aZzDN5Abm</t>
  </si>
  <si>
    <t>cs_live_b1GTcROnZRc2DyvKUJCyFGRLkHgcy7ftYjqJLk3sCNFkmpid2gMKmBwkt9</t>
  </si>
  <si>
    <t>cs_live_b1s1Q425AA8Ln3c9b52qYaciK991v5lT1bHVDh30u3dfMknMalqnaDjXNI</t>
  </si>
  <si>
    <t>Charbel El-Khoury</t>
  </si>
  <si>
    <t>cs_live_b1YRYe4FjnmdwaeXcOMU2F1O73qaqSKRjOIQdbLyKlD64YaTOioUx74CLw</t>
  </si>
  <si>
    <t>cs_live_b1TomRcWV0NKDCDEMMGmrlXQXd7cGdx5RSQ3NAe8b7FwfmR6zMPQFadz0b</t>
  </si>
  <si>
    <t>cs_live_b1RhB2T3MO0VHabKoIiqwKAyF2eZE4l5b9LfEDvxra6c3ZZaaN6Wnr2iPh</t>
  </si>
  <si>
    <t>cs_live_b12Zd2arSN0F2BUkZWjHGLjocTU1fVDZLhvEwLPLneT8jEA5k6bmuqtqc3</t>
  </si>
  <si>
    <t>cs_live_b1EEeh0FAVIA2fiI8bjgUY4e6fwIJO6F7ZtBXSIdcQOsWdK4QdRVsM06U4</t>
  </si>
  <si>
    <t>cs_live_b1t8jx1RybgxIMA1CXebw83fTjcZY1d5p60rSK8OEnyj2ujl2ArYeNk3py</t>
  </si>
  <si>
    <t>Mrs. J. Chaoul</t>
  </si>
  <si>
    <t>cs_live_b18VF9GVaNuGGXPtXeqLfht54LB0EzOJjvrHV05kVXvFdobtPgnePFQqY5</t>
  </si>
  <si>
    <t>cs_live_b1YLvZ2i9FaZjKBexVuoqLACiTswzKnlxZx0NReQm4kQqne3LBh8pHzHtu</t>
  </si>
  <si>
    <t>cs_live_b1xBm2OjMjI7UWF0n1sIYTnw6OKtPJyfC3mNVBOnOREuNvVyrUL3Yf83lP</t>
  </si>
  <si>
    <t>Keiran Jude Molaeb</t>
  </si>
  <si>
    <t>cs_live_b1jqMfRNO5Ouk89IzBDQnZeZRZuygmAGxLDjRcUASPFhFCkLT0G494sjjC</t>
  </si>
  <si>
    <t>cs_live_b1c3JstKqb4emYFnJa43GXj3FrzZ6VvOd2BEjlN9cuiYzKRZZnSEXqAZCp</t>
  </si>
  <si>
    <t>cs_live_b13KPfmR8U7EFJrYvDkDaitRX3a798exVX9142HUEW5RH5M9RurEisyjIv</t>
  </si>
  <si>
    <t>cs_live_b1QMV6jF5W9hiK1OLVPIaXsdX2x4WpGdUTlbgKI7CupXl6YfOkii7HnKie</t>
  </si>
  <si>
    <t>cs_live_b1HkdFLlYMX1u5varD2aD0dUUm1WBRG7Tf0wIyXNjQTTf6t7Radwutda0f</t>
  </si>
  <si>
    <t>cs_live_b1yS0AWgSaSgpwwZoLv1pulusEIjt4auHEOCpQPvu3iCR8OOuPnKk3ImBh</t>
  </si>
  <si>
    <t>cs_live_a1y9x3JYklhLu8u2PqeyNtxjtSAS9d1PVXUzKhLfkzbR8Rj0Qq14GYrxQ7</t>
  </si>
  <si>
    <t>Michael Medlej</t>
  </si>
  <si>
    <t>cs_live_b1jWMN3pFzSJJElTiMyeCErcbcUx4Om6atMkROn0bOro3W3pcwuLVPGxjH</t>
  </si>
  <si>
    <t>cs_live_a12EJlq7UNnb8lbotVYluaxsS1K6zRyNlHX3O7DJbRci7FnoQnf96gYx21</t>
  </si>
  <si>
    <t>cs_live_a1J0Zgzxsz1riRpImH7iiqrJyWq8m13tOHbOVEuBiGroYPhdZSQdwBJLv4</t>
  </si>
  <si>
    <t>cs_live_b1BuYsWLJpgpzlF8FvfRnvibEB3UUkXz7ZDKuq951qtLDzuqFkCWBN9XRP</t>
  </si>
  <si>
    <t>cs_live_b1g3nANgk7XNZWNPI1r083nmgzoL9lx7wR8DUccz9jiLfnc17guk5tiNMU</t>
  </si>
  <si>
    <t>danyal budare</t>
  </si>
  <si>
    <t>cs_live_b1FSQtT0gfgxC0h3Xqgdr3c64TWuLvP02XrnrnugFTESC2rPRgWgGiA6ZY</t>
  </si>
  <si>
    <t>cs_live_b165eL3hebCevv1rQra9HiaPOqbykGJJhG6epwvCzCFzSVzCwRnJL16mSA</t>
  </si>
  <si>
    <t>cs_live_b1iTmRbK2eoSK1SEPNVsXLT1bab9PErEuARXxIx99Q3N76SpRCMBqCUhoV</t>
  </si>
  <si>
    <t>Suzan Battah</t>
  </si>
  <si>
    <t>cs_live_b1t32DlVTelnGCNpCExHcUVjBdAUwUsu41IcWzGAZbdhKp0xNaIUxPidO7</t>
  </si>
  <si>
    <t>cs_live_b1qWGSHKM56sGDwqS1ivTRtywCCOG0nZrTJiiO1s5EtDryHNLvnGuZqfG4</t>
  </si>
  <si>
    <t>cs_live_b1EI51bQOpudt8SHIOQ5ZcFoDEWTHLHcdHTlEylY10pM177bPjk4PgUWfi</t>
  </si>
  <si>
    <t>cs_live_b1qiiHCNhbRie7s0Fnb80LrjPVH7YOt7vDfQCDyunlJjPitI0FWrNCTQyL</t>
  </si>
  <si>
    <t>cs_live_b1tWRZphaZ5G6ah2hEJX1HS8VljXozh0CBiHeQGlRxCII2rSnaXGxhLXMi</t>
  </si>
  <si>
    <t>cs_live_a1qJNoaKsjKiLD35dVMSWfzezATzgEvqK7oFqPyfspzJ4xOTpcxrDCYfpJ</t>
  </si>
  <si>
    <t>cs_live_b1ZQsegqUaRXlF8ywMBDNXvNgcRohzU9chxEVj5VrjtRlhDoihzNVdzWoy</t>
  </si>
  <si>
    <t>cs_live_b1oipfmwF6rFpFJxC0GoNb0U9sI0a6Xu13xIXvRaHzvqjkRCy2yRKMO8en</t>
  </si>
  <si>
    <t>Amaris Alayon</t>
  </si>
  <si>
    <t>cs_live_b1gfPZcrqbztTBg7mnWDqonKYbVfrSlwMzKVGxXZEnm0bfp10rPMEhvQun</t>
  </si>
  <si>
    <t>Matthieu THOMAZO</t>
  </si>
  <si>
    <t>cs_live_b1NGFMsazdIDhEnDnlXFhvE5oIFbIAnmc2dgYVGYw8Ar8TrBf4Fqli1lq4</t>
  </si>
  <si>
    <t>cs_live_b1tb8bqzrDRXoqmLSvrTUY7RJixObd7kZxEc0RBxSYksWAZwzXYaC4Bj5j</t>
  </si>
  <si>
    <t>Arianna Traverso</t>
  </si>
  <si>
    <t>cs_live_b16HfPoHyfQ8lQiMgNegOMhn6ZkmzX9gUUEQQAHofvP9p9KZKsyMgPSt8V</t>
  </si>
  <si>
    <t>cs_live_b1YOEQLvDDqaO42X1brSWMUu8Wkkv6P7ztkZyCKyqeMgKGSsyM2aDGU2Uk</t>
  </si>
  <si>
    <t>cs_live_b1DYD7lpht9tNsb73pPQdGQOaP1AG35yUcHYncuMcaDFN3lcJWarPrezE1</t>
  </si>
  <si>
    <t>cs_live_b1sRt7ueV3bIpqi3pu6cfKn6QiXpHbO0PB7gaQQhsrgyK0yQyXzajivgT1</t>
  </si>
  <si>
    <t>cs_live_b19JcZfdTkJBczR5IQRvE6n8SIke650W3QMvUm9QiDA6fxl93CRv2AQftS</t>
  </si>
  <si>
    <t>cs_live_b1b8Xjnl5VAJDDKFrzpp3MWef5VtnwpHc6kzd73MGRFcbNSCeQo6262Qan</t>
  </si>
  <si>
    <t>Jana Sauma</t>
  </si>
  <si>
    <t>cs_live_b1coXZFEvCQabpDWBpaZdfH8VuRhC7hQrmzaSUfbxWhFLrpCZubIHecv9p</t>
  </si>
  <si>
    <t>cs_live_b1Tcs3WbkykQBh07tU6S20Nn2X1W27KdgN2ZD9XdbwS3e6zgoer6UulWD0</t>
  </si>
  <si>
    <t>cs_live_b1z5R0i5JFqoRtJcyefXeuyTISXw9Gf42WsKloULOhQE6fmtFArP9WiwWz</t>
  </si>
  <si>
    <t>cs_live_b1hk9y7D1P8KMRcLsRaQrORPSzTRDQopGsT04ejC1ucQShiGBZzuXfwO4a</t>
  </si>
  <si>
    <t>KAYLA N PELTEKCI</t>
  </si>
  <si>
    <t>cs_live_b1MERJg93YfSandOfjU1x6boHeQN2n2Tj0IuvEbMkCWEXGgwl8nzcNGAaY</t>
  </si>
  <si>
    <t>cs_live_b1ypXMwqRF2IhXzxAMNIhy22UsZKNjCzZtUQOyksIBiYzwoH29Qmpnt2m2</t>
  </si>
  <si>
    <t>cs_live_a1VcYREXooiNny84vQ62awbAyyvh4T8AqkwUwDwEVMvskM60MhOlIZjF3H</t>
  </si>
  <si>
    <t>cs_live_b1YTA4EaOWXdwmm5wtwg4Rcmy33jbXv5gKSksjZB6BdCog1nD09tFUBr47</t>
  </si>
  <si>
    <t>Susan Battah</t>
  </si>
  <si>
    <t>cs_live_b1jPITFNbOjmZrsmIpg5iiDNYxWpK1o8Vkd0lpoR4Bef35IE16SXesmpeU</t>
  </si>
  <si>
    <t>cs_live_b1Qhw4XEYIbip6NxR5rwumF88nfEVQKcK5ejoHzU7xZTOEPghGbcwBTD3r</t>
  </si>
  <si>
    <t>cs_live_b1mOqMLKzc1jxdhq4o5uwRJv87BvHCTmKps9A6vW5yAm1YHqQ1wlsHyWZM</t>
  </si>
  <si>
    <t>Craig Lutge</t>
  </si>
  <si>
    <t>cs_live_b1YR5IJ0iWSKyEFKzWNden07MDol4YFzmAYjnU0DDhOcj2mKV6UO1B9xhs</t>
  </si>
  <si>
    <t>Daniel Doran</t>
  </si>
  <si>
    <t>cs_live_b1LHl8YpiqrXcvYyi75jpnqOJ1FqtLRbNiGC7XzEu0A0wuD9Ky5YeFA9en</t>
  </si>
  <si>
    <t>cs_live_b1a7R6eTC4WuE1vVV2Pzq3Jn7ZQY0aN85i3PkmgNaqSOkGWbkeCwSfWJE9</t>
  </si>
  <si>
    <t>cs_live_b1pknewjXH6oSWoF45Yvhvhwm2T1BfkehNHMYnxGvrgfs5GlHxbp6qA4OX</t>
  </si>
  <si>
    <t>Max Schreyer</t>
  </si>
  <si>
    <t>cs_live_a1XM0hbxucioiVHvrUu6iVXwalRnsRnIau2uzo3h4s9coqVEGuf8uLnJ6i</t>
  </si>
  <si>
    <t>Eduardo Zegaib</t>
  </si>
  <si>
    <t>cs_live_b1iBG4MvJDT96f4uSYc5OKlRKWJUlh0GUcC5vx66pAFEUtZ3yTINkYOxZ6</t>
  </si>
  <si>
    <t>Gülsah Gürsoy</t>
  </si>
  <si>
    <t>cs_live_b1u3qCf9zVGsrNFm0GaBjfAQmYA3yniWBsg36YnIP8h9bPBkDzcZmPY7vX</t>
  </si>
  <si>
    <t>cs_live_b1H6FIAQo4eaZOXIAaV7NELgQgMJO4QkSp3JuFG8NdMe01YBjQ2yB9kHMs</t>
  </si>
  <si>
    <t>Hayed Kure</t>
  </si>
  <si>
    <t>cs_live_b1dZFvjyUyfUwRogFQBEPD5hWiVmyaNpHdRkgftti8wHSCmaCpOKU3NJVN</t>
  </si>
  <si>
    <t>cs_live_b1fwX0jMWYOcKhzviWTO2YwerdoGGti0cJVuHPsgeWNP3mWyKbcUff9NpT</t>
  </si>
  <si>
    <t>cs_live_b1dBB2MmO1C3YDVS1CEavjxwqpzz4epem0d7JiSKO5DM107UkAs9Ch7t1S</t>
  </si>
  <si>
    <t>cs_live_b1EsRFTVhwKDUzgreCQkpfuL4XFb1RMPC0BeHy8co0Ws3gCCuSgELe2IOT</t>
  </si>
  <si>
    <t>cs_live_b1K411RidkzphZvTbrlQJQr3UJfc2T5cu5L8wKG89hZTXUZfucZIhDZFcm</t>
  </si>
  <si>
    <t>cs_live_b14fByNusmxsWz11KyMFD2dMsJeYSQm4WOpgeVDTjSHNNyKH8iPn4kjNAD</t>
  </si>
  <si>
    <t>cs_live_b1s4rnTwp67gn9v5XBNkKdru94PI7OULWVDQufyCMi0QpgsfoEnA3YnXKX</t>
  </si>
  <si>
    <t>cs_live_b1XuBNNtvnff0u25iaxS9VSZnP9WrAgM09e79EY0zehTL0bEiJHHPxUF2V</t>
  </si>
  <si>
    <t>cs_live_b13yWt7zOo1W3wBS489Y1jSu7KK9DGHIyo0RFJJzlIFOpc1wgu3yMncwpI</t>
  </si>
  <si>
    <t>Gabriel Pacheco</t>
  </si>
  <si>
    <t>cs_live_b1U7wkRBevKHm7Ca2EmCqOoQaLNlowWIaJVz8jvyVJ6FfpUXTqlnyuxRhQ</t>
  </si>
  <si>
    <t>Karen Ravn Vestergaard</t>
  </si>
  <si>
    <t>cs_live_b1qE0Hziv2R18EWSrkJwQ6CURIO68y3kKDrbyJYIp150To8qbcEJisxEiO</t>
  </si>
  <si>
    <t>cs_live_b1JKCkeZilDWT1pdw6NEfcYrmriDXrderw7kzTzFmzz1mGjAmiR0VZn3Q9</t>
  </si>
  <si>
    <t>cs_live_b16OnmNZOBktgOB42tH439Espr1lghoVHSI6H3x13cOWlxAJFZC80UcAkO</t>
  </si>
  <si>
    <t>Afif Massih</t>
  </si>
  <si>
    <t>cs_live_b1MgB7AWLpPYOCv0bimBOZm5jt3PpnmX7MPXmwXUGiKvQUDaXipAtR8BNa</t>
  </si>
  <si>
    <t>cs_live_b18Yi3lrvk5WA2Unq9QmMVIdEbrrsc1exPQoN0umWrJgYEccM96lpstrsu</t>
  </si>
  <si>
    <t>cs_live_a1o8BlE75Jkp2v9ocB2NPa5pFBK3EC3mHRw7VmmG7MncgzXszKjz6oyz3l</t>
  </si>
  <si>
    <t>cs_live_a128t52BX0mJhdssmdLtigYSorNzhVLlnY8lwkJhkZ6zJ3u7SnWh86jpiP</t>
  </si>
  <si>
    <t>Janice Chaoul</t>
  </si>
  <si>
    <t>cs_live_b1c12ZnzweVcfAbrmyicrQjvNFg4hqdh7r6YjeWsAHJMjEWByVNLHqFy6h</t>
  </si>
  <si>
    <t>Adam Bokhowa</t>
  </si>
  <si>
    <t>cs_live_b135ONmY4w9fZtEybccKp5zF4WpVZmSpc6n85J16RfGyU0Dhvw88aFp9VW</t>
  </si>
  <si>
    <t>Paola Fappani</t>
  </si>
  <si>
    <t>cs_live_b19XIH0FGq7t3djR2jz8ocxiLWEoMce2F7sKf7ZqXmJhVWgn7k4ZbRTURD</t>
  </si>
  <si>
    <t>cs_live_b1n5NqDYifvQYQ1jXIVKjC4H9Y2UKwkbZfXKdhgsLWR6DKL7gnO3bzdup1</t>
  </si>
  <si>
    <t>cs_live_b1YS3Ra2yRYqht9EtvIz6QWUUOigwZ0Vqn3i2h6leXooi19lqnny5J8myD</t>
  </si>
  <si>
    <t>cs_live_b1HJOGxfNyB1wKrbMxl63dUeyW30tb8sWunasapwBf8ZFcvHC5UGXY5nCu</t>
  </si>
  <si>
    <t>cs_live_b16p9qgzMiZutxAIt8eASWOSvOAeo6p6zlFlFp5NBpncESBVlFqMhfpzAQ</t>
  </si>
  <si>
    <t>Stella Potenti</t>
  </si>
  <si>
    <t>cs_live_b16sdYceC7YGDGIUjsM8cOWYqrbbvBx9Ovn4n3H6in2HKRaObiD3TxEiOA</t>
  </si>
  <si>
    <t>cs_live_b1zPfYddRB4ru3ALvbQaa503QCsLgi80gz5nEPIvzVVt5T8hKDe1YR7Dst</t>
  </si>
  <si>
    <t>cs_live_b17uxoRbcOhc0avhgK7MpCNxlYQSq1kg1YiazNRx1HFTxyYg5njJTyQx2m</t>
  </si>
  <si>
    <t>cs_live_b1AuEeGWZhQLOZoCfpa8Kfn8naZXSbnc84VignfBZTzwkJLFcu2YKwRczH</t>
  </si>
  <si>
    <t>cs_live_a11ET1ZPyDWaqcALfl8X3HawVQQEXr6Ikk8QOqzKLpDgzH27qJOVrlnzEA</t>
  </si>
  <si>
    <t>Svenja Thalmann</t>
  </si>
  <si>
    <t>cs_live_b1P27Z5bfWiqY3SZ1JBqFHpMfGfClMo81SvNXbsMh2qa3lI5f4Clbw4Tor</t>
  </si>
  <si>
    <t>cs_live_b1TOhbsSNhPcehGfkRKgFH64Hkh81qruJrRTzKMMizwMP2PMfOuKnHRnaz</t>
  </si>
  <si>
    <t>cs_live_b1g3AlkbDk8AB8MeQWDoAnWuD6vpVfLA7AFUnTsbdCYntTONjtzMgde0sH</t>
  </si>
  <si>
    <t>cs_live_b128Cgbph7G5hDYruys4M56smStPsMdUA3mTfVxpMTO0OlrEKFlE6BJTkd</t>
  </si>
  <si>
    <t>cs_live_b1zXD6df207YvAsjam9NZoq8L3f4cLpLNqFKg3LQxUHHy4le0AOrgeYQPu</t>
  </si>
  <si>
    <t>cs_live_b1P3VHIp3iH51fqsVcaU1DEXCNXItKVxsQAtmTWnvrKX2Ewduzd32VQnYK</t>
  </si>
  <si>
    <t>cs_live_b1GpRo60Zq0Y5d0y9lYrMuhikirZaCjFXi2vnZxOHwKmq05vEHxyLEluo3</t>
  </si>
  <si>
    <t>cs_live_b1ZEk8QovLuxWiIHduuyTi8ASuqlh4Dl90pRrGqxpQvz4i4HPIp5mn8zYv</t>
  </si>
  <si>
    <t>cs_live_b1YgALi629skhwcqlDK06YW4cwIjrOmrE0ezhiC1hAs6UTP6IkkIWFhoqR</t>
  </si>
  <si>
    <t>cs_live_b1L4aZkmkAhprpb2LzJCsbS1dh8PLHntUYRvxZxiYmT17p5IxnpyItoVwn</t>
  </si>
  <si>
    <t>cs_live_b1vGq81npekiq8Lu2xZ1tZfwTxa9FchLUv2tm1Sy8ILf0EQ7UTmGheEyZi</t>
  </si>
  <si>
    <t>cs_live_b11CvpYYEPbdioGitHJQAit9r0ek2dU4RmRQz1gA4HHLaD5P5H9S0iUMUN</t>
  </si>
  <si>
    <t>Kayla Peltekci</t>
  </si>
  <si>
    <t>cs_live_b10E7EXr1hFmCLVhMP62wD3IlKfgELokqcOSSNy0sfdV2KptoQwsMjcb4p</t>
  </si>
  <si>
    <t>cs_live_b1ANFVUHSZq1IbjxMCOkdxiIJ7A93LAfxj1A8XfVMhGCUTXKIZt2zTzleU</t>
  </si>
  <si>
    <t>cs_live_b1GUNO1bmW8R2d8BMHAmcVo8Sp0OuR3aefqpPOd3q6SZgaoVWTpMztvXEt</t>
  </si>
  <si>
    <t>cs_live_b1m28iha7ls44dCbUoJKtI4UiVZzBcawWbb8CXvaRonAXqHeSZtJd4JRk7</t>
  </si>
  <si>
    <t>Katarina Ghanem</t>
  </si>
  <si>
    <t>cs_live_b1nWjJO7cUjnkx4z26XUobg88erzDShv2LjIdy8H2IeuLk3M6SmnWOuRUO</t>
  </si>
  <si>
    <t>cs_live_b1b423b59acA5U3kHsMhqfYoLtMF8aAvC1XKhpdUDsauT2oBbopmeua6ak</t>
  </si>
  <si>
    <t>cs_live_a194Xt71Z9guyr9YAYtHyTggSswKSpMtvSGKrWDiKJzhev1lzMkeg02x5i</t>
  </si>
  <si>
    <t>cs_live_b18mIWuik8czeqIbKPa8N7OaF5aG9ORDFxh4BIRNB07N4VN2vDeBYAoXHt</t>
  </si>
  <si>
    <t>cs_live_b19Lty1RahK6fycdWYWUN6zvDmsmgcx9vMwnn17XolKIATWGIOFSx964Yd</t>
  </si>
  <si>
    <t>cs_live_b1slk7VJ6gpFrbLNhZlUai0D5G0P3W0LydBx85jKKRoYYfGEYdHbhuNbSw</t>
  </si>
  <si>
    <t>cs_live_b1ak4Ah7zWsEX7iW9i19ONAn6gDlE2Un895kwC2v4Bqq4etuonAXnV97Ce</t>
  </si>
  <si>
    <t>cs_live_b11pzjKruoTvJ7Fpeta1SFH7p8iQ7vQ9pEnMdmUhDOlpGrMWi2bX26Ecgg</t>
  </si>
  <si>
    <t>cs_live_b18uYRpuJclGbTduoHQtGr7oozb2HFOqp7iegkBXqaumv0G7a3Siwq6gn1</t>
  </si>
  <si>
    <t>cs_live_b1ZeIm1AbHpHBlzB039TBCzfodqbZwbpM2px8t31KcdX4taotPXTpCwjEL</t>
  </si>
  <si>
    <t>cs_live_b1dreHzNm5wRnDH8tqepbDrBDkBuz3YtbWFsYopiFnMHNyRHRMUCvjhKu0</t>
  </si>
  <si>
    <t>cs_live_b1ApMHNBqT8taQsBmFjuzmNXivW8IHRu0wjRcGRc8WKrDCWqidBAi6PlKm</t>
  </si>
  <si>
    <t>cs_live_b1x94eZc6O7GRk8eB5iUCc1wIELhIujO5su2kdDAoKtWMQkPr1kfpWiNjq</t>
  </si>
  <si>
    <t>Diana Tzinis</t>
  </si>
  <si>
    <t>cs_live_b1IvxRdokZc5LB4XP3NQL8rwBJ8ohjVXH2v8zz0yfjcGyOhsHjc54Y5A14</t>
  </si>
  <si>
    <t>cs_live_a1yxi6EEgP3gdrZM6NB5clNAA4EnT7leqdgmWsv5XxWOt0e6DnJQ20gXZm</t>
  </si>
  <si>
    <t>Thomas Kottmann</t>
  </si>
  <si>
    <t>cs_live_b1So0a02gOQbcf6Hjbc9T1YSo6rAbiGCnD2fRrhbcZsAaOze5xUXe2otQt</t>
  </si>
  <si>
    <t>cs_live_b1WJELlAyytLijERjcagTmCyn9EUBLMKDQpX1LFC9mN8aaTt2gNsZnH50Q</t>
  </si>
  <si>
    <t>cs_live_b1dkFg9FffbM2SrehzlADnTEmNK7oQROUNWNWKoHJKiFOpcaWPsXJKfOKZ</t>
  </si>
  <si>
    <t>cs_live_b1WwC9nq631OBihsvznJSQ6jGAb6KXabJ0upi2UGm9iTNdP6eXbb0rEBHV</t>
  </si>
  <si>
    <t>cs_live_b1ho3pOu9p8rR5pa0bbIfUsAIMBSdpuL5gw27kvLc9vp39mFuZ7oSdjlJV</t>
  </si>
  <si>
    <t>cs_live_b1WIQJgi3iYmHneGdriddqI43M6OmAQOpDCrtiouR0kmgqur3wT2Q0s8xc</t>
  </si>
  <si>
    <t>cs_live_a1xCVhkPeTaoqwnzKe1JTbpYUs8XGiU8pveiw7a00RnNKhSZY7hb12DdjE</t>
  </si>
  <si>
    <t>cs_live_b1LSCcOCW8OpenExzMr6vTpE4cpCvWuR8bWTslgEOEKBAdf0W8RLwVB0un</t>
  </si>
  <si>
    <t>cs_live_b1xa4eVNjzOiPiBgN4lvS63EEbLMhJVUVZs2zWWenKoZHncscnLkw3GRLa</t>
  </si>
  <si>
    <t>cs_live_a1CktbRmN8QDrM94nspcQN0SnJOzPpTOmbvV8B9ZFrPgF3dqdjwqns15Rw</t>
  </si>
  <si>
    <t>cs_live_b1gW3XRAA06Lc6xwklSnpDjYLL1A1pomrE2X2rNH3lWA4LaAxpaVqRmoBy</t>
  </si>
  <si>
    <t>cs_live_b1l7C9lrVrgR7Y5V89OhF6F5o3GlsoOC24IcCopFuzb8ceekYQqrpAN3fq</t>
  </si>
  <si>
    <t>cs_live_b1F2P5C9fPcqPQZm91kq2rzUwFUlZUS03CcfGLuuGY4Z6J5MQpOrzMoBNi</t>
  </si>
  <si>
    <t>cs_live_b1eJWlA5T8AvVT79w3v3mAFYWiL7UgrBsUddy74YVutx1BWqPaFqM7L1wg</t>
  </si>
  <si>
    <t>cs_live_a1XruwFBOSnm5IY47rZZqt1tP8qo2aZMNKk2AHsPmCMrajGsEv7bqiPYz4</t>
  </si>
  <si>
    <t>cs_live_b1qvHsgtSLQytA1T99LRw7thCAYaCFrgVUdzW9V7XgWEZXUC2OfKWbWQTZ</t>
  </si>
  <si>
    <t>Daniel Lakkis</t>
  </si>
  <si>
    <t>cs_live_b1YA5XPabneMIHgIzuTjyFIjT2KYyFYLuCa9e6TV8SZ82nOVcbwm0gYdbl</t>
  </si>
  <si>
    <t>cs_live_b1vZdQUmagG4s9FjOVBoWjwA42gM5DlBqRWFo2RCEUFK2Z2phSU21LV2hd</t>
  </si>
  <si>
    <t>cs_live_b1tony4peSuRV1ZVf6jdCzeDaAZ2K1ObZ0lxVwCSqYWlE4VI3K9zgfovYF</t>
  </si>
  <si>
    <t>Kate Hawks</t>
  </si>
  <si>
    <t>cs_live_b1j9aNJ1tpxR0KTcYliZoNYt1CxY56uSA2zoClGfjWkhLpVsTJprOny7lx</t>
  </si>
  <si>
    <t>cs_live_b1qPV9Jltaj13CReZXSdWUV1EakLKmRnGjK4av8UAjTQ5haKdUmY5iQNBF</t>
  </si>
  <si>
    <t>cs_live_b1Y3JgsI90V2NVEMatLGS9XuOatNREPeob1LrsvdPKUuo70d8kJHJ1S78M</t>
  </si>
  <si>
    <t>cs_live_a16DHIgtxiKd7UCR2HNzrRchx6S6MeGo1JLtwOMpQoS20fbJT0Q9ooRKZr</t>
  </si>
  <si>
    <t>cs_live_b1rc4sNfSFLTHyxPSj8ImElBdZr8CEqiPyNY1gwJ8hm5Nd8GZeQQKasBsZ</t>
  </si>
  <si>
    <t>cs_live_b14gHfdLP8wHrpacUtMhBdOPuhk5fsFyLXGfXWmjMY7m4vyBeRGzaBNEwP</t>
  </si>
  <si>
    <t>cs_live_b1xpzWDHNc8aQOIq2bX63xYIAYSDYzbWKCmp54XdYpHO7yfYMKRzMVZDjN</t>
  </si>
  <si>
    <t>cs_live_b1RcYWjbpkZmyjsZKkP64OXBVnBfDFOTuaoKFXUSucOXLuCaqN9IGjlSXp</t>
  </si>
  <si>
    <t>cs_live_b1M92ZOOng4ZVttObNmS7eX2qHPvFO5yOIuz4YRDKVvaGtUJh2hk6aL9eg</t>
  </si>
  <si>
    <t>cs_live_b1M76lEB7o3HwgHYvFejVS8NoCdvhoKhoAdef5o3eKlipReZcd2r2OuFzY</t>
  </si>
  <si>
    <t>cs_live_b1koINoj0ziAVzYFmHV7fGH7mN2AboGdwmWUVV6JYJvgNFE0Wp75hyQigy</t>
  </si>
  <si>
    <t>keith abood</t>
  </si>
  <si>
    <t>cs_live_b1r7T56DRBDyhAsA58Gd6HDGwdW6QMSWvbW11TaJS9aH21OxxWKj3ApeoV</t>
  </si>
  <si>
    <t>cs_live_b150ALrMwNV3nIkjyKQU4gBS23EfoFxPpt3l116XtnWqOq5taweuMbkAO6</t>
  </si>
  <si>
    <t>cs_live_b1HZvBqBqE5geTIyYTwjV0ZjlVi3wEU8UAmo9wTtQheJG5YDW3AgV49Gym</t>
  </si>
  <si>
    <t>cs_live_b1z9iU41nfrwcRHImCP3Dn85y0VtQ4xJGQWk30YXaiWomjIcYli0m9TYze</t>
  </si>
  <si>
    <t>Fatima Khanfour</t>
  </si>
  <si>
    <t>cs_live_b1bBlP7T8hOcRjdgIdNddeE8N3DhlWNFki01G48bwYV5t2nzIerUHMJSGL</t>
  </si>
  <si>
    <t>cs_live_b1lIAbCcrqOcTTTJnOb7yLgK6ulJKoDdxGidRzggPX8hmxkwzfYUvSBmv5</t>
  </si>
  <si>
    <t>Marina Spyrou</t>
  </si>
  <si>
    <t>cs_live_b15kVaoNofeEmzcmhgkW9Uo8KneR4ThUB97fAztl1oLj2RyUlabfmDi8T4</t>
  </si>
  <si>
    <t>cs_live_b1qvgpbhgzS8EdvKP2Ow4qKp10SuQUGaOQnCepY2YTv4uuWAnlwSkDdD9t</t>
  </si>
  <si>
    <t>cs_live_b1T3pRF4z97u6S467unUBcWHzsvpb33QCzqD68KTM9Nso4YCNdMa6n2Bj2</t>
  </si>
  <si>
    <t>cs_live_b1ixVpVTgCIr4vEnHuBdqWZGSf6KufUgxtxb6THnzfRQvbTZ9SjdKals6l</t>
  </si>
  <si>
    <t>cs_live_b1lWDpgFzV91NKDltfPcA89vtLIlkq49Rgab5Wi3E1tj8itsULgS8ov8Kt</t>
  </si>
  <si>
    <t>cs_live_b1I0jtRRoWAWIWpaNacXneP0WhT6KGmbXvw4dRr1g5prmlxV9fDBP9fGuY</t>
  </si>
  <si>
    <t>Jean Khoury</t>
  </si>
  <si>
    <t>cs_live_b15NTPfaDBCBDx58yRwSlVwdNIDi0V6zuTPdiNB4wroNNIeIY8Wtt3YxXI</t>
  </si>
  <si>
    <t>cs_live_b1jfOPhWTSZoB17wGv4CbLMIZnFGPeuHhj9GMHf0CAJU1pmkqQGDcH2pq4</t>
  </si>
  <si>
    <t>cs_live_b1Kh0jfkp0xhiSNg7huHjGws4QXO6O5mnJlkSrp6QappV0lmG3HRMHq6YB</t>
  </si>
  <si>
    <t>cs_live_b1rcx32ckvjBuVb9zj0hm0ztkgYa8u83jqisIovHrEVxuBaoerhS9VtbYf</t>
  </si>
  <si>
    <t>cs_live_b16VZ3QCNApaNySV9gHYBU2kPr0LM7DiyLpe1GbaDTF3KpmkKWprLRAJgr</t>
  </si>
  <si>
    <t>cs_live_b1Qci4aInpVdH2oP5cVqJLMmwyvnnZmj5qPQYMLuvgxSV35OM9t0RGunuH</t>
  </si>
  <si>
    <t>cs_live_b1w8wUnwZTF1VJdO7msVjyMW5bOyGxl3PeLSV329CMAn6SCiKSz0EsA1fI</t>
  </si>
  <si>
    <t>Saskia Abou-Khater Robbiati</t>
  </si>
  <si>
    <t>cs_live_b14nKGB4uUlzM6n6d7fg7gIM5iHQG6y62hu6GtXlNVDnvYOoKWYvFCwLGD</t>
  </si>
  <si>
    <t>cs_live_b1m17UZuXU3zmB8p33HMAdq54KUS6oChgrCMG6OALBGGzBAKsagPbSOfg2</t>
  </si>
  <si>
    <t>cs_live_b1bwwycr26RxTT37e5ASQVkXPswjmjmSWHCUxfT0FQNgTqzBDbBTEXSgGu</t>
  </si>
  <si>
    <t>cs_live_b1Qg9jXtiV5EhyWHzZo9FPKNomn7xTs8j0XO3ODeCBcQqZ8H8AkaAfCdDS</t>
  </si>
  <si>
    <t>cs_live_b12yWCkwdYsnrQiKXxZZxft3DX8V9kXalAOMV05mmBBxwE3h4Tre2hoo91</t>
  </si>
  <si>
    <t>cs_live_b1eA9Z8OUBQxoyRRa7lyeb6dRB7BDQew9CyYYsx3D5zikJPCjbLtULXvmo</t>
  </si>
  <si>
    <t>cs_live_b1BFCqwPz31zNxUikm2fdI6psOEaq3cupRtAp6wiYWotuUXYx2kw1KntX1</t>
  </si>
  <si>
    <t>cs_live_b1CSyNebbxtFSVrRnDTVaA9nwgmUT9emSq5cQuLMtT7ZKPb4rsF0t67ZnD</t>
  </si>
  <si>
    <t>cs_live_b1IzbNacfzQjd9e2sTtaddiMrnmvK9UjuxxXFC5JlPJLMm6x1xV8RruZvD</t>
  </si>
  <si>
    <t>cs_live_b1zNwl1zqB6ZgKVtWoRbzGIkF8ECrTP4FnW6USpL6j7m0sgG7rOzDMnWRs</t>
  </si>
  <si>
    <t>McKenna Bechara</t>
  </si>
  <si>
    <t>cs_live_b1bmgLM126nHQuHJgSjhNZpSLEu3VXqHWszlZATRz5rkEX5QWiih9rAUd1</t>
  </si>
  <si>
    <t>cs_live_b1bVt85GPc6n8075cQReoAYhZZfRM6OXe0FnaAo5y9120sX8BUhkzbu8j7</t>
  </si>
  <si>
    <t>cs_live_b15jDF9eujZpbqG8rQ5i5DG2Hv1LyqCAuCukuNNHaZx0Kmco7ien8YuPXN</t>
  </si>
  <si>
    <t>cs_live_b1PYHL0b4jI7u0cV1vVmtl2N1FdkFccdRZM5b7IYTzsMx9vlfvRHxL7qrC</t>
  </si>
  <si>
    <t>Serene Raslan</t>
  </si>
  <si>
    <t>cs_live_b1l369CYO1slUIcaeGJypamTOBkp8fwmJvQTbwYMGvBwnIGxSqLjAIapzF</t>
  </si>
  <si>
    <t>cs_live_b12oS6BLuNz17IfBIAvjRMXVDtJWGtXPS8yeP3KzJm51OEfQhkMNugyRN4</t>
  </si>
  <si>
    <t>Nada M</t>
  </si>
  <si>
    <t>cs_live_b1i9an47Qu1DsGJo60cEWGqMiwIJIduTyLf6aBCxaq6YOhMCfdV9dhzUll</t>
  </si>
  <si>
    <t>cs_live_b1IxrCwUlDNrHeviJOGcgcjpwKTvQQ5YMmnvlfpMvDSErj7JZNj08lrUUz</t>
  </si>
  <si>
    <t>cs_live_b16ZJxnvSh1XmeUmdlCSnO9BmEuGHoABwRgqAuUhbDw3tSrxztD4aDlBvi</t>
  </si>
  <si>
    <t>cs_live_b1QWe6XZ2Bba0Vp3hQg8r799ljfLd10Iw4T1qOXqnoTFzLpSNvblpGWYbO</t>
  </si>
  <si>
    <t>cs_live_b1AWkbWlRg04N2xnqbVkMlNkeYXdLjLHO4D39BSaVF931TsbmbfjehDsFn</t>
  </si>
  <si>
    <t>cs_live_b1546wkOR9yMYfxA0N3ebL1NPJOoSwHlPZ4YhRTQRleAivuAyH8v5fOQ3c</t>
  </si>
  <si>
    <t>NIDA IK</t>
  </si>
  <si>
    <t>cs_live_b18045IljYtRAM8PxjHEZov0ZJ78LqUCQVqP6NQGA3bIMdO129BPTvAsVW</t>
  </si>
  <si>
    <t>Heloise Lecocq</t>
  </si>
  <si>
    <t>cs_live_b1rK5IibRABpVtDVzNfqnADO9srqksvQEJkliOA8hLM7560JStAe01exVD</t>
  </si>
  <si>
    <t>cs_live_b1Q0FVT9uqc3NigFvgtrR6N6leZdCD0D7xsDzeDHZe0wMBaJ7uuI3F2Thr</t>
  </si>
  <si>
    <t>cs_live_b12vPiv7HyNnTsrSfrACvHtIdFtLASdyd9UtnBLwFRWGAFs08H6V6ONzo0</t>
  </si>
  <si>
    <t>cs_live_b16tpEnuIF92tICewPajaqzgja5asUX2JwzzFv1mdoTYSoC8IOK5Aoi7gN</t>
  </si>
  <si>
    <t>cs_live_b1HqW7KIGmFYKbAChnliMM2lZLIHbR2TOzCpWLEedwqpTuXYxI4qmHemsd</t>
  </si>
  <si>
    <t>cs_live_b1AYpQCQwbMOYoEQdiHbEcBarFyyOtLhIejT1j4HokNg3GnaaYDZiVDNTI</t>
  </si>
  <si>
    <t>Hussein Ghanem</t>
  </si>
  <si>
    <t>cs_live_b1rNUtFAaxngy9jaldjgGw6uG5Q4vQyCYzaIlJXKzZbxjvBvBbgZFdax5Z</t>
  </si>
  <si>
    <t>Nicolas Ayoub</t>
  </si>
  <si>
    <t>cs_live_b1oHmqZKy7qIenryYWeHzRlYkdGrAJVzVb08uh1bdLk2eOVjPtpmEfPQNu</t>
  </si>
  <si>
    <t>Salma Rachidi</t>
  </si>
  <si>
    <t>cs_live_b1xdu8pAqGFeFSn3LikL1UWWMGaJT1eiSS2VcMsobCXKzp808j3mhpt9UZ</t>
  </si>
  <si>
    <t>Noura Poort</t>
  </si>
  <si>
    <t>cs_live_b1LrsCpBYcZ8SYwG1vIg8Ot7xx38FExpEKr1kRIuFcSyTK2jty92jQIWXv</t>
  </si>
  <si>
    <t>cs_live_b1tDr94xRnfWLA7IXJFoAOBGm3M7OEfcx0keBUE3xGScuK8BER8nRGnQB3</t>
  </si>
  <si>
    <t>cs_live_b1Vl8X3QTyxc7nExYRECzDcOpsYp5J3VLaUAymgM5Uv3H3hseOYoNIBAJC</t>
  </si>
  <si>
    <t>cs_live_b1sGPaVicslACJZuCLwVmBAlaRqPUQ13ojWJ2txAavY8DgjQ6FNTHBPv0i</t>
  </si>
  <si>
    <t>Gülşah Gürsoy</t>
  </si>
  <si>
    <t>cs_live_b1ciYUkdsULooYSmcgrvS6NsJcMZYeiDVRDLqe10iuHg3qVMXbfNIMlWTi</t>
  </si>
  <si>
    <t>cs_live_b1Y0SjQ21UNeYmJUWiyujml3fLdyYi0Lsynm878mK15M5Tkjyz8WJpWkbK</t>
  </si>
  <si>
    <t>cs_live_b1WL9D4UkNoHmFCUyFj5fRlojT3MCeeRFQXL7qMADaXNx5kBlhjZ0H32OY</t>
  </si>
  <si>
    <t>cs_live_b1sbOYvIGVrpKafkaRJ1xeFnA2IwVpshb5F2KkI4a8CLrEy7ozMBRBI5Es</t>
  </si>
  <si>
    <t>cs_live_b1mD0j6idW63Ompv3bGFVLeN3xMG4cop6pTSKzFiAGUhVwXJGWsMg6OiS5</t>
  </si>
  <si>
    <t>cs_live_b1ot5U9WZsL5aRvzUgVGNluI08j3Q2WDb7WlRuiAAaUk7grCIdrygtYpDC</t>
  </si>
  <si>
    <t>cs_live_b1ILVLKg6E0JNCdkZP5pSWcygSWBGVM9ZSLmjZLEKhZghCtCGeACvkQTxd</t>
  </si>
  <si>
    <t>cs_live_b16F3DKdyZU6qaBzTNltS0FHmO3PM9gZYZ4kulQtqP5sVnmwZnrA8WnHEc</t>
  </si>
  <si>
    <t>cs_live_b1dpMoeZ2g5fw8eXkSVTTNqi7WVgidfOq9HeOmknpeJevil2gDA5sSvFYm</t>
  </si>
  <si>
    <t>Shannon Hibbard</t>
  </si>
  <si>
    <t>cs_live_b18NPGZgYSIDwPSomZqnc7T0izGiS2oeE5mbcNmdOi52UQdKqoCZEcMfgT</t>
  </si>
  <si>
    <t>cs_live_b10rdI0nexQPwRwcjyIHNbEeceq7mkiXWUmQspIWHrwi3N2evIJYnOnmbq</t>
  </si>
  <si>
    <t>cs_live_b14o2VI5dUp6nDSZh6In0jnM2aIoPgGsE3UbvcU6MDtiEfMfnvZIeXxDO0</t>
  </si>
  <si>
    <t>omar itani</t>
  </si>
  <si>
    <t>cs_live_b1Bt4V8Xe4QbfwIpEyKMv0mvWg5wLO3DesBltWK7f9KRvgpqFJGcMNhNFO</t>
  </si>
  <si>
    <t>cs_live_b1Dpc4wD1zn2U2uGVcSxMbOI3jU57qrI0HkE4uYeHoDWyv3xVjvY8kVzZI</t>
  </si>
  <si>
    <t>Mason Cheikh</t>
  </si>
  <si>
    <t>cs_live_b1MOX1eOwQ41FK9mS8Y9DEgEKi7mSJghW3AbW7jgOftx5OQXo3sguvQEEn</t>
  </si>
  <si>
    <t>Raneem Safieddine</t>
  </si>
  <si>
    <t>cs_live_b1J3HjXTBUiqz0KH62WxlTg3nCvPMpcGvBnp1CX4zfvMvxgzV2yXXLS8xJ</t>
  </si>
  <si>
    <t>cs_live_b1AglP5w4nZ8cgDbkm6pQa0fsM8lXAILJNiEcMVJCYHyLm6fnTubeqyeKK</t>
  </si>
  <si>
    <t>cs_live_b1evjEGL2jKOj61uDweOLzL0PQnZUF26dxAmpTskrokVXFIli9gr3Z98aw</t>
  </si>
  <si>
    <t>cs_live_b1bfThnRt3H4xlXSlb7iQhFtymUuOHQapEkVFe3t2oFDsiVfLxArU0tFaM</t>
  </si>
  <si>
    <t>Tatiana Moufarrige</t>
  </si>
  <si>
    <t>cs_live_a10JHAzaiCRIGrFfLgub1WgsNHnZ1fCfpA3EgU62csCUzaqlyFN09y0fyI</t>
  </si>
  <si>
    <t>cs_live_b1JpwmfVLOdPkvjo66YkBHbR21Bye0NSe3ARQXxaSCUEd12ODlpxLTvedb</t>
  </si>
  <si>
    <t>Ali Hassan</t>
  </si>
  <si>
    <t>cs_live_a1EnH8xwcZsQbl5um9EWu4Z736s7StHkplDaALFIaUsleVwezC7GhGWld2</t>
  </si>
  <si>
    <t>cs_live_b1glotMSD3fImw41EHf429sE8vwovCvaDqIAy9C5r0lZ4bkl4tk70YCQya</t>
  </si>
  <si>
    <t>Jamal Abdulrahim</t>
  </si>
  <si>
    <t>cs_live_a11Nh2swZsEHwF2PhMEvJchofeBIlH6G2NfpaQT37aFmJlAgGWe8ebRdoe</t>
  </si>
  <si>
    <t>cs_live_b19DTkgpnMPKTOZSmURLrwN4Bgi10s6K96Ak5TWj2OWugtCIiDV43SCTPH</t>
  </si>
  <si>
    <t>cs_live_b1vdJ2z42PatSNRD4QfDjdHHqH3fbZ2ajRdRSYDfrRGIcwahagYMLWTXxm</t>
  </si>
  <si>
    <t>cs_live_b1F7wOWtCt05xXNiLAt64zzw5wGYZkrASVbIWnB5u1pdpXY5V2s7l8B4wF</t>
  </si>
  <si>
    <t>cs_live_b1dzD0fqrLBT0SWuxDme1QXsVNHada2xqKaAUkVbQTK093W1strSRQnF7y</t>
  </si>
  <si>
    <t>cs_live_b1OvWNGyNU2XWUo33urFjNzk58OCQzhZwzrDvDYVCofLEHrEo71EhzfeMo</t>
  </si>
  <si>
    <t>Marc Mola</t>
  </si>
  <si>
    <t>cs_live_b1Sc4nqm2kX1hjyDYv7L9xIpuws6iHfy733yLDqhaU3e1b9R6JQDaT3GqV</t>
  </si>
  <si>
    <t>cs_live_b1InN2sP1WWVtYeD0tuVhRqOAAwjFzMIkUKpSfchENS1AR3XaqQ7nQ8R1P</t>
  </si>
  <si>
    <t>cs_live_b1accuXw8nUooktjsvVClmwu474uzkc1nJpPS3ELzf8E9N3UgNhGelasaF</t>
  </si>
  <si>
    <t>cs_live_b1cJi2wolb381RLiBDjguvQnJGhR2Ja6Mvp8HYA2eFBFqG4yHQQttOdiKX</t>
  </si>
  <si>
    <t>Georgia Saad</t>
  </si>
  <si>
    <t>cs_live_b1vA7naR571xOF384LunGoXOtfKGZzeYu0sdXDtfikhI3E3xk5hTvAEc4l</t>
  </si>
  <si>
    <t>Zia Atenzia</t>
  </si>
  <si>
    <t>cs_live_a1ZLEmslyzKeIYLchfPMTZKpEC7ssix75jJDDPVlBYlX6gx0Kjefhi1l2j</t>
  </si>
  <si>
    <t>cs_live_b1UCA6CiqSO2BSzGW6cbWTEz2H9my0IdFrokfGQNV35XHx3tbiCuzqyJc6</t>
  </si>
  <si>
    <t>cs_live_b1x9dT0JMFlS2c6Ee0sJN5ISOGgM9C5I65hFkcUA9hvbiQ0b1nXal6b5rH</t>
  </si>
  <si>
    <t>Hana Boushey</t>
  </si>
  <si>
    <t>cs_live_b1gFIewR4qrSCPwjBezEsr0mdtA8leteE7l5LFtHGKjKILXG4hLtbd9YLG</t>
  </si>
  <si>
    <t>Caterina Vitali</t>
  </si>
  <si>
    <t>cs_live_b1Oa61YajLo9XHimaXUzFy1IY9Kr5ynoTReRyGmw0BJn4zGDYsrZIMG7AJ</t>
  </si>
  <si>
    <t>cs_live_b1MliZEviLOOKPu051B3Cv440OzXJZXgsoaKNu4pwtUAaWsK3zm16He2vE</t>
  </si>
  <si>
    <t>cs_live_b1RlGcxkpMWeKFLgGAUscj9HNY0p1892mxIi34b8JwqA1qdbTIL0Mqeb4Q</t>
  </si>
  <si>
    <t>Jacob Lehma</t>
  </si>
  <si>
    <t>cs_live_b1ZItSvrXwm7kZXRtpBIFo3cWyLafybvbqtBQRSM05C4zLVwORe8kBfr4G</t>
  </si>
  <si>
    <t>Kassandra Khouri</t>
  </si>
  <si>
    <t>cs_live_a1pbPHE7XoXvLfM8QH5E7kdRiD0pqlRWweZ8oj2dnQaGNt732WAYfpHJgi</t>
  </si>
  <si>
    <t>Laura Khalil</t>
  </si>
  <si>
    <t>cs_live_b1qTvKBRkJcHaBqOYf3wfJiKfN9LXrKfMbLN6uWmizfK73S9zK74aaATwl</t>
  </si>
  <si>
    <t>Elena F</t>
  </si>
  <si>
    <t>cs_live_b1uC5B9RmMrwhm4SHDdJFajNrMXm8h0vfUk58hlY1F16V3ig76oPjoZb8v</t>
  </si>
  <si>
    <t>cs_live_b1paaxJta17400LrIB3gqgoOefKwL7pqrJYTkzR2qNRamDYxCchIc48A9S</t>
  </si>
  <si>
    <t>Mark Becker</t>
  </si>
  <si>
    <t>cs_live_b1zwrXfCLj4gjM93E6p7yaQrnX8oLCJE9VZbYPlYRZscBaeic7bb6o8BZM</t>
  </si>
  <si>
    <t>Tony Gualtieri</t>
  </si>
  <si>
    <t>cs_live_b1Knd1gZ9Y4zmILMxIK2YXra0GRsVjLvusZTUdtoEAMTa3qlYgNR6gC45k</t>
  </si>
  <si>
    <t>cs_live_b1p2lf7SFZyyzeAgsrezJCo3nAlx7yg8wZMi1Vl2fSXGgCMB0GvnW5hoXP</t>
  </si>
  <si>
    <t>Miriam El Hilany-Thies</t>
  </si>
  <si>
    <t>cs_live_b1GDA1pLkWXNVpNfIGujWTO1g2p4G20m2IhTZNsvJZZdp5oIBmLANcdzLA</t>
  </si>
  <si>
    <t>cs_live_b1Eq6DxUNQY9bpy2nVoqSVgsCQVGcq4UI2oN3RHZ7dDxXOO501gO9Y8Dpn</t>
  </si>
  <si>
    <t>cs_live_b19eaaBGMNAsVuU3KeenLShFeAE8cVyzMh2W0vDcpth7Aho6zn59FppAlf</t>
  </si>
  <si>
    <t>Melikie Joseph</t>
  </si>
  <si>
    <t>cs_live_b1zEuUAQIosyvgqhprmik64qx4xYMkdSnETHi4C9gTMoCm4CLd0u0IUD9u</t>
  </si>
  <si>
    <t>cs_live_b1v2v5gUAyvMF9MEUDNMsdMWT9uXFl10jx2RYwtXMsx1nGnIa46YqtNQZS</t>
  </si>
  <si>
    <t>cs_live_b1AUJJuP5keWOOl67Xy0rTwz8DzTk51otZvQXa4hVqzgkcTgHCNFQ1FBMZ</t>
  </si>
  <si>
    <t>cs_live_b16Sp8XY3RU4QyN5RKbPCYZaN4eUgGCgRqJf90wSfOhYu2w4AXWu5MCFXe</t>
  </si>
  <si>
    <t>cs_live_b11jnVB5wS3FlMTIUJu2NzxhqZmOulEcOrUaM8YPoACgTI97dbyBnS1LaC</t>
  </si>
  <si>
    <t>cs_live_b15noQtdvsvaUrANDXFbpWbPRQdR1TdMLGqpSXX56Bhhle8NuFuXkgfjlk</t>
  </si>
  <si>
    <t>cs_live_b1Gx4MvHPh9jYCaXSqEuJHZ33MROzjHvXJlnUoaDLPhlI5bItqnpvQei3b</t>
  </si>
  <si>
    <t>SUM of USD amount</t>
  </si>
  <si>
    <t>SUM of Amount of lessons</t>
  </si>
  <si>
    <t>MAX of Date</t>
  </si>
  <si>
    <t>Calculated Field 1</t>
  </si>
  <si>
    <t>Grand Total</t>
  </si>
  <si>
    <t>Date - Year-Month</t>
  </si>
  <si>
    <t>SUM of Total Minutes</t>
  </si>
  <si>
    <t>2022-Jun Total</t>
  </si>
  <si>
    <t>2022-Jul Total</t>
  </si>
  <si>
    <t>2022-Aug Total</t>
  </si>
  <si>
    <t>2022-Sep Total</t>
  </si>
  <si>
    <t>2022-Oct Total</t>
  </si>
  <si>
    <t>2022-Nov Total</t>
  </si>
  <si>
    <t>2022-Dec</t>
  </si>
  <si>
    <t>Conversational Total</t>
  </si>
  <si>
    <t>Group Total</t>
  </si>
  <si>
    <t>Prepared Total</t>
  </si>
  <si>
    <t>2022-Dec Total</t>
  </si>
  <si>
    <t>2023-Jan</t>
  </si>
  <si>
    <t>2023-Jan Total</t>
  </si>
  <si>
    <t>2023-Feb</t>
  </si>
  <si>
    <t>2023-Feb Total</t>
  </si>
  <si>
    <t>2023-Mar</t>
  </si>
  <si>
    <t>2023-Mar Total</t>
  </si>
  <si>
    <t>2023-Apr</t>
  </si>
  <si>
    <t>2023-Apr Total</t>
  </si>
  <si>
    <t>2023-May</t>
  </si>
  <si>
    <t>2023-May Total</t>
  </si>
  <si>
    <t>2023-Jun</t>
  </si>
  <si>
    <t>2023-Jun Total</t>
  </si>
  <si>
    <t>2023-Jul</t>
  </si>
  <si>
    <t>2023-Jul Total</t>
  </si>
  <si>
    <t>2023-Aug</t>
  </si>
  <si>
    <t>2023-Aug Total</t>
  </si>
  <si>
    <t>2023-Sep Total</t>
  </si>
  <si>
    <t>2023-Oct Total</t>
  </si>
  <si>
    <t>2023-Nov</t>
  </si>
  <si>
    <t>2023-Nov Total</t>
  </si>
  <si>
    <t>2023-Dec Total</t>
  </si>
  <si>
    <t>2024-Jan Total</t>
  </si>
  <si>
    <t>2024-Feb Total</t>
  </si>
  <si>
    <t>2024-Mar Total</t>
  </si>
  <si>
    <t>2024-Apr Total</t>
  </si>
  <si>
    <t>2024-May Total</t>
  </si>
  <si>
    <t>2024-Jun Total</t>
  </si>
  <si>
    <t>2024-Jul Total</t>
  </si>
  <si>
    <t>2024-Aug Total</t>
  </si>
  <si>
    <t>2024-Sep Total</t>
  </si>
  <si>
    <t>2024-Oct Total</t>
  </si>
  <si>
    <t>2024-Nov Total</t>
  </si>
  <si>
    <t>2024-Dec Total</t>
  </si>
  <si>
    <t>2025-Jan Total</t>
  </si>
  <si>
    <t>2025-Feb Total</t>
  </si>
  <si>
    <t>2025-Mar Total</t>
  </si>
  <si>
    <t>2025-Apr Total</t>
  </si>
  <si>
    <t>2025-May Total</t>
  </si>
  <si>
    <t>2025-Jun Total</t>
  </si>
  <si>
    <t>2025-Jul Total</t>
  </si>
  <si>
    <t>2025-Aug Total</t>
  </si>
  <si>
    <t>2025-Sep Total</t>
  </si>
  <si>
    <t>2025-Oct Total</t>
  </si>
  <si>
    <t>2025-Nov Total</t>
  </si>
  <si>
    <t>2025-Dec Total</t>
  </si>
  <si>
    <t xml:space="preserve"> Total</t>
  </si>
  <si>
    <t>Payment Date</t>
  </si>
  <si>
    <t>Payment Amount</t>
  </si>
  <si>
    <t>Receiver</t>
  </si>
  <si>
    <t>Reason</t>
  </si>
  <si>
    <t>Facebook</t>
  </si>
  <si>
    <t>Ads</t>
  </si>
  <si>
    <t>Rapidgator</t>
  </si>
  <si>
    <t>Subscription</t>
  </si>
  <si>
    <t>Shopify</t>
  </si>
  <si>
    <t>Saleshandy</t>
  </si>
  <si>
    <t>SGBL</t>
  </si>
  <si>
    <t>World Debit Card</t>
  </si>
  <si>
    <t>Bank</t>
  </si>
  <si>
    <t>Transfer fee</t>
  </si>
  <si>
    <t>NitroPack</t>
  </si>
  <si>
    <t>Payoneer</t>
  </si>
  <si>
    <t>Bluehost</t>
  </si>
  <si>
    <t>Website</t>
  </si>
  <si>
    <t>Lesson</t>
  </si>
  <si>
    <t>Nitropack</t>
  </si>
  <si>
    <t xml:space="preserve">Saleshandy </t>
  </si>
  <si>
    <t>Zoom</t>
  </si>
  <si>
    <t>Exchange</t>
  </si>
  <si>
    <t>ChatGPT</t>
  </si>
  <si>
    <t>39..84</t>
  </si>
  <si>
    <t>Howuku</t>
  </si>
  <si>
    <t>Cloudflare</t>
  </si>
  <si>
    <t>Cockatoo</t>
  </si>
  <si>
    <t>WesternUnion</t>
  </si>
  <si>
    <t>Teachers 4G</t>
  </si>
  <si>
    <t>Resources</t>
  </si>
  <si>
    <t>Team Dinner</t>
  </si>
  <si>
    <t>Other</t>
  </si>
  <si>
    <t>Eedama</t>
  </si>
  <si>
    <t>UPS</t>
  </si>
  <si>
    <t>Whish</t>
  </si>
  <si>
    <t>Zapier</t>
  </si>
  <si>
    <t>Google Gsuite</t>
  </si>
  <si>
    <t>Account Fees</t>
  </si>
  <si>
    <t>Google Ads</t>
  </si>
  <si>
    <t>Clickio</t>
  </si>
  <si>
    <t>Jotform</t>
  </si>
  <si>
    <t>Domain Privacy</t>
  </si>
  <si>
    <t>AB Split</t>
  </si>
  <si>
    <t>Vimeo</t>
  </si>
  <si>
    <t>Payment Date - Year-Month</t>
  </si>
  <si>
    <t>SUM of Payment Amount</t>
  </si>
  <si>
    <t>Account Fees Total</t>
  </si>
  <si>
    <t>Ads Total</t>
  </si>
  <si>
    <t>Domain Privacy Total</t>
  </si>
  <si>
    <t>Exchange Total</t>
  </si>
  <si>
    <t>Lesson Total</t>
  </si>
  <si>
    <t>Other Total</t>
  </si>
  <si>
    <t>Resources Total</t>
  </si>
  <si>
    <t>2022-Jul</t>
  </si>
  <si>
    <t>2022-Aug</t>
  </si>
  <si>
    <t>2022-Sep</t>
  </si>
  <si>
    <t>2022-Oct</t>
  </si>
  <si>
    <t>2022-Nov</t>
  </si>
  <si>
    <t>2023-Sep</t>
  </si>
  <si>
    <t>2023-Oct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</si>
  <si>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</si>
  <si>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</si>
  <si>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</si>
  <si>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</si>
  <si>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</si>
  <si>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</si>
  <si>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</si>
  <si>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</si>
  <si>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</si>
  <si>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</si>
  <si>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</si>
  <si>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</si>
  <si>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</si>
  <si>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</si>
  <si>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</si>
  <si>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</si>
  <si>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</si>
  <si>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</si>
  <si>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</si>
  <si>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</si>
  <si>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</si>
  <si>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</si>
  <si>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</si>
  <si>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</si>
  <si>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</si>
  <si>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2026-Jan</t>
  </si>
  <si>
    <t>Subscription Total</t>
  </si>
  <si>
    <t>Transfer fee Total</t>
  </si>
  <si>
    <t>Website Total</t>
  </si>
  <si>
    <t>World Debit Card Total</t>
  </si>
  <si>
    <t>Marketplace</t>
  </si>
  <si>
    <t>Payout Amount</t>
  </si>
  <si>
    <t>USD Amount</t>
  </si>
  <si>
    <t>Amazon.com.au</t>
  </si>
  <si>
    <t>CreateSpace UK</t>
  </si>
  <si>
    <t>Amazon.it</t>
  </si>
  <si>
    <t>Amazon.co.uk</t>
  </si>
  <si>
    <t>CreateSpace US</t>
  </si>
  <si>
    <t>CreateSpace DE</t>
  </si>
  <si>
    <t>Amazon.ca</t>
  </si>
  <si>
    <t>Amazon.es</t>
  </si>
  <si>
    <t>Amazon.com</t>
  </si>
  <si>
    <t>Amazon.de</t>
  </si>
  <si>
    <t>Amazon.fr</t>
  </si>
  <si>
    <t>Amazon.com.br</t>
  </si>
  <si>
    <t>Amazon.co.jp</t>
  </si>
  <si>
    <t>Amazon.in</t>
  </si>
  <si>
    <t>Amazon.nl</t>
  </si>
  <si>
    <t>Amazon.com.mx</t>
  </si>
  <si>
    <t>Amazon.se</t>
  </si>
  <si>
    <t>Amazon.pl</t>
  </si>
  <si>
    <t>2025-09-29</t>
  </si>
  <si>
    <t>2025-10-29</t>
  </si>
  <si>
    <t>Date - Year</t>
  </si>
  <si>
    <t>SUM of Payout Amount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</si>
  <si>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</si>
  <si>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</si>
  <si>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</si>
  <si>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</si>
  <si>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</si>
  <si>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</si>
  <si>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</si>
  <si>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</si>
  <si>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</si>
  <si>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Hours</t>
  </si>
  <si>
    <t>Contract hours</t>
  </si>
  <si>
    <t>Payout Date</t>
  </si>
  <si>
    <t>Hiba</t>
  </si>
  <si>
    <t>Lynn</t>
  </si>
  <si>
    <t>Mireille</t>
  </si>
  <si>
    <t>Mohamed</t>
  </si>
  <si>
    <t>Adon</t>
  </si>
  <si>
    <t>Fatima</t>
  </si>
  <si>
    <t>Ella</t>
  </si>
  <si>
    <t>Ghina</t>
  </si>
  <si>
    <t>Maria</t>
  </si>
  <si>
    <t>Total</t>
  </si>
  <si>
    <t>Rate</t>
  </si>
  <si>
    <t>Utilization %</t>
  </si>
  <si>
    <t>Taught Lessons Link</t>
  </si>
  <si>
    <t>https://docs.google.com/spreadsheets/d/1IfFm3yuRKQRrZtwuRxmqV1rnTUYvaEWEhGIuLQG1hJM/edit?usp=sharing</t>
  </si>
  <si>
    <t>Totals</t>
  </si>
  <si>
    <t>Naim</t>
  </si>
  <si>
    <t>Christelle</t>
  </si>
  <si>
    <t>Natalee</t>
  </si>
  <si>
    <t>Staff</t>
  </si>
  <si>
    <t>Remaining</t>
  </si>
  <si>
    <t>Total Instructors Payments Owed</t>
  </si>
  <si>
    <t>Total Owed (Cost of Instructor- Salary payments done)</t>
  </si>
  <si>
    <t>Staff Safety Chest</t>
  </si>
  <si>
    <t>*She owed us 40 but I'm writing them off</t>
  </si>
  <si>
    <t>Note</t>
  </si>
  <si>
    <t>Distributed</t>
  </si>
  <si>
    <t>Savings</t>
  </si>
  <si>
    <t>*Actually paid in September 3rd 2024, Changed to May for practical reasons</t>
  </si>
  <si>
    <t>*Actually paid in September 24th 2024, Changed to May for practical reasons</t>
  </si>
  <si>
    <t>To cover first trimester losses and retro hiba maternal leave</t>
  </si>
  <si>
    <t>To cover second trimester losses from Maria's leave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</si>
</sst>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.00"/>
    <numFmt numFmtId="165" formatCode="0.000000"/>
    <numFmt numFmtId="166" formatCode="yyyy-mm-dd h:mm:ss"/>
    <numFmt numFmtId="167" formatCode="m/d/yyyy h:mm:ss"/>
    <numFmt numFmtId="168" formatCode="mm/dd/yyyy"/>
    <numFmt numFmtId="169" formatCode="m/d/yyyy"/>
    <numFmt numFmtId="170" formatCode="M/d/yyyy"/>
    <numFmt numFmtId="171" formatCode="0.0"/>
    <numFmt numFmtId="172" formatCode="m/d/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color theme="1"/>
      <name val="Arial"/>
    </font>
    <font>
      <u/>
      <color rgb="FF0000FF"/>
    </font>
    <font>
      <u/>
      <color rgb="FF0000FF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C0C0C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0" fontId="2" numFmtId="0" xfId="0" applyFont="1"/>
    <xf borderId="0" fillId="0" fontId="1" numFmtId="166" xfId="0" applyAlignment="1" applyFont="1" applyNumberFormat="1">
      <alignment readingOrder="0" vertical="bottom"/>
    </xf>
    <xf borderId="0" fillId="0" fontId="2" numFmtId="2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shrinkToFit="0" vertical="bottom" wrapText="0"/>
    </xf>
    <xf borderId="0" fillId="0" fontId="2" numFmtId="1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1" numFmtId="168" xfId="0" applyAlignment="1" applyFont="1" applyNumberFormat="1">
      <alignment horizontal="right" readingOrder="0" vertical="bottom"/>
    </xf>
    <xf borderId="1" fillId="0" fontId="5" numFmtId="0" xfId="0" applyAlignment="1" applyBorder="1" applyFont="1">
      <alignment shrinkToFit="0" vertical="bottom" wrapText="0"/>
    </xf>
    <xf borderId="1" fillId="0" fontId="5" numFmtId="170" xfId="0" applyAlignment="1" applyBorder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2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70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7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170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vertical="bottom"/>
    </xf>
    <xf borderId="0" fillId="0" fontId="2" numFmtId="170" xfId="0" applyFont="1" applyNumberFormat="1"/>
    <xf borderId="0" fillId="0" fontId="1" numFmtId="0" xfId="0" applyAlignment="1" applyFont="1">
      <alignment horizontal="center" readingOrder="0" vertical="bottom"/>
    </xf>
    <xf borderId="0" fillId="0" fontId="1" numFmtId="170" xfId="0" applyAlignment="1" applyFont="1" applyNumberForma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171" xfId="0" applyFont="1" applyNumberFormat="1"/>
    <xf borderId="0" fillId="2" fontId="8" numFmtId="0" xfId="0" applyAlignment="1" applyFill="1" applyFont="1">
      <alignment readingOrder="0"/>
    </xf>
    <xf borderId="0" fillId="0" fontId="2" numFmtId="172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4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91" sheet="Sales"/>
  </cacheSource>
  <cacheFields>
    <cacheField name="Date" numFmtId="166">
      <sharedItems containsDate="1" containsString="0" containsBlank="1">
        <d v="2022-06-20T00:00:00Z"/>
        <d v="2022-06-23T00:00:00Z"/>
        <d v="2022-06-24T00:00:00Z"/>
        <d v="2022-07-01T00:00:00Z"/>
        <d v="2022-07-05T00:00:00Z"/>
        <d v="2022-07-07T00:00:00Z"/>
        <d v="2022-07-11T00:00:00Z"/>
        <d v="2022-07-18T00:00:00Z"/>
        <d v="2022-07-21T00:00:00Z"/>
        <d v="2022-07-24T00:00:00Z"/>
        <d v="2022-07-25T00:00:00Z"/>
        <d v="2022-07-28T00:00:00Z"/>
        <d v="2022-08-01T00:00:00Z"/>
        <d v="2022-08-03T00:00:00Z"/>
        <d v="2022-08-08T00:00:00Z"/>
        <d v="2022-08-11T00:00:00Z"/>
        <d v="2022-08-12T00:00:00Z"/>
        <d v="2022-08-13T00:00:00Z"/>
        <d v="2022-08-14T00:00:00Z"/>
        <d v="2022-08-15T00:00:00Z"/>
        <d v="2022-09-06T00:00:00Z"/>
        <d v="2022-09-08T00:00:00Z"/>
        <d v="2022-09-09T00:00:00Z"/>
        <d v="2022-09-11T00:00:00Z"/>
        <d v="2022-09-12T00:00:00Z"/>
        <d v="2022-09-17T00:00:00Z"/>
        <d v="2022-09-18T00:00:00Z"/>
        <d v="2022-09-19T00:00:00Z"/>
        <d v="2022-09-25T00:00:00Z"/>
        <d v="2022-10-03T00:00:00Z"/>
        <d v="2022-10-04T00:00:00Z"/>
        <d v="2022-10-06T00:00:00Z"/>
        <d v="2022-10-11T00:00:00Z"/>
        <d v="2022-10-15T00:00:00Z"/>
        <d v="2022-10-19T00:00:00Z"/>
        <d v="2022-10-21T00:00:00Z"/>
        <d v="2022-10-28T00:00:00Z"/>
        <d v="2022-11-03T00:00:00Z"/>
        <d v="2022-11-14T00:00:00Z"/>
        <d v="2022-11-15T00:00:00Z"/>
        <d v="2022-11-17T00:00:00Z"/>
        <d v="2022-11-25T00:00:00Z"/>
        <d v="2022-12-01T00:00:00Z"/>
        <d v="2022-12-02T00:00:00Z"/>
        <d v="2022-12-05T00:00:00Z"/>
        <d v="2022-12-11T00:00:00Z"/>
        <d v="2022-12-12T00:00:00Z"/>
        <d v="2022-12-17T00:00:00Z"/>
        <d v="2022-12-24T00:00:00Z"/>
        <d v="2022-12-27T00:00:00Z"/>
        <d v="2022-12-28T00:00:00Z"/>
        <d v="2023-01-02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2T00:00:00Z"/>
        <d v="2023-01-13T00:00:00Z"/>
        <d v="2023-01-14T00:00:00Z"/>
        <d v="2023-01-16T00:00:00Z"/>
        <d v="2023-01-17T00:00:00Z"/>
        <d v="2023-01-18T00:00:00Z"/>
        <d v="2023-01-19T00:00:00Z"/>
        <d v="2023-01-20T00:00:00Z"/>
        <d v="2023-01-21T00:00:00Z"/>
        <d v="2023-01-23T00:00:00Z"/>
        <d v="2023-01-25T00:00:00Z"/>
        <d v="2023-01-28T00:00:00Z"/>
        <d v="2023-01-29T00:00:00Z"/>
        <d v="2023-01-30T00:00:00Z"/>
        <d v="2023-02-01T00:00:00Z"/>
        <d v="2023-02-02T00:00:00Z"/>
        <d v="2023-02-03T00:00:00Z"/>
        <d v="2023-02-05T00:00:00Z"/>
        <d v="2023-02-06T00:00:00Z"/>
        <d v="2023-02-08T00:00:00Z"/>
        <d v="2023-02-09T00:00:00Z"/>
        <d v="2023-02-12T00:00:00Z"/>
        <d v="2023-02-14T00:00:00Z"/>
        <d v="2023-02-15T00:00:00Z"/>
        <d v="2023-02-16T00:00:00Z"/>
        <d v="2023-02-19T00:00:00Z"/>
        <d v="2023-02-20T00:00:00Z"/>
        <d v="2023-02-21T00:00:00Z"/>
        <d v="2023-02-23T00:00:00Z"/>
        <d v="2023-02-24T00:00:00Z"/>
        <d v="2023-02-27T00:00:00Z"/>
        <d v="2023-02-28T00:00:00Z"/>
        <d v="2023-03-01T00:00:00Z"/>
        <d v="2023-03-05T00:00:00Z"/>
        <d v="2023-03-06T00:00:00Z"/>
        <d v="2023-03-08T00:00:00Z"/>
        <d v="2023-03-13T00:00:00Z"/>
        <d v="2023-03-14T00:00:00Z"/>
        <d v="2023-03-16T00:00:00Z"/>
        <d v="2023-03-21T00:00:00Z"/>
        <d v="2023-03-22T00:00:00Z"/>
        <d v="2023-03-23T00:00:00Z"/>
        <d v="2023-03-24T00:00:00Z"/>
        <d v="2023-03-26T00:00:00Z"/>
        <d v="2023-03-30T00:00:00Z"/>
        <d v="2023-03-31T00:00:00Z"/>
        <d v="2023-04-08T00:00:00Z"/>
        <d v="2023-04-10T00:00:00Z"/>
        <d v="2023-04-14T00:00:00Z"/>
        <d v="2023-04-15T00:00:00Z"/>
        <d v="2023-04-16T00:00:00Z"/>
        <d v="2023-04-19T00:00:00Z"/>
        <d v="2023-04-20T00:00:00Z"/>
        <d v="2023-04-21T00:00:00Z"/>
        <d v="2023-04-23T00:00:00Z"/>
        <d v="2023-04-25T00:00:00Z"/>
        <d v="2023-04-26T00:00:00Z"/>
        <d v="2023-04-27T00:00:00Z"/>
        <d v="2023-04-28T00:00:00Z"/>
        <d v="2023-05-02T00:00:00Z"/>
        <d v="2023-05-05T00:00:00Z"/>
        <d v="2023-05-09T00:00:00Z"/>
        <d v="2023-05-13T00:00:00Z"/>
        <d v="2023-05-14T00:00:00Z"/>
        <d v="2023-05-15T00:00:00Z"/>
        <d v="2023-05-21T00:00:00Z"/>
        <d v="2023-05-25T00:00:00Z"/>
        <d v="2023-05-29T00:00:00Z"/>
        <d v="2023-05-30T00:00:00Z"/>
        <d v="2023-05-31T00:00:00Z"/>
        <d v="2023-06-07T00:00:00Z"/>
        <d v="2023-06-08T00:00:00Z"/>
        <d v="2023-06-12T00:00:00Z"/>
        <d v="2023-06-13T00:00:00Z"/>
        <d v="2023-06-26T00:00:00Z"/>
        <d v="2023-06-28T00:00:00Z"/>
        <d v="2023-07-03T11:58:00Z"/>
        <d v="2023-07-07T22:12:00Z"/>
        <d v="2023-07-10T20:47:00Z"/>
        <d v="2023-07-10T23:20:00Z"/>
        <d v="2023-07-13T12:14:00Z"/>
        <d v="2023-07-14T08:00:00Z"/>
        <d v="2023-07-14T23:54:00Z"/>
        <d v="2023-07-16T00:00:00Z"/>
        <d v="2023-07-16T22:08:00Z"/>
        <d v="2023-07-17T02:40:00Z"/>
        <d v="2023-07-17T03:11:00Z"/>
        <d v="2023-07-18T00:00:00Z"/>
        <d v="2023-07-22T17:18:00Z"/>
        <d v="2023-07-23T00:00:00Z"/>
        <d v="2023-07-24T14:36:00Z"/>
        <d v="2023-07-24T18:56:00Z"/>
        <d v="2023-07-26T00:00:00Z"/>
        <d v="2023-07-28T09:54:00Z"/>
        <d v="2023-07-29T13:20:00Z"/>
        <d v="2023-08-01T00:00:00Z"/>
        <d v="2023-08-01T05:06:00Z"/>
        <d v="2023-08-02T03:32:00Z"/>
        <d v="2023-08-05T16:05:00Z"/>
        <d v="2023-08-05T18:04:00Z"/>
        <d v="2023-08-07T11:13:00Z"/>
        <d v="2023-08-07T18:40:00Z"/>
        <d v="2023-08-07T21:04:00Z"/>
        <d v="2023-08-07T21:35:00Z"/>
        <d v="2023-08-08T11:07:00Z"/>
        <d v="2023-08-09T20:02:00Z"/>
        <d v="2023-08-10T00:00:00Z"/>
        <d v="2023-08-10T13:44:00Z"/>
        <d v="2023-08-12T14:54:00Z"/>
        <d v="2023-08-15T18:20:00Z"/>
        <d v="2023-08-16T12:13:00Z"/>
        <d v="2023-08-18T20:02:00Z"/>
        <d v="2023-08-22T02:51:00Z"/>
        <d v="2023-08-22T19:47:00Z"/>
        <d v="2023-08-24T19:02:00Z"/>
        <d v="2023-08-27T14:51:00Z"/>
        <d v="2023-08-27T21:02:00Z"/>
        <d v="2023-08-27T22:23:00Z"/>
        <d v="2023-08-30T04:09:00Z"/>
        <d v="2023-09-04T17:43:00Z"/>
        <d v="2023-09-05T11:52:00Z"/>
        <d v="2023-09-06T00:08:00Z"/>
        <d v="2023-09-06T19:05:00Z"/>
        <d v="2023-09-10T00:00:00Z"/>
        <d v="2023-09-12T00:00:00Z"/>
        <d v="2023-09-13T00:00:00Z"/>
        <d v="2023-09-14T00:00:00Z"/>
        <d v="2023-09-15T00:00:00Z"/>
        <d v="2023-09-17T00:00:00Z"/>
        <d v="2023-09-19T00:00:00Z"/>
        <d v="2023-09-20T00:00:00Z"/>
        <d v="2023-09-21T00:00:00Z"/>
        <d v="2023-09-23T00:00:00Z"/>
        <d v="2023-09-29T00:00:00Z"/>
        <d v="2023-09-30T00:00:00Z"/>
        <d v="2023-10-02T00:00:00Z"/>
        <d v="2023-10-06T00:00:00Z"/>
        <d v="2023-10-07T00:00:00Z"/>
        <d v="2023-10-08T00:00:00Z"/>
        <d v="2023-10-09T00:00:00Z"/>
        <d v="2023-10-11T00:00:00Z"/>
        <d v="2023-10-12T00:00:00Z"/>
        <d v="2023-10-15T00:00:00Z"/>
        <d v="2023-10-17T00:00:00Z"/>
        <d v="2023-10-19T00:00:00Z"/>
        <d v="2023-10-20T00:00:00Z"/>
        <d v="2023-10-21T00:00:00Z"/>
        <d v="2023-10-23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5T00:00:00Z"/>
        <d v="2023-11-07T00:00:00Z"/>
        <d v="2023-11-08T00:00:00Z"/>
        <d v="2023-11-09T00:00:00Z"/>
        <d v="2023-11-11T00:00:00Z"/>
        <d v="2023-11-13T00:00:00Z"/>
        <d v="2023-11-17T00:00:00Z"/>
        <d v="2023-11-20T00:00:00Z"/>
        <d v="2023-11-25T00:00:00Z"/>
        <d v="2023-11-26T00:00:00Z"/>
        <d v="2023-11-27T00:00:00Z"/>
        <d v="2023-11-28T00:00:00Z"/>
        <d v="2023-11-29T00:00:00Z"/>
        <d v="2023-12-02T03:49:00Z"/>
        <d v="2023-12-02T03:53:00Z"/>
        <d v="2023-12-04T16:33:00Z"/>
        <d v="2023-12-05T04:52:00Z"/>
        <d v="2023-12-06T02:38:00Z"/>
        <d v="2023-12-06T04:29:00Z"/>
        <d v="2023-12-07T16:40:00Z"/>
        <d v="2023-12-09T15:33:00Z"/>
        <d v="2023-12-10T09:00:00Z"/>
        <d v="2023-12-10T13:16:00Z"/>
        <d v="2023-12-10T14:33:00Z"/>
        <d v="2023-12-11T00:00:00Z"/>
        <d v="2023-12-11T12:57:00Z"/>
        <d v="2023-12-12T15:18:00Z"/>
        <d v="2023-12-14T03:02:00Z"/>
        <d v="2023-12-19T23:10:00Z"/>
        <d v="2023-12-20T16:43:00Z"/>
        <d v="2023-12-20T17:44:00Z"/>
        <d v="2023-12-21T21:07:00Z"/>
        <d v="2023-12-22T19:50:00Z"/>
        <d v="2023-12-23T13:39:00Z"/>
        <d v="2023-12-30T21:50:00Z"/>
        <d v="2024-01-02T00:00:00Z"/>
        <d v="2024-01-03T16:11:00Z"/>
        <d v="2024-01-03T18:14:00Z"/>
        <d v="2024-01-04T03:15:00Z"/>
        <d v="2024-01-04T14:29:00Z"/>
        <d v="2024-01-04T16:29:00Z"/>
        <d v="2024-01-04T16:57:00Z"/>
        <d v="2024-01-05T09:45:00Z"/>
        <d v="2024-01-05T10:34:00Z"/>
        <d v="2024-01-06T05:32:00Z"/>
        <d v="2024-01-06T17:45:00Z"/>
        <d v="2024-01-07T19:10:00Z"/>
        <d v="2024-01-08T03:15:00Z"/>
        <d v="2024-01-08T11:12:00Z"/>
        <d v="2024-01-09T21:37:00Z"/>
        <d v="2024-01-10T15:30:00Z"/>
        <d v="2024-01-10T17:10:00Z"/>
        <d v="2024-01-11T12:48:00Z"/>
        <d v="2024-01-12T23:26:00Z"/>
        <d v="2024-01-13T00:00:00Z"/>
        <d v="2024-01-13T12:05:00Z"/>
        <d v="2024-01-15T10:43:00Z"/>
        <d v="2024-01-15T17:10:00Z"/>
        <d v="2024-01-16T03:35:00Z"/>
        <d v="2024-01-17T03:40:00Z"/>
        <d v="2024-01-17T13:04:00Z"/>
        <d v="2024-01-17T15:00:00Z"/>
        <d v="2024-01-18T14:42:00Z"/>
        <d v="2024-01-18T17:58:00Z"/>
        <d v="2024-01-20T00:00:00Z"/>
        <d v="2024-01-21T20:21:00Z"/>
        <d v="2024-01-22T06:27:00Z"/>
        <d v="2024-01-24T12:54:00Z"/>
        <d v="2024-01-24T18:07:00Z"/>
        <d v="2024-01-26T13:58:00Z"/>
        <d v="2024-01-29T02:01:00Z"/>
        <d v="2024-01-29T23:52:00Z"/>
        <d v="2024-01-30T16:39:00Z"/>
        <d v="2024-01-30T22:42:00Z"/>
        <d v="2024-01-31T15:07:00Z"/>
        <d v="2024-02-02T14:08:00Z"/>
        <d v="2024-02-02T20:55:00Z"/>
        <d v="2024-02-05T15:43:00Z"/>
        <d v="2024-02-05T19:17:00Z"/>
        <d v="2024-02-06T08:13:00Z"/>
        <d v="2024-02-06T13:49:00Z"/>
        <d v="2024-02-06T23:43:00Z"/>
        <d v="2024-02-07T09:01:00Z"/>
        <d v="2024-02-08T15:12:00Z"/>
        <d v="2024-02-12T10:34:00Z"/>
        <d v="2024-02-13T09:08:00Z"/>
        <d v="2024-02-13T10:27:00Z"/>
        <d v="2024-02-14T17:42:00Z"/>
        <d v="2024-02-16T13:58:00Z"/>
        <d v="2024-02-19T00:00:00Z"/>
        <d v="2024-02-19T08:47:00Z"/>
        <d v="2024-02-19T21:19:00Z"/>
        <d v="2024-02-19T23:56:00Z"/>
        <d v="2024-02-22T16:34:00Z"/>
        <d v="2024-02-23T15:32:00Z"/>
        <d v="2024-02-24T18:06:00Z"/>
        <d v="2024-02-25T20:01:00Z"/>
        <d v="2024-02-27T13:38:00Z"/>
        <d v="2024-03-02T15:42:00Z"/>
        <d v="2024-03-05T07:30:00Z"/>
        <d v="2024-03-05T10:56:00Z"/>
        <d v="2024-03-05T14:13:00Z"/>
        <d v="2024-03-06T20:48:00Z"/>
        <d v="2024-03-07T06:35:00Z"/>
        <d v="2024-03-07T18:48:00Z"/>
        <d v="2024-03-07T20:14:00Z"/>
        <d v="2024-03-13T14:17:00Z"/>
        <d v="2024-03-14T00:00:00Z"/>
        <d v="2024-03-14T07:43:00Z"/>
        <d v="2024-03-14T08:50:00Z"/>
        <d v="2024-03-15T13:41:00Z"/>
        <d v="2024-03-16T13:33:00Z"/>
        <d v="2024-03-17T15:43:00Z"/>
        <d v="2024-03-20T12:02:00Z"/>
        <d v="2024-03-21T19:52:00Z"/>
        <d v="2024-03-22T17:07:00Z"/>
        <d v="2024-03-23T16:35:00Z"/>
        <d v="2024-03-25T00:09:00Z"/>
        <d v="2024-03-25T17:47:00Z"/>
        <d v="2024-03-27T19:44:00Z"/>
        <d v="2024-04-01T15:51:00Z"/>
        <d v="2024-04-01T16:06:00Z"/>
        <d v="2024-04-02T17:24:00Z"/>
        <d v="2024-04-03T11:14:00Z"/>
        <d v="2024-04-03T23:04:00Z"/>
        <d v="2024-04-04T14:52:00Z"/>
        <d v="2024-04-06T15:08:00Z"/>
        <d v="2024-04-06T16:37:00Z"/>
        <d v="2024-04-06T21:52:00Z"/>
        <d v="2024-04-07T08:56:00Z"/>
        <d v="2024-04-08T22:09:00Z"/>
        <d v="2024-04-08T22:26:00Z"/>
        <d v="2024-04-09T04:29:00Z"/>
        <d v="2024-04-11T16:20:00Z"/>
        <d v="2024-04-12T10:27:00Z"/>
        <d v="2024-04-15T14:01:00Z"/>
        <d v="2024-04-16T14:14:00Z"/>
        <d v="2024-04-16T15:17:00Z"/>
        <d v="2024-04-17T06:23:00Z"/>
        <d v="2024-04-19T16:05:00Z"/>
        <d v="2024-04-21T00:33:00Z"/>
        <d v="2024-04-23T00:00:00Z"/>
        <d v="2024-04-23T05:23:00Z"/>
        <d v="2024-04-24T08:59:00Z"/>
        <d v="2024-04-24T15:03:00Z"/>
        <d v="2024-04-24T18:59:00Z"/>
        <d v="2024-04-26T14:27:00Z"/>
        <d v="2024-04-26T14:36:00Z"/>
        <d v="2024-04-27T10:57:00Z"/>
        <d v="2024-04-29T11:36:00Z"/>
        <d v="2024-05-07T06:53:00Z"/>
        <d v="2024-05-07T10:57:00Z"/>
        <d v="2024-05-08T06:14:00Z"/>
        <d v="2024-05-08T11:20:00Z"/>
        <d v="2024-05-08T15:09:00Z"/>
        <d v="2024-05-09T09:45:00Z"/>
        <d v="2024-05-10T07:05:05Z"/>
        <d v="2024-05-10T16:29:15Z"/>
        <d v="2024-05-10T23:29:49Z"/>
        <d v="2024-05-12T10:57:57Z"/>
        <d v="2024-05-14T12:38:46Z"/>
        <d v="2024-05-15T04:54:12Z"/>
        <d v="2024-05-16T07:59:52Z"/>
        <d v="2024-05-16T15:06:51Z"/>
        <d v="2024-05-16T19:04:46Z"/>
        <d v="2024-05-18T08:37:10Z"/>
        <d v="2024-05-18T15:57:11Z"/>
        <d v="2024-05-19T19:15:22Z"/>
        <d v="2024-05-21T08:10:00Z"/>
        <d v="2024-05-21T15:34:00Z"/>
        <d v="2024-05-23T09:54:00Z"/>
        <d v="2024-05-24T15:15:00Z"/>
        <d v="2024-05-25T14:50:00Z"/>
        <d v="2024-05-27T18:02:00Z"/>
        <d v="2024-05-28T17:11:00Z"/>
        <d v="2024-05-29T11:33:00Z"/>
        <d v="2024-05-29T15:19:00Z"/>
        <d v="2024-05-31T10:40:00Z"/>
        <d v="2024-05-31T12:41:00Z"/>
        <d v="2024-06-04T12:54:00Z"/>
        <d v="2024-06-05T10:47:00Z"/>
        <d v="2024-06-05T13:38:00Z"/>
        <d v="2024-06-07T06:19:00Z"/>
        <d v="2024-06-07T14:05:00Z"/>
        <d v="2024-06-10T15:05:00Z"/>
        <d v="2024-06-10T15:34:00Z"/>
        <d v="2024-06-11T09:14:00Z"/>
        <d v="2024-06-14T03:34:00Z"/>
        <d v="2024-06-14T19:02:00Z"/>
        <d v="2024-06-16T14:37:00Z"/>
        <d v="2024-06-19T05:21:00Z"/>
        <d v="2024-06-20T06:54:00Z"/>
        <d v="2024-06-21T12:25:00Z"/>
        <d v="2024-06-22T03:35:00Z"/>
        <d v="2024-06-22T03:36:00Z"/>
        <d v="2024-06-24T03:53:00Z"/>
        <d v="2024-06-24T12:26:00Z"/>
        <d v="2024-06-24T13:17:00Z"/>
        <d v="2024-06-25T02:46:00Z"/>
        <d v="2024-06-25T15:07:00Z"/>
        <d v="2024-06-26T14:06:00Z"/>
        <d v="2024-06-27T02:22:00Z"/>
        <d v="2024-06-27T14:26:00Z"/>
        <d v="2024-06-27T16:03:00Z"/>
        <d v="2024-06-28T05:06:00Z"/>
        <d v="2024-06-30T15:22:00Z"/>
        <d v="2024-07-01T13:06:28Z"/>
        <d v="2024-07-01T13:52:21Z"/>
        <d v="2024-07-01T16:50:12Z"/>
        <d v="2024-07-01T17:09:23Z"/>
        <d v="2024-07-02T23:08:33Z"/>
        <d v="2024-07-03T21:17:23Z"/>
        <d v="2024-07-05T15:02:47Z"/>
        <d v="2024-07-07T04:19:43Z"/>
        <d v="2024-07-09T14:15:39Z"/>
        <d v="2024-07-09T21:04:32Z"/>
        <d v="2024-07-10T08:40:30Z"/>
        <d v="2024-07-10T12:10:39Z"/>
        <d v="2024-07-12T12:10:14Z"/>
        <d v="2024-07-15T05:00:44Z"/>
        <d v="2024-07-15T17:01:25Z"/>
        <d v="2024-07-17T09:27:42Z"/>
        <d v="2024-07-17T10:05:05Z"/>
        <d v="2024-07-18T16:50:33Z"/>
        <d v="2024-07-19T15:51:33Z"/>
        <d v="2024-07-22T00:55:34Z"/>
        <d v="2024-07-24T10:55:06Z"/>
        <d v="2024-07-24T17:04:48Z"/>
        <d v="2024-07-24T17:11:16Z"/>
        <d v="2024-07-24T21:40:40Z"/>
        <d v="2024-08-01T15:42:02Z"/>
        <d v="2024-08-02T14:47:27Z"/>
        <d v="2024-08-03T13:11:26Z"/>
        <d v="2024-08-05T18:18:47Z"/>
        <d v="2024-08-06T12:24:01Z"/>
        <d v="2024-08-06T22:49:25Z"/>
        <d v="2024-08-10T18:28:30Z"/>
        <d v="2024-08-11T18:31:13Z"/>
        <d v="2024-08-13T10:31:16Z"/>
        <d v="2024-08-15T11:56:59Z"/>
        <d v="2024-08-16T16:02:25Z"/>
        <d v="2024-08-18T13:38:39Z"/>
        <d v="2024-08-23T01:18:06Z"/>
        <d v="2024-08-24T11:27:19Z"/>
        <d v="2024-08-24T14:18:07Z"/>
        <d v="2024-08-25T18:21:46Z"/>
        <d v="2024-08-26T04:05:48Z"/>
        <d v="2024-08-26T04:12:45Z"/>
        <d v="2024-08-27T13:40:42Z"/>
        <d v="2024-08-27T14:27:31Z"/>
        <d v="2024-08-30T02:33:28Z"/>
        <d v="2024-08-30T08:01:36Z"/>
        <d v="2024-08-30T12:12:55Z"/>
        <d v="2024-08-30T14:07:58Z"/>
        <d v="2024-09-04T02:54:53Z"/>
        <d v="2024-09-04T05:49:30Z"/>
        <d v="2024-09-04T13:11:25Z"/>
        <d v="2024-09-04T13:58:52Z"/>
        <d v="2024-09-05T17:01:18Z"/>
        <d v="2024-09-07T09:30:05Z"/>
        <d v="2024-09-09T12:33:24Z"/>
        <d v="2024-09-10T03:11:22Z"/>
        <d v="2024-09-10T08:00:35Z"/>
        <d v="2024-09-10T14:43:43Z"/>
        <d v="2024-09-11T11:37:49Z"/>
        <d v="2024-09-11T14:50:50Z"/>
        <d v="2024-09-11T16:14:48Z"/>
        <d v="2024-09-11T18:30:21Z"/>
        <d v="2024-09-12T17:18:10Z"/>
        <d v="2024-09-13T16:30:26Z"/>
        <d v="2024-09-14T02:49:58Z"/>
        <d v="2024-09-16T19:06:18Z"/>
        <d v="2024-09-19T14:09:50Z"/>
        <d v="2024-09-19T16:37:56Z"/>
        <d v="2024-09-21T18:56:30Z"/>
        <d v="2024-09-23T08:53:57Z"/>
        <d v="2024-09-25T02:51:22Z"/>
        <d v="2024-09-26T18:23:56Z"/>
        <d v="2024-09-30T03:07:21Z"/>
        <d v="2024-09-30T11:43:46Z"/>
        <d v="2024-09-30T22:29:53Z"/>
        <d v="2024-10-01T16:57:40Z"/>
        <d v="2024-10-01T17:11:55Z"/>
        <d v="2024-10-02T05:17:53Z"/>
        <d v="2024-10-02T23:38:31Z"/>
        <d v="2024-10-03T19:40:54Z"/>
        <d v="2024-10-04T13:20:40Z"/>
        <d v="2024-10-08T12:55:29Z"/>
        <d v="2024-10-09T09:34:41Z"/>
        <d v="2024-10-10T17:10:31Z"/>
        <d v="2024-10-12T19:17:01Z"/>
        <d v="2024-10-13T18:49:06Z"/>
        <d v="2024-10-15T09:59:27Z"/>
        <d v="2024-10-15T11:54:25Z"/>
        <d v="2024-10-17T04:41:29Z"/>
        <d v="2024-10-18T15:09:10Z"/>
        <d v="2024-10-20T14:28:55Z"/>
        <d v="2024-10-20T18:05:51Z"/>
        <d v="2024-10-20T23:34:02Z"/>
        <d v="2024-10-21T10:51:02Z"/>
        <d v="2024-10-22T03:55:32Z"/>
        <d v="2024-10-22T19:51:16Z"/>
        <d v="2024-10-23T03:13:37Z"/>
        <d v="2024-10-23T08:25:52Z"/>
        <d v="2024-10-25T07:48:07Z"/>
        <d v="2024-10-25T12:03:14Z"/>
        <d v="2024-10-27T08:11:55Z"/>
        <d v="2024-10-27T09:17:21Z"/>
        <d v="2024-10-28T10:03:52Z"/>
        <d v="2024-10-29T18:23:56Z"/>
        <d v="2024-10-30T07:31:39Z"/>
        <d v="2024-10-30T14:43:08Z"/>
        <d v="2024-10-30T17:33:52Z"/>
        <d v="2024-10-31T14:39:21Z"/>
        <d v="2024-11-04T13:02:42Z"/>
        <d v="2024-11-04T14:24:42Z"/>
        <d v="2024-11-05T20:38:22Z"/>
        <d v="2024-11-06T07:14:06Z"/>
        <d v="2024-11-07T15:09:45Z"/>
        <d v="2024-11-09T18:30:38Z"/>
        <d v="2024-11-10T16:55:20Z"/>
        <d v="2024-11-11T16:37:03Z"/>
        <d v="2024-11-14T14:24:21Z"/>
        <d v="2024-11-16T17:19:24Z"/>
        <d v="2024-11-17T06:59:32Z"/>
        <d v="2024-11-17T07:41:53Z"/>
        <d v="2024-11-17T09:36:38Z"/>
        <d v="2024-11-18T06:34:42Z"/>
        <d v="2024-11-18T19:45:39Z"/>
        <d v="2024-11-18T22:19:46Z"/>
        <d v="2024-11-18T22:20:16Z"/>
        <d v="2024-11-19T11:18:46Z"/>
        <d v="2024-11-19T15:33:36Z"/>
        <d v="2024-11-21T14:33:21Z"/>
        <d v="2024-11-23T07:05:57Z"/>
        <d v="2024-11-24T11:12:04Z"/>
        <d v="2024-11-25T21:10:13Z"/>
        <d v="2024-11-29T18:15:46Z"/>
        <d v="2024-12-01T09:24:55Z"/>
        <d v="2024-12-01T17:23:05Z"/>
        <d v="2024-12-01T23:57:06Z"/>
        <d v="2024-12-02T17:13:12Z"/>
        <d v="2024-12-02T17:23:31Z"/>
        <d v="2024-12-02T17:23:53Z"/>
        <d v="2024-12-03T08:36:15Z"/>
        <d v="2024-12-04T15:24:45Z"/>
        <d v="2024-12-04T22:21:38Z"/>
        <d v="2024-12-05T00:50:57Z"/>
        <d v="2024-12-05T17:30:35Z"/>
        <d v="2024-12-09T05:26:21Z"/>
        <d v="2024-12-09T05:25:57Z"/>
        <d v="2024-12-15T21:02:03Z"/>
        <d v="2024-12-15T23:28:00Z"/>
        <d v="2024-12-18T15:24:55Z"/>
        <d v="2024-12-20T03:48:28Z"/>
        <d v="2024-12-20T10:23:08Z"/>
        <d v="2024-12-21T09:49:35Z"/>
        <d v="2024-12-24T13:11:52Z"/>
        <d v="2024-12-24T15:06:42Z"/>
        <d v="2024-12-24T16:54:19Z"/>
        <d v="2024-12-28T04:52:47Z"/>
        <d v="2024-12-28T04:53:11Z"/>
        <d v="2024-12-30T19:28:57Z"/>
        <d v="2024-12-30T19:39:53Z"/>
        <d v="2025-01-01T10:39:09Z"/>
        <d v="2025-01-01T20:55:27Z"/>
        <d v="2025-01-02T04:40:06Z"/>
        <d v="2025-01-02T21:50:02Z"/>
        <d v="2025-01-04T16:35:05Z"/>
        <d v="2025-01-04T17:32:44Z"/>
        <d v="2025-01-05T11:23:56Z"/>
        <d v="2025-01-07T11:10:19Z"/>
        <d v="2025-01-07T22:13:20Z"/>
        <d v="2025-01-10T09:47:31Z"/>
        <d v="2025-01-12T09:21:06Z"/>
        <d v="2025-01-15T07:53:13Z"/>
        <d v="2025-01-15T19:43:00Z"/>
        <d v="2025-01-16T17:00:52Z"/>
        <d v="2025-01-21T13:54:54Z"/>
        <d v="2025-01-21T19:27:29Z"/>
        <d v="2025-01-22T11:49:13Z"/>
        <d v="2025-01-22T16:38:19Z"/>
        <d v="2025-01-22T23:29:55Z"/>
        <d v="2025-01-22T19:16:41Z"/>
        <d v="2025-01-24T02:46:48Z"/>
        <d v="2025-01-28T00:11:57Z"/>
        <d v="2025-01-28T15:56:13Z"/>
        <d v="2025-01-29T08:27:00Z"/>
        <d v="2025-01-29T23:31:56Z"/>
        <d v="2025-02-02T13:25:13Z"/>
        <d v="2025-02-03T05:59:57Z"/>
        <d v="2025-02-03T17:41:22Z"/>
        <d v="2025-02-04T21:28:20Z"/>
        <d v="2025-02-05T22:16:42Z"/>
        <d v="2025-02-05T23:54:49Z"/>
        <d v="2025-02-07T13:24:52Z"/>
        <d v="2025-02-08T16:50:07Z"/>
        <d v="2025-02-10T04:48:27Z"/>
        <d v="2025-02-10T18:51:29Z"/>
        <d v="2025-02-11T05:41:34Z"/>
        <d v="2025-02-12T07:57:33Z"/>
        <d v="2025-02-13T00:57:12Z"/>
        <d v="2025-02-17T05:56:16Z"/>
        <d v="2025-02-17T17:45:49Z"/>
        <d v="2025-02-18T16:23:08Z"/>
        <d v="2025-02-18T19:33:52Z"/>
        <d v="2025-02-19T08:09:33Z"/>
        <d v="2025-02-19T08:43:20Z"/>
        <d v="2025-02-21T07:37:21Z"/>
        <d v="2025-02-24T11:15:52Z"/>
        <d v="2025-02-24T12:13:10Z"/>
        <d v="2025-03-01T20:14:45Z"/>
        <d v="2025-03-04T15:09:59Z"/>
        <d v="2025-03-05T22:33:06Z"/>
        <d v="2025-03-06T23:47:21Z"/>
        <d v="2025-03-08T08:09:50Z"/>
        <d v="2025-03-08T10:29:21Z"/>
        <d v="2025-03-09T09:38:49Z"/>
        <d v="2025-03-10T21:29:21Z"/>
        <d v="2025-03-11T04:33:35Z"/>
        <d v="2025-03-12T16:21:09Z"/>
        <d v="2025-03-13T13:15:48Z"/>
        <d v="2025-03-13T15:00:02Z"/>
        <d v="2025-03-14T00:25:51Z"/>
        <d v="2025-03-16T04:30:12Z"/>
        <d v="2025-03-16T16:40:00Z"/>
        <d v="2025-03-16T23:36:29Z"/>
        <d v="2025-03-17T21:28:26Z"/>
        <d v="2025-03-18T13:31:50Z"/>
        <d v="2025-03-20T15:49:37Z"/>
        <d v="2025-03-20T23:35:51Z"/>
        <d v="2025-03-21T02:45:28Z"/>
        <d v="2025-03-21T02:46:52Z"/>
        <d v="2025-03-21T13:50:56Z"/>
        <d v="2025-03-21T23:42:16Z"/>
        <d v="2025-03-22T16:22:53Z"/>
        <d v="2025-03-25T10:50:04Z"/>
        <d v="2025-03-29T10:27:51Z"/>
        <d v="2025-03-29T10:29:11Z"/>
        <d v="2025-03-31T23:35:07Z"/>
        <d v="2025-04-02T11:25:36Z"/>
        <d v="2025-04-02T17:55:47Z"/>
        <d v="2025-04-02T22:25:11Z"/>
        <d v="2025-04-03T13:42:18Z"/>
        <d v="2025-04-03T15:40:11Z"/>
        <d v="2025-04-04T14:12:20Z"/>
        <d v="2025-04-07T09:10:30Z"/>
        <d v="2025-04-09T10:05:11Z"/>
        <d v="2025-04-10T14:28:31Z"/>
        <d v="2025-04-13T03:56:41Z"/>
        <d v="2025-04-13T14:01:50Z"/>
        <d v="2025-04-22T06:07:06Z"/>
        <d v="2025-04-23T08:30:46Z"/>
        <d v="2025-04-23T14:18:47Z"/>
        <d v="2025-04-23T20:46:27Z"/>
        <d v="2025-04-27T10:25:54Z"/>
        <d v="2025-04-29T13:03:36Z"/>
        <d v="2025-04-29T16:10:19Z"/>
        <d v="2025-05-02T12:45:33Z"/>
        <d v="2025-05-04T10:57:03Z"/>
        <d v="2025-05-09T10:04:32Z"/>
        <d v="2025-05-11T16:20:28Z"/>
        <d v="2025-05-11T16:26:24Z"/>
        <d v="2025-05-12T13:38:15Z"/>
        <d v="2025-05-12T21:28:14Z"/>
        <d v="2025-05-13T02:39:43Z"/>
        <d v="2025-05-14T01:56:43Z"/>
        <d v="2025-05-16T12:18:45Z"/>
        <d v="2025-05-20T14:53:07Z"/>
        <d v="2025-05-21T00:02:21Z"/>
        <d v="2025-05-22T12:52:02Z"/>
        <d v="2025-05-22T18:22:14Z"/>
        <d v="2025-05-31T15:44:08Z"/>
        <d v="2025-06-01T03:07:28Z"/>
        <d v="2025-06-03T03:40:49Z"/>
        <d v="2025-06-03T10:37:10Z"/>
        <d v="2025-06-06T21:00:18Z"/>
        <d v="2025-06-10T08:44:11Z"/>
        <d v="2025-06-11T11:22:54Z"/>
        <d v="2025-06-12T04:07:03Z"/>
        <d v="2025-06-13T12:41:36Z"/>
        <d v="2025-06-16T11:37:19Z"/>
        <d v="2025-06-19T07:27:48Z"/>
        <d v="2025-06-20T03:13:11Z"/>
        <d v="2025-06-21T19:12:52Z"/>
        <d v="2025-06-23T03:14:08Z"/>
        <d v="2025-06-23T11:15:03Z"/>
        <d v="2025-06-24T00:00:35Z"/>
        <d v="2025-06-24T11:19:08Z"/>
        <d v="2025-06-25T11:56:58Z"/>
        <d v="2025-06-25T17:09:04Z"/>
        <d v="2025-06-27T05:34:33Z"/>
        <d v="2025-06-29T12:51:04Z"/>
        <d v="2025-06-30T02:49:31Z"/>
        <d v="2025-06-30T07:46:45Z"/>
        <d v="2025-06-30T11:44:45Z"/>
        <d v="2025-06-30T22:49:47Z"/>
        <d v="2025-07-01T00:54:55Z"/>
        <d v="2025-07-01T13:56:51Z"/>
        <d v="2025-07-07T13:15:14Z"/>
        <d v="2025-07-07T15:35:55Z"/>
        <d v="2025-07-07T15:52:43Z"/>
        <d v="2025-07-08T15:45:45Z"/>
        <d v="2025-07-12T22:15:47Z"/>
        <d v="2025-07-15T15:05:19Z"/>
        <d v="2025-07-16T02:53:15Z"/>
        <d v="2025-07-20T22:47:06Z"/>
        <d v="2025-07-22T18:42:43Z"/>
        <d v="2025-07-23T14:59:31Z"/>
        <d v="2025-07-24T06:33:23Z"/>
        <d v="2025-07-24T06:39:05Z"/>
        <d v="2025-07-24T13:12:20Z"/>
        <d v="2025-07-28T04:03:30Z"/>
        <d v="2025-07-28T14:40:17Z"/>
        <d v="2025-07-30T21:48:09Z"/>
        <d v="2025-07-31T11:52:59Z"/>
        <d v="2025-07-31T12:28:10Z"/>
        <d v="2025-07-31T14:19:52Z"/>
        <d v="2025-07-31T17:04:01Z"/>
        <d v="2025-08-06T07:05:57Z"/>
        <d v="2025-08-08T04:29:54Z"/>
        <d v="2025-08-10T01:46:31Z"/>
        <d v="2025-08-11T14:37:54Z"/>
        <d v="2025-08-13T13:22:39Z"/>
        <d v="2025-08-15T01:58:52Z"/>
        <d v="2025-08-18T13:59:51Z"/>
        <d v="2025-08-19T09:05:22Z"/>
        <d v="2025-08-21T10:03:09Z"/>
        <d v="2025-08-22T02:10:42Z"/>
        <d v="2025-08-22T11:56:27Z"/>
        <d v="2025-08-25T22:09:29Z"/>
        <d v="2025-08-27T02:01:33Z"/>
        <d v="2025-08-28T05:49:35Z"/>
        <d v="2025-08-29T12:56:10Z"/>
        <d v="2025-08-29T16:48:05Z"/>
        <d v="2025-09-01T04:39:55Z"/>
        <d v="2025-09-03T13:38:47Z"/>
        <d v="2025-09-03T14:38:48Z"/>
        <d v="2025-09-04T16:09:39Z"/>
        <d v="2025-09-05T03:11:44Z"/>
        <d v="2025-09-06T16:10:58Z"/>
        <d v="2025-09-07T05:08:12Z"/>
        <d v="2025-09-07T15:32:45Z"/>
        <d v="2025-09-07T15:51:33Z"/>
        <d v="2025-09-07T16:58:41Z"/>
        <d v="2025-09-07T22:42:14Z"/>
        <d v="2025-09-08T12:35:13Z"/>
        <d v="2025-09-09T05:15:51Z"/>
        <d v="2025-09-09T16:12:07Z"/>
        <d v="2025-09-12T13:52:38Z"/>
        <d v="2025-09-12T21:45:28Z"/>
        <d v="2025-09-16T21:14:05Z"/>
        <d v="2025-09-18T15:19:02Z"/>
        <d v="2025-10-10T01:54:35Z"/>
        <d v="2025-10-10T02:49:30Z"/>
        <d v="2025-10-10T14:44:23Z"/>
        <d v="2025-10-12T19:31:16Z"/>
        <d v="2025-10-14T16:11:31Z"/>
        <d v="2025-10-15T09:15:31Z"/>
        <d v="2025-10-20T15:02:33Z"/>
        <d v="2025-10-22T14:17:52Z"/>
        <d v="2025-10-23T05:59:30Z"/>
        <d v="2025-10-27T13:36:20Z"/>
        <d v="2025-10-28T11:34:36Z"/>
        <d v="2025-10-28T17:48:42Z"/>
        <d v="2025-10-29T09:23:42Z"/>
        <d v="2025-10-31T08:17:47Z"/>
        <d v="2025-11-02T09:18:48Z"/>
        <d v="2025-11-02T21:12:11Z"/>
        <d v="2025-11-03T13:42:30Z"/>
        <d v="2025-11-05T12:18:08Z"/>
        <d v="2025-11-13T18:44:22Z"/>
        <d v="2025-11-14T17:52:47Z"/>
        <d v="2025-11-15T04:17:50Z"/>
        <d v="2025-11-16T10:24:49Z"/>
        <d v="2025-11-16T15:59:48Z"/>
        <d v="2025-11-17T09:37:49Z"/>
        <d v="2025-11-19T19:10:13Z"/>
        <d v="2025-11-20T14:24:35Z"/>
        <d v="2025-11-21T06:54:40Z"/>
        <d v="2025-11-24T14:16:48Z"/>
        <d v="2025-11-24T17:40:33Z"/>
        <d v="2025-11-26T00:30:02Z"/>
        <d v="2025-11-26T06:05:06Z"/>
        <d v="2025-11-27T19:03:44Z"/>
        <d v="2025-11-30T14:48:12Z"/>
        <d v="2025-12-02T15:56:43Z"/>
        <d v="2025-12-04T13:30:07Z"/>
        <d v="2025-12-05T12:22:11Z"/>
        <d v="2025-12-07T15:08:22Z"/>
        <d v="2025-12-08T07:15:16Z"/>
        <d v="2025-12-11T06:28:22Z"/>
        <d v="2025-12-11T22:31:39Z"/>
        <d v="2025-12-12T13:28:21Z"/>
        <d v="2025-12-13T17:39:14Z"/>
        <d v="2025-12-16T12:48:43Z"/>
        <d v="2025-12-18T11:22:42Z"/>
        <d v="2025-12-18T16:01:45Z"/>
        <d v="2025-12-21T15:33:20Z"/>
        <d v="2025-12-22T14:54:16Z"/>
        <d v="2025-12-29T14:50:39Z"/>
        <d v="2025-12-30T19:17:49Z"/>
        <m/>
      </sharedItems>
    </cacheField>
    <cacheField name="Name" numFmtId="0">
      <sharedItems containsBlank="1">
        <s v="gertruda abi mansour"/>
        <s v="julia rushchenko"/>
        <s v="anja younes"/>
        <s v="hr drs r van wel"/>
        <s v="farah afshar"/>
        <s v="zach bajaber"/>
        <s v="sarah abouhamad"/>
        <s v="anna grouzdev"/>
        <s v="frank lohÃ©ac"/>
        <s v="philip wynn jones"/>
        <s v="katarina vasilj"/>
        <s v="federico durante"/>
        <s v="oleavanti. llc"/>
        <s v="miriam el hilany"/>
        <s v="elena taranina"/>
        <s v="sevag toujian"/>
        <s v="mckenna mills"/>
        <s v="maya abood"/>
        <s v="renee nassar"/>
        <s v="tony gualtieri"/>
        <s v="tanja traboulsi"/>
        <s v="jessica gerschultz"/>
        <s v="erika whitmore"/>
        <s v="danny hage"/>
        <s v="octavia purdy"/>
        <s v="nina lacaprara"/>
        <s v="ann marie sabath"/>
        <s v="valerie perez"/>
        <s v="john mcgrath"/>
        <s v="elissar saleh"/>
        <s v="jonathan donovan"/>
        <s v="alessandra tadei"/>
        <s v="anthony barakat"/>
        <s v="oliver black"/>
        <s v="giulio iacobelli"/>
        <s v="agdaliya mikhalkova"/>
        <s v="chelsea el-azzi"/>
        <s v="natalie hammoud"/>
        <s v="alida"/>
        <s v="ghadi tayeh"/>
        <s v="sophie kenos"/>
        <s v="jason corey"/>
        <s v="anthony wubbena"/>
        <s v="somaya jalal"/>
        <s v="leah halcomb"/>
        <s v="mike calvin"/>
        <s v="ramzi sleiman"/>
        <s v="noura kiridly"/>
        <s v="jeremiah carter"/>
        <s v="emil naamani"/>
        <s v="sophie stansfield"/>
        <s v="helena nelson"/>
        <s v="kelly sciandra"/>
        <s v="polina tsapko"/>
        <s v="chris wehbe"/>
        <s v="lauren blackwell"/>
        <s v="mohamad majzoub"/>
        <s v="florence hajj assaf"/>
        <s v="rose wyatt"/>
        <s v="janice chaoul"/>
        <s v="jared ferrell"/>
        <s v="emile karam"/>
        <s v="stephen keshishian"/>
        <s v="valeriya sotula"/>
        <s v="oksana nastasii"/>
        <s v="medeena barada"/>
        <s v="hussam baydoun"/>
        <s v="gemma fox"/>
        <s v="elena gafton"/>
        <s v="kathleen harding"/>
        <s v="megan lecrone"/>
        <s v="micah collins"/>
        <s v="henrik holgersson"/>
        <s v="christina kheir"/>
        <s v="tyson duffy"/>
        <s v="maysan benjelloun"/>
        <s v="keiran molaeb"/>
        <s v="liam white"/>
        <s v="najim zaytoun"/>
        <s v="emilia vignola"/>
        <s v="lynnette gonzalez"/>
        <s v="diana tzinis"/>
        <s v="ellen murchie"/>
        <s v="magali"/>
        <s v="jamie tong"/>
        <s v="lauren haddad"/>
        <s v="merrell brzeczek"/>
        <s v="najwa aswad"/>
        <s v="svenja thalmann"/>
        <s v="imogen bole"/>
        <s v="chithra subramoni"/>
        <s v="ashleigh stewart"/>
        <s v="afif massih"/>
        <s v="lara bokhowa"/>
        <s v="ammar kurdmisto"/>
        <s v="david jacobs"/>
        <s v="sophie naufal-baker"/>
        <s v="marwan asiff"/>
        <s v="jozef suvada"/>
        <s v="andrea sitta"/>
        <s v="mariane labrecque"/>
        <s v="shaghayegh lietz"/>
        <s v="david strider"/>
        <s v="satadru sanyal"/>
        <s v="arianna traverso"/>
        <s v="rachel nagem bou zeid"/>
        <s v="ryan loots"/>
        <s v="sahar shoaib"/>
        <s v="lindsay betros"/>
        <s v="emiliano stornelli"/>
        <s v="leah najjar"/>
        <s v="lalia bravo"/>
        <s v="aliyah saab"/>
        <s v="charlotte mosquera"/>
        <s v="joshua khoury"/>
        <s v="kelsey nightingale"/>
        <s v="alexandra ayoob"/>
        <s v="sami el solh"/>
        <s v="louise pillais"/>
        <s v="joseph azzam"/>
        <s v="coryn carson"/>
        <s v="aubrie brault"/>
        <s v="Ã©ric hervÃ©"/>
        <s v="tanya bernier"/>
        <s v="melanie mcdacy"/>
        <s v="sarah abouhamad davies"/>
        <s v="alyssa hajj assaf"/>
        <s v="jacob clark"/>
        <s v="mrs.j. chaoul"/>
        <s v="mle pillais louise"/>
        <s v="mike chappell"/>
        <s v="marcus mola"/>
        <s v="paywand ramazani"/>
        <s v="anthony gualtieri"/>
        <s v="lara wehbe"/>
        <s v="hicran basalak"/>
        <s v="j rushchenko"/>
        <s v="diana demetra tzinis"/>
        <s v="maya jouzaa"/>
        <s v="joseph harake"/>
        <s v="jeremiah d carter"/>
        <s v="nicole scaffide"/>
        <s v="megan e lecrone"/>
        <s v="kris saad"/>
        <s v="emma scott"/>
        <s v="belinda kniese"/>
        <s v="emanuela cisini"/>
        <s v="matthieu fayad"/>
        <s v="anne rouhban"/>
        <s v="andrew chaoul"/>
        <s v="edward bechara"/>
        <s v="manaan mehr"/>
        <s v="mrs j. chaoul"/>
        <s v="svenja meret thalmann"/>
        <s v="may eid"/>
        <s v="erika fournier"/>
        <s v="leeav nagola"/>
        <s v="afif john massih"/>
        <s v="mle louise pillais"/>
        <s v="Adina Tarcea"/>
        <s v="abie musa"/>
        <s v="YH Turk"/>
        <s v="GOASDOUE"/>
        <s v="Lara Wehbe Bokhowa"/>
        <s v="Priscilla M Orozco-Raudez"/>
        <s v="Adele Daboul"/>
        <s v="Sarah Davies"/>
        <s v="P M Orozco-Raudez"/>
        <s v="Kathleen M Johnson"/>
        <s v="MR ANDREW CHAOUL"/>
        <s v="Jacob C. Lehman"/>
        <s v="Wolfgang Bruckner"/>
        <s v="ERIC HERVE"/>
        <s v="Naja Kassir"/>
        <s v="Sharajer Lietz"/>
        <s v="Niki  Farahani"/>
        <s v="Leah A Halcomb"/>
        <s v="Jack Anderson"/>
        <s v="Jo-Anna Sfeir"/>
        <s v="Juan Carlos Davila"/>
        <s v="Habib Tannnous"/>
        <s v="Mrs Hiba Molaeb"/>
        <s v="M EL HILANY-THIES"/>
        <s v="Oliver Muller"/>
        <s v="Habib Tannous"/>
        <s v="MIRIAM EL HILANY-THIES"/>
        <s v="Daphne Joblin"/>
        <s v="Abess Makki"/>
        <s v="Sophie Chaoul"/>
        <s v="Mya Yazbek"/>
        <s v="Badih ElNemr"/>
        <s v="Badih El-Nemr"/>
        <s v="Menghini Pietro"/>
        <s v="Francesco Romito"/>
        <s v="Wolfgang Brueckner"/>
        <s v="Leona McNulty"/>
        <s v="Brittany Nohra"/>
        <s v="YUKO NISHIKAWA"/>
        <s v="Danyal Budare"/>
        <s v="Jacob Lehman"/>
        <s v="Hana Zako"/>
        <s v="Patricia Ward"/>
        <s v="Joann Buchholz"/>
        <s v="Ayah Zeineddine"/>
        <s v="Syeda Shoaib"/>
        <s v="Wolfgang Brückner"/>
        <s v="Rania Boudiab"/>
        <s v="Farida Bayramli"/>
        <s v="zara salihi"/>
        <s v="Pietro Menghini"/>
        <s v="Zeinab Dayekh"/>
        <s v="Abouhamad"/>
        <s v="Kristopher Turnage"/>
        <s v="Dana Boudiab"/>
        <s v="Tareq EL-KHOURY"/>
        <s v="Calder Austin"/>
        <s v="Omar Itani"/>
        <s v="Hana  Zako"/>
        <s v="Mckenna Bechara"/>
        <s v="Octavia Sarkis"/>
        <s v="Natalie Giannangeli"/>
        <s v="Charbel El-Khoury"/>
        <s v="Mrs. J. Chaoul"/>
        <s v="Keiran Jude Molaeb"/>
        <s v="Michael Medlej"/>
        <s v="Suzan Battah"/>
        <s v="Amaris Alayon"/>
        <s v="Matthieu THOMAZO"/>
        <s v="Jana Sauma"/>
        <s v="KAYLA N PELTEKCI"/>
        <s v="Susan Battah"/>
        <s v="Craig Lutge"/>
        <s v="Daniel Doran"/>
        <s v="Max Schreyer"/>
        <s v="Eduardo Zegaib"/>
        <s v="Gülsah Gürsoy"/>
        <s v="Hayed Kure"/>
        <s v="Gabriel Pacheco"/>
        <s v="Karen Ravn Vestergaard"/>
        <s v="Adam Bokhowa"/>
        <s v="Paola Fappani"/>
        <s v="Stella Potenti"/>
        <s v="Kayla Peltekci"/>
        <s v="Katarina Ghanem"/>
        <s v="Thomas Kottmann"/>
        <s v="Daniel Lakkis"/>
        <e v="#REF!"/>
        <s v="Kate Hawks"/>
        <s v="keith abood"/>
        <s v="Fatima Khanfour"/>
        <s v="Marina Spyrou"/>
        <s v="Jean Khoury"/>
        <s v="Saskia Abou-Khater Robbiati"/>
        <s v="Serene Raslan"/>
        <s v="Nada M"/>
        <s v="NIDA IK"/>
        <s v="Heloise Lecocq"/>
        <s v="Hussein Ghanem"/>
        <s v="Nicolas Ayoub"/>
        <s v="Salma Rachidi"/>
        <s v="Noura Poort"/>
        <s v="Gülşah Gürsoy"/>
        <s v="Shannon Hibbard"/>
        <s v="Mason Cheikh"/>
        <s v="Raneem Safieddine"/>
        <s v="Tatiana Moufarrige"/>
        <s v="Ali Hassan"/>
        <s v="Jamal Abdulrahim"/>
        <s v="Marc Mola"/>
        <s v="Georgia Saad"/>
        <s v="Zia Atenzia"/>
        <s v="Hana Boushey"/>
        <s v="Caterina Vitali"/>
        <s v="Jacob Lehma"/>
        <s v="Kassandra Khouri"/>
        <s v="Laura Khalil"/>
        <s v="Elena F"/>
        <s v="Mark Becker"/>
        <s v="Melikie Joseph"/>
        <m/>
      </sharedItems>
    </cacheField>
    <cacheField name="Amount" numFmtId="4">
      <sharedItems containsString="0" containsBlank="1" containsNumber="1">
        <n v="142.55"/>
        <n v="129.0"/>
        <n v="143.0"/>
        <n v="160.0"/>
        <n v="28.44"/>
        <n v="73.23"/>
        <n v="18.67"/>
        <n v="28.26"/>
        <n v="37.69"/>
        <n v="200.0"/>
        <n v="191.32"/>
        <n v="190.4"/>
        <n v="171.52"/>
        <n v="187.85"/>
        <n v="145.0"/>
        <n v="74.91"/>
        <n v="40.0"/>
        <n v="140.26"/>
        <n v="30.0"/>
        <n v="80.0"/>
        <n v="17.66"/>
        <n v="100.0"/>
        <n v="400.0"/>
        <n v="190.0"/>
        <n v="20.0"/>
        <n v="165.98"/>
        <n v="165.02"/>
        <n v="184.93"/>
        <n v="184.25"/>
        <n v="162.77"/>
        <n v="40.12"/>
        <n v="170.0"/>
        <n v="265.79"/>
        <n v="186.92"/>
        <n v="33.23"/>
        <n v="167.32"/>
        <n v="187.37"/>
        <n v="270.73"/>
        <n v="167.44"/>
        <n v="120.94"/>
        <n v="166.84"/>
        <n v="183.84"/>
        <n v="160.77"/>
        <n v="164.69"/>
        <n v="158.82"/>
        <n v="166.67"/>
        <n v="161.28"/>
        <n v="300.25"/>
        <n v="135.73"/>
        <n v="28.0"/>
        <n v="162.0"/>
        <n v="178.62"/>
        <n v="27.09"/>
        <n v="305.96"/>
        <n v="184.5"/>
        <n v="268.33"/>
        <n v="60.0"/>
        <n v="90.0"/>
        <n v="210.0"/>
        <n v="120.0"/>
        <n v="116.66"/>
        <n v="180.0"/>
        <n v="186.04"/>
        <n v="-145.0"/>
        <n v="16.0"/>
        <n v="24.0"/>
        <n v="158.0"/>
        <n v="850.0"/>
        <n v="320.0"/>
        <n v="10.0"/>
        <n v="188.0"/>
        <n v="420.0"/>
        <n v="183.33"/>
        <n v="83.26"/>
        <n v="725.0"/>
        <n v="230.0"/>
        <n v="975.0"/>
        <n v="165.0"/>
        <n v="34.0"/>
        <n v="825.0"/>
        <n v="102.0"/>
        <n v="23.0"/>
        <n v="68.0"/>
        <n v="184.0"/>
        <n v="368.0"/>
        <n v="15.0"/>
        <n v="215.0"/>
        <n v="19.0"/>
        <m/>
      </sharedItems>
    </cacheField>
    <cacheField name="Currency" numFmtId="0">
      <sharedItems containsBlank="1">
        <s v="EUR"/>
        <s v="USD"/>
        <s v="GBP"/>
        <s v="CAD"/>
        <s v="AUD"/>
        <m/>
      </sharedItems>
    </cacheField>
    <cacheField name="Gateway" numFmtId="0">
      <sharedItems containsBlank="1">
        <s v="Wise"/>
        <s v="Paypal"/>
        <s v="2checkout"/>
        <s v="OMT"/>
        <s v="Stripe"/>
        <m/>
      </sharedItems>
    </cacheField>
    <cacheField name="USD amount" numFmtId="2">
      <sharedItems containsString="0" containsBlank="1" containsNumber="1">
        <n v="149.97"/>
        <n v="135.71"/>
        <n v="150.44"/>
        <n v="168.32"/>
        <n v="28.44"/>
        <n v="76.37"/>
        <n v="18.98"/>
        <n v="28.4"/>
        <n v="38.24"/>
        <n v="200.0"/>
        <n v="191.32"/>
        <n v="194.64"/>
        <n v="175.34"/>
        <n v="191.46"/>
        <n v="148.82"/>
        <n v="188.55"/>
        <n v="76.39"/>
        <n v="37.35"/>
        <n v="125.93"/>
        <n v="27.9"/>
        <n v="75.15"/>
        <n v="13.12"/>
        <n v="94.05"/>
        <n v="73.88"/>
        <n v="136.58"/>
        <n v="176.99"/>
        <n v="377.55"/>
        <n v="197.86"/>
        <n v="18.45"/>
        <n v="175.57"/>
        <n v="154.82"/>
        <n v="200.32"/>
        <n v="177.78"/>
        <n v="22.15"/>
        <n v="187.16"/>
        <n v="31.17"/>
        <n v="175.56"/>
        <n v="125.94"/>
        <n v="197.7"/>
        <n v="85.82"/>
        <n v="218.1"/>
        <n v="184.64"/>
        <n v="157.05"/>
        <n v="200.2"/>
        <n v="31.43"/>
        <n v="211.16"/>
        <n v="139.47"/>
        <n v="151.50306783208995"/>
        <n v="30.01"/>
        <n v="151.7224002793388"/>
        <n v="150.75"/>
        <n v="189.29310657123412"/>
        <n v="139.4661"/>
        <n v="136.57"/>
        <n v="175.5678054"/>
        <n v="190.8505018966821"/>
        <n v="56.25"/>
        <n v="189.51441904127512"/>
        <n v="189.37659029546117"/>
        <n v="190.07714258250658"/>
        <n v="193.2314801"/>
        <n v="189.377841990742"/>
        <n v="86.64423178284152"/>
        <n v="188.9960738356682"/>
        <n v="189.02940249713438"/>
        <n v="198.8513015140761"/>
        <n v="28.17060642769426"/>
        <n v="189.46065800551372"/>
        <n v="189.773431016836"/>
        <n v="137.61761493786457"/>
        <n v="189.38940624465172"/>
        <n v="113.63753713499787"/>
        <n v="28.21620792689378"/>
        <n v="191.04935664409646"/>
        <n v="136.9422960654872"/>
        <n v="190.86939457359406"/>
        <n v="188.65056832791967"/>
        <n v="137.6722539512938"/>
        <n v="189.96966072733045"/>
        <n v="188.87929840713602"/>
        <n v="28.102674684081983"/>
        <n v="110.42502555841925"/>
        <n v="190.18528382116435"/>
        <n v="189.71673531425148"/>
        <n v="189.3362297814003"/>
        <n v="28.270414316330903"/>
        <n v="28.25913467638234"/>
        <n v="189.4293941139998"/>
        <n v="57.66308006927221"/>
        <n v="137.23094601470964"/>
        <n v="28.14456932294267"/>
        <n v="189.16087409642475"/>
        <n v="189.08758076654595"/>
        <n v="137.330704978099"/>
        <n v="28.19755004544459"/>
        <n v="189.48786112023654"/>
        <n v="170.40878872697039"/>
        <n v="28.711033526201593"/>
        <n v="189.50419819405175"/>
        <n v="189.40160665639445"/>
        <n v="28.39716823660714"/>
        <n v="190.89673200783972"/>
        <n v="28.600854861493445"/>
        <n v="188.59711036514943"/>
        <n v="18.6479449538647"/>
        <n v="192.29327868409433"/>
        <n v="189.73662132743365"/>
        <n v="189.50519985777396"/>
        <n v="189.391846385393"/>
        <n v="18.700121834056436"/>
        <n v="200.28"/>
        <n v="189.3300723664944"/>
        <n v="18.69247692907434"/>
        <n v="191.26701252830853"/>
        <n v="138.80088578613314"/>
        <n v="18.70620414798599"/>
        <n v="189.5140664360771"/>
        <n v="189.68038009971605"/>
        <n v="137.2032555629066"/>
        <n v="189.6241337666777"/>
        <n v="-145.0"/>
        <n v="20.2"/>
        <n v="18.708385900994426"/>
        <n v="189.47658684296798"/>
        <n v="28.233313769623187"/>
        <n v="189.34602439953582"/>
        <n v="191.00434349512435"/>
        <n v="189.536837484387"/>
        <n v="28.202026938314894"/>
        <n v="18.867140475293084"/>
        <n v="192.78050975938024"/>
        <n v="189.53044618333152"/>
        <n v="28.71539965885445"/>
        <n v="190.86920282712555"/>
        <n v="189.85938084618343"/>
        <n v="192.82630833617026"/>
        <n v="137.374914908453"/>
        <n v="30.59"/>
        <n v="190.98762926214232"/>
        <n v="189.37132786011384"/>
        <n v="28.393122332968478"/>
        <n v="189.66069699963012"/>
        <n v="28.194205694131483"/>
        <n v="18.70178014129737"/>
        <n v="192.93958718308787"/>
        <n v="137.07766588626944"/>
        <n v="189.17730258162078"/>
        <n v="200.72"/>
        <n v="189.23223320407809"/>
        <n v="18.670411908823848"/>
        <n v="137.07757136576822"/>
        <n v="189.18996641568887"/>
        <n v="18.678672683698455"/>
        <n v="189.42992014994906"/>
        <n v="805.7192401194942"/>
        <n v="28.691674068118232"/>
        <n v="802.9360502403872"/>
        <n v="188.71529172070905"/>
        <n v="189.72266288912283"/>
        <n v="28.32288566172911"/>
        <n v="137.87868670732885"/>
        <n v="190.01724478006906"/>
        <n v="190.27906430965183"/>
        <n v="193.33728792516277"/>
        <n v="28.761518652174384"/>
        <n v="302.40448705290214"/>
        <n v="188.9159590704648"/>
        <n v="138.596566914937"/>
        <n v="9.270015037188745"/>
        <n v="18.762612301193915"/>
        <n v="191.2200267229861"/>
        <n v="137.624242845136"/>
        <n v="190.25743132733592"/>
        <n v="190.16737499187346"/>
        <n v="189.75874659400546"/>
        <n v="189.79527629427795"/>
        <n v="189.71699836512263"/>
        <n v="28.22800068119891"/>
        <n v="189.75248435967302"/>
        <n v="807.3793833787465"/>
        <n v="189.7550936239782"/>
        <n v="189.7561373297003"/>
        <n v="189.75352806539513"/>
        <n v="189.79266702997276"/>
        <n v="53.61307901907357"/>
        <n v="191.85473427792917"/>
        <n v="18.715923760217983"/>
        <n v="807.4171307901906"/>
        <n v="189.73056653950957"/>
        <n v="189.74935324250686"/>
        <n v="189.73317580381473"/>
        <n v="189.69090572207085"/>
        <n v="807.317211171662"/>
        <n v="189.72534801089918"/>
        <n v="189.72430430517713"/>
        <n v="189.73787247956403"/>
        <n v="137.47682997275206"/>
        <n v="807.3216520435968"/>
        <n v="28.22505076294278"/>
        <n v="137.47531749318802"/>
        <n v="189.73526321525887"/>
        <n v="189.73474136239784"/>
        <n v="18.716541416893733"/>
        <n v="189.72639171662124"/>
        <n v="303.482725528914"/>
        <n v="18.71510021798365"/>
        <n v="189.7300446866485"/>
        <n v="28.213126103542233"/>
        <n v="189.72221689373296"/>
        <n v="28.214290136239782"/>
        <n v="189.75039694822888"/>
        <n v="189.7582247411444"/>
        <n v="303.7068126702997"/>
        <n v="137.5112388828338"/>
        <n v="18.713967847411443"/>
        <n v="28.21460054495913"/>
        <n v="28.227690163487736"/>
        <n v="189.75665918256135"/>
        <n v="28.216928610354223"/>
        <n v="18.716232588555858"/>
        <n v="137.51842316076295"/>
        <n v="189.74048174386922"/>
        <n v="137.4934672479564"/>
        <n v="28.227534904632154"/>
        <n v="18.716026702997276"/>
        <n v="189.76135585831062"/>
        <n v="137.49384536784743"/>
        <n v="28.227612534059947"/>
        <n v="18.71633553133515"/>
        <n v="137.49271100817438"/>
        <n v="189.75718103542235"/>
        <n v="807.397146866485"/>
        <n v="9.216376021798366"/>
        <n v="189.76239956403273"/>
        <n v="189.76187771117165"/>
        <n v="191.8431276294278"/>
        <n v="28.227923051771114"/>
        <n v="110.5634936239782"/>
        <n v="28.218480653950955"/>
        <n v="18.716644359673026"/>
        <n v="28.22784542234332"/>
        <n v="28.225283651226157"/>
        <n v="189.7608340054496"/>
        <n v="189.77909885558586"/>
        <n v="18.7126810626703"/>
        <n v="170.7584165667575"/>
        <n v="137.49422348773842"/>
        <n v="137.50859204359674"/>
        <n v="137.49573596730247"/>
        <n v="137.52220435967303"/>
        <n v="28.22776779291553"/>
        <n v="189.76292141689376"/>
        <n v="137.48061117166213"/>
        <n v="189.79788555858312"/>
        <n v="113.74552915531335"/>
        <n v="398.8117337329701"/>
        <n v="28.23102822888283"/>
        <n v="189.7430910081744"/>
        <n v="28.228311198910077"/>
        <n v="18.71829144414169"/>
        <n v="18.72014441416894"/>
        <n v="173.91579359673025"/>
        <n v="113.76773841961854"/>
        <n v="18.716438474114444"/>
        <n v="78.8283514986376"/>
        <n v="18.92070980926431"/>
        <n v="807.3993673024522"/>
        <n v="139.00977520435967"/>
        <n v="18.719578228882835"/>
        <n v="807.558046294278"/>
        <n v="137.4919547683924"/>
        <n v="189.75561547683924"/>
        <n v="189.75457177111718"/>
        <n v="688.543246866485"/>
        <n v="189.75770288828338"/>
        <n v="28.228078310626703"/>
        <n v="18.716284059945504"/>
        <n v="807.4082490463215"/>
        <n v="137.4964922070845"/>
        <n v="28.218713460490466"/>
        <n v="28.2187910626703"/>
        <n v="28.218868664850138"/>
        <n v="18.716489945504087"/>
        <n v="189.76031215258857"/>
        <n v="28.222566621253403"/>
        <n v="189.75979029972754"/>
        <n v="28.21863585831063"/>
        <n v="137.49497972752044"/>
        <n v="189.79736370572206"/>
        <n v="139.02468446866484"/>
        <n v="189.74"/>
        <n v="189.78"/>
        <n v="137.5"/>
        <n v="170.72"/>
        <n v="28.22"/>
        <n v="189.8"/>
        <n v="189.76"/>
        <n v="403.17"/>
        <n v="139.01"/>
        <n v="18.72"/>
        <n v="189.72"/>
        <n v="189.77"/>
        <n v="18.71"/>
        <n v="137.47"/>
        <n v="807.41"/>
        <n v="218.23"/>
        <n v="926.38"/>
        <n v="156.47"/>
        <n v="218.27"/>
        <n v="32.02"/>
        <n v="32.03"/>
        <n v="926.01"/>
        <n v="218.31"/>
        <n v="783.74"/>
        <n v="156.5"/>
        <n v="218.26"/>
        <n v="926.18"/>
        <n v="96.64"/>
        <n v="218.29"/>
        <n v="218.25"/>
        <n v="21.57"/>
        <n v="156.49"/>
        <n v="926.14"/>
        <n v="926.29"/>
        <n v="926.2"/>
        <n v="156.51"/>
        <n v="64.32"/>
        <n v="218.22"/>
        <n v="156.54"/>
        <n v="926.19"/>
        <n v="220.65"/>
        <n v="21.81"/>
        <n v="28.21"/>
        <n v="218.24"/>
        <n v="156.48"/>
        <n v="64.33"/>
        <n v="174.53"/>
        <n v="174.54"/>
        <n v="176.45"/>
        <n v="174.56"/>
        <n v="936.35"/>
        <n v="925.89"/>
        <n v="94.74"/>
        <n v="218.32"/>
        <n v="170.74"/>
        <n v="807.35"/>
        <n v="170.73"/>
        <n v="807.36"/>
        <n v="170.75"/>
        <n v="349.36"/>
        <n v="807.37"/>
        <n v="807.32"/>
        <n v="13.96"/>
        <n v="218.05"/>
        <n v="203.8"/>
        <n v="218.04"/>
        <n v="21.55"/>
        <n v="156.34"/>
        <n v="220.46"/>
        <n v="13.95"/>
        <n v="218.03"/>
        <n v="17.75"/>
        <n v="218.07"/>
        <n v="925.23"/>
        <n v="31.99"/>
        <n v="925.21"/>
        <n v="218.01"/>
        <n v="925.31"/>
        <m/>
      </sharedItems>
    </cacheField>
    <cacheField name="Lesson Type" numFmtId="0">
      <sharedItems containsBlank="1">
        <s v="Group"/>
        <s v="Conversational"/>
        <s v="Prepared"/>
        <s v="Refund"/>
        <s v="Trial"/>
        <s v="Unknown"/>
        <m/>
      </sharedItems>
    </cacheField>
    <cacheField name="Amount of lessons" numFmtId="0">
      <sharedItems containsString="0" containsBlank="1" containsNumber="1" containsInteger="1">
        <n v="9.0"/>
        <n v="8.0"/>
        <n v="1.0"/>
        <n v="4.0"/>
        <n v="2.0"/>
        <n v="12.0"/>
        <n v="5.0"/>
        <n v="16.0"/>
        <n v="3.0"/>
        <n v="6.0"/>
        <n v="40.0"/>
        <m/>
      </sharedItems>
    </cacheField>
    <cacheField name="Package" numFmtId="0">
      <sharedItems containsBlank="1">
        <s v="yes"/>
        <s v="no"/>
        <s v="n"/>
        <m/>
      </sharedItems>
    </cacheField>
    <cacheField name="Single Lesson Minutes" numFmtId="0">
      <sharedItems containsString="0" containsBlank="1" containsNumber="1" containsInteger="1">
        <n v="75.0"/>
        <n v="60.0"/>
        <n v="45.0"/>
        <m/>
      </sharedItems>
    </cacheField>
    <cacheField name="Salary" numFmtId="3">
      <sharedItems containsString="0" containsBlank="1" containsNumber="1" containsInteger="1">
        <n v="0.0"/>
        <n v="120.0"/>
        <n v="15.0"/>
        <n v="60.0"/>
        <n v="30.0"/>
        <n v="225.0"/>
        <n v="75.0"/>
        <n v="90.0"/>
        <n v="240.0"/>
        <m/>
      </sharedItems>
    </cacheField>
    <cacheField name="Profit" numFmtId="0">
      <sharedItems containsString="0" containsBlank="1" containsNumber="1">
        <n v="149.97"/>
        <n v="15.71"/>
        <n v="150.44"/>
        <n v="48.32"/>
        <n v="13.44"/>
        <n v="16.37"/>
        <n v="3.98"/>
        <n v="13.4"/>
        <n v="8.24"/>
        <n v="80.0"/>
        <n v="71.32"/>
        <n v="74.64"/>
        <n v="55.34"/>
        <n v="71.46"/>
        <n v="28.82"/>
        <n v="68.55"/>
        <n v="16.39"/>
        <n v="7.35"/>
        <n v="-36.45"/>
        <n v="188.55"/>
        <n v="5.93"/>
        <n v="12.9"/>
        <n v="15.15"/>
        <n v="-1.88"/>
        <n v="19.05"/>
        <n v="13.88"/>
        <n v="16.58"/>
        <n v="86.99"/>
        <n v="137.55"/>
        <n v="197.86"/>
        <n v="3.45"/>
        <n v="-49.43"/>
        <n v="34.82"/>
        <n v="175.57"/>
        <n v="200.32"/>
        <n v="177.78"/>
        <n v="7.15"/>
        <n v="187.16"/>
        <n v="55.57"/>
        <n v="1.17"/>
        <n v="175.56"/>
        <n v="5.94"/>
        <n v="197.7"/>
        <n v="25.82"/>
        <n v="218.1"/>
        <n v="-40.36"/>
        <n v="157.0"/>
        <n v="80.2"/>
        <n v="200.0"/>
        <n v="75.15"/>
        <n v="18.45"/>
        <n v="136.58"/>
        <n v="31.43"/>
        <n v="27.9"/>
        <n v="91.16"/>
        <n v="139.47"/>
        <n v="154.51"/>
        <n v="30.01"/>
        <n v="150.75"/>
        <n v="193.0"/>
        <n v="139.0"/>
        <n v="18.0"/>
        <n v="189.0"/>
        <n v="137.0"/>
        <n v="28.0"/>
        <n v="176.0"/>
        <n v="195.0"/>
        <n v="56.0"/>
        <n v="88.0"/>
        <n v="203.0"/>
        <n v="29.0"/>
        <n v="140.0"/>
        <n v="116.0"/>
        <n v="113.0"/>
        <n v="59.0"/>
        <n v="174.0"/>
        <n v="19.0"/>
        <n v="197.0"/>
        <n v="200.28"/>
        <n v="141.0"/>
        <n v="-145.0"/>
        <n v="20.2"/>
        <n v="30.59"/>
        <n v="200.72"/>
        <n v="822.0"/>
        <m/>
      </sharedItems>
    </cacheField>
    <cacheField name="Group #">
      <sharedItems containsBlank="1" containsMixedTypes="1" containsNumber="1" containsInteger="1">
        <n v="1.0"/>
        <s v="-"/>
        <m/>
        <n v="2.0"/>
        <n v="3.0"/>
        <n v="4.0"/>
        <n v="5.0"/>
        <n v="6.0"/>
        <n v="7.0"/>
        <n v="8.0"/>
        <n v="9.0"/>
        <s v="***"/>
        <n v="10.0"/>
        <n v="11.0"/>
        <n v="12.0"/>
        <n v="13.0"/>
        <n v="14.0"/>
      </sharedItems>
    </cacheField>
    <cacheField name="Total Minutes" numFmtId="0">
      <sharedItems containsString="0" containsBlank="1" containsNumber="1" containsInteger="1">
        <n v="675.0"/>
        <n v="480.0"/>
        <n v="60.0"/>
        <n v="240.0"/>
        <n v="120.0"/>
        <n v="900.0"/>
        <n v="300.0"/>
        <n v="360.0"/>
        <n v="960.0"/>
        <n v="180.0"/>
        <n v="600.0"/>
        <n v="720.0"/>
        <n v="2400.0"/>
        <m/>
      </sharedItems>
    </cacheField>
    <cacheField name="Calculated Field 1" formula="'USD amount'*'Amount of lessons'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91" sheet="Sales"/>
  </cacheSource>
  <cacheFields>
    <cacheField name="Date" numFmtId="166">
      <sharedItems containsDate="1" containsString="0" containsBlank="1">
        <d v="2022-06-20T00:00:00Z"/>
        <d v="2022-06-23T00:00:00Z"/>
        <d v="2022-06-24T00:00:00Z"/>
        <d v="2022-07-01T00:00:00Z"/>
        <d v="2022-07-05T00:00:00Z"/>
        <d v="2022-07-07T00:00:00Z"/>
        <d v="2022-07-11T00:00:00Z"/>
        <d v="2022-07-18T00:00:00Z"/>
        <d v="2022-07-21T00:00:00Z"/>
        <d v="2022-07-24T00:00:00Z"/>
        <d v="2022-07-25T00:00:00Z"/>
        <d v="2022-07-28T00:00:00Z"/>
        <d v="2022-08-01T00:00:00Z"/>
        <d v="2022-08-03T00:00:00Z"/>
        <d v="2022-08-08T00:00:00Z"/>
        <d v="2022-08-11T00:00:00Z"/>
        <d v="2022-08-12T00:00:00Z"/>
        <d v="2022-08-13T00:00:00Z"/>
        <d v="2022-08-14T00:00:00Z"/>
        <d v="2022-08-15T00:00:00Z"/>
        <d v="2022-09-06T00:00:00Z"/>
        <d v="2022-09-08T00:00:00Z"/>
        <d v="2022-09-09T00:00:00Z"/>
        <d v="2022-09-11T00:00:00Z"/>
        <d v="2022-09-12T00:00:00Z"/>
        <d v="2022-09-17T00:00:00Z"/>
        <d v="2022-09-18T00:00:00Z"/>
        <d v="2022-09-19T00:00:00Z"/>
        <d v="2022-09-25T00:00:00Z"/>
        <d v="2022-10-03T00:00:00Z"/>
        <d v="2022-10-04T00:00:00Z"/>
        <d v="2022-10-06T00:00:00Z"/>
        <d v="2022-10-11T00:00:00Z"/>
        <d v="2022-10-15T00:00:00Z"/>
        <d v="2022-10-19T00:00:00Z"/>
        <d v="2022-10-21T00:00:00Z"/>
        <d v="2022-10-28T00:00:00Z"/>
        <d v="2022-11-03T00:00:00Z"/>
        <d v="2022-11-14T00:00:00Z"/>
        <d v="2022-11-15T00:00:00Z"/>
        <d v="2022-11-17T00:00:00Z"/>
        <d v="2022-11-25T00:00:00Z"/>
        <d v="2022-12-01T00:00:00Z"/>
        <d v="2022-12-02T00:00:00Z"/>
        <d v="2022-12-05T00:00:00Z"/>
        <d v="2022-12-11T00:00:00Z"/>
        <d v="2022-12-12T00:00:00Z"/>
        <d v="2022-12-17T00:00:00Z"/>
        <d v="2022-12-24T00:00:00Z"/>
        <d v="2022-12-27T00:00:00Z"/>
        <d v="2022-12-28T00:00:00Z"/>
        <d v="2023-01-02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2T00:00:00Z"/>
        <d v="2023-01-13T00:00:00Z"/>
        <d v="2023-01-14T00:00:00Z"/>
        <d v="2023-01-16T00:00:00Z"/>
        <d v="2023-01-17T00:00:00Z"/>
        <d v="2023-01-18T00:00:00Z"/>
        <d v="2023-01-19T00:00:00Z"/>
        <d v="2023-01-20T00:00:00Z"/>
        <d v="2023-01-21T00:00:00Z"/>
        <d v="2023-01-23T00:00:00Z"/>
        <d v="2023-01-25T00:00:00Z"/>
        <d v="2023-01-28T00:00:00Z"/>
        <d v="2023-01-29T00:00:00Z"/>
        <d v="2023-01-30T00:00:00Z"/>
        <d v="2023-02-01T00:00:00Z"/>
        <d v="2023-02-02T00:00:00Z"/>
        <d v="2023-02-03T00:00:00Z"/>
        <d v="2023-02-05T00:00:00Z"/>
        <d v="2023-02-06T00:00:00Z"/>
        <d v="2023-02-08T00:00:00Z"/>
        <d v="2023-02-09T00:00:00Z"/>
        <d v="2023-02-12T00:00:00Z"/>
        <d v="2023-02-14T00:00:00Z"/>
        <d v="2023-02-15T00:00:00Z"/>
        <d v="2023-02-16T00:00:00Z"/>
        <d v="2023-02-19T00:00:00Z"/>
        <d v="2023-02-20T00:00:00Z"/>
        <d v="2023-02-21T00:00:00Z"/>
        <d v="2023-02-23T00:00:00Z"/>
        <d v="2023-02-24T00:00:00Z"/>
        <d v="2023-02-27T00:00:00Z"/>
        <d v="2023-02-28T00:00:00Z"/>
        <d v="2023-03-01T00:00:00Z"/>
        <d v="2023-03-05T00:00:00Z"/>
        <d v="2023-03-06T00:00:00Z"/>
        <d v="2023-03-08T00:00:00Z"/>
        <d v="2023-03-13T00:00:00Z"/>
        <d v="2023-03-14T00:00:00Z"/>
        <d v="2023-03-16T00:00:00Z"/>
        <d v="2023-03-21T00:00:00Z"/>
        <d v="2023-03-22T00:00:00Z"/>
        <d v="2023-03-23T00:00:00Z"/>
        <d v="2023-03-24T00:00:00Z"/>
        <d v="2023-03-26T00:00:00Z"/>
        <d v="2023-03-30T00:00:00Z"/>
        <d v="2023-03-31T00:00:00Z"/>
        <d v="2023-04-08T00:00:00Z"/>
        <d v="2023-04-10T00:00:00Z"/>
        <d v="2023-04-14T00:00:00Z"/>
        <d v="2023-04-15T00:00:00Z"/>
        <d v="2023-04-16T00:00:00Z"/>
        <d v="2023-04-19T00:00:00Z"/>
        <d v="2023-04-20T00:00:00Z"/>
        <d v="2023-04-21T00:00:00Z"/>
        <d v="2023-04-23T00:00:00Z"/>
        <d v="2023-04-25T00:00:00Z"/>
        <d v="2023-04-26T00:00:00Z"/>
        <d v="2023-04-27T00:00:00Z"/>
        <d v="2023-04-28T00:00:00Z"/>
        <d v="2023-05-02T00:00:00Z"/>
        <d v="2023-05-05T00:00:00Z"/>
        <d v="2023-05-09T00:00:00Z"/>
        <d v="2023-05-13T00:00:00Z"/>
        <d v="2023-05-14T00:00:00Z"/>
        <d v="2023-05-15T00:00:00Z"/>
        <d v="2023-05-21T00:00:00Z"/>
        <d v="2023-05-25T00:00:00Z"/>
        <d v="2023-05-29T00:00:00Z"/>
        <d v="2023-05-30T00:00:00Z"/>
        <d v="2023-05-31T00:00:00Z"/>
        <d v="2023-06-07T00:00:00Z"/>
        <d v="2023-06-08T00:00:00Z"/>
        <d v="2023-06-12T00:00:00Z"/>
        <d v="2023-06-13T00:00:00Z"/>
        <d v="2023-06-26T00:00:00Z"/>
        <d v="2023-06-28T00:00:00Z"/>
        <d v="2023-07-03T11:58:00Z"/>
        <d v="2023-07-07T22:12:00Z"/>
        <d v="2023-07-10T20:47:00Z"/>
        <d v="2023-07-10T23:20:00Z"/>
        <d v="2023-07-13T12:14:00Z"/>
        <d v="2023-07-14T08:00:00Z"/>
        <d v="2023-07-14T23:54:00Z"/>
        <d v="2023-07-16T00:00:00Z"/>
        <d v="2023-07-16T22:08:00Z"/>
        <d v="2023-07-17T02:40:00Z"/>
        <d v="2023-07-17T03:11:00Z"/>
        <d v="2023-07-18T00:00:00Z"/>
        <d v="2023-07-22T17:18:00Z"/>
        <d v="2023-07-23T00:00:00Z"/>
        <d v="2023-07-24T14:36:00Z"/>
        <d v="2023-07-24T18:56:00Z"/>
        <d v="2023-07-26T00:00:00Z"/>
        <d v="2023-07-28T09:54:00Z"/>
        <d v="2023-07-29T13:20:00Z"/>
        <d v="2023-08-01T00:00:00Z"/>
        <d v="2023-08-01T05:06:00Z"/>
        <d v="2023-08-02T03:32:00Z"/>
        <d v="2023-08-05T16:05:00Z"/>
        <d v="2023-08-05T18:04:00Z"/>
        <d v="2023-08-07T11:13:00Z"/>
        <d v="2023-08-07T18:40:00Z"/>
        <d v="2023-08-07T21:04:00Z"/>
        <d v="2023-08-07T21:35:00Z"/>
        <d v="2023-08-08T11:07:00Z"/>
        <d v="2023-08-09T20:02:00Z"/>
        <d v="2023-08-10T00:00:00Z"/>
        <d v="2023-08-10T13:44:00Z"/>
        <d v="2023-08-12T14:54:00Z"/>
        <d v="2023-08-15T18:20:00Z"/>
        <d v="2023-08-16T12:13:00Z"/>
        <d v="2023-08-18T20:02:00Z"/>
        <d v="2023-08-22T02:51:00Z"/>
        <d v="2023-08-22T19:47:00Z"/>
        <d v="2023-08-24T19:02:00Z"/>
        <d v="2023-08-27T14:51:00Z"/>
        <d v="2023-08-27T21:02:00Z"/>
        <d v="2023-08-27T22:23:00Z"/>
        <d v="2023-08-30T04:09:00Z"/>
        <d v="2023-09-04T17:43:00Z"/>
        <d v="2023-09-05T11:52:00Z"/>
        <d v="2023-09-06T00:08:00Z"/>
        <d v="2023-09-06T19:05:00Z"/>
        <d v="2023-09-10T00:00:00Z"/>
        <d v="2023-09-12T00:00:00Z"/>
        <d v="2023-09-13T00:00:00Z"/>
        <d v="2023-09-14T00:00:00Z"/>
        <d v="2023-09-15T00:00:00Z"/>
        <d v="2023-09-17T00:00:00Z"/>
        <d v="2023-09-19T00:00:00Z"/>
        <d v="2023-09-20T00:00:00Z"/>
        <d v="2023-09-21T00:00:00Z"/>
        <d v="2023-09-23T00:00:00Z"/>
        <d v="2023-09-29T00:00:00Z"/>
        <d v="2023-09-30T00:00:00Z"/>
        <d v="2023-10-02T00:00:00Z"/>
        <d v="2023-10-06T00:00:00Z"/>
        <d v="2023-10-07T00:00:00Z"/>
        <d v="2023-10-08T00:00:00Z"/>
        <d v="2023-10-09T00:00:00Z"/>
        <d v="2023-10-11T00:00:00Z"/>
        <d v="2023-10-12T00:00:00Z"/>
        <d v="2023-10-15T00:00:00Z"/>
        <d v="2023-10-17T00:00:00Z"/>
        <d v="2023-10-19T00:00:00Z"/>
        <d v="2023-10-20T00:00:00Z"/>
        <d v="2023-10-21T00:00:00Z"/>
        <d v="2023-10-23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5T00:00:00Z"/>
        <d v="2023-11-07T00:00:00Z"/>
        <d v="2023-11-08T00:00:00Z"/>
        <d v="2023-11-09T00:00:00Z"/>
        <d v="2023-11-11T00:00:00Z"/>
        <d v="2023-11-13T00:00:00Z"/>
        <d v="2023-11-17T00:00:00Z"/>
        <d v="2023-11-20T00:00:00Z"/>
        <d v="2023-11-25T00:00:00Z"/>
        <d v="2023-11-26T00:00:00Z"/>
        <d v="2023-11-27T00:00:00Z"/>
        <d v="2023-11-28T00:00:00Z"/>
        <d v="2023-11-29T00:00:00Z"/>
        <d v="2023-12-02T03:49:00Z"/>
        <d v="2023-12-02T03:53:00Z"/>
        <d v="2023-12-04T16:33:00Z"/>
        <d v="2023-12-05T04:52:00Z"/>
        <d v="2023-12-06T02:38:00Z"/>
        <d v="2023-12-06T04:29:00Z"/>
        <d v="2023-12-07T16:40:00Z"/>
        <d v="2023-12-09T15:33:00Z"/>
        <d v="2023-12-10T09:00:00Z"/>
        <d v="2023-12-10T13:16:00Z"/>
        <d v="2023-12-10T14:33:00Z"/>
        <d v="2023-12-11T00:00:00Z"/>
        <d v="2023-12-11T12:57:00Z"/>
        <d v="2023-12-12T15:18:00Z"/>
        <d v="2023-12-14T03:02:00Z"/>
        <d v="2023-12-19T23:10:00Z"/>
        <d v="2023-12-20T16:43:00Z"/>
        <d v="2023-12-20T17:44:00Z"/>
        <d v="2023-12-21T21:07:00Z"/>
        <d v="2023-12-22T19:50:00Z"/>
        <d v="2023-12-23T13:39:00Z"/>
        <d v="2023-12-30T21:50:00Z"/>
        <d v="2024-01-02T00:00:00Z"/>
        <d v="2024-01-03T16:11:00Z"/>
        <d v="2024-01-03T18:14:00Z"/>
        <d v="2024-01-04T03:15:00Z"/>
        <d v="2024-01-04T14:29:00Z"/>
        <d v="2024-01-04T16:29:00Z"/>
        <d v="2024-01-04T16:57:00Z"/>
        <d v="2024-01-05T09:45:00Z"/>
        <d v="2024-01-05T10:34:00Z"/>
        <d v="2024-01-06T05:32:00Z"/>
        <d v="2024-01-06T17:45:00Z"/>
        <d v="2024-01-07T19:10:00Z"/>
        <d v="2024-01-08T03:15:00Z"/>
        <d v="2024-01-08T11:12:00Z"/>
        <d v="2024-01-09T21:37:00Z"/>
        <d v="2024-01-10T15:30:00Z"/>
        <d v="2024-01-10T17:10:00Z"/>
        <d v="2024-01-11T12:48:00Z"/>
        <d v="2024-01-12T23:26:00Z"/>
        <d v="2024-01-13T00:00:00Z"/>
        <d v="2024-01-13T12:05:00Z"/>
        <d v="2024-01-15T10:43:00Z"/>
        <d v="2024-01-15T17:10:00Z"/>
        <d v="2024-01-16T03:35:00Z"/>
        <d v="2024-01-17T03:40:00Z"/>
        <d v="2024-01-17T13:04:00Z"/>
        <d v="2024-01-17T15:00:00Z"/>
        <d v="2024-01-18T14:42:00Z"/>
        <d v="2024-01-18T17:58:00Z"/>
        <d v="2024-01-20T00:00:00Z"/>
        <d v="2024-01-21T20:21:00Z"/>
        <d v="2024-01-22T06:27:00Z"/>
        <d v="2024-01-24T12:54:00Z"/>
        <d v="2024-01-24T18:07:00Z"/>
        <d v="2024-01-26T13:58:00Z"/>
        <d v="2024-01-29T02:01:00Z"/>
        <d v="2024-01-29T23:52:00Z"/>
        <d v="2024-01-30T16:39:00Z"/>
        <d v="2024-01-30T22:42:00Z"/>
        <d v="2024-01-31T15:07:00Z"/>
        <d v="2024-02-02T14:08:00Z"/>
        <d v="2024-02-02T20:55:00Z"/>
        <d v="2024-02-05T15:43:00Z"/>
        <d v="2024-02-05T19:17:00Z"/>
        <d v="2024-02-06T08:13:00Z"/>
        <d v="2024-02-06T13:49:00Z"/>
        <d v="2024-02-06T23:43:00Z"/>
        <d v="2024-02-07T09:01:00Z"/>
        <d v="2024-02-08T15:12:00Z"/>
        <d v="2024-02-12T10:34:00Z"/>
        <d v="2024-02-13T09:08:00Z"/>
        <d v="2024-02-13T10:27:00Z"/>
        <d v="2024-02-14T17:42:00Z"/>
        <d v="2024-02-16T13:58:00Z"/>
        <d v="2024-02-19T00:00:00Z"/>
        <d v="2024-02-19T08:47:00Z"/>
        <d v="2024-02-19T21:19:00Z"/>
        <d v="2024-02-19T23:56:00Z"/>
        <d v="2024-02-22T16:34:00Z"/>
        <d v="2024-02-23T15:32:00Z"/>
        <d v="2024-02-24T18:06:00Z"/>
        <d v="2024-02-25T20:01:00Z"/>
        <d v="2024-02-27T13:38:00Z"/>
        <d v="2024-03-02T15:42:00Z"/>
        <d v="2024-03-05T07:30:00Z"/>
        <d v="2024-03-05T10:56:00Z"/>
        <d v="2024-03-05T14:13:00Z"/>
        <d v="2024-03-06T20:48:00Z"/>
        <d v="2024-03-07T06:35:00Z"/>
        <d v="2024-03-07T18:48:00Z"/>
        <d v="2024-03-07T20:14:00Z"/>
        <d v="2024-03-13T14:17:00Z"/>
        <d v="2024-03-14T00:00:00Z"/>
        <d v="2024-03-14T07:43:00Z"/>
        <d v="2024-03-14T08:50:00Z"/>
        <d v="2024-03-15T13:41:00Z"/>
        <d v="2024-03-16T13:33:00Z"/>
        <d v="2024-03-17T15:43:00Z"/>
        <d v="2024-03-20T12:02:00Z"/>
        <d v="2024-03-21T19:52:00Z"/>
        <d v="2024-03-22T17:07:00Z"/>
        <d v="2024-03-23T16:35:00Z"/>
        <d v="2024-03-25T00:09:00Z"/>
        <d v="2024-03-25T17:47:00Z"/>
        <d v="2024-03-27T19:44:00Z"/>
        <d v="2024-04-01T15:51:00Z"/>
        <d v="2024-04-01T16:06:00Z"/>
        <d v="2024-04-02T17:24:00Z"/>
        <d v="2024-04-03T11:14:00Z"/>
        <d v="2024-04-03T23:04:00Z"/>
        <d v="2024-04-04T14:52:00Z"/>
        <d v="2024-04-06T15:08:00Z"/>
        <d v="2024-04-06T16:37:00Z"/>
        <d v="2024-04-06T21:52:00Z"/>
        <d v="2024-04-07T08:56:00Z"/>
        <d v="2024-04-08T22:09:00Z"/>
        <d v="2024-04-08T22:26:00Z"/>
        <d v="2024-04-09T04:29:00Z"/>
        <d v="2024-04-11T16:20:00Z"/>
        <d v="2024-04-12T10:27:00Z"/>
        <d v="2024-04-15T14:01:00Z"/>
        <d v="2024-04-16T14:14:00Z"/>
        <d v="2024-04-16T15:17:00Z"/>
        <d v="2024-04-17T06:23:00Z"/>
        <d v="2024-04-19T16:05:00Z"/>
        <d v="2024-04-21T00:33:00Z"/>
        <d v="2024-04-23T00:00:00Z"/>
        <d v="2024-04-23T05:23:00Z"/>
        <d v="2024-04-24T08:59:00Z"/>
        <d v="2024-04-24T15:03:00Z"/>
        <d v="2024-04-24T18:59:00Z"/>
        <d v="2024-04-26T14:27:00Z"/>
        <d v="2024-04-26T14:36:00Z"/>
        <d v="2024-04-27T10:57:00Z"/>
        <d v="2024-04-29T11:36:00Z"/>
        <d v="2024-05-07T06:53:00Z"/>
        <d v="2024-05-07T10:57:00Z"/>
        <d v="2024-05-08T06:14:00Z"/>
        <d v="2024-05-08T11:20:00Z"/>
        <d v="2024-05-08T15:09:00Z"/>
        <d v="2024-05-09T09:45:00Z"/>
        <d v="2024-05-10T07:05:05Z"/>
        <d v="2024-05-10T16:29:15Z"/>
        <d v="2024-05-10T23:29:49Z"/>
        <d v="2024-05-12T10:57:57Z"/>
        <d v="2024-05-14T12:38:46Z"/>
        <d v="2024-05-15T04:54:12Z"/>
        <d v="2024-05-16T07:59:52Z"/>
        <d v="2024-05-16T15:06:51Z"/>
        <d v="2024-05-16T19:04:46Z"/>
        <d v="2024-05-18T08:37:10Z"/>
        <d v="2024-05-18T15:57:11Z"/>
        <d v="2024-05-19T19:15:22Z"/>
        <d v="2024-05-21T08:10:00Z"/>
        <d v="2024-05-21T15:34:00Z"/>
        <d v="2024-05-23T09:54:00Z"/>
        <d v="2024-05-24T15:15:00Z"/>
        <d v="2024-05-25T14:50:00Z"/>
        <d v="2024-05-27T18:02:00Z"/>
        <d v="2024-05-28T17:11:00Z"/>
        <d v="2024-05-29T11:33:00Z"/>
        <d v="2024-05-29T15:19:00Z"/>
        <d v="2024-05-31T10:40:00Z"/>
        <d v="2024-05-31T12:41:00Z"/>
        <d v="2024-06-04T12:54:00Z"/>
        <d v="2024-06-05T10:47:00Z"/>
        <d v="2024-06-05T13:38:00Z"/>
        <d v="2024-06-07T06:19:00Z"/>
        <d v="2024-06-07T14:05:00Z"/>
        <d v="2024-06-10T15:05:00Z"/>
        <d v="2024-06-10T15:34:00Z"/>
        <d v="2024-06-11T09:14:00Z"/>
        <d v="2024-06-14T03:34:00Z"/>
        <d v="2024-06-14T19:02:00Z"/>
        <d v="2024-06-16T14:37:00Z"/>
        <d v="2024-06-19T05:21:00Z"/>
        <d v="2024-06-20T06:54:00Z"/>
        <d v="2024-06-21T12:25:00Z"/>
        <d v="2024-06-22T03:35:00Z"/>
        <d v="2024-06-22T03:36:00Z"/>
        <d v="2024-06-24T03:53:00Z"/>
        <d v="2024-06-24T12:26:00Z"/>
        <d v="2024-06-24T13:17:00Z"/>
        <d v="2024-06-25T02:46:00Z"/>
        <d v="2024-06-25T15:07:00Z"/>
        <d v="2024-06-26T14:06:00Z"/>
        <d v="2024-06-27T02:22:00Z"/>
        <d v="2024-06-27T14:26:00Z"/>
        <d v="2024-06-27T16:03:00Z"/>
        <d v="2024-06-28T05:06:00Z"/>
        <d v="2024-06-30T15:22:00Z"/>
        <d v="2024-07-01T13:06:28Z"/>
        <d v="2024-07-01T13:52:21Z"/>
        <d v="2024-07-01T16:50:12Z"/>
        <d v="2024-07-01T17:09:23Z"/>
        <d v="2024-07-02T23:08:33Z"/>
        <d v="2024-07-03T21:17:23Z"/>
        <d v="2024-07-05T15:02:47Z"/>
        <d v="2024-07-07T04:19:43Z"/>
        <d v="2024-07-09T14:15:39Z"/>
        <d v="2024-07-09T21:04:32Z"/>
        <d v="2024-07-10T08:40:30Z"/>
        <d v="2024-07-10T12:10:39Z"/>
        <d v="2024-07-12T12:10:14Z"/>
        <d v="2024-07-15T05:00:44Z"/>
        <d v="2024-07-15T17:01:25Z"/>
        <d v="2024-07-17T09:27:42Z"/>
        <d v="2024-07-17T10:05:05Z"/>
        <d v="2024-07-18T16:50:33Z"/>
        <d v="2024-07-19T15:51:33Z"/>
        <d v="2024-07-22T00:55:34Z"/>
        <d v="2024-07-24T10:55:06Z"/>
        <d v="2024-07-24T17:04:48Z"/>
        <d v="2024-07-24T17:11:16Z"/>
        <d v="2024-07-24T21:40:40Z"/>
        <d v="2024-08-01T15:42:02Z"/>
        <d v="2024-08-02T14:47:27Z"/>
        <d v="2024-08-03T13:11:26Z"/>
        <d v="2024-08-05T18:18:47Z"/>
        <d v="2024-08-06T12:24:01Z"/>
        <d v="2024-08-06T22:49:25Z"/>
        <d v="2024-08-10T18:28:30Z"/>
        <d v="2024-08-11T18:31:13Z"/>
        <d v="2024-08-13T10:31:16Z"/>
        <d v="2024-08-15T11:56:59Z"/>
        <d v="2024-08-16T16:02:25Z"/>
        <d v="2024-08-18T13:38:39Z"/>
        <d v="2024-08-23T01:18:06Z"/>
        <d v="2024-08-24T11:27:19Z"/>
        <d v="2024-08-24T14:18:07Z"/>
        <d v="2024-08-25T18:21:46Z"/>
        <d v="2024-08-26T04:05:48Z"/>
        <d v="2024-08-26T04:12:45Z"/>
        <d v="2024-08-27T13:40:42Z"/>
        <d v="2024-08-27T14:27:31Z"/>
        <d v="2024-08-30T02:33:28Z"/>
        <d v="2024-08-30T08:01:36Z"/>
        <d v="2024-08-30T12:12:55Z"/>
        <d v="2024-08-30T14:07:58Z"/>
        <d v="2024-09-04T02:54:53Z"/>
        <d v="2024-09-04T05:49:30Z"/>
        <d v="2024-09-04T13:11:25Z"/>
        <d v="2024-09-04T13:58:52Z"/>
        <d v="2024-09-05T17:01:18Z"/>
        <d v="2024-09-07T09:30:05Z"/>
        <d v="2024-09-09T12:33:24Z"/>
        <d v="2024-09-10T03:11:22Z"/>
        <d v="2024-09-10T08:00:35Z"/>
        <d v="2024-09-10T14:43:43Z"/>
        <d v="2024-09-11T11:37:49Z"/>
        <d v="2024-09-11T14:50:50Z"/>
        <d v="2024-09-11T16:14:48Z"/>
        <d v="2024-09-11T18:30:21Z"/>
        <d v="2024-09-12T17:18:10Z"/>
        <d v="2024-09-13T16:30:26Z"/>
        <d v="2024-09-14T02:49:58Z"/>
        <d v="2024-09-16T19:06:18Z"/>
        <d v="2024-09-19T14:09:50Z"/>
        <d v="2024-09-19T16:37:56Z"/>
        <d v="2024-09-21T18:56:30Z"/>
        <d v="2024-09-23T08:53:57Z"/>
        <d v="2024-09-25T02:51:22Z"/>
        <d v="2024-09-26T18:23:56Z"/>
        <d v="2024-09-30T03:07:21Z"/>
        <d v="2024-09-30T11:43:46Z"/>
        <d v="2024-09-30T22:29:53Z"/>
        <d v="2024-10-01T16:57:40Z"/>
        <d v="2024-10-01T17:11:55Z"/>
        <d v="2024-10-02T05:17:53Z"/>
        <d v="2024-10-02T23:38:31Z"/>
        <d v="2024-10-03T19:40:54Z"/>
        <d v="2024-10-04T13:20:40Z"/>
        <d v="2024-10-08T12:55:29Z"/>
        <d v="2024-10-09T09:34:41Z"/>
        <d v="2024-10-10T17:10:31Z"/>
        <d v="2024-10-12T19:17:01Z"/>
        <d v="2024-10-13T18:49:06Z"/>
        <d v="2024-10-15T09:59:27Z"/>
        <d v="2024-10-15T11:54:25Z"/>
        <d v="2024-10-17T04:41:29Z"/>
        <d v="2024-10-18T15:09:10Z"/>
        <d v="2024-10-20T14:28:55Z"/>
        <d v="2024-10-20T18:05:51Z"/>
        <d v="2024-10-20T23:34:02Z"/>
        <d v="2024-10-21T10:51:02Z"/>
        <d v="2024-10-22T03:55:32Z"/>
        <d v="2024-10-22T19:51:16Z"/>
        <d v="2024-10-23T03:13:37Z"/>
        <d v="2024-10-23T08:25:52Z"/>
        <d v="2024-10-25T07:48:07Z"/>
        <d v="2024-10-25T12:03:14Z"/>
        <d v="2024-10-27T08:11:55Z"/>
        <d v="2024-10-27T09:17:21Z"/>
        <d v="2024-10-28T10:03:52Z"/>
        <d v="2024-10-29T18:23:56Z"/>
        <d v="2024-10-30T07:31:39Z"/>
        <d v="2024-10-30T14:43:08Z"/>
        <d v="2024-10-30T17:33:52Z"/>
        <d v="2024-10-31T14:39:21Z"/>
        <d v="2024-11-04T13:02:42Z"/>
        <d v="2024-11-04T14:24:42Z"/>
        <d v="2024-11-05T20:38:22Z"/>
        <d v="2024-11-06T07:14:06Z"/>
        <d v="2024-11-07T15:09:45Z"/>
        <d v="2024-11-09T18:30:38Z"/>
        <d v="2024-11-10T16:55:20Z"/>
        <d v="2024-11-11T16:37:03Z"/>
        <d v="2024-11-14T14:24:21Z"/>
        <d v="2024-11-16T17:19:24Z"/>
        <d v="2024-11-17T06:59:32Z"/>
        <d v="2024-11-17T07:41:53Z"/>
        <d v="2024-11-17T09:36:38Z"/>
        <d v="2024-11-18T06:34:42Z"/>
        <d v="2024-11-18T19:45:39Z"/>
        <d v="2024-11-18T22:19:46Z"/>
        <d v="2024-11-18T22:20:16Z"/>
        <d v="2024-11-19T11:18:46Z"/>
        <d v="2024-11-19T15:33:36Z"/>
        <d v="2024-11-21T14:33:21Z"/>
        <d v="2024-11-23T07:05:57Z"/>
        <d v="2024-11-24T11:12:04Z"/>
        <d v="2024-11-25T21:10:13Z"/>
        <d v="2024-11-29T18:15:46Z"/>
        <d v="2024-12-01T09:24:55Z"/>
        <d v="2024-12-01T17:23:05Z"/>
        <d v="2024-12-01T23:57:06Z"/>
        <d v="2024-12-02T17:13:12Z"/>
        <d v="2024-12-02T17:23:31Z"/>
        <d v="2024-12-02T17:23:53Z"/>
        <d v="2024-12-03T08:36:15Z"/>
        <d v="2024-12-04T15:24:45Z"/>
        <d v="2024-12-04T22:21:38Z"/>
        <d v="2024-12-05T00:50:57Z"/>
        <d v="2024-12-05T17:30:35Z"/>
        <d v="2024-12-09T05:26:21Z"/>
        <d v="2024-12-09T05:25:57Z"/>
        <d v="2024-12-15T21:02:03Z"/>
        <d v="2024-12-15T23:28:00Z"/>
        <d v="2024-12-18T15:24:55Z"/>
        <d v="2024-12-20T03:48:28Z"/>
        <d v="2024-12-20T10:23:08Z"/>
        <d v="2024-12-21T09:49:35Z"/>
        <d v="2024-12-24T13:11:52Z"/>
        <d v="2024-12-24T15:06:42Z"/>
        <d v="2024-12-24T16:54:19Z"/>
        <d v="2024-12-28T04:52:47Z"/>
        <d v="2024-12-28T04:53:11Z"/>
        <d v="2024-12-30T19:28:57Z"/>
        <d v="2024-12-30T19:39:53Z"/>
        <d v="2025-01-01T10:39:09Z"/>
        <d v="2025-01-01T20:55:27Z"/>
        <d v="2025-01-02T04:40:06Z"/>
        <d v="2025-01-02T21:50:02Z"/>
        <d v="2025-01-04T16:35:05Z"/>
        <d v="2025-01-04T17:32:44Z"/>
        <d v="2025-01-05T11:23:56Z"/>
        <d v="2025-01-07T11:10:19Z"/>
        <d v="2025-01-07T22:13:20Z"/>
        <d v="2025-01-10T09:47:31Z"/>
        <d v="2025-01-12T09:21:06Z"/>
        <d v="2025-01-15T07:53:13Z"/>
        <d v="2025-01-15T19:43:00Z"/>
        <d v="2025-01-16T17:00:52Z"/>
        <d v="2025-01-21T13:54:54Z"/>
        <d v="2025-01-21T19:27:29Z"/>
        <d v="2025-01-22T11:49:13Z"/>
        <d v="2025-01-22T16:38:19Z"/>
        <d v="2025-01-22T23:29:55Z"/>
        <d v="2025-01-22T19:16:41Z"/>
        <d v="2025-01-24T02:46:48Z"/>
        <d v="2025-01-28T00:11:57Z"/>
        <d v="2025-01-28T15:56:13Z"/>
        <d v="2025-01-29T08:27:00Z"/>
        <d v="2025-01-29T23:31:56Z"/>
        <d v="2025-02-02T13:25:13Z"/>
        <d v="2025-02-03T05:59:57Z"/>
        <d v="2025-02-03T17:41:22Z"/>
        <d v="2025-02-04T21:28:20Z"/>
        <d v="2025-02-05T22:16:42Z"/>
        <d v="2025-02-05T23:54:49Z"/>
        <d v="2025-02-07T13:24:52Z"/>
        <d v="2025-02-08T16:50:07Z"/>
        <d v="2025-02-10T04:48:27Z"/>
        <d v="2025-02-10T18:51:29Z"/>
        <d v="2025-02-11T05:41:34Z"/>
        <d v="2025-02-12T07:57:33Z"/>
        <d v="2025-02-13T00:57:12Z"/>
        <d v="2025-02-17T05:56:16Z"/>
        <d v="2025-02-17T17:45:49Z"/>
        <d v="2025-02-18T16:23:08Z"/>
        <d v="2025-02-18T19:33:52Z"/>
        <d v="2025-02-19T08:09:33Z"/>
        <d v="2025-02-19T08:43:20Z"/>
        <d v="2025-02-21T07:37:21Z"/>
        <d v="2025-02-24T11:15:52Z"/>
        <d v="2025-02-24T12:13:10Z"/>
        <d v="2025-03-01T20:14:45Z"/>
        <d v="2025-03-04T15:09:59Z"/>
        <d v="2025-03-05T22:33:06Z"/>
        <d v="2025-03-06T23:47:21Z"/>
        <d v="2025-03-08T08:09:50Z"/>
        <d v="2025-03-08T10:29:21Z"/>
        <d v="2025-03-09T09:38:49Z"/>
        <d v="2025-03-10T21:29:21Z"/>
        <d v="2025-03-11T04:33:35Z"/>
        <d v="2025-03-12T16:21:09Z"/>
        <d v="2025-03-13T13:15:48Z"/>
        <d v="2025-03-13T15:00:02Z"/>
        <d v="2025-03-14T00:25:51Z"/>
        <d v="2025-03-16T04:30:12Z"/>
        <d v="2025-03-16T16:40:00Z"/>
        <d v="2025-03-16T23:36:29Z"/>
        <d v="2025-03-17T21:28:26Z"/>
        <d v="2025-03-18T13:31:50Z"/>
        <d v="2025-03-20T15:49:37Z"/>
        <d v="2025-03-20T23:35:51Z"/>
        <d v="2025-03-21T02:45:28Z"/>
        <d v="2025-03-21T02:46:52Z"/>
        <d v="2025-03-21T13:50:56Z"/>
        <d v="2025-03-21T23:42:16Z"/>
        <d v="2025-03-22T16:22:53Z"/>
        <d v="2025-03-25T10:50:04Z"/>
        <d v="2025-03-29T10:27:51Z"/>
        <d v="2025-03-29T10:29:11Z"/>
        <d v="2025-03-31T23:35:07Z"/>
        <d v="2025-04-02T11:25:36Z"/>
        <d v="2025-04-02T17:55:47Z"/>
        <d v="2025-04-02T22:25:11Z"/>
        <d v="2025-04-03T13:42:18Z"/>
        <d v="2025-04-03T15:40:11Z"/>
        <d v="2025-04-04T14:12:20Z"/>
        <d v="2025-04-07T09:10:30Z"/>
        <d v="2025-04-09T10:05:11Z"/>
        <d v="2025-04-10T14:28:31Z"/>
        <d v="2025-04-13T03:56:41Z"/>
        <d v="2025-04-13T14:01:50Z"/>
        <d v="2025-04-22T06:07:06Z"/>
        <d v="2025-04-23T08:30:46Z"/>
        <d v="2025-04-23T14:18:47Z"/>
        <d v="2025-04-23T20:46:27Z"/>
        <d v="2025-04-27T10:25:54Z"/>
        <d v="2025-04-29T13:03:36Z"/>
        <d v="2025-04-29T16:10:19Z"/>
        <d v="2025-05-02T12:45:33Z"/>
        <d v="2025-05-04T10:57:03Z"/>
        <d v="2025-05-09T10:04:32Z"/>
        <d v="2025-05-11T16:20:28Z"/>
        <d v="2025-05-11T16:26:24Z"/>
        <d v="2025-05-12T13:38:15Z"/>
        <d v="2025-05-12T21:28:14Z"/>
        <d v="2025-05-13T02:39:43Z"/>
        <d v="2025-05-14T01:56:43Z"/>
        <d v="2025-05-16T12:18:45Z"/>
        <d v="2025-05-20T14:53:07Z"/>
        <d v="2025-05-21T00:02:21Z"/>
        <d v="2025-05-22T12:52:02Z"/>
        <d v="2025-05-22T18:22:14Z"/>
        <d v="2025-05-31T15:44:08Z"/>
        <d v="2025-06-01T03:07:28Z"/>
        <d v="2025-06-03T03:40:49Z"/>
        <d v="2025-06-03T10:37:10Z"/>
        <d v="2025-06-06T21:00:18Z"/>
        <d v="2025-06-10T08:44:11Z"/>
        <d v="2025-06-11T11:22:54Z"/>
        <d v="2025-06-12T04:07:03Z"/>
        <d v="2025-06-13T12:41:36Z"/>
        <d v="2025-06-16T11:37:19Z"/>
        <d v="2025-06-19T07:27:48Z"/>
        <d v="2025-06-20T03:13:11Z"/>
        <d v="2025-06-21T19:12:52Z"/>
        <d v="2025-06-23T03:14:08Z"/>
        <d v="2025-06-23T11:15:03Z"/>
        <d v="2025-06-24T00:00:35Z"/>
        <d v="2025-06-24T11:19:08Z"/>
        <d v="2025-06-25T11:56:58Z"/>
        <d v="2025-06-25T17:09:04Z"/>
        <d v="2025-06-27T05:34:33Z"/>
        <d v="2025-06-29T12:51:04Z"/>
        <d v="2025-06-30T02:49:31Z"/>
        <d v="2025-06-30T07:46:45Z"/>
        <d v="2025-06-30T11:44:45Z"/>
        <d v="2025-06-30T22:49:47Z"/>
        <d v="2025-07-01T00:54:55Z"/>
        <d v="2025-07-01T13:56:51Z"/>
        <d v="2025-07-07T13:15:14Z"/>
        <d v="2025-07-07T15:35:55Z"/>
        <d v="2025-07-07T15:52:43Z"/>
        <d v="2025-07-08T15:45:45Z"/>
        <d v="2025-07-12T22:15:47Z"/>
        <d v="2025-07-15T15:05:19Z"/>
        <d v="2025-07-16T02:53:15Z"/>
        <d v="2025-07-20T22:47:06Z"/>
        <d v="2025-07-22T18:42:43Z"/>
        <d v="2025-07-23T14:59:31Z"/>
        <d v="2025-07-24T06:33:23Z"/>
        <d v="2025-07-24T06:39:05Z"/>
        <d v="2025-07-24T13:12:20Z"/>
        <d v="2025-07-28T04:03:30Z"/>
        <d v="2025-07-28T14:40:17Z"/>
        <d v="2025-07-30T21:48:09Z"/>
        <d v="2025-07-31T11:52:59Z"/>
        <d v="2025-07-31T12:28:10Z"/>
        <d v="2025-07-31T14:19:52Z"/>
        <d v="2025-07-31T17:04:01Z"/>
        <d v="2025-08-06T07:05:57Z"/>
        <d v="2025-08-08T04:29:54Z"/>
        <d v="2025-08-10T01:46:31Z"/>
        <d v="2025-08-11T14:37:54Z"/>
        <d v="2025-08-13T13:22:39Z"/>
        <d v="2025-08-15T01:58:52Z"/>
        <d v="2025-08-18T13:59:51Z"/>
        <d v="2025-08-19T09:05:22Z"/>
        <d v="2025-08-21T10:03:09Z"/>
        <d v="2025-08-22T02:10:42Z"/>
        <d v="2025-08-22T11:56:27Z"/>
        <d v="2025-08-25T22:09:29Z"/>
        <d v="2025-08-27T02:01:33Z"/>
        <d v="2025-08-28T05:49:35Z"/>
        <d v="2025-08-29T12:56:10Z"/>
        <d v="2025-08-29T16:48:05Z"/>
        <d v="2025-09-01T04:39:55Z"/>
        <d v="2025-09-03T13:38:47Z"/>
        <d v="2025-09-03T14:38:48Z"/>
        <d v="2025-09-04T16:09:39Z"/>
        <d v="2025-09-05T03:11:44Z"/>
        <d v="2025-09-06T16:10:58Z"/>
        <d v="2025-09-07T05:08:12Z"/>
        <d v="2025-09-07T15:32:45Z"/>
        <d v="2025-09-07T15:51:33Z"/>
        <d v="2025-09-07T16:58:41Z"/>
        <d v="2025-09-07T22:42:14Z"/>
        <d v="2025-09-08T12:35:13Z"/>
        <d v="2025-09-09T05:15:51Z"/>
        <d v="2025-09-09T16:12:07Z"/>
        <d v="2025-09-12T13:52:38Z"/>
        <d v="2025-09-12T21:45:28Z"/>
        <d v="2025-09-16T21:14:05Z"/>
        <d v="2025-09-18T15:19:02Z"/>
        <d v="2025-10-10T01:54:35Z"/>
        <d v="2025-10-10T02:49:30Z"/>
        <d v="2025-10-10T14:44:23Z"/>
        <d v="2025-10-12T19:31:16Z"/>
        <d v="2025-10-14T16:11:31Z"/>
        <d v="2025-10-15T09:15:31Z"/>
        <d v="2025-10-20T15:02:33Z"/>
        <d v="2025-10-22T14:17:52Z"/>
        <d v="2025-10-23T05:59:30Z"/>
        <d v="2025-10-27T13:36:20Z"/>
        <d v="2025-10-28T11:34:36Z"/>
        <d v="2025-10-28T17:48:42Z"/>
        <d v="2025-10-29T09:23:42Z"/>
        <d v="2025-10-31T08:17:47Z"/>
        <d v="2025-11-02T09:18:48Z"/>
        <d v="2025-11-02T21:12:11Z"/>
        <d v="2025-11-03T13:42:30Z"/>
        <d v="2025-11-05T12:18:08Z"/>
        <d v="2025-11-13T18:44:22Z"/>
        <d v="2025-11-14T17:52:47Z"/>
        <d v="2025-11-15T04:17:50Z"/>
        <d v="2025-11-16T10:24:49Z"/>
        <d v="2025-11-16T15:59:48Z"/>
        <d v="2025-11-17T09:37:49Z"/>
        <d v="2025-11-19T19:10:13Z"/>
        <d v="2025-11-20T14:24:35Z"/>
        <d v="2025-11-21T06:54:40Z"/>
        <d v="2025-11-24T14:16:48Z"/>
        <d v="2025-11-24T17:40:33Z"/>
        <d v="2025-11-26T00:30:02Z"/>
        <d v="2025-11-26T06:05:06Z"/>
        <d v="2025-11-27T19:03:44Z"/>
        <d v="2025-11-30T14:48:12Z"/>
        <d v="2025-12-02T15:56:43Z"/>
        <d v="2025-12-04T13:30:07Z"/>
        <d v="2025-12-05T12:22:11Z"/>
        <d v="2025-12-07T15:08:22Z"/>
        <d v="2025-12-08T07:15:16Z"/>
        <d v="2025-12-11T06:28:22Z"/>
        <d v="2025-12-11T22:31:39Z"/>
        <d v="2025-12-12T13:28:21Z"/>
        <d v="2025-12-13T17:39:14Z"/>
        <d v="2025-12-16T12:48:43Z"/>
        <d v="2025-12-18T11:22:42Z"/>
        <d v="2025-12-18T16:01:45Z"/>
        <d v="2025-12-21T15:33:20Z"/>
        <d v="2025-12-22T14:54:16Z"/>
        <d v="2025-12-29T14:50:39Z"/>
        <d v="2025-12-30T19:17:49Z"/>
        <m/>
      </sharedItems>
    </cacheField>
    <cacheField name="Name" numFmtId="0">
      <sharedItems containsBlank="1">
        <s v="gertruda abi mansour"/>
        <s v="julia rushchenko"/>
        <s v="anja younes"/>
        <s v="hr drs r van wel"/>
        <s v="farah afshar"/>
        <s v="zach bajaber"/>
        <s v="sarah abouhamad"/>
        <s v="anna grouzdev"/>
        <s v="frank lohÃ©ac"/>
        <s v="philip wynn jones"/>
        <s v="katarina vasilj"/>
        <s v="federico durante"/>
        <s v="oleavanti. llc"/>
        <s v="miriam el hilany"/>
        <s v="elena taranina"/>
        <s v="sevag toujian"/>
        <s v="mckenna mills"/>
        <s v="maya abood"/>
        <s v="renee nassar"/>
        <s v="tony gualtieri"/>
        <s v="tanja traboulsi"/>
        <s v="jessica gerschultz"/>
        <s v="erika whitmore"/>
        <s v="danny hage"/>
        <s v="octavia purdy"/>
        <s v="nina lacaprara"/>
        <s v="ann marie sabath"/>
        <s v="valerie perez"/>
        <s v="john mcgrath"/>
        <s v="elissar saleh"/>
        <s v="jonathan donovan"/>
        <s v="alessandra tadei"/>
        <s v="anthony barakat"/>
        <s v="oliver black"/>
        <s v="giulio iacobelli"/>
        <s v="agdaliya mikhalkova"/>
        <s v="chelsea el-azzi"/>
        <s v="natalie hammoud"/>
        <s v="alida"/>
        <s v="ghadi tayeh"/>
        <s v="sophie kenos"/>
        <s v="jason corey"/>
        <s v="anthony wubbena"/>
        <s v="somaya jalal"/>
        <s v="leah halcomb"/>
        <s v="mike calvin"/>
        <s v="ramzi sleiman"/>
        <s v="noura kiridly"/>
        <s v="jeremiah carter"/>
        <s v="emil naamani"/>
        <s v="sophie stansfield"/>
        <s v="helena nelson"/>
        <s v="kelly sciandra"/>
        <s v="polina tsapko"/>
        <s v="chris wehbe"/>
        <s v="lauren blackwell"/>
        <s v="mohamad majzoub"/>
        <s v="florence hajj assaf"/>
        <s v="rose wyatt"/>
        <s v="janice chaoul"/>
        <s v="jared ferrell"/>
        <s v="emile karam"/>
        <s v="stephen keshishian"/>
        <s v="valeriya sotula"/>
        <s v="oksana nastasii"/>
        <s v="medeena barada"/>
        <s v="hussam baydoun"/>
        <s v="gemma fox"/>
        <s v="elena gafton"/>
        <s v="kathleen harding"/>
        <s v="megan lecrone"/>
        <s v="micah collins"/>
        <s v="henrik holgersson"/>
        <s v="christina kheir"/>
        <s v="tyson duffy"/>
        <s v="maysan benjelloun"/>
        <s v="keiran molaeb"/>
        <s v="liam white"/>
        <s v="najim zaytoun"/>
        <s v="emilia vignola"/>
        <s v="lynnette gonzalez"/>
        <s v="diana tzinis"/>
        <s v="ellen murchie"/>
        <s v="magali"/>
        <s v="jamie tong"/>
        <s v="lauren haddad"/>
        <s v="merrell brzeczek"/>
        <s v="najwa aswad"/>
        <s v="svenja thalmann"/>
        <s v="imogen bole"/>
        <s v="chithra subramoni"/>
        <s v="ashleigh stewart"/>
        <s v="afif massih"/>
        <s v="lara bokhowa"/>
        <s v="ammar kurdmisto"/>
        <s v="david jacobs"/>
        <s v="sophie naufal-baker"/>
        <s v="marwan asiff"/>
        <s v="jozef suvada"/>
        <s v="andrea sitta"/>
        <s v="mariane labrecque"/>
        <s v="shaghayegh lietz"/>
        <s v="david strider"/>
        <s v="satadru sanyal"/>
        <s v="arianna traverso"/>
        <s v="rachel nagem bou zeid"/>
        <s v="ryan loots"/>
        <s v="sahar shoaib"/>
        <s v="lindsay betros"/>
        <s v="emiliano stornelli"/>
        <s v="leah najjar"/>
        <s v="lalia bravo"/>
        <s v="aliyah saab"/>
        <s v="charlotte mosquera"/>
        <s v="joshua khoury"/>
        <s v="kelsey nightingale"/>
        <s v="alexandra ayoob"/>
        <s v="sami el solh"/>
        <s v="louise pillais"/>
        <s v="joseph azzam"/>
        <s v="coryn carson"/>
        <s v="aubrie brault"/>
        <s v="Ã©ric hervÃ©"/>
        <s v="tanya bernier"/>
        <s v="melanie mcdacy"/>
        <s v="sarah abouhamad davies"/>
        <s v="alyssa hajj assaf"/>
        <s v="jacob clark"/>
        <s v="mrs.j. chaoul"/>
        <s v="mle pillais louise"/>
        <s v="mike chappell"/>
        <s v="marcus mola"/>
        <s v="paywand ramazani"/>
        <s v="anthony gualtieri"/>
        <s v="lara wehbe"/>
        <s v="hicran basalak"/>
        <s v="j rushchenko"/>
        <s v="diana demetra tzinis"/>
        <s v="maya jouzaa"/>
        <s v="joseph harake"/>
        <s v="jeremiah d carter"/>
        <s v="nicole scaffide"/>
        <s v="megan e lecrone"/>
        <s v="kris saad"/>
        <s v="emma scott"/>
        <s v="belinda kniese"/>
        <s v="emanuela cisini"/>
        <s v="matthieu fayad"/>
        <s v="anne rouhban"/>
        <s v="andrew chaoul"/>
        <s v="edward bechara"/>
        <s v="manaan mehr"/>
        <s v="mrs j. chaoul"/>
        <s v="svenja meret thalmann"/>
        <s v="may eid"/>
        <s v="erika fournier"/>
        <s v="leeav nagola"/>
        <s v="afif john massih"/>
        <s v="mle louise pillais"/>
        <s v="Adina Tarcea"/>
        <s v="abie musa"/>
        <s v="YH Turk"/>
        <s v="GOASDOUE"/>
        <s v="Lara Wehbe Bokhowa"/>
        <s v="Priscilla M Orozco-Raudez"/>
        <s v="Adele Daboul"/>
        <s v="Sarah Davies"/>
        <s v="P M Orozco-Raudez"/>
        <s v="Kathleen M Johnson"/>
        <s v="MR ANDREW CHAOUL"/>
        <s v="Jacob C. Lehman"/>
        <s v="Wolfgang Bruckner"/>
        <s v="ERIC HERVE"/>
        <s v="Naja Kassir"/>
        <s v="Sharajer Lietz"/>
        <s v="Niki  Farahani"/>
        <s v="Leah A Halcomb"/>
        <s v="Jack Anderson"/>
        <s v="Jo-Anna Sfeir"/>
        <s v="Juan Carlos Davila"/>
        <s v="Habib Tannnous"/>
        <s v="Mrs Hiba Molaeb"/>
        <s v="M EL HILANY-THIES"/>
        <s v="Oliver Muller"/>
        <s v="Habib Tannous"/>
        <s v="MIRIAM EL HILANY-THIES"/>
        <s v="Daphne Joblin"/>
        <s v="Abess Makki"/>
        <s v="Sophie Chaoul"/>
        <s v="Mya Yazbek"/>
        <s v="Badih ElNemr"/>
        <s v="Badih El-Nemr"/>
        <s v="Menghini Pietro"/>
        <s v="Francesco Romito"/>
        <s v="Wolfgang Brueckner"/>
        <s v="Leona McNulty"/>
        <s v="Brittany Nohra"/>
        <s v="YUKO NISHIKAWA"/>
        <s v="Danyal Budare"/>
        <s v="Jacob Lehman"/>
        <s v="Hana Zako"/>
        <s v="Patricia Ward"/>
        <s v="Joann Buchholz"/>
        <s v="Ayah Zeineddine"/>
        <s v="Syeda Shoaib"/>
        <s v="Wolfgang Brückner"/>
        <s v="Rania Boudiab"/>
        <s v="Farida Bayramli"/>
        <s v="zara salihi"/>
        <s v="Pietro Menghini"/>
        <s v="Zeinab Dayekh"/>
        <s v="Abouhamad"/>
        <s v="Kristopher Turnage"/>
        <s v="Dana Boudiab"/>
        <s v="Tareq EL-KHOURY"/>
        <s v="Calder Austin"/>
        <s v="Omar Itani"/>
        <s v="Hana  Zako"/>
        <s v="Mckenna Bechara"/>
        <s v="Octavia Sarkis"/>
        <s v="Natalie Giannangeli"/>
        <s v="Charbel El-Khoury"/>
        <s v="Mrs. J. Chaoul"/>
        <s v="Keiran Jude Molaeb"/>
        <s v="Michael Medlej"/>
        <s v="Suzan Battah"/>
        <s v="Amaris Alayon"/>
        <s v="Matthieu THOMAZO"/>
        <s v="Jana Sauma"/>
        <s v="KAYLA N PELTEKCI"/>
        <s v="Susan Battah"/>
        <s v="Craig Lutge"/>
        <s v="Daniel Doran"/>
        <s v="Max Schreyer"/>
        <s v="Eduardo Zegaib"/>
        <s v="Gülsah Gürsoy"/>
        <s v="Hayed Kure"/>
        <s v="Gabriel Pacheco"/>
        <s v="Karen Ravn Vestergaard"/>
        <s v="Adam Bokhowa"/>
        <s v="Paola Fappani"/>
        <s v="Stella Potenti"/>
        <s v="Kayla Peltekci"/>
        <s v="Katarina Ghanem"/>
        <s v="Thomas Kottmann"/>
        <s v="Daniel Lakkis"/>
        <e v="#REF!"/>
        <s v="Kate Hawks"/>
        <s v="keith abood"/>
        <s v="Fatima Khanfour"/>
        <s v="Marina Spyrou"/>
        <s v="Jean Khoury"/>
        <s v="Saskia Abou-Khater Robbiati"/>
        <s v="Serene Raslan"/>
        <s v="Nada M"/>
        <s v="NIDA IK"/>
        <s v="Heloise Lecocq"/>
        <s v="Hussein Ghanem"/>
        <s v="Nicolas Ayoub"/>
        <s v="Salma Rachidi"/>
        <s v="Noura Poort"/>
        <s v="Gülşah Gürsoy"/>
        <s v="Shannon Hibbard"/>
        <s v="Mason Cheikh"/>
        <s v="Raneem Safieddine"/>
        <s v="Tatiana Moufarrige"/>
        <s v="Ali Hassan"/>
        <s v="Jamal Abdulrahim"/>
        <s v="Marc Mola"/>
        <s v="Georgia Saad"/>
        <s v="Zia Atenzia"/>
        <s v="Hana Boushey"/>
        <s v="Caterina Vitali"/>
        <s v="Jacob Lehma"/>
        <s v="Kassandra Khouri"/>
        <s v="Laura Khalil"/>
        <s v="Elena F"/>
        <s v="Mark Becker"/>
        <s v="Melikie Joseph"/>
        <m/>
      </sharedItems>
    </cacheField>
    <cacheField name="Amount" numFmtId="4">
      <sharedItems containsString="0" containsBlank="1" containsNumber="1">
        <n v="142.55"/>
        <n v="129.0"/>
        <n v="143.0"/>
        <n v="160.0"/>
        <n v="28.44"/>
        <n v="73.23"/>
        <n v="18.67"/>
        <n v="28.26"/>
        <n v="37.69"/>
        <n v="200.0"/>
        <n v="191.32"/>
        <n v="190.4"/>
        <n v="171.52"/>
        <n v="187.85"/>
        <n v="145.0"/>
        <n v="74.91"/>
        <n v="40.0"/>
        <n v="140.26"/>
        <n v="30.0"/>
        <n v="80.0"/>
        <n v="17.66"/>
        <n v="100.0"/>
        <n v="400.0"/>
        <n v="190.0"/>
        <n v="20.0"/>
        <n v="165.98"/>
        <n v="165.02"/>
        <n v="184.93"/>
        <n v="184.25"/>
        <n v="162.77"/>
        <n v="40.12"/>
        <n v="170.0"/>
        <n v="265.79"/>
        <n v="186.92"/>
        <n v="33.23"/>
        <n v="167.32"/>
        <n v="187.37"/>
        <n v="270.73"/>
        <n v="167.44"/>
        <n v="120.94"/>
        <n v="166.84"/>
        <n v="183.84"/>
        <n v="160.77"/>
        <n v="164.69"/>
        <n v="158.82"/>
        <n v="166.67"/>
        <n v="161.28"/>
        <n v="300.25"/>
        <n v="135.73"/>
        <n v="28.0"/>
        <n v="162.0"/>
        <n v="178.62"/>
        <n v="27.09"/>
        <n v="305.96"/>
        <n v="184.5"/>
        <n v="268.33"/>
        <n v="60.0"/>
        <n v="90.0"/>
        <n v="210.0"/>
        <n v="120.0"/>
        <n v="116.66"/>
        <n v="180.0"/>
        <n v="186.04"/>
        <n v="-145.0"/>
        <n v="16.0"/>
        <n v="24.0"/>
        <n v="158.0"/>
        <n v="850.0"/>
        <n v="320.0"/>
        <n v="10.0"/>
        <n v="188.0"/>
        <n v="420.0"/>
        <n v="183.33"/>
        <n v="83.26"/>
        <n v="725.0"/>
        <n v="230.0"/>
        <n v="975.0"/>
        <n v="165.0"/>
        <n v="34.0"/>
        <n v="825.0"/>
        <n v="102.0"/>
        <n v="23.0"/>
        <n v="68.0"/>
        <n v="184.0"/>
        <n v="368.0"/>
        <n v="15.0"/>
        <n v="215.0"/>
        <n v="19.0"/>
        <m/>
      </sharedItems>
    </cacheField>
    <cacheField name="Currency" numFmtId="0">
      <sharedItems containsBlank="1">
        <s v="EUR"/>
        <s v="USD"/>
        <s v="GBP"/>
        <s v="CAD"/>
        <s v="AUD"/>
        <m/>
      </sharedItems>
    </cacheField>
    <cacheField name="Gateway" numFmtId="0">
      <sharedItems containsBlank="1">
        <s v="Wise"/>
        <s v="Paypal"/>
        <s v="2checkout"/>
        <s v="OMT"/>
        <s v="Stripe"/>
        <m/>
      </sharedItems>
    </cacheField>
    <cacheField name="USD amount" numFmtId="2">
      <sharedItems containsString="0" containsBlank="1" containsNumber="1">
        <n v="149.97"/>
        <n v="135.71"/>
        <n v="150.44"/>
        <n v="168.32"/>
        <n v="28.44"/>
        <n v="76.37"/>
        <n v="18.98"/>
        <n v="28.4"/>
        <n v="38.24"/>
        <n v="200.0"/>
        <n v="191.32"/>
        <n v="194.64"/>
        <n v="175.34"/>
        <n v="191.46"/>
        <n v="148.82"/>
        <n v="188.55"/>
        <n v="76.39"/>
        <n v="37.35"/>
        <n v="125.93"/>
        <n v="27.9"/>
        <n v="75.15"/>
        <n v="13.12"/>
        <n v="94.05"/>
        <n v="73.88"/>
        <n v="136.58"/>
        <n v="176.99"/>
        <n v="377.55"/>
        <n v="197.86"/>
        <n v="18.45"/>
        <n v="175.57"/>
        <n v="154.82"/>
        <n v="200.32"/>
        <n v="177.78"/>
        <n v="22.15"/>
        <n v="187.16"/>
        <n v="31.17"/>
        <n v="175.56"/>
        <n v="125.94"/>
        <n v="197.7"/>
        <n v="85.82"/>
        <n v="218.1"/>
        <n v="184.64"/>
        <n v="157.05"/>
        <n v="200.2"/>
        <n v="31.43"/>
        <n v="211.16"/>
        <n v="139.47"/>
        <n v="151.50306783208995"/>
        <n v="30.01"/>
        <n v="151.7224002793388"/>
        <n v="150.75"/>
        <n v="189.29310657123412"/>
        <n v="139.4661"/>
        <n v="136.57"/>
        <n v="175.5678054"/>
        <n v="190.8505018966821"/>
        <n v="56.25"/>
        <n v="189.51441904127512"/>
        <n v="189.37659029546117"/>
        <n v="190.07714258250658"/>
        <n v="193.2314801"/>
        <n v="189.377841990742"/>
        <n v="86.64423178284152"/>
        <n v="188.9960738356682"/>
        <n v="189.02940249713438"/>
        <n v="198.8513015140761"/>
        <n v="28.17060642769426"/>
        <n v="189.46065800551372"/>
        <n v="189.773431016836"/>
        <n v="137.61761493786457"/>
        <n v="189.38940624465172"/>
        <n v="113.63753713499787"/>
        <n v="28.21620792689378"/>
        <n v="191.04935664409646"/>
        <n v="136.9422960654872"/>
        <n v="190.86939457359406"/>
        <n v="188.65056832791967"/>
        <n v="137.6722539512938"/>
        <n v="189.96966072733045"/>
        <n v="188.87929840713602"/>
        <n v="28.102674684081983"/>
        <n v="110.42502555841925"/>
        <n v="190.18528382116435"/>
        <n v="189.71673531425148"/>
        <n v="189.3362297814003"/>
        <n v="28.270414316330903"/>
        <n v="28.25913467638234"/>
        <n v="189.4293941139998"/>
        <n v="57.66308006927221"/>
        <n v="137.23094601470964"/>
        <n v="28.14456932294267"/>
        <n v="189.16087409642475"/>
        <n v="189.08758076654595"/>
        <n v="137.330704978099"/>
        <n v="28.19755004544459"/>
        <n v="189.48786112023654"/>
        <n v="170.40878872697039"/>
        <n v="28.711033526201593"/>
        <n v="189.50419819405175"/>
        <n v="189.40160665639445"/>
        <n v="28.39716823660714"/>
        <n v="190.89673200783972"/>
        <n v="28.600854861493445"/>
        <n v="188.59711036514943"/>
        <n v="18.6479449538647"/>
        <n v="192.29327868409433"/>
        <n v="189.73662132743365"/>
        <n v="189.50519985777396"/>
        <n v="189.391846385393"/>
        <n v="18.700121834056436"/>
        <n v="200.28"/>
        <n v="189.3300723664944"/>
        <n v="18.69247692907434"/>
        <n v="191.26701252830853"/>
        <n v="138.80088578613314"/>
        <n v="18.70620414798599"/>
        <n v="189.5140664360771"/>
        <n v="189.68038009971605"/>
        <n v="137.2032555629066"/>
        <n v="189.6241337666777"/>
        <n v="-145.0"/>
        <n v="20.2"/>
        <n v="18.708385900994426"/>
        <n v="189.47658684296798"/>
        <n v="28.233313769623187"/>
        <n v="189.34602439953582"/>
        <n v="191.00434349512435"/>
        <n v="189.536837484387"/>
        <n v="28.202026938314894"/>
        <n v="18.867140475293084"/>
        <n v="192.78050975938024"/>
        <n v="189.53044618333152"/>
        <n v="28.71539965885445"/>
        <n v="190.86920282712555"/>
        <n v="189.85938084618343"/>
        <n v="192.82630833617026"/>
        <n v="137.374914908453"/>
        <n v="30.59"/>
        <n v="190.98762926214232"/>
        <n v="189.37132786011384"/>
        <n v="28.393122332968478"/>
        <n v="189.66069699963012"/>
        <n v="28.194205694131483"/>
        <n v="18.70178014129737"/>
        <n v="192.93958718308787"/>
        <n v="137.07766588626944"/>
        <n v="189.17730258162078"/>
        <n v="200.72"/>
        <n v="189.23223320407809"/>
        <n v="18.670411908823848"/>
        <n v="137.07757136576822"/>
        <n v="189.18996641568887"/>
        <n v="18.678672683698455"/>
        <n v="189.42992014994906"/>
        <n v="805.7192401194942"/>
        <n v="28.691674068118232"/>
        <n v="802.9360502403872"/>
        <n v="188.71529172070905"/>
        <n v="189.72266288912283"/>
        <n v="28.32288566172911"/>
        <n v="137.87868670732885"/>
        <n v="190.01724478006906"/>
        <n v="190.27906430965183"/>
        <n v="193.33728792516277"/>
        <n v="28.761518652174384"/>
        <n v="302.40448705290214"/>
        <n v="188.9159590704648"/>
        <n v="138.596566914937"/>
        <n v="9.270015037188745"/>
        <n v="18.762612301193915"/>
        <n v="191.2200267229861"/>
        <n v="137.624242845136"/>
        <n v="190.25743132733592"/>
        <n v="190.16737499187346"/>
        <n v="189.75874659400546"/>
        <n v="189.79527629427795"/>
        <n v="189.71699836512263"/>
        <n v="28.22800068119891"/>
        <n v="189.75248435967302"/>
        <n v="807.3793833787465"/>
        <n v="189.7550936239782"/>
        <n v="189.7561373297003"/>
        <n v="189.75352806539513"/>
        <n v="189.79266702997276"/>
        <n v="53.61307901907357"/>
        <n v="191.85473427792917"/>
        <n v="18.715923760217983"/>
        <n v="807.4171307901906"/>
        <n v="189.73056653950957"/>
        <n v="189.74935324250686"/>
        <n v="189.73317580381473"/>
        <n v="189.69090572207085"/>
        <n v="807.317211171662"/>
        <n v="189.72534801089918"/>
        <n v="189.72430430517713"/>
        <n v="189.73787247956403"/>
        <n v="137.47682997275206"/>
        <n v="807.3216520435968"/>
        <n v="28.22505076294278"/>
        <n v="137.47531749318802"/>
        <n v="189.73526321525887"/>
        <n v="189.73474136239784"/>
        <n v="18.716541416893733"/>
        <n v="189.72639171662124"/>
        <n v="303.482725528914"/>
        <n v="18.71510021798365"/>
        <n v="189.7300446866485"/>
        <n v="28.213126103542233"/>
        <n v="189.72221689373296"/>
        <n v="28.214290136239782"/>
        <n v="189.75039694822888"/>
        <n v="189.7582247411444"/>
        <n v="303.7068126702997"/>
        <n v="137.5112388828338"/>
        <n v="18.713967847411443"/>
        <n v="28.21460054495913"/>
        <n v="28.227690163487736"/>
        <n v="189.75665918256135"/>
        <n v="28.216928610354223"/>
        <n v="18.716232588555858"/>
        <n v="137.51842316076295"/>
        <n v="189.74048174386922"/>
        <n v="137.4934672479564"/>
        <n v="28.227534904632154"/>
        <n v="18.716026702997276"/>
        <n v="189.76135585831062"/>
        <n v="137.49384536784743"/>
        <n v="28.227612534059947"/>
        <n v="18.71633553133515"/>
        <n v="137.49271100817438"/>
        <n v="189.75718103542235"/>
        <n v="807.397146866485"/>
        <n v="9.216376021798366"/>
        <n v="189.76239956403273"/>
        <n v="189.76187771117165"/>
        <n v="191.8431276294278"/>
        <n v="28.227923051771114"/>
        <n v="110.5634936239782"/>
        <n v="28.218480653950955"/>
        <n v="18.716644359673026"/>
        <n v="28.22784542234332"/>
        <n v="28.225283651226157"/>
        <n v="189.7608340054496"/>
        <n v="189.77909885558586"/>
        <n v="18.7126810626703"/>
        <n v="170.7584165667575"/>
        <n v="137.49422348773842"/>
        <n v="137.50859204359674"/>
        <n v="137.49573596730247"/>
        <n v="137.52220435967303"/>
        <n v="28.22776779291553"/>
        <n v="189.76292141689376"/>
        <n v="137.48061117166213"/>
        <n v="189.79788555858312"/>
        <n v="113.74552915531335"/>
        <n v="398.8117337329701"/>
        <n v="28.23102822888283"/>
        <n v="189.7430910081744"/>
        <n v="28.228311198910077"/>
        <n v="18.71829144414169"/>
        <n v="18.72014441416894"/>
        <n v="173.91579359673025"/>
        <n v="113.76773841961854"/>
        <n v="18.716438474114444"/>
        <n v="78.8283514986376"/>
        <n v="18.92070980926431"/>
        <n v="807.3993673024522"/>
        <n v="139.00977520435967"/>
        <n v="18.719578228882835"/>
        <n v="807.558046294278"/>
        <n v="137.4919547683924"/>
        <n v="189.75561547683924"/>
        <n v="189.75457177111718"/>
        <n v="688.543246866485"/>
        <n v="189.75770288828338"/>
        <n v="28.228078310626703"/>
        <n v="18.716284059945504"/>
        <n v="807.4082490463215"/>
        <n v="137.4964922070845"/>
        <n v="28.218713460490466"/>
        <n v="28.2187910626703"/>
        <n v="28.218868664850138"/>
        <n v="18.716489945504087"/>
        <n v="189.76031215258857"/>
        <n v="28.222566621253403"/>
        <n v="189.75979029972754"/>
        <n v="28.21863585831063"/>
        <n v="137.49497972752044"/>
        <n v="189.79736370572206"/>
        <n v="139.02468446866484"/>
        <n v="189.74"/>
        <n v="189.78"/>
        <n v="137.5"/>
        <n v="170.72"/>
        <n v="28.22"/>
        <n v="189.8"/>
        <n v="189.76"/>
        <n v="403.17"/>
        <n v="139.01"/>
        <n v="18.72"/>
        <n v="189.72"/>
        <n v="189.77"/>
        <n v="18.71"/>
        <n v="137.47"/>
        <n v="807.41"/>
        <n v="218.23"/>
        <n v="926.38"/>
        <n v="156.47"/>
        <n v="218.27"/>
        <n v="32.02"/>
        <n v="32.03"/>
        <n v="926.01"/>
        <n v="218.31"/>
        <n v="783.74"/>
        <n v="156.5"/>
        <n v="218.26"/>
        <n v="926.18"/>
        <n v="96.64"/>
        <n v="218.29"/>
        <n v="218.25"/>
        <n v="21.57"/>
        <n v="156.49"/>
        <n v="926.14"/>
        <n v="926.29"/>
        <n v="926.2"/>
        <n v="156.51"/>
        <n v="64.32"/>
        <n v="218.22"/>
        <n v="156.54"/>
        <n v="926.19"/>
        <n v="220.65"/>
        <n v="21.81"/>
        <n v="28.21"/>
        <n v="218.24"/>
        <n v="156.48"/>
        <n v="64.33"/>
        <n v="174.53"/>
        <n v="174.54"/>
        <n v="176.45"/>
        <n v="174.56"/>
        <n v="936.35"/>
        <n v="925.89"/>
        <n v="94.74"/>
        <n v="218.32"/>
        <n v="170.74"/>
        <n v="807.35"/>
        <n v="170.73"/>
        <n v="807.36"/>
        <n v="170.75"/>
        <n v="349.36"/>
        <n v="807.37"/>
        <n v="807.32"/>
        <n v="13.96"/>
        <n v="218.05"/>
        <n v="203.8"/>
        <n v="218.04"/>
        <n v="21.55"/>
        <n v="156.34"/>
        <n v="220.46"/>
        <n v="13.95"/>
        <n v="218.03"/>
        <n v="17.75"/>
        <n v="218.07"/>
        <n v="925.23"/>
        <n v="31.99"/>
        <n v="925.21"/>
        <n v="218.01"/>
        <n v="925.31"/>
        <m/>
      </sharedItems>
    </cacheField>
    <cacheField name="Lesson Type" numFmtId="0">
      <sharedItems containsBlank="1">
        <s v="Group"/>
        <s v="Conversational"/>
        <s v="Prepared"/>
        <s v="Refund"/>
        <s v="Trial"/>
        <s v="Unknown"/>
        <m/>
      </sharedItems>
    </cacheField>
    <cacheField name="Amount of lessons" numFmtId="0">
      <sharedItems containsString="0" containsBlank="1" containsNumber="1" containsInteger="1">
        <n v="9.0"/>
        <n v="8.0"/>
        <n v="1.0"/>
        <n v="4.0"/>
        <n v="2.0"/>
        <n v="12.0"/>
        <n v="5.0"/>
        <n v="16.0"/>
        <n v="3.0"/>
        <n v="6.0"/>
        <n v="40.0"/>
        <m/>
      </sharedItems>
    </cacheField>
    <cacheField name="Package" numFmtId="0">
      <sharedItems containsBlank="1">
        <s v="yes"/>
        <s v="no"/>
        <s v="n"/>
        <m/>
      </sharedItems>
    </cacheField>
    <cacheField name="Single Lesson Minutes" numFmtId="0">
      <sharedItems containsString="0" containsBlank="1" containsNumber="1" containsInteger="1">
        <n v="75.0"/>
        <n v="60.0"/>
        <n v="45.0"/>
        <m/>
      </sharedItems>
    </cacheField>
    <cacheField name="Salary" numFmtId="3">
      <sharedItems containsString="0" containsBlank="1" containsNumber="1" containsInteger="1">
        <n v="0.0"/>
        <n v="120.0"/>
        <n v="15.0"/>
        <n v="60.0"/>
        <n v="30.0"/>
        <n v="225.0"/>
        <n v="75.0"/>
        <n v="90.0"/>
        <n v="240.0"/>
        <m/>
      </sharedItems>
    </cacheField>
    <cacheField name="Profit" numFmtId="0">
      <sharedItems containsString="0" containsBlank="1" containsNumber="1">
        <n v="149.97"/>
        <n v="15.71"/>
        <n v="150.44"/>
        <n v="48.32"/>
        <n v="13.44"/>
        <n v="16.37"/>
        <n v="3.98"/>
        <n v="13.4"/>
        <n v="8.24"/>
        <n v="80.0"/>
        <n v="71.32"/>
        <n v="74.64"/>
        <n v="55.34"/>
        <n v="71.46"/>
        <n v="28.82"/>
        <n v="68.55"/>
        <n v="16.39"/>
        <n v="7.35"/>
        <n v="-36.45"/>
        <n v="188.55"/>
        <n v="5.93"/>
        <n v="12.9"/>
        <n v="15.15"/>
        <n v="-1.88"/>
        <n v="19.05"/>
        <n v="13.88"/>
        <n v="16.58"/>
        <n v="86.99"/>
        <n v="137.55"/>
        <n v="197.86"/>
        <n v="3.45"/>
        <n v="-49.43"/>
        <n v="34.82"/>
        <n v="175.57"/>
        <n v="200.32"/>
        <n v="177.78"/>
        <n v="7.15"/>
        <n v="187.16"/>
        <n v="55.57"/>
        <n v="1.17"/>
        <n v="175.56"/>
        <n v="5.94"/>
        <n v="197.7"/>
        <n v="25.82"/>
        <n v="218.1"/>
        <n v="-40.36"/>
        <n v="157.0"/>
        <n v="80.2"/>
        <n v="200.0"/>
        <n v="75.15"/>
        <n v="18.45"/>
        <n v="136.58"/>
        <n v="31.43"/>
        <n v="27.9"/>
        <n v="91.16"/>
        <n v="139.47"/>
        <n v="154.51"/>
        <n v="30.01"/>
        <n v="150.75"/>
        <n v="193.0"/>
        <n v="139.0"/>
        <n v="18.0"/>
        <n v="189.0"/>
        <n v="137.0"/>
        <n v="28.0"/>
        <n v="176.0"/>
        <n v="195.0"/>
        <n v="56.0"/>
        <n v="88.0"/>
        <n v="203.0"/>
        <n v="29.0"/>
        <n v="140.0"/>
        <n v="116.0"/>
        <n v="113.0"/>
        <n v="59.0"/>
        <n v="174.0"/>
        <n v="19.0"/>
        <n v="197.0"/>
        <n v="200.28"/>
        <n v="141.0"/>
        <n v="-145.0"/>
        <n v="20.2"/>
        <n v="30.59"/>
        <n v="200.72"/>
        <n v="822.0"/>
        <m/>
      </sharedItems>
    </cacheField>
    <cacheField name="Group #">
      <sharedItems containsBlank="1" containsMixedTypes="1" containsNumber="1" containsInteger="1">
        <n v="1.0"/>
        <s v="-"/>
        <m/>
        <n v="2.0"/>
        <n v="3.0"/>
        <n v="4.0"/>
        <n v="5.0"/>
        <n v="6.0"/>
        <n v="7.0"/>
        <n v="8.0"/>
        <n v="9.0"/>
        <s v="***"/>
        <n v="10.0"/>
        <n v="11.0"/>
        <n v="12.0"/>
        <n v="13.0"/>
        <n v="14.0"/>
      </sharedItems>
    </cacheField>
    <cacheField name="Total Minutes" numFmtId="0">
      <sharedItems containsString="0" containsBlank="1" containsNumber="1" containsInteger="1">
        <n v="675.0"/>
        <n v="480.0"/>
        <n v="60.0"/>
        <n v="240.0"/>
        <n v="120.0"/>
        <n v="900.0"/>
        <n v="300.0"/>
        <n v="360.0"/>
        <n v="960.0"/>
        <n v="180.0"/>
        <n v="600.0"/>
        <n v="720.0"/>
        <n v="2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475" sheet="Expenses"/>
  </cacheSource>
  <cacheFields>
    <cacheField name="Payment Date" numFmtId="168">
      <sharedItems containsSemiMixedTypes="0" containsDate="1" containsString="0">
        <d v="2022-06-24T00:00:00Z"/>
        <d v="2022-07-02T00:00:00Z"/>
        <d v="2022-07-04T00:00:00Z"/>
        <d v="2022-07-05T00:00:00Z"/>
        <d v="2022-08-03T00:00:00Z"/>
        <d v="2022-08-08T00:00:00Z"/>
        <d v="2022-08-09T00:00:00Z"/>
        <d v="2022-08-10T00:00:00Z"/>
        <d v="2022-08-11T00:00:00Z"/>
        <d v="2022-08-18T00:00:00Z"/>
        <d v="2022-08-27T00:00:00Z"/>
        <d v="2022-09-02T00:00:00Z"/>
        <d v="2022-09-07T00:00:00Z"/>
        <d v="2022-09-11T00:00:00Z"/>
        <d v="2022-09-28T00:00:00Z"/>
        <d v="2022-10-02T00:00:00Z"/>
        <d v="2022-10-04T00:00:00Z"/>
        <d v="2022-10-11T00:00:00Z"/>
        <d v="2022-10-13T00:00:00Z"/>
        <d v="2022-10-24T00:00:00Z"/>
        <d v="2022-11-01T00:00:00Z"/>
        <d v="2022-11-05T00:00:00Z"/>
        <d v="2022-11-07T00:00:00Z"/>
        <d v="2022-11-09T00:00:00Z"/>
        <d v="2022-11-11T00:00:00Z"/>
        <d v="2022-11-17T00:00:00Z"/>
        <d v="2022-11-21T00:00:00Z"/>
        <d v="2022-11-23T00:00:00Z"/>
        <d v="2022-11-30T00:00:00Z"/>
        <d v="2022-12-01T00:00:00Z"/>
        <d v="2022-12-05T00:00:00Z"/>
        <d v="2022-12-11T00:00:00Z"/>
        <d v="2022-12-15T00:00:00Z"/>
        <d v="2022-12-20T00:00:00Z"/>
        <d v="2022-12-27T00:00:00Z"/>
        <d v="2022-12-29T00:00:00Z"/>
        <d v="2022-12-31T00:00:00Z"/>
        <d v="2023-01-03T00:00:00Z"/>
        <d v="2023-01-05T00:00:00Z"/>
        <d v="2023-01-06T00:00:00Z"/>
        <d v="2023-01-11T00:00:00Z"/>
        <d v="2023-01-12T00:00:00Z"/>
        <d v="2023-01-19T00:00:00Z"/>
        <d v="2023-01-20T00:00:00Z"/>
        <d v="2023-01-27T00:00:00Z"/>
        <d v="2023-01-30T00:00:00Z"/>
        <d v="2023-01-31T00:00:00Z"/>
        <d v="2023-02-01T00:00:00Z"/>
        <d v="2023-02-02T00:00:00Z"/>
        <d v="2023-02-11T00:00:00Z"/>
        <d v="2023-02-13T00:00:00Z"/>
        <d v="2023-02-16T00:00:00Z"/>
        <d v="2023-02-17T00:00:00Z"/>
        <d v="2023-02-21T00:00:00Z"/>
        <d v="2023-02-23T00:00:00Z"/>
        <d v="2023-02-26T00:00:00Z"/>
        <d v="2023-02-28T00:00:00Z"/>
        <d v="2023-03-01T00:00:00Z"/>
        <d v="2023-03-02T00:00:00Z"/>
        <d v="2023-03-05T00:00:00Z"/>
        <d v="2023-03-08T00:00:00Z"/>
        <d v="2023-03-11T00:00:00Z"/>
        <d v="2023-03-16T00:00:00Z"/>
        <d v="2023-03-20T00:00:00Z"/>
        <d v="2023-03-26T00:00:00Z"/>
        <d v="2023-03-28T00:00:00Z"/>
        <d v="2023-03-30T00:00:00Z"/>
        <d v="2023-03-31T00:00:00Z"/>
        <d v="2023-04-03T00:00:00Z"/>
        <d v="2023-04-05T00:00:00Z"/>
        <d v="2023-04-11T00:00:00Z"/>
        <d v="2023-04-20T00:00:00Z"/>
        <d v="2023-04-22T00:00:00Z"/>
        <d v="2023-04-24T00:00:00Z"/>
        <d v="2023-04-26T00:00:00Z"/>
        <d v="2023-04-27T00:00:00Z"/>
        <d v="2023-04-28T00:00:00Z"/>
        <d v="2023-04-30T00:00:00Z"/>
        <d v="2023-05-02T00:00:00Z"/>
        <d v="2023-05-04T00:00:00Z"/>
        <d v="2023-05-07T00:00:00Z"/>
        <d v="2023-05-09T00:00:00Z"/>
        <d v="2023-05-11T00:00:00Z"/>
        <d v="2023-05-18T00:00:00Z"/>
        <d v="2023-05-19T00:00:00Z"/>
        <d v="2023-05-26T00:00:00Z"/>
        <d v="2023-05-27T00:00:00Z"/>
        <d v="2023-05-30T00:00:00Z"/>
        <d v="2023-05-31T00:00:00Z"/>
        <d v="2023-06-01T00:00:00Z"/>
        <d v="2023-06-02T00:00:00Z"/>
        <d v="2023-06-05T00:00:00Z"/>
        <d v="2023-06-08T00:00:00Z"/>
        <d v="2023-06-11T00:00:00Z"/>
        <d v="2023-06-26T00:00:00Z"/>
        <d v="2023-06-27T00:00:00Z"/>
        <d v="2023-06-29T00:00:00Z"/>
        <d v="2023-07-05T00:00:00Z"/>
        <d v="2023-07-06T00:00:00Z"/>
        <d v="2023-07-10T00:00:00Z"/>
        <d v="2023-07-11T00:00:00Z"/>
        <d v="2023-07-12T00:00:00Z"/>
        <d v="2023-07-20T00:00:00Z"/>
        <d v="2023-07-27T00:00:00Z"/>
        <d v="2023-07-29T00:00:00Z"/>
        <d v="2023-07-31T00:00:00Z"/>
        <d v="2023-08-03T00:00:00Z"/>
        <d v="2023-08-05T00:00:00Z"/>
        <d v="2023-08-07T00:00:00Z"/>
        <d v="2023-08-08T00:00:00Z"/>
        <d v="2023-08-10T00:00:00Z"/>
        <d v="2023-08-11T00:00:00Z"/>
        <d v="2023-08-14T00:00:00Z"/>
        <d v="2023-08-15T00:00:00Z"/>
        <d v="2023-08-16T00:00:00Z"/>
        <d v="2023-08-17T00:00:00Z"/>
        <d v="2023-08-19T00:00:00Z"/>
        <d v="2023-08-24T00:00:00Z"/>
        <d v="2023-08-25T00:00:00Z"/>
        <d v="2023-08-26T00:00:00Z"/>
        <d v="2023-08-28T00:00:00Z"/>
        <d v="2023-08-31T00:00:00Z"/>
        <d v="2023-09-01T00:00:00Z"/>
        <d v="2023-09-07T00:00:00Z"/>
        <d v="2023-09-11T00:00:00Z"/>
        <d v="2023-09-14T00:00:00Z"/>
        <d v="2023-09-21T00:00:00Z"/>
        <d v="2023-09-23T00:00:00Z"/>
        <d v="2023-09-26T00:00:00Z"/>
        <d v="2023-09-27T00:00:00Z"/>
        <d v="2023-09-29T00:00:00Z"/>
        <d v="2023-10-02T00:00:00Z"/>
        <d v="2023-10-05T00:00:00Z"/>
        <d v="2023-10-11T00:00:00Z"/>
        <d v="2023-10-12T00:00:00Z"/>
        <d v="2023-10-13T00:00:00Z"/>
        <d v="2023-10-14T00:00:00Z"/>
        <d v="2023-10-16T00:00:00Z"/>
        <d v="2023-10-17T00:00:00Z"/>
        <d v="2023-10-19T00:00:00Z"/>
        <d v="2023-10-26T00:00:00Z"/>
        <d v="2023-10-27T00:00:00Z"/>
        <d v="2023-10-31T00:00:00Z"/>
        <d v="2023-11-01T00:00:00Z"/>
        <d v="2023-11-05T00:00:00Z"/>
        <d v="2023-11-11T00:00:00Z"/>
        <d v="2023-11-14T00:00:00Z"/>
        <d v="2023-11-16T00:00:00Z"/>
        <d v="2023-11-22T00:00:00Z"/>
        <d v="2023-11-26T00:00:00Z"/>
        <d v="2023-11-30T00:00:00Z"/>
        <d v="2023-12-11T00:00:00Z"/>
        <d v="2023-12-14T00:00:00Z"/>
        <d v="2023-12-15T00:00:00Z"/>
        <d v="2023-12-26T00:00:00Z"/>
        <d v="2023-12-28T00:00:00Z"/>
        <d v="2023-12-30T00:00:00Z"/>
        <d v="2024-01-02T00:00:00Z"/>
        <d v="2024-01-04T00:00:00Z"/>
        <d v="2024-01-05T00:00:00Z"/>
        <d v="2024-01-09T00:00:00Z"/>
        <d v="2024-01-11T00:00:00Z"/>
        <d v="2024-01-14T00:00:00Z"/>
        <d v="2024-01-15T00:00:00Z"/>
        <d v="2024-01-23T00:00:00Z"/>
        <d v="2024-01-26T00:00:00Z"/>
        <d v="2024-01-29T00:00:00Z"/>
        <d v="2024-01-31T00:00:00Z"/>
        <d v="2024-02-01T00:00:00Z"/>
        <d v="2024-02-03T00:00:00Z"/>
        <d v="2024-02-08T00:00:00Z"/>
        <d v="2024-02-11T00:00:00Z"/>
        <d v="2024-02-14T00:00:00Z"/>
        <d v="2024-02-16T00:00:00Z"/>
        <d v="2024-02-22T00:00:00Z"/>
        <d v="2024-02-26T00:00:00Z"/>
        <d v="2024-02-29T00:00:00Z"/>
        <d v="2024-03-11T00:00:00Z"/>
        <d v="2024-03-14T00:00:00Z"/>
        <d v="2024-03-15T00:00:00Z"/>
        <d v="2024-03-26T00:00:00Z"/>
        <d v="2024-04-03T00:00:00Z"/>
        <d v="2024-04-11T00:00:00Z"/>
        <d v="2024-04-14T00:00:00Z"/>
        <d v="2024-04-15T00:00:00Z"/>
        <d v="2024-04-19T00:00:00Z"/>
        <d v="2024-04-26T00:00:00Z"/>
        <d v="2024-05-03T00:00:00Z"/>
        <d v="2024-05-09T00:00:00Z"/>
        <d v="2024-05-11T00:00:00Z"/>
        <d v="2024-05-14T00:00:00Z"/>
        <d v="2024-05-15T00:00:00Z"/>
        <d v="2024-05-18T00:00:00Z"/>
        <d v="2024-05-23T00:00:00Z"/>
        <d v="2024-05-27T00:00:00Z"/>
        <d v="2024-06-04T00:00:00Z"/>
        <d v="2024-06-11T00:00:00Z"/>
        <d v="2024-06-14T00:00:00Z"/>
        <d v="2024-06-15T00:00:00Z"/>
        <d v="2024-06-18T00:00:00Z"/>
        <d v="2024-06-26T00:00:00Z"/>
        <d v="2024-07-02T00:00:00Z"/>
        <d v="2024-07-03T00:00:00Z"/>
        <d v="2024-07-04T00:00:00Z"/>
        <d v="2024-07-09T00:00:00Z"/>
        <d v="2024-07-11T00:00:00Z"/>
        <d v="2024-07-14T00:00:00Z"/>
        <d v="2024-07-15T00:00:00Z"/>
        <d v="2024-07-19T00:00:00Z"/>
        <d v="2024-07-26T00:00:00Z"/>
        <d v="2024-07-29T00:00:00Z"/>
        <d v="2024-08-02T00:00:00Z"/>
        <d v="2024-08-11T00:00:00Z"/>
        <d v="2024-08-14T00:00:00Z"/>
        <d v="2024-08-15T00:00:00Z"/>
        <d v="2024-08-21T00:00:00Z"/>
        <d v="2024-08-26T00:00:00Z"/>
        <d v="2024-09-03T00:00:00Z"/>
        <d v="2024-09-11T00:00:00Z"/>
        <d v="2024-09-14T00:00:00Z"/>
        <d v="2024-09-15T00:00:00Z"/>
        <d v="2024-09-23T00:00:00Z"/>
        <d v="2024-09-24T00:00:00Z"/>
        <d v="2024-09-26T00:00:00Z"/>
        <d v="2024-10-02T00:00:00Z"/>
        <d v="2024-10-11T00:00:00Z"/>
        <d v="2024-10-14T00:00:00Z"/>
        <d v="2024-10-15T00:00:00Z"/>
        <d v="2024-10-24T00:00:00Z"/>
        <d v="2024-10-26T00:00:00Z"/>
        <d v="2024-11-04T00:00:00Z"/>
        <d v="2024-11-12T00:00:00Z"/>
        <d v="2024-11-14T00:00:00Z"/>
        <d v="2024-11-15T00:00:00Z"/>
        <d v="2024-11-19T00:00:00Z"/>
        <d v="2024-11-24T00:00:00Z"/>
        <d v="2024-11-26T00:00:00Z"/>
        <d v="2024-12-02T00:00:00Z"/>
        <d v="2024-12-04T00:00:00Z"/>
        <d v="2024-12-14T00:00:00Z"/>
        <d v="2024-12-15T00:00:00Z"/>
        <d v="2024-12-18T00:00:00Z"/>
        <d v="2024-12-24T00:00:00Z"/>
        <d v="2024-12-26T00:00:00Z"/>
        <d v="2024-12-29T00:00:00Z"/>
        <d v="2025-01-08T00:00:00Z"/>
        <d v="2025-01-15T00:00:00Z"/>
        <d v="2025-01-17T00:00:00Z"/>
        <d v="2025-01-24T00:00:00Z"/>
        <d v="2025-01-26T00:00:00Z"/>
        <d v="2025-01-27T00:00:00Z"/>
        <d v="2025-02-02T00:00:00Z"/>
        <d v="2025-02-03T00:00:00Z"/>
        <d v="2025-02-15T00:00:00Z"/>
        <d v="2025-02-24T00:00:00Z"/>
        <d v="2025-02-26T00:00:00Z"/>
        <d v="2025-02-28T00:00:00Z"/>
        <d v="2025-03-10T00:00:00Z"/>
        <d v="2025-03-15T00:00:00Z"/>
        <d v="2025-03-23T00:00:00Z"/>
        <d v="2025-03-24T00:00:00Z"/>
        <d v="2025-03-26T00:00:00Z"/>
        <d v="2025-04-01T00:00:00Z"/>
        <d v="2025-04-15T00:00:00Z"/>
        <d v="2025-04-24T00:00:00Z"/>
        <d v="2025-04-26T00:00:00Z"/>
        <d v="2025-05-01T00:00:00Z"/>
        <d v="2025-05-08T00:00:00Z"/>
        <d v="2025-05-15T00:00:00Z"/>
        <d v="2025-05-17T00:00:00Z"/>
        <d v="2025-05-24T00:00:00Z"/>
        <d v="2025-05-26T00:00:00Z"/>
        <d v="2025-06-01T00:00:00Z"/>
        <d v="2025-06-03T00:00:00Z"/>
        <d v="2025-06-15T00:00:00Z"/>
        <d v="2025-06-24T00:00:00Z"/>
        <d v="2025-06-26T00:00:00Z"/>
        <d v="2025-07-01T00:00:00Z"/>
        <d v="2025-07-02T00:00:00Z"/>
        <d v="2025-07-15T00:00:00Z"/>
        <d v="2025-07-24T00:00:00Z"/>
        <d v="2025-07-26T00:00:00Z"/>
        <d v="2025-08-01T00:00:00Z"/>
        <d v="2025-08-04T00:00:00Z"/>
        <d v="2025-08-06T00:00:00Z"/>
        <d v="2025-08-15T00:00:00Z"/>
        <d v="2025-08-24T00:00:00Z"/>
        <d v="2025-08-26T00:00:00Z"/>
        <d v="2025-08-29T00:00:00Z"/>
        <d v="2025-09-01T00:00:00Z"/>
        <d v="2025-09-02T00:00:00Z"/>
        <d v="2025-09-05T00:00:00Z"/>
        <d v="2025-09-07T00:00:00Z"/>
        <d v="2025-09-08T00:00:00Z"/>
        <d v="2025-09-10T00:00:00Z"/>
        <d v="2025-09-11T00:00:00Z"/>
        <d v="2025-09-15T00:00:00Z"/>
        <d v="2025-09-22T00:00:00Z"/>
        <d v="2025-09-24T00:00:00Z"/>
        <d v="2025-09-26T00:00:00Z"/>
        <d v="2025-09-27T00:00:00Z"/>
        <d v="2025-09-30T00:00:00Z"/>
        <d v="2025-10-01T00:00:00Z"/>
        <d v="2025-10-02T00:00:00Z"/>
        <d v="2025-10-03T00:00:00Z"/>
        <d v="2025-10-08T00:00:00Z"/>
        <d v="2025-10-10T00:00:00Z"/>
        <d v="2025-10-14T00:00:00Z"/>
        <d v="2025-10-15T00:00:00Z"/>
        <d v="2025-10-22T00:00:00Z"/>
        <d v="2025-10-24T00:00:00Z"/>
        <d v="2025-10-26T00:00:00Z"/>
        <d v="2025-10-27T00:00:00Z"/>
        <d v="2025-10-31T00:00:00Z"/>
        <d v="2025-11-01T00:00:00Z"/>
        <d v="2025-11-02T00:00:00Z"/>
        <d v="2025-11-04T00:00:00Z"/>
        <d v="2025-11-05T00:00:00Z"/>
        <d v="2025-11-10T00:00:00Z"/>
        <d v="2025-11-15T00:00:00Z"/>
        <d v="2025-11-24T00:00:00Z"/>
        <d v="2025-11-26T00:00:00Z"/>
        <d v="2025-11-28T00:00:00Z"/>
        <d v="2025-11-30T00:00:00Z"/>
        <d v="2025-12-01T00:00:00Z"/>
        <d v="2025-12-02T00:00:00Z"/>
        <d v="2025-12-05T00:00:00Z"/>
        <d v="2025-12-08T00:00:00Z"/>
        <d v="2025-12-10T00:00:00Z"/>
        <d v="2025-12-11T00:00:00Z"/>
        <d v="2025-12-15T00:00:00Z"/>
        <d v="2025-12-24T00:00:00Z"/>
        <d v="2025-12-26T00:00:00Z"/>
        <d v="2025-12-31T00:00:00Z"/>
        <d v="2026-01-01T00:00:00Z"/>
      </sharedItems>
    </cacheField>
    <cacheField name="Payment Amount">
      <sharedItems containsMixedTypes="1" containsNumber="1">
        <n v="6.46"/>
        <n v="15.99"/>
        <n v="32.54"/>
        <n v="10.78"/>
        <n v="29.0"/>
        <n v="100.0"/>
        <n v="26.25999999999999"/>
        <n v="1.95"/>
        <n v="18.9"/>
        <n v="47.41000000000008"/>
        <n v="75.0"/>
        <n v="57.3"/>
        <n v="21.0"/>
        <n v="57.0"/>
        <n v="6.29"/>
        <n v="21.73"/>
        <n v="49.10000000000002"/>
        <n v="57.75"/>
        <n v="4.53"/>
        <n v="59.5"/>
        <n v="8.27"/>
        <n v="14.39"/>
        <n v="2.5"/>
        <n v="19.53"/>
        <n v="22.78"/>
        <n v="3.0"/>
        <n v="15.0"/>
        <n v="5.0"/>
        <n v="43.9"/>
        <n v="3.23"/>
        <n v="17.56"/>
        <n v="347.88"/>
        <n v="0.5"/>
        <n v="55.7"/>
        <n v="0.4"/>
        <n v="8.35"/>
        <n v="17.28"/>
        <n v="29.76"/>
        <n v="20.13"/>
        <n v="10.0"/>
        <n v="66.6"/>
        <n v="6.4"/>
        <n v="4.0"/>
        <n v="32.46"/>
        <n v="15.63"/>
        <n v="22.74"/>
        <n v="26.15"/>
        <n v="14.99"/>
        <n v="5.8"/>
        <n v="82.1"/>
        <n v="27.0"/>
        <n v="35.75"/>
        <n v="3.5"/>
        <n v="64.2"/>
        <n v="7.0"/>
        <n v="0.8"/>
        <n v="43.83"/>
        <n v="8.5"/>
        <n v="6.0"/>
        <n v="20.8"/>
        <n v="88.7"/>
        <n v="25.46"/>
        <n v="20.0"/>
        <n v="60.1"/>
        <n v="57.85"/>
        <n v="2.17"/>
        <n v="54.3"/>
        <n v="17.51"/>
        <n v="28.1"/>
        <n v="70.3"/>
        <n v="9.0"/>
        <n v="6.8"/>
        <s v="39..84"/>
        <n v="59.0"/>
        <n v="4.84"/>
        <n v="18.56"/>
        <n v="77.2"/>
        <n v="40.68"/>
        <n v="75.6"/>
        <n v="14.0"/>
        <n v="5.4"/>
        <n v="12.5"/>
        <n v="41.5"/>
        <n v="8.8"/>
        <n v="295.7"/>
        <n v="25.13"/>
        <n v="26.0"/>
        <n v="32.0"/>
        <n v="40.0"/>
        <n v="10.1"/>
        <n v="130.0"/>
        <n v="49.0"/>
        <n v="13.64"/>
        <n v="221.0"/>
        <n v="14.5"/>
        <n v="19.33"/>
        <n v="22.77"/>
        <n v="80.0"/>
        <n v="37.0"/>
        <n v="11.32"/>
        <n v="41.0"/>
        <n v="13.0"/>
        <n v="55.0"/>
        <n v="13.11"/>
        <n v="33.0"/>
        <n v="2.0"/>
        <n v="37.17"/>
        <n v="29.99"/>
        <n v="13.82"/>
        <n v="162.13"/>
        <n v="22.0"/>
        <n v="358.05"/>
        <n v="24.0"/>
        <n v="78.0"/>
        <n v="25.0"/>
        <n v="35.99"/>
        <n v="8.0"/>
        <n v="67.62"/>
        <n v="76.0"/>
        <n v="63.0"/>
        <n v="88.2"/>
        <n v="65.0"/>
        <n v="116.66"/>
        <n v="16.99"/>
        <n v="117.6"/>
        <n v="1.85"/>
        <n v="7.2"/>
        <n v="7.7"/>
        <n v="50.0"/>
        <n v="39.0"/>
        <n v="35.0"/>
        <n v="79.0"/>
        <n v="32.5"/>
        <n v="51.71"/>
        <n v="1.0"/>
        <n v="39.6"/>
        <n v="84.0"/>
        <n v="89.0"/>
        <n v="94.0"/>
        <n v="99.0"/>
        <n v="37.5"/>
        <n v="15.65"/>
        <n v="105.0"/>
        <n v="111.0"/>
        <n v="58.18"/>
        <n v="15.76"/>
        <n v="210.0"/>
        <n v="117.0"/>
        <n v="124.0"/>
        <n v="70.24"/>
      </sharedItems>
    </cacheField>
    <cacheField name="Receiver" numFmtId="0">
      <sharedItems>
        <s v="Facebook"/>
        <s v="Rapidgator"/>
        <s v="Shopify"/>
        <s v="Saleshandy"/>
        <s v="SGBL"/>
        <s v="Bank"/>
        <s v="NitroPack"/>
        <s v="Wise"/>
        <s v="Payoneer"/>
        <s v="2checkout"/>
        <s v="Bluehost"/>
        <s v="Trial"/>
        <s v="Saleshandy "/>
        <s v="Zoom"/>
        <s v="ChatGPT"/>
        <s v="Howuku"/>
        <s v="Cloudflare"/>
        <s v="Cockatoo"/>
        <s v="WesternUnion"/>
        <s v="Teachers 4G"/>
        <s v="Team Dinner"/>
        <s v="Eedama"/>
        <s v="UPS"/>
        <s v="Whish"/>
        <s v="Zapier"/>
        <s v="OMT"/>
        <s v="Google Gsuite"/>
        <s v="Google Ads"/>
        <s v="Clickio"/>
        <s v="Jotform"/>
        <s v="AB Split"/>
        <s v="Vimeo"/>
      </sharedItems>
    </cacheField>
    <cacheField name="Reason" numFmtId="0">
      <sharedItems>
        <s v="Ads"/>
        <s v="Subscription"/>
        <s v="World Debit Card"/>
        <s v="Transfer fee"/>
        <s v="Website"/>
        <s v="Lesson"/>
        <s v="Exchange"/>
        <s v="Resources"/>
        <s v="Other"/>
        <s v="Account Fees"/>
        <s v="Domain Privacy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645" sheet="Amazon Royalties"/>
  </cacheSource>
  <cacheFields>
    <cacheField name="Marketplace" numFmtId="0">
      <sharedItems>
        <s v="Amazon.com.au"/>
        <s v="CreateSpace UK"/>
        <s v="Amazon.it"/>
        <s v="Amazon.co.uk"/>
        <s v="CreateSpace US"/>
        <s v="CreateSpace DE"/>
        <s v="Amazon.ca"/>
        <s v="Amazon.es"/>
        <s v="Amazon.com"/>
        <s v="Amazon.de"/>
        <s v="Amazon.fr"/>
        <s v="Amazon.com.br"/>
        <s v="Amazon.co.jp"/>
        <s v="Amazon.in"/>
        <s v="Amazon.nl"/>
        <s v="Amazon.com.mx"/>
        <s v="Amazon.se"/>
        <s v="Amazon.pl"/>
      </sharedItems>
    </cacheField>
    <cacheField name="Date" numFmtId="170">
      <sharedItems containsSemiMixedTypes="0" containsNonDate="0" containsDate="1" containsString="0" minDate="2015-02-28T00:00:00Z" maxDate="2023-07-30T00:00:00Z">
        <d v="2015-02-28T00:00:00Z"/>
        <d v="2015-05-29T00:00:00Z"/>
        <d v="2015-06-14T00:00:00Z"/>
        <d v="2015-06-29T00:00:00Z"/>
        <d v="2015-07-29T00:00:00Z"/>
        <d v="2015-08-29T00:00:00Z"/>
        <d v="2015-09-29T00:00:00Z"/>
        <d v="2015-10-29T00:00:00Z"/>
        <d v="2015-11-14T00:00:00Z"/>
        <d v="2015-11-30T00:00:00Z"/>
        <d v="2015-12-29T00:00:00Z"/>
        <d v="2016-01-29T00:00:00Z"/>
        <d v="2016-02-29T00:00:00Z"/>
        <d v="2016-03-29T00:00:00Z"/>
        <d v="2016-04-29T00:00:00Z"/>
        <d v="2016-05-29T00:00:00Z"/>
        <d v="2016-06-29T00:00:00Z"/>
        <d v="2016-07-29T00:00:00Z"/>
        <d v="2016-08-29T00:00:00Z"/>
        <d v="2016-09-29T00:00:00Z"/>
        <d v="2016-10-29T00:00:00Z"/>
        <d v="2016-11-29T00:00:00Z"/>
        <d v="2016-12-29T00:00:00Z"/>
        <d v="2017-01-29T00:00:00Z"/>
        <d v="2017-02-28T00:00:00Z"/>
        <d v="2017-03-29T00:00:00Z"/>
        <d v="2017-03-31T00:00:00Z"/>
        <d v="2017-04-29T00:00:00Z"/>
        <d v="2017-05-29T00:00:00Z"/>
        <d v="2017-06-29T00:00:00Z"/>
        <d v="2017-07-29T00:00:00Z"/>
        <d v="2017-08-29T00:00:00Z"/>
        <d v="2017-09-29T00:00:00Z"/>
        <d v="2017-10-29T00:00:00Z"/>
        <d v="2017-11-29T00:00:00Z"/>
        <d v="2017-12-29T00:00:00Z"/>
        <d v="2018-01-29T00:00:00Z"/>
        <d v="2018-02-28T00:00:00Z"/>
        <d v="2018-03-29T00:00:00Z"/>
        <d v="2018-04-29T00:00:00Z"/>
        <d v="2018-05-29T00:00:00Z"/>
        <d v="2018-06-29T00:00:00Z"/>
        <d v="2018-07-29T00:00:00Z"/>
        <d v="2018-08-29T00:00:00Z"/>
        <d v="2018-09-29T00:00:00Z"/>
        <d v="2018-10-29T00:00:00Z"/>
        <d v="2018-11-29T00:00:00Z"/>
        <d v="2018-12-29T00:00:00Z"/>
        <d v="2019-01-29T00:00:00Z"/>
        <d v="2019-02-28T00:00:00Z"/>
        <d v="2019-03-29T00:00:00Z"/>
        <d v="2019-04-26T00:00:00Z"/>
        <d v="2019-04-29T00:00:00Z"/>
        <d v="2019-05-29T00:00:00Z"/>
        <d v="2019-06-29T00:00:00Z"/>
        <d v="2019-07-29T00:00:00Z"/>
        <d v="2019-08-29T00:00:00Z"/>
        <d v="2019-09-29T00:00:00Z"/>
        <d v="2019-10-29T00:00:00Z"/>
        <d v="2019-11-29T00:00:00Z"/>
        <d v="2019-12-29T00:00:00Z"/>
        <d v="2020-01-14T00:00:00Z"/>
        <d v="2020-01-29T00:00:00Z"/>
        <d v="2020-02-29T00:00:00Z"/>
        <d v="2020-03-29T00:00:00Z"/>
        <d v="2020-04-29T00:00:00Z"/>
        <d v="2020-05-29T00:00:00Z"/>
        <d v="2020-06-29T00:00:00Z"/>
        <d v="2020-07-29T00:00:00Z"/>
        <d v="2020-08-29T00:00:00Z"/>
        <d v="2020-09-29T00:00:00Z"/>
        <d v="2020-10-29T00:00:00Z"/>
        <d v="2020-11-29T00:00:00Z"/>
        <d v="2020-12-29T00:00:00Z"/>
        <d v="2021-01-29T00:00:00Z"/>
        <d v="2021-02-28T00:00:00Z"/>
        <d v="2021-03-29T00:00:00Z"/>
        <d v="2021-04-29T00:00:00Z"/>
        <d v="2021-05-29T00:00:00Z"/>
        <d v="2021-06-29T00:00:00Z"/>
        <d v="2021-07-29T00:00:00Z"/>
        <d v="2021-09-29T00:00:00Z"/>
        <d v="2021-10-02T00:00:00Z"/>
        <d v="2021-10-29T00:00:00Z"/>
        <d v="2021-11-23T00:00:00Z"/>
        <d v="2021-11-29T00:00:00Z"/>
        <d v="2021-12-29T00:00:00Z"/>
        <d v="2022-01-29T00:00:00Z"/>
        <d v="2022-02-28T00:00:00Z"/>
        <d v="2022-03-29T00:00:00Z"/>
        <d v="2022-04-29T00:00:00Z"/>
        <d v="2022-05-29T00:00:00Z"/>
        <d v="2022-06-30T00:00:00Z"/>
        <d v="2022-07-30T00:00:00Z"/>
        <d v="2022-08-29T00:00:00Z"/>
        <d v="2022-09-29T00:00:00Z"/>
        <d v="2022-10-05T00:00:00Z"/>
        <d v="2022-10-29T00:00:00Z"/>
        <d v="2022-11-29T00:00:00Z"/>
        <d v="2022-12-29T00:00:00Z"/>
        <d v="2023-01-29T00:00:00Z"/>
        <d v="2023-02-28T00:00:00Z"/>
        <d v="2023-03-29T00:00:00Z"/>
        <d v="2023-04-29T00:00:00Z"/>
        <d v="2023-05-29T00:00:00Z"/>
        <d v="2023-06-29T00:00:00Z"/>
        <d v="2023-07-29T00:00:00Z"/>
      </sharedItems>
      <fieldGroup base="1">
        <rangePr autoStart="0" autoEnd="0" groupBy="years" startDate="2015-02-28T00:00:00Z" endDate="2023-07-30T00:00:00Z"/>
        <groupItems>
          <s v="&lt;02/28/15"/>
          <s v="115"/>
          <s v="116"/>
          <s v="117"/>
          <s v="118"/>
          <s v="119"/>
          <s v="120"/>
          <s v="121"/>
          <s v="122"/>
          <s v="123"/>
          <s v="&gt;07/30/23"/>
        </groupItems>
      </fieldGroup>
    </cacheField>
    <cacheField name="Currency" numFmtId="0">
      <sharedItems>
        <s v="USD"/>
        <s v="GBP"/>
      </sharedItems>
    </cacheField>
    <cacheField name="Payout Amount" numFmtId="0">
      <sharedItems containsSemiMixedTypes="0" containsString="0" containsNumber="1">
        <n v="4.54"/>
        <n v="158.2"/>
        <n v="10.08"/>
        <n v="85.67"/>
        <n v="745.46"/>
        <n v="33.58"/>
        <n v="14.28"/>
        <n v="5.98"/>
        <n v="322.74"/>
        <n v="33.63"/>
        <n v="19.11"/>
        <n v="4.5"/>
        <n v="32.55"/>
        <n v="4.8"/>
        <n v="1.33"/>
        <n v="5.11"/>
        <n v="104.66"/>
        <n v="37.6"/>
        <n v="2.0"/>
        <n v="4.62"/>
        <n v="129.44"/>
        <n v="20.8"/>
        <n v="9.91"/>
        <n v="4.55"/>
        <n v="5.07"/>
        <n v="37.21"/>
        <n v="20.22"/>
        <n v="5.0"/>
        <n v="18.04"/>
        <n v="2.05"/>
        <n v="10.25"/>
        <n v="132.92"/>
        <n v="86.61"/>
        <n v="20.05"/>
        <n v="0.27"/>
        <n v="27.04"/>
        <n v="30.43"/>
        <n v="4.48"/>
        <n v="292.13"/>
        <n v="25.85"/>
        <n v="0.22"/>
        <n v="15.39"/>
        <n v="40.75"/>
        <n v="15.92"/>
        <n v="2.34"/>
        <n v="18.98"/>
        <n v="0.15"/>
        <n v="19.79"/>
        <n v="10.02"/>
        <n v="9.77"/>
        <n v="123.86"/>
        <n v="19.64"/>
        <n v="0.34"/>
        <n v="9.69"/>
        <n v="4.43"/>
        <n v="122.56"/>
        <n v="39.77"/>
        <n v="19.88"/>
        <n v="47.74"/>
        <n v="26.56"/>
        <n v="4.37"/>
        <n v="108.77"/>
        <n v="4.35"/>
        <n v="0.13"/>
        <n v="32.6"/>
        <n v="4.58"/>
        <n v="155.31"/>
        <n v="5.95"/>
        <n v="19.75"/>
        <n v="18.65"/>
        <n v="4.59"/>
        <n v="0.06"/>
        <n v="74.31"/>
        <n v="22.24"/>
        <n v="15.99"/>
        <n v="8.13"/>
        <n v="9.42"/>
        <n v="22.83"/>
        <n v="110.07"/>
        <n v="60.51"/>
        <n v="4.52"/>
        <n v="4.87"/>
        <n v="29.67"/>
        <n v="24.02"/>
        <n v="8.0"/>
        <n v="7.95"/>
        <n v="4.49"/>
        <n v="13.18"/>
        <n v="7.29"/>
        <n v="36.29"/>
        <n v="4.29"/>
        <n v="7.94"/>
        <n v="8.55"/>
        <n v="23.58"/>
        <n v="70.21"/>
        <n v="43.18"/>
        <n v="4.57"/>
        <n v="24.26"/>
        <n v="4.28"/>
        <n v="40.04"/>
        <n v="86.78"/>
        <n v="2.63"/>
        <n v="4.46"/>
        <n v="8.44"/>
        <n v="33.97"/>
        <n v="122.55"/>
        <n v="1.95"/>
        <n v="24.1"/>
        <n v="15.63"/>
        <n v="94.98"/>
        <n v="19.9"/>
        <n v="3.94"/>
        <n v="11.4"/>
        <n v="8.83"/>
        <n v="2.09"/>
        <n v="8.78"/>
        <n v="4.39"/>
        <n v="86.59"/>
        <n v="24.88"/>
        <n v="4.34"/>
        <n v="38.0"/>
        <n v="20.33"/>
        <n v="14.95"/>
        <n v="30.41"/>
        <n v="104.45"/>
        <n v="4.36"/>
        <n v="128.17"/>
        <n v="47.9"/>
        <n v="4.32"/>
        <n v="15.31"/>
        <n v="4.2"/>
        <n v="13.36"/>
        <n v="9.01"/>
        <n v="39.19"/>
        <n v="7.58"/>
        <n v="12.85"/>
        <n v="115.67"/>
        <n v="4.51"/>
        <n v="47.49"/>
        <n v="7.78"/>
        <n v="94.97"/>
        <n v="20.6"/>
        <n v="23.88"/>
        <n v="4.33"/>
        <n v="8.08"/>
        <n v="28.29"/>
        <n v="8.75"/>
        <n v="22.11"/>
        <n v="2.37"/>
        <n v="8.81"/>
        <n v="38.75"/>
        <n v="84.0"/>
        <n v="23.96"/>
        <n v="4.38"/>
        <n v="42.21"/>
        <n v="14.44"/>
        <n v="103.4"/>
        <n v="146.03"/>
        <n v="7.6"/>
        <n v="7.01"/>
        <n v="13.74"/>
        <n v="32.44"/>
        <n v="1.49"/>
        <n v="8.33"/>
        <n v="4.72"/>
        <n v="25.04"/>
        <n v="28.58"/>
        <n v="4.25"/>
        <n v="26.61"/>
        <n v="110.26"/>
        <n v="25.27"/>
        <n v="4.73"/>
        <n v="4.76"/>
        <n v="19.0"/>
        <n v="4.17"/>
        <n v="2.4"/>
        <n v="28.04"/>
        <n v="114.35"/>
        <n v="88.1"/>
        <n v="33.36"/>
        <n v="29.22"/>
        <n v="4.68"/>
        <n v="16.86"/>
        <n v="4.69"/>
        <n v="16.62"/>
        <n v="86.74"/>
        <n v="21.47"/>
        <n v="15.2"/>
        <n v="4.81"/>
        <n v="29.08"/>
        <n v="48.25"/>
        <n v="8.5"/>
        <n v="18.86"/>
        <n v="4.53"/>
        <n v="9.62"/>
        <n v="17.04"/>
        <n v="93.68"/>
        <n v="14.68"/>
        <n v="4.63"/>
        <n v="46.77"/>
        <n v="26.78"/>
        <n v="38.31"/>
        <n v="4.79"/>
        <n v="83.99"/>
        <n v="3.8"/>
        <n v="4.56"/>
        <n v="22.9"/>
        <n v="26.39"/>
        <n v="2.5"/>
        <n v="71.52"/>
        <n v="5.15"/>
        <n v="7.73"/>
        <n v="39.97"/>
        <n v="59.23"/>
        <n v="25.94"/>
        <n v="7.53"/>
        <n v="5.03"/>
        <n v="29.18"/>
        <n v="8.36"/>
        <n v="20.96"/>
        <n v="72.8"/>
        <n v="35.78"/>
        <n v="17.16"/>
        <n v="110.06"/>
        <n v="9.45"/>
        <n v="49.48"/>
        <n v="4.66"/>
        <n v="86.55"/>
        <n v="4.7"/>
        <n v="16.63"/>
        <n v="37.08"/>
        <n v="51.27"/>
        <n v="22.81"/>
        <n v="4.26"/>
        <n v="143.09"/>
        <n v="16.49"/>
        <n v="9.39"/>
        <n v="4.19"/>
        <n v="4.61"/>
        <n v="4.23"/>
        <n v="14.91"/>
        <n v="112.74"/>
        <n v="50.73"/>
        <n v="8.17"/>
        <n v="32.18"/>
        <n v="8.31"/>
        <n v="25.02"/>
        <n v="8.89"/>
        <n v="32.73"/>
        <n v="21.51"/>
        <n v="9.11"/>
        <n v="2.32"/>
        <n v="8.09"/>
        <n v="35.41"/>
        <n v="128.77"/>
        <n v="113.75"/>
        <n v="15.06"/>
        <n v="8.05"/>
        <n v="185.33"/>
        <n v="23.0"/>
        <n v="16.06"/>
        <n v="0.1"/>
        <n v="0.53"/>
        <n v="22.54"/>
        <n v="24.97"/>
        <n v="4.86"/>
        <n v="247.77"/>
        <n v="36.2"/>
        <n v="0.44"/>
        <n v="107.13"/>
        <n v="0.62"/>
        <n v="149.27"/>
        <n v="3.76"/>
        <n v="5.04"/>
        <n v="4.4"/>
        <n v="13.58"/>
        <n v="27.56"/>
        <n v="9.21"/>
        <n v="1.88"/>
        <n v="206.93"/>
        <n v="11.45"/>
        <n v="2.38"/>
        <n v="0.12"/>
        <n v="4.15"/>
        <n v="121.97"/>
        <n v="8.71"/>
        <n v="1.92"/>
        <n v="2.28"/>
        <n v="10.95"/>
        <n v="5.67"/>
        <n v="2.35"/>
        <n v="127.89"/>
        <n v="11.58"/>
        <n v="0.03"/>
        <n v="2.16"/>
        <n v="15.84"/>
        <n v="0.35"/>
        <n v="1.8"/>
        <n v="2.46"/>
        <n v="11.22"/>
        <n v="0.17"/>
        <n v="127.62"/>
        <n v="0.04"/>
        <n v="3.74"/>
        <n v="11.38"/>
        <n v="7.13"/>
        <n v="2.44"/>
        <n v="0.19"/>
        <n v="132.95"/>
        <n v="0.25"/>
        <n v="2.03"/>
        <n v="1.7"/>
        <n v="1.87"/>
        <n v="1.85"/>
        <n v="13.57"/>
        <n v="116.04"/>
        <n v="5.72"/>
        <n v="2.59"/>
        <n v="7.18"/>
        <n v="76.86"/>
        <n v="2.06"/>
        <n v="0.07"/>
        <n v="16.14"/>
        <n v="11.89"/>
        <n v="7.51"/>
        <n v="104.81"/>
        <n v="11.98"/>
        <n v="2.11"/>
        <n v="11.3"/>
        <n v="108.46"/>
        <n v="13.08"/>
        <n v="8.99"/>
        <n v="1.83"/>
        <n v="1.97"/>
        <n v="90.63"/>
        <n v="9.23"/>
        <n v="2.23"/>
        <n v="97.61"/>
        <n v="3.7"/>
        <n v="10.34"/>
        <n v="11.97"/>
        <n v="73.77"/>
        <n v="1.84"/>
        <n v="1.86"/>
        <n v="3.42"/>
        <n v="2.17"/>
        <n v="89.12"/>
        <n v="0.32"/>
        <n v="12.07"/>
        <n v="83.27"/>
        <n v="2.25"/>
        <n v="10.06"/>
        <n v="35.2"/>
        <n v="1.94"/>
        <n v="116.18"/>
        <n v="9.89"/>
        <n v="9.93"/>
        <n v="10.22"/>
        <n v="2.22"/>
        <n v="21.31"/>
        <n v="6.41"/>
        <n v="1.93"/>
        <n v="5.99"/>
        <n v="67.82"/>
        <n v="11.95"/>
        <n v="0.31"/>
        <n v="20.16"/>
        <n v="2.27"/>
        <n v="2.1"/>
        <n v="57.33"/>
        <n v="11.72"/>
        <n v="2.01"/>
        <n v="7.06"/>
        <n v="2.19"/>
        <n v="49.15"/>
        <n v="1.22"/>
        <n v="7.14"/>
        <n v="12.92"/>
        <n v="2.36"/>
        <n v="0.4"/>
        <n v="6.29"/>
        <n v="19.95"/>
        <n v="65.63"/>
        <n v="2.93"/>
        <n v="14.45"/>
        <n v="12.7"/>
        <n v="2.31"/>
        <n v="21.24"/>
        <n v="104.39"/>
        <n v="10.23"/>
        <n v="94.03"/>
        <n v="2.04"/>
        <n v="0.05"/>
        <n v="3.64"/>
        <n v="6.58"/>
        <n v="10.49"/>
        <n v="12.48"/>
        <n v="12.26"/>
        <n v="61.16"/>
        <n v="13.01"/>
        <n v="2.3"/>
        <n v="49.89"/>
        <n v="5.06"/>
        <n v="2.02"/>
        <n v="33.28"/>
        <n v="0.16"/>
        <n v="6.66"/>
        <n v="67.62"/>
        <n v="16.51"/>
        <n v="0.14"/>
        <n v="23.03"/>
        <n v="47.61"/>
        <n v="0.29"/>
        <n v="0.45"/>
        <n v="17.07"/>
        <n v="15.85"/>
        <n v="2.26"/>
        <n v="0.24"/>
        <n v="12.24"/>
        <n v="2.81"/>
        <n v="11.36"/>
        <n v="2.74"/>
        <n v="1.66"/>
        <n v="16.41"/>
        <n v="25.03"/>
        <n v="2.49"/>
        <n v="169.34"/>
        <n v="3.6"/>
        <n v="9.48"/>
        <n v="38.47"/>
        <n v="1.39"/>
        <n v="2.88"/>
        <n v="11.62"/>
        <n v="0.99"/>
        <n v="1.63"/>
        <n v="39.51"/>
        <n v="19.36"/>
        <n v="1.9"/>
        <n v="0.95"/>
        <n v="19.17"/>
        <n v="1.82"/>
        <n v="15.5"/>
        <n v="46.6"/>
        <n v="4.84"/>
        <n v="15.21"/>
        <n v="1.6"/>
        <n v="8.57"/>
        <n v="17.29"/>
        <n v="1.62"/>
        <n v="56.96"/>
        <n v="8.65"/>
        <n v="20.56"/>
        <n v="41.3"/>
        <n v="1.81"/>
        <n v="11.41"/>
        <n v="1.28"/>
        <n v="10.64"/>
        <n v="5.24"/>
        <n v="0.54"/>
        <n v="45.82"/>
        <n v="16.05"/>
        <n v="30.77"/>
        <n v="2.53"/>
        <n v="17.2"/>
        <n v="3.15"/>
        <n v="5.2"/>
        <n v="38.82"/>
        <n v="45.67"/>
        <n v="7.89"/>
        <n v="0.08"/>
        <n v="0.91"/>
        <n v="2.69"/>
        <n v="40.35"/>
        <n v="16.59"/>
        <n v="2.12"/>
        <n v="8.56"/>
        <n v="4.09"/>
        <n v="29.78"/>
        <n v="3.69"/>
        <n v="5.45"/>
        <n v="1.64"/>
        <n v="3.29"/>
        <n v="10.42"/>
        <n v="36.72"/>
        <n v="11.92"/>
        <n v="12.6"/>
        <n v="1.65"/>
        <n v="1.98"/>
        <n v="2.94"/>
        <n v="10.05"/>
        <n v="2.6"/>
        <n v="59.81"/>
        <n v="13.75"/>
        <n v="2.73"/>
        <n v="1.71"/>
        <n v="26.45"/>
        <n v="14.5"/>
        <n v="4.02"/>
        <n v="17.59"/>
        <n v="88.71"/>
        <n v="1.13"/>
        <n v="6.6"/>
        <n v="13.3"/>
        <n v="2.54"/>
        <n v="62.37"/>
        <n v="9.0"/>
        <n v="0.23"/>
        <n v="12.31"/>
        <n v="28.56"/>
        <n v="17.95"/>
        <n v="6.76"/>
        <n v="2.33"/>
        <n v="3.63"/>
        <n v="51.71"/>
        <n v="5.81"/>
        <n v="10.28"/>
        <n v="36.31"/>
        <n v="1.96"/>
        <n v="5.14"/>
        <n v="5.23"/>
      </sharedItems>
    </cacheField>
    <cacheField name="USD Amount" numFmtId="2">
      <sharedItems containsSemiMixedTypes="0" containsString="0" containsNumber="1">
        <n v="4.54"/>
        <n v="158.2"/>
        <n v="10.08"/>
        <n v="85.67"/>
        <n v="745.46"/>
        <n v="33.58"/>
        <n v="14.28"/>
        <n v="5.98"/>
        <n v="322.74"/>
        <n v="33.63"/>
        <n v="19.11"/>
        <n v="4.5"/>
        <n v="32.55"/>
        <n v="4.8"/>
        <n v="1.33"/>
        <n v="5.11"/>
        <n v="104.66"/>
        <n v="37.6"/>
        <n v="2.0"/>
        <n v="4.62"/>
        <n v="129.44"/>
        <n v="20.8"/>
        <n v="9.91"/>
        <n v="4.55"/>
        <n v="5.07"/>
        <n v="37.21"/>
        <n v="20.22"/>
        <n v="5.0"/>
        <n v="18.04"/>
        <n v="2.05"/>
        <n v="10.25"/>
        <n v="132.92"/>
        <n v="86.61"/>
        <n v="20.05"/>
        <n v="0.27"/>
        <n v="27.04"/>
        <n v="30.43"/>
        <n v="4.48"/>
        <n v="292.13"/>
        <n v="25.85"/>
        <n v="0.22"/>
        <n v="15.39"/>
        <n v="40.75"/>
        <n v="15.92"/>
        <n v="2.34"/>
        <n v="18.98"/>
        <n v="0.15"/>
        <n v="19.79"/>
        <n v="10.02"/>
        <n v="9.77"/>
        <n v="123.86"/>
        <n v="19.64"/>
        <n v="0.34"/>
        <n v="9.69"/>
        <n v="4.43"/>
        <n v="122.56"/>
        <n v="39.77"/>
        <n v="19.88"/>
        <n v="47.74"/>
        <n v="26.56"/>
        <n v="4.37"/>
        <n v="108.77"/>
        <n v="4.35"/>
        <n v="0.13"/>
        <n v="32.6"/>
        <n v="4.58"/>
        <n v="155.31"/>
        <n v="5.95"/>
        <n v="19.75"/>
        <n v="18.65"/>
        <n v="4.59"/>
        <n v="0.06"/>
        <n v="74.31"/>
        <n v="22.24"/>
        <n v="15.99"/>
        <n v="8.13"/>
        <n v="9.42"/>
        <n v="22.83"/>
        <n v="110.07"/>
        <n v="60.51"/>
        <n v="4.52"/>
        <n v="4.87"/>
        <n v="29.67"/>
        <n v="24.02"/>
        <n v="8.0"/>
        <n v="7.95"/>
        <n v="4.49"/>
        <n v="13.18"/>
        <n v="7.29"/>
        <n v="36.29"/>
        <n v="4.29"/>
        <n v="7.94"/>
        <n v="8.55"/>
        <n v="23.58"/>
        <n v="70.21"/>
        <n v="43.18"/>
        <n v="4.57"/>
        <n v="24.26"/>
        <n v="4.28"/>
        <n v="40.04"/>
        <n v="86.78"/>
        <n v="2.63"/>
        <n v="4.46"/>
        <n v="8.44"/>
        <n v="33.97"/>
        <n v="122.55"/>
        <n v="1.95"/>
        <n v="24.1"/>
        <n v="15.63"/>
        <n v="94.98"/>
        <n v="19.9"/>
        <n v="3.94"/>
        <n v="11.4"/>
        <n v="8.83"/>
        <n v="2.09"/>
        <n v="8.78"/>
        <n v="4.39"/>
        <n v="86.59"/>
        <n v="24.88"/>
        <n v="4.34"/>
        <n v="38.0"/>
        <n v="20.33"/>
        <n v="14.95"/>
        <n v="30.41"/>
        <n v="104.45"/>
        <n v="4.36"/>
        <n v="128.17"/>
        <n v="47.9"/>
        <n v="4.32"/>
        <n v="15.31"/>
        <n v="4.2"/>
        <n v="13.36"/>
        <n v="9.01"/>
        <n v="39.19"/>
        <n v="7.58"/>
        <n v="12.85"/>
        <n v="115.67"/>
        <n v="4.51"/>
        <n v="47.49"/>
        <n v="7.78"/>
        <n v="94.97"/>
        <n v="20.6"/>
        <n v="23.88"/>
        <n v="4.33"/>
        <n v="8.08"/>
        <n v="28.29"/>
        <n v="8.75"/>
        <n v="22.11"/>
        <n v="2.37"/>
        <n v="8.81"/>
        <n v="38.75"/>
        <n v="84.0"/>
        <n v="23.96"/>
        <n v="4.38"/>
        <n v="42.21"/>
        <n v="14.44"/>
        <n v="103.4"/>
        <n v="146.03"/>
        <n v="7.6"/>
        <n v="7.01"/>
        <n v="13.74"/>
        <n v="32.44"/>
        <n v="1.49"/>
        <n v="8.33"/>
        <n v="4.72"/>
        <n v="25.04"/>
        <n v="28.58"/>
        <n v="4.25"/>
        <n v="26.61"/>
        <n v="110.26"/>
        <n v="25.27"/>
        <n v="4.73"/>
        <n v="4.76"/>
        <n v="19.0"/>
        <n v="4.17"/>
        <n v="2.4"/>
        <n v="28.04"/>
        <n v="114.35"/>
        <n v="88.1"/>
        <n v="33.36"/>
        <n v="29.22"/>
        <n v="4.68"/>
        <n v="16.86"/>
        <n v="4.69"/>
        <n v="16.62"/>
        <n v="86.74"/>
        <n v="21.47"/>
        <n v="15.2"/>
        <n v="4.81"/>
        <n v="29.08"/>
        <n v="48.25"/>
        <n v="8.5"/>
        <n v="18.86"/>
        <n v="4.53"/>
        <n v="9.62"/>
        <n v="17.04"/>
        <n v="93.68"/>
        <n v="14.68"/>
        <n v="4.63"/>
        <n v="46.77"/>
        <n v="26.78"/>
        <n v="38.31"/>
        <n v="4.79"/>
        <n v="83.99"/>
        <n v="3.8"/>
        <n v="4.56"/>
        <n v="22.9"/>
        <n v="26.39"/>
        <n v="2.5"/>
        <n v="71.52"/>
        <n v="5.15"/>
        <n v="7.73"/>
        <n v="39.97"/>
        <n v="59.23"/>
        <n v="25.94"/>
        <n v="7.53"/>
        <n v="5.03"/>
        <n v="29.18"/>
        <n v="8.36"/>
        <n v="20.96"/>
        <n v="72.8"/>
        <n v="35.78"/>
        <n v="17.16"/>
        <n v="110.06"/>
        <n v="9.45"/>
        <n v="49.48"/>
        <n v="4.66"/>
        <n v="86.55"/>
        <n v="4.7"/>
        <n v="16.63"/>
        <n v="37.08"/>
        <n v="51.27"/>
        <n v="22.81"/>
        <n v="4.26"/>
        <n v="143.09"/>
        <n v="16.49"/>
        <n v="9.39"/>
        <n v="4.19"/>
        <n v="4.61"/>
        <n v="4.23"/>
        <n v="14.91"/>
        <n v="112.74"/>
        <n v="50.73"/>
        <n v="8.17"/>
        <n v="32.18"/>
        <n v="8.31"/>
        <n v="25.02"/>
        <n v="8.89"/>
        <n v="32.73"/>
        <n v="21.51"/>
        <n v="9.11"/>
        <n v="2.32"/>
        <n v="8.09"/>
        <n v="35.41"/>
        <n v="128.77"/>
        <n v="113.75"/>
        <n v="15.06"/>
        <n v="8.05"/>
        <n v="185.33"/>
        <n v="23.0"/>
        <n v="16.06"/>
        <n v="0.1"/>
        <n v="0.53"/>
        <n v="22.54"/>
        <n v="24.97"/>
        <n v="4.86"/>
        <n v="247.77"/>
        <n v="36.2"/>
        <n v="0.44"/>
        <n v="107.13"/>
        <n v="0.62"/>
        <n v="149.27"/>
        <n v="3.76"/>
        <n v="5.04"/>
        <n v="4.4"/>
        <n v="13.58"/>
        <n v="27.56"/>
        <n v="9.21"/>
        <n v="1.88"/>
        <n v="206.93"/>
        <n v="11.45"/>
        <n v="2.38"/>
        <n v="0.12"/>
        <n v="4.15"/>
        <n v="121.97"/>
        <n v="8.71"/>
        <n v="1.92"/>
        <n v="2.28"/>
        <n v="10.95"/>
        <n v="5.67"/>
        <n v="2.35"/>
        <n v="127.89"/>
        <n v="11.58"/>
        <n v="0.03"/>
        <n v="2.16"/>
        <n v="15.84"/>
        <n v="0.35"/>
        <n v="1.8"/>
        <n v="2.46"/>
        <n v="11.22"/>
        <n v="0.17"/>
        <n v="127.62"/>
        <n v="0.04"/>
        <n v="3.74"/>
        <n v="11.38"/>
        <n v="7.13"/>
        <n v="2.44"/>
        <n v="0.19"/>
        <n v="132.95"/>
        <n v="0.25"/>
        <n v="2.03"/>
        <n v="1.7"/>
        <n v="1.87"/>
        <n v="1.85"/>
        <n v="13.57"/>
        <n v="116.04"/>
        <n v="5.72"/>
        <n v="2.59"/>
        <n v="7.18"/>
        <n v="76.86"/>
        <n v="2.06"/>
        <n v="0.07"/>
        <n v="16.14"/>
        <n v="11.89"/>
        <n v="7.51"/>
        <n v="104.81"/>
        <n v="11.98"/>
        <n v="2.11"/>
        <n v="11.3"/>
        <n v="108.46"/>
        <n v="13.08"/>
        <n v="8.99"/>
        <n v="1.83"/>
        <n v="1.97"/>
        <n v="90.63"/>
        <n v="9.23"/>
        <n v="2.23"/>
        <n v="97.61"/>
        <n v="3.7"/>
        <n v="10.34"/>
        <n v="11.97"/>
        <n v="73.77"/>
        <n v="1.84"/>
        <n v="1.86"/>
        <n v="3.42"/>
        <n v="2.17"/>
        <n v="89.12"/>
        <n v="0.32"/>
        <n v="12.07"/>
        <n v="83.27"/>
        <n v="2.25"/>
        <n v="10.06"/>
        <n v="35.2"/>
        <n v="1.94"/>
        <n v="116.18"/>
        <n v="9.89"/>
        <n v="9.93"/>
        <n v="10.22"/>
        <n v="2.22"/>
        <n v="21.31"/>
        <n v="6.41"/>
        <n v="1.93"/>
        <n v="5.99"/>
        <n v="67.82"/>
        <n v="11.95"/>
        <n v="0.31"/>
        <n v="20.16"/>
        <n v="2.27"/>
        <n v="2.1"/>
        <n v="57.33"/>
        <n v="11.72"/>
        <n v="2.01"/>
        <n v="7.06"/>
        <n v="2.19"/>
        <n v="49.15"/>
        <n v="1.22"/>
        <n v="7.14"/>
        <n v="12.92"/>
        <n v="2.36"/>
        <n v="0.4"/>
        <n v="6.29"/>
        <n v="19.95"/>
        <n v="65.63"/>
        <n v="2.93"/>
        <n v="14.45"/>
        <n v="12.7"/>
        <n v="2.31"/>
        <n v="21.24"/>
        <n v="104.39"/>
        <n v="10.23"/>
        <n v="94.03"/>
        <n v="2.04"/>
        <n v="0.05"/>
        <n v="3.64"/>
        <n v="6.58"/>
        <n v="10.49"/>
        <n v="12.48"/>
        <n v="12.26"/>
        <n v="61.16"/>
        <n v="13.01"/>
        <n v="2.3"/>
        <n v="49.89"/>
        <n v="5.06"/>
        <n v="2.02"/>
        <n v="33.28"/>
        <n v="0.16"/>
        <n v="6.66"/>
        <n v="67.62"/>
        <n v="16.51"/>
        <n v="0.14"/>
        <n v="23.03"/>
        <n v="47.61"/>
        <n v="0.29"/>
        <n v="0.45"/>
        <n v="17.07"/>
        <n v="15.85"/>
        <n v="2.26"/>
        <n v="0.24"/>
        <n v="12.24"/>
        <n v="2.81"/>
        <n v="11.36"/>
        <n v="2.74"/>
        <n v="2.2732205999999997"/>
        <n v="0.36974070000000003"/>
        <n v="22.4720181"/>
        <n v="5.9295453"/>
        <n v="34.2763323"/>
        <n v="3.4098309"/>
        <n v="226.475316"/>
        <n v="4.792644"/>
        <n v="11.595535900000002"/>
        <n v="12.620629200000002"/>
        <n v="51.2147263"/>
        <n v="5.777798600000001"/>
        <n v="1.8504931"/>
        <n v="3.8867616"/>
        <n v="5.8301424"/>
        <n v="15.682003399999997"/>
        <n v="1.3360743"/>
        <n v="2.1997991"/>
        <n v="53.3215107"/>
        <n v="26.1276752"/>
        <n v="2.544613"/>
        <n v="1.2723065"/>
        <n v="25.6738059"/>
        <n v="2.4374714"/>
        <n v="20.758685"/>
        <n v="62.545587999999995"/>
        <n v="6.4961512"/>
        <n v="20.4145578"/>
        <n v="2.147488"/>
        <n v="6.764587199999999"/>
        <n v="11.220101099999999"/>
        <n v="22.6365867"/>
        <n v="5.970088799999999"/>
        <n v="2.1209526"/>
        <n v="0.1701999"/>
        <n v="74.5737408"/>
        <n v="10.875645"/>
        <n v="25.850088"/>
        <n v="51.92649"/>
        <n v="2.275713"/>
        <n v="1.6722090000000003"/>
        <n v="14.345793"/>
        <n v="1.616256"/>
        <n v="13.435128"/>
        <n v="6.616548"/>
        <n v="2.4496379999999998"/>
        <n v="0.681858"/>
        <n v="57.856913999999996"/>
        <n v="19.51359"/>
        <n v="37.410166"/>
        <n v="3.0759739999999995"/>
        <n v="20.93756"/>
        <n v="3.834495"/>
        <n v="6.329960000000001"/>
        <n v="47.255586"/>
        <n v="53.534374"/>
        <n v="9.248657999999999"/>
        <n v="0.093776"/>
        <n v="4.9935719999999995"/>
        <n v="1.016197"/>
        <n v="0.145171"/>
        <n v="3.003923"/>
        <n v="2.2892349999999997"/>
        <n v="45.058845000000005"/>
        <n v="18.526053"/>
        <n v="2.367404"/>
        <n v="9.7186816"/>
        <n v="4.749308"/>
        <n v="2.334012"/>
        <n v="34.580536"/>
        <n v="4.284828"/>
        <n v="6.32854"/>
        <n v="1.9043679999999998"/>
        <n v="3.820348"/>
        <n v="12.099704000000001"/>
        <n v="43.86203999999999"/>
        <n v="14.238439999999999"/>
        <n v="15.050699999999999"/>
        <n v="1.9709249999999998"/>
        <n v="5.088569999999999"/>
        <n v="2.3651099999999996"/>
        <n v="3.5440818"/>
        <n v="12.114973500000001"/>
        <n v="3.1342220000000003"/>
        <n v="0.08438290000000001"/>
        <n v="72.0991607"/>
        <n v="2.4229947"/>
        <n v="16.5752125"/>
        <n v="2.6160624"/>
        <n v="0.08678880000000001"/>
        <n v="3.3847632"/>
        <n v="2.1201264"/>
        <n v="32.793768"/>
        <n v="6.0256224000000005"/>
        <n v="2.107728"/>
        <n v="1.997146"/>
        <n v="17.444950000000002"/>
        <n v="10.021823000000001"/>
        <n v="4.836462"/>
        <n v="27.117874"/>
        <n v="5.209423"/>
        <n v="21.655224899999997"/>
        <n v="4.949062199999999"/>
        <n v="109.21176809999999"/>
        <n v="1.3911542999999997"/>
        <n v="3.0285306"/>
        <n v="8.125326"/>
        <n v="5.564617199999999"/>
        <n v="16.373763"/>
        <n v="3.192018"/>
        <n v="78.38037899999999"/>
        <n v="5.730551999999999"/>
        <n v="11.3103"/>
        <n v="0.289041"/>
        <n v="0.0740892"/>
        <n v="3.0747018"/>
        <n v="15.200634200000001"/>
        <n v="35.2664592"/>
        <n v="0.08643740000000001"/>
        <n v="22.165019"/>
        <n v="8.526455599999998"/>
        <n v="2.9388522999999998"/>
        <n v="4.5785553"/>
        <n v="65.2223401"/>
        <n v="7.328211099999999"/>
        <n v="12.966266799999998"/>
        <n v="2.0811615"/>
        <n v="2.0552"/>
        <n v="46.640195"/>
        <n v="2.51762"/>
        <n v="10.699885"/>
        <n v="2.504775"/>
        <n v="6.602329999999999"/>
        <n v="5.9857700000000005"/>
        <n v="6.71793500000000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udent Pivot" cacheId="0" dataCaption="" compact="0" compactData="0">
  <location ref="A1:E282" firstHeaderRow="0" firstDataRow="2" firstDataCol="0"/>
  <pivotFields>
    <pivotField name="Dat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t="default"/>
      </items>
    </pivotField>
    <pivotField name="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w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SD am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Lesson 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mount of less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ckage" compact="0" outline="0" multipleItemSelectionAllowed="1" showAll="0">
      <items>
        <item x="0"/>
        <item x="1"/>
        <item x="2"/>
        <item x="3"/>
        <item t="default"/>
      </items>
    </pivotField>
    <pivotField name="Single Lesson Minutes" compact="0" outline="0" multipleItemSelectionAllowed="1" showAll="0">
      <items>
        <item x="0"/>
        <item x="1"/>
        <item x="2"/>
        <item x="3"/>
        <item t="default"/>
      </items>
    </pivotField>
    <pivotField name="Sala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Group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1"/>
  </rowFields>
  <colFields>
    <field x="-2"/>
  </colFields>
  <dataFields>
    <dataField name="SUM of USD amount" fld="5" baseField="0"/>
    <dataField name="SUM of Amount of lessons" fld="7" baseField="0"/>
    <dataField name="MAX of Date" fld="0" subtotal="max" baseField="0"/>
    <dataField name="SUM of Calculated Field 1" fld="14" baseField="0"/>
  </dataFields>
</pivotTableDefinition>
</file>

<file path=xl/pivotTables/pivotTable2.xml><?xml version="1.0" encoding="utf-8"?>
<pivotTableDefinition xmlns="http://schemas.openxmlformats.org/spreadsheetml/2006/main" name="Sales Pivot" cacheId="1" dataCaption="" compact="0" compactData="0">
  <location ref="A1:F92" firstHeaderRow="0" firstDataRow="4" firstDataCol="0"/>
  <pivotFields>
    <pivotField name="Date" axis="axisRow" compact="0" numFmtId="166" outline="0" multipleItemSelectionAllowed="1" showAll="0" sortType="ascending">
      <items>
        <item x="8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7"/>
        <item x="566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600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Amount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urr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tew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SD amoun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name="Lesson Type" axis="axisRow" compact="0" outline="0" multipleItemSelectionAllowed="1" showAll="0" sortType="ascending">
      <items>
        <item sd="0" x="6"/>
        <item sd="0" x="1"/>
        <item sd="0" x="0"/>
        <item x="2"/>
        <item x="3"/>
        <item x="4"/>
        <item x="5"/>
        <item t="default"/>
      </items>
    </pivotField>
    <pivotField name="Amount of less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ckage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Single Lesson Minutes" compact="0" outline="0" multipleItemSelectionAllowed="1" showAll="0">
      <items>
        <item x="0"/>
        <item x="1"/>
        <item x="2"/>
        <item x="3"/>
        <item t="default"/>
      </items>
    </pivotField>
    <pivotField name="Salar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Group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0"/>
    <field x="6"/>
    <field x="8"/>
  </rowFields>
  <colFields>
    <field x="-2"/>
  </colFields>
  <dataFields>
    <dataField name="SUM of Amount of lessons" fld="7" baseField="0"/>
    <dataField name="SUM of USD amount" fld="5" baseField="0"/>
    <dataField name="SUM of Total Minutes" fld="13" baseField="0"/>
  </dataFields>
</pivotTableDefinition>
</file>

<file path=xl/pivotTables/pivotTable3.xml><?xml version="1.0" encoding="utf-8"?>
<pivotTableDefinition xmlns="http://schemas.openxmlformats.org/spreadsheetml/2006/main" name="Pivot Table 6" cacheId="2" dataCaption="" compact="0" compactData="0">
  <location ref="A1:C56" firstHeaderRow="0" firstDataRow="2" firstDataCol="0"/>
  <pivotFields>
    <pivotField name="Payment Date" axis="axisRow" compact="0" numFmtId="168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Paymen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Recei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Reason" axis="axisRow" compact="0" outline="0" multipleItemSelectionAllowed="1" showAll="0" sortType="ascending">
      <items>
        <item sd="0" x="9"/>
        <item sd="0" x="0"/>
        <item sd="0" x="10"/>
        <item x="6"/>
        <item x="5"/>
        <item x="8"/>
        <item sd="0" x="7"/>
        <item x="1"/>
        <item sd="0" x="3"/>
        <item sd="0" x="4"/>
        <item sd="0" x="2"/>
        <item t="default"/>
      </items>
    </pivotField>
  </pivotFields>
  <rowFields>
    <field x="3"/>
    <field x="0"/>
  </rowFields>
  <dataFields>
    <dataField name="SUM of Payment Amount" fld="1" baseField="0"/>
  </dataFields>
</pivotTableDefinition>
</file>

<file path=xl/pivotTables/pivotTable4.xml><?xml version="1.0" encoding="utf-8"?>
<pivotTableDefinition xmlns="http://schemas.openxmlformats.org/spreadsheetml/2006/main" name="Pivot Table 4" cacheId="3" dataCaption="" compact="0" compactData="0">
  <location ref="A1:C11" firstHeaderRow="0" firstDataRow="2" firstDataCol="0"/>
  <pivotFields>
    <pivotField name="Marketplace" axis="axisRow" compact="0" outline="0" multipleItemSelectionAllowed="1" showAll="0" sortType="ascending">
      <items>
        <item x="6"/>
        <item x="12"/>
        <item x="3"/>
        <item x="8"/>
        <item x="0"/>
        <item x="11"/>
        <item x="15"/>
        <item x="9"/>
        <item x="7"/>
        <item x="10"/>
        <item x="13"/>
        <item x="2"/>
        <item x="14"/>
        <item x="17"/>
        <item x="16"/>
        <item x="5"/>
        <item x="1"/>
        <item x="4"/>
        <item t="default"/>
      </items>
    </pivotField>
    <pivotField name="Date" axis="axisRow" compact="0" numFmtId="17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urrency" compact="0" outline="0" multipleItemSelectionAllowed="1" showAll="0">
      <items>
        <item x="0"/>
        <item x="1"/>
        <item t="default"/>
      </items>
    </pivotField>
    <pivotField name="Payou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t="default"/>
      </items>
    </pivotField>
    <pivotField name="USD Amoun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</pivotFields>
  <rowFields>
    <field x="1"/>
    <field x="0"/>
  </rowFields>
  <dataFields>
    <dataField name="SUM of Payout Amount" fld="3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amazon.com.au" TargetMode="External"/><Relationship Id="rId42" Type="http://schemas.openxmlformats.org/officeDocument/2006/relationships/hyperlink" Target="http://amazon.com" TargetMode="External"/><Relationship Id="rId41" Type="http://schemas.openxmlformats.org/officeDocument/2006/relationships/hyperlink" Target="http://amazon.fr" TargetMode="External"/><Relationship Id="rId44" Type="http://schemas.openxmlformats.org/officeDocument/2006/relationships/hyperlink" Target="http://amazon.co.uk" TargetMode="External"/><Relationship Id="rId43" Type="http://schemas.openxmlformats.org/officeDocument/2006/relationships/hyperlink" Target="http://amazon.it" TargetMode="External"/><Relationship Id="rId46" Type="http://schemas.openxmlformats.org/officeDocument/2006/relationships/hyperlink" Target="http://amazon.com.mx" TargetMode="External"/><Relationship Id="rId45" Type="http://schemas.openxmlformats.org/officeDocument/2006/relationships/hyperlink" Target="http://amazon.ca" TargetMode="External"/><Relationship Id="rId107" Type="http://schemas.openxmlformats.org/officeDocument/2006/relationships/hyperlink" Target="http://amazon.com.au" TargetMode="External"/><Relationship Id="rId106" Type="http://schemas.openxmlformats.org/officeDocument/2006/relationships/hyperlink" Target="http://amazon.com" TargetMode="External"/><Relationship Id="rId105" Type="http://schemas.openxmlformats.org/officeDocument/2006/relationships/hyperlink" Target="http://amazon.nl" TargetMode="External"/><Relationship Id="rId104" Type="http://schemas.openxmlformats.org/officeDocument/2006/relationships/hyperlink" Target="http://amazon.de" TargetMode="External"/><Relationship Id="rId109" Type="http://schemas.openxmlformats.org/officeDocument/2006/relationships/hyperlink" Target="http://amazon.co.uk" TargetMode="External"/><Relationship Id="rId108" Type="http://schemas.openxmlformats.org/officeDocument/2006/relationships/hyperlink" Target="http://amazon.ca" TargetMode="External"/><Relationship Id="rId48" Type="http://schemas.openxmlformats.org/officeDocument/2006/relationships/hyperlink" Target="http://amazon.com" TargetMode="External"/><Relationship Id="rId47" Type="http://schemas.openxmlformats.org/officeDocument/2006/relationships/hyperlink" Target="http://amazon.fr" TargetMode="External"/><Relationship Id="rId49" Type="http://schemas.openxmlformats.org/officeDocument/2006/relationships/hyperlink" Target="http://amazon.de" TargetMode="External"/><Relationship Id="rId103" Type="http://schemas.openxmlformats.org/officeDocument/2006/relationships/hyperlink" Target="http://amazon.fr" TargetMode="External"/><Relationship Id="rId102" Type="http://schemas.openxmlformats.org/officeDocument/2006/relationships/hyperlink" Target="http://amazon.co.uk" TargetMode="External"/><Relationship Id="rId101" Type="http://schemas.openxmlformats.org/officeDocument/2006/relationships/hyperlink" Target="http://amazon.com.au" TargetMode="External"/><Relationship Id="rId100" Type="http://schemas.openxmlformats.org/officeDocument/2006/relationships/hyperlink" Target="http://amazon.ca" TargetMode="External"/><Relationship Id="rId31" Type="http://schemas.openxmlformats.org/officeDocument/2006/relationships/hyperlink" Target="http://amazon.de" TargetMode="External"/><Relationship Id="rId30" Type="http://schemas.openxmlformats.org/officeDocument/2006/relationships/hyperlink" Target="http://amazon.co.uk" TargetMode="External"/><Relationship Id="rId33" Type="http://schemas.openxmlformats.org/officeDocument/2006/relationships/hyperlink" Target="http://amazon.com.au" TargetMode="External"/><Relationship Id="rId32" Type="http://schemas.openxmlformats.org/officeDocument/2006/relationships/hyperlink" Target="http://amazon.es" TargetMode="External"/><Relationship Id="rId35" Type="http://schemas.openxmlformats.org/officeDocument/2006/relationships/hyperlink" Target="http://amazon.com" TargetMode="External"/><Relationship Id="rId34" Type="http://schemas.openxmlformats.org/officeDocument/2006/relationships/hyperlink" Target="http://amazon.fr" TargetMode="External"/><Relationship Id="rId37" Type="http://schemas.openxmlformats.org/officeDocument/2006/relationships/hyperlink" Target="http://amazon.de" TargetMode="External"/><Relationship Id="rId36" Type="http://schemas.openxmlformats.org/officeDocument/2006/relationships/hyperlink" Target="http://amazon.ca" TargetMode="External"/><Relationship Id="rId39" Type="http://schemas.openxmlformats.org/officeDocument/2006/relationships/hyperlink" Target="http://amazon.co.uk" TargetMode="External"/><Relationship Id="rId38" Type="http://schemas.openxmlformats.org/officeDocument/2006/relationships/hyperlink" Target="http://amazon.com.br" TargetMode="External"/><Relationship Id="rId20" Type="http://schemas.openxmlformats.org/officeDocument/2006/relationships/hyperlink" Target="http://amazon.se" TargetMode="External"/><Relationship Id="rId22" Type="http://schemas.openxmlformats.org/officeDocument/2006/relationships/hyperlink" Target="http://amazon.ca" TargetMode="External"/><Relationship Id="rId21" Type="http://schemas.openxmlformats.org/officeDocument/2006/relationships/hyperlink" Target="http://amazon.com.au" TargetMode="External"/><Relationship Id="rId24" Type="http://schemas.openxmlformats.org/officeDocument/2006/relationships/hyperlink" Target="http://amazon.co.uk" TargetMode="External"/><Relationship Id="rId23" Type="http://schemas.openxmlformats.org/officeDocument/2006/relationships/hyperlink" Target="http://amazon.ca" TargetMode="External"/><Relationship Id="rId129" Type="http://schemas.openxmlformats.org/officeDocument/2006/relationships/hyperlink" Target="http://amazon.co.jp" TargetMode="External"/><Relationship Id="rId128" Type="http://schemas.openxmlformats.org/officeDocument/2006/relationships/hyperlink" Target="http://amazon.com" TargetMode="External"/><Relationship Id="rId127" Type="http://schemas.openxmlformats.org/officeDocument/2006/relationships/hyperlink" Target="http://amazon.es" TargetMode="External"/><Relationship Id="rId126" Type="http://schemas.openxmlformats.org/officeDocument/2006/relationships/hyperlink" Target="http://amazon.co.uk" TargetMode="External"/><Relationship Id="rId26" Type="http://schemas.openxmlformats.org/officeDocument/2006/relationships/hyperlink" Target="http://amazon.com.au" TargetMode="External"/><Relationship Id="rId121" Type="http://schemas.openxmlformats.org/officeDocument/2006/relationships/hyperlink" Target="http://amazon.fr" TargetMode="External"/><Relationship Id="rId25" Type="http://schemas.openxmlformats.org/officeDocument/2006/relationships/hyperlink" Target="http://amazon.com.br" TargetMode="External"/><Relationship Id="rId120" Type="http://schemas.openxmlformats.org/officeDocument/2006/relationships/hyperlink" Target="http://amazon.ca" TargetMode="External"/><Relationship Id="rId28" Type="http://schemas.openxmlformats.org/officeDocument/2006/relationships/hyperlink" Target="http://amazon.com" TargetMode="External"/><Relationship Id="rId27" Type="http://schemas.openxmlformats.org/officeDocument/2006/relationships/hyperlink" Target="http://amazon.nl" TargetMode="External"/><Relationship Id="rId125" Type="http://schemas.openxmlformats.org/officeDocument/2006/relationships/hyperlink" Target="http://amazon.de" TargetMode="External"/><Relationship Id="rId29" Type="http://schemas.openxmlformats.org/officeDocument/2006/relationships/hyperlink" Target="http://amazon.es" TargetMode="External"/><Relationship Id="rId124" Type="http://schemas.openxmlformats.org/officeDocument/2006/relationships/hyperlink" Target="http://amazon.com.au" TargetMode="External"/><Relationship Id="rId123" Type="http://schemas.openxmlformats.org/officeDocument/2006/relationships/hyperlink" Target="http://amazon.ca" TargetMode="External"/><Relationship Id="rId122" Type="http://schemas.openxmlformats.org/officeDocument/2006/relationships/hyperlink" Target="http://amazon.com" TargetMode="External"/><Relationship Id="rId95" Type="http://schemas.openxmlformats.org/officeDocument/2006/relationships/hyperlink" Target="http://amazon.co.uk" TargetMode="External"/><Relationship Id="rId94" Type="http://schemas.openxmlformats.org/officeDocument/2006/relationships/hyperlink" Target="http://amazon.com.au" TargetMode="External"/><Relationship Id="rId97" Type="http://schemas.openxmlformats.org/officeDocument/2006/relationships/hyperlink" Target="http://amazon.in" TargetMode="External"/><Relationship Id="rId96" Type="http://schemas.openxmlformats.org/officeDocument/2006/relationships/hyperlink" Target="http://amazon.com" TargetMode="External"/><Relationship Id="rId11" Type="http://schemas.openxmlformats.org/officeDocument/2006/relationships/hyperlink" Target="http://amazon.com" TargetMode="External"/><Relationship Id="rId99" Type="http://schemas.openxmlformats.org/officeDocument/2006/relationships/hyperlink" Target="http://amazon.com" TargetMode="External"/><Relationship Id="rId10" Type="http://schemas.openxmlformats.org/officeDocument/2006/relationships/hyperlink" Target="http://amazon.it" TargetMode="External"/><Relationship Id="rId98" Type="http://schemas.openxmlformats.org/officeDocument/2006/relationships/hyperlink" Target="http://amazon.fr" TargetMode="External"/><Relationship Id="rId13" Type="http://schemas.openxmlformats.org/officeDocument/2006/relationships/hyperlink" Target="http://amazon.ca" TargetMode="External"/><Relationship Id="rId12" Type="http://schemas.openxmlformats.org/officeDocument/2006/relationships/hyperlink" Target="http://amazon.pl" TargetMode="External"/><Relationship Id="rId91" Type="http://schemas.openxmlformats.org/officeDocument/2006/relationships/hyperlink" Target="http://amazon.com.br" TargetMode="External"/><Relationship Id="rId90" Type="http://schemas.openxmlformats.org/officeDocument/2006/relationships/hyperlink" Target="http://amazon.com" TargetMode="External"/><Relationship Id="rId93" Type="http://schemas.openxmlformats.org/officeDocument/2006/relationships/hyperlink" Target="http://amazon.ca" TargetMode="External"/><Relationship Id="rId92" Type="http://schemas.openxmlformats.org/officeDocument/2006/relationships/hyperlink" Target="http://amazon.de" TargetMode="External"/><Relationship Id="rId118" Type="http://schemas.openxmlformats.org/officeDocument/2006/relationships/hyperlink" Target="http://amazon.it" TargetMode="External"/><Relationship Id="rId117" Type="http://schemas.openxmlformats.org/officeDocument/2006/relationships/hyperlink" Target="http://amazon.co.uk" TargetMode="External"/><Relationship Id="rId116" Type="http://schemas.openxmlformats.org/officeDocument/2006/relationships/hyperlink" Target="http://amazon.de" TargetMode="External"/><Relationship Id="rId115" Type="http://schemas.openxmlformats.org/officeDocument/2006/relationships/hyperlink" Target="http://amazon.com" TargetMode="External"/><Relationship Id="rId119" Type="http://schemas.openxmlformats.org/officeDocument/2006/relationships/hyperlink" Target="http://amazon.com.au" TargetMode="External"/><Relationship Id="rId15" Type="http://schemas.openxmlformats.org/officeDocument/2006/relationships/hyperlink" Target="http://amazon.nl" TargetMode="External"/><Relationship Id="rId110" Type="http://schemas.openxmlformats.org/officeDocument/2006/relationships/hyperlink" Target="http://amazon.com.br" TargetMode="External"/><Relationship Id="rId14" Type="http://schemas.openxmlformats.org/officeDocument/2006/relationships/hyperlink" Target="http://amazon.es" TargetMode="External"/><Relationship Id="rId17" Type="http://schemas.openxmlformats.org/officeDocument/2006/relationships/hyperlink" Target="http://amazon.fr" TargetMode="External"/><Relationship Id="rId16" Type="http://schemas.openxmlformats.org/officeDocument/2006/relationships/hyperlink" Target="http://amazon.com" TargetMode="External"/><Relationship Id="rId19" Type="http://schemas.openxmlformats.org/officeDocument/2006/relationships/hyperlink" Target="http://amazon.de" TargetMode="External"/><Relationship Id="rId114" Type="http://schemas.openxmlformats.org/officeDocument/2006/relationships/hyperlink" Target="http://amazon.ca" TargetMode="External"/><Relationship Id="rId18" Type="http://schemas.openxmlformats.org/officeDocument/2006/relationships/hyperlink" Target="http://amazon.co.uk" TargetMode="External"/><Relationship Id="rId113" Type="http://schemas.openxmlformats.org/officeDocument/2006/relationships/hyperlink" Target="http://amazon.co.uk" TargetMode="External"/><Relationship Id="rId112" Type="http://schemas.openxmlformats.org/officeDocument/2006/relationships/hyperlink" Target="http://amazon.com.au" TargetMode="External"/><Relationship Id="rId111" Type="http://schemas.openxmlformats.org/officeDocument/2006/relationships/hyperlink" Target="http://amazon.in" TargetMode="External"/><Relationship Id="rId84" Type="http://schemas.openxmlformats.org/officeDocument/2006/relationships/hyperlink" Target="http://amazon.ca" TargetMode="External"/><Relationship Id="rId83" Type="http://schemas.openxmlformats.org/officeDocument/2006/relationships/hyperlink" Target="http://amazon.de" TargetMode="External"/><Relationship Id="rId86" Type="http://schemas.openxmlformats.org/officeDocument/2006/relationships/hyperlink" Target="http://amazon.de" TargetMode="External"/><Relationship Id="rId85" Type="http://schemas.openxmlformats.org/officeDocument/2006/relationships/hyperlink" Target="http://amazon.ca" TargetMode="External"/><Relationship Id="rId88" Type="http://schemas.openxmlformats.org/officeDocument/2006/relationships/hyperlink" Target="http://amazon.es" TargetMode="External"/><Relationship Id="rId150" Type="http://schemas.openxmlformats.org/officeDocument/2006/relationships/hyperlink" Target="http://amazon.it" TargetMode="External"/><Relationship Id="rId87" Type="http://schemas.openxmlformats.org/officeDocument/2006/relationships/hyperlink" Target="http://amazon.co.uk" TargetMode="External"/><Relationship Id="rId89" Type="http://schemas.openxmlformats.org/officeDocument/2006/relationships/hyperlink" Target="http://amazon.com.mx" TargetMode="External"/><Relationship Id="rId80" Type="http://schemas.openxmlformats.org/officeDocument/2006/relationships/hyperlink" Target="http://amazon.com" TargetMode="External"/><Relationship Id="rId82" Type="http://schemas.openxmlformats.org/officeDocument/2006/relationships/hyperlink" Target="http://amazon.co.uk" TargetMode="External"/><Relationship Id="rId81" Type="http://schemas.openxmlformats.org/officeDocument/2006/relationships/hyperlink" Target="http://amazon.fr" TargetMode="External"/><Relationship Id="rId1" Type="http://schemas.openxmlformats.org/officeDocument/2006/relationships/hyperlink" Target="http://amazon.com.au" TargetMode="External"/><Relationship Id="rId2" Type="http://schemas.openxmlformats.org/officeDocument/2006/relationships/hyperlink" Target="http://amazon.com.mx" TargetMode="External"/><Relationship Id="rId3" Type="http://schemas.openxmlformats.org/officeDocument/2006/relationships/hyperlink" Target="http://amazon.es" TargetMode="External"/><Relationship Id="rId149" Type="http://schemas.openxmlformats.org/officeDocument/2006/relationships/hyperlink" Target="http://amazon.com.au" TargetMode="External"/><Relationship Id="rId4" Type="http://schemas.openxmlformats.org/officeDocument/2006/relationships/hyperlink" Target="http://amazon.co.uk" TargetMode="External"/><Relationship Id="rId148" Type="http://schemas.openxmlformats.org/officeDocument/2006/relationships/hyperlink" Target="http://amazon.com" TargetMode="External"/><Relationship Id="rId9" Type="http://schemas.openxmlformats.org/officeDocument/2006/relationships/hyperlink" Target="http://amazon.com.au" TargetMode="External"/><Relationship Id="rId143" Type="http://schemas.openxmlformats.org/officeDocument/2006/relationships/hyperlink" Target="http://amazon.it" TargetMode="External"/><Relationship Id="rId142" Type="http://schemas.openxmlformats.org/officeDocument/2006/relationships/hyperlink" Target="http://amazon.com.mx" TargetMode="External"/><Relationship Id="rId141" Type="http://schemas.openxmlformats.org/officeDocument/2006/relationships/hyperlink" Target="http://amazon.ca" TargetMode="External"/><Relationship Id="rId140" Type="http://schemas.openxmlformats.org/officeDocument/2006/relationships/hyperlink" Target="http://amazon.co.uk" TargetMode="External"/><Relationship Id="rId5" Type="http://schemas.openxmlformats.org/officeDocument/2006/relationships/hyperlink" Target="http://amazon.com" TargetMode="External"/><Relationship Id="rId147" Type="http://schemas.openxmlformats.org/officeDocument/2006/relationships/hyperlink" Target="http://amazon.in" TargetMode="External"/><Relationship Id="rId6" Type="http://schemas.openxmlformats.org/officeDocument/2006/relationships/hyperlink" Target="http://amazon.co.jp" TargetMode="External"/><Relationship Id="rId146" Type="http://schemas.openxmlformats.org/officeDocument/2006/relationships/hyperlink" Target="http://amazon.ca" TargetMode="External"/><Relationship Id="rId7" Type="http://schemas.openxmlformats.org/officeDocument/2006/relationships/hyperlink" Target="http://amazon.ca" TargetMode="External"/><Relationship Id="rId145" Type="http://schemas.openxmlformats.org/officeDocument/2006/relationships/hyperlink" Target="http://amazon.de" TargetMode="External"/><Relationship Id="rId8" Type="http://schemas.openxmlformats.org/officeDocument/2006/relationships/hyperlink" Target="http://amazon.co.uk" TargetMode="External"/><Relationship Id="rId144" Type="http://schemas.openxmlformats.org/officeDocument/2006/relationships/hyperlink" Target="http://amazon.co.uk" TargetMode="External"/><Relationship Id="rId73" Type="http://schemas.openxmlformats.org/officeDocument/2006/relationships/hyperlink" Target="http://amazon.de" TargetMode="External"/><Relationship Id="rId72" Type="http://schemas.openxmlformats.org/officeDocument/2006/relationships/hyperlink" Target="http://amazon.fr" TargetMode="External"/><Relationship Id="rId75" Type="http://schemas.openxmlformats.org/officeDocument/2006/relationships/hyperlink" Target="http://amazon.it" TargetMode="External"/><Relationship Id="rId74" Type="http://schemas.openxmlformats.org/officeDocument/2006/relationships/hyperlink" Target="http://amazon.com" TargetMode="External"/><Relationship Id="rId77" Type="http://schemas.openxmlformats.org/officeDocument/2006/relationships/hyperlink" Target="http://amazon.ca" TargetMode="External"/><Relationship Id="rId76" Type="http://schemas.openxmlformats.org/officeDocument/2006/relationships/hyperlink" Target="http://amazon.co.uk" TargetMode="External"/><Relationship Id="rId79" Type="http://schemas.openxmlformats.org/officeDocument/2006/relationships/hyperlink" Target="http://amazon.fr" TargetMode="External"/><Relationship Id="rId78" Type="http://schemas.openxmlformats.org/officeDocument/2006/relationships/hyperlink" Target="http://amazon.com.au" TargetMode="External"/><Relationship Id="rId71" Type="http://schemas.openxmlformats.org/officeDocument/2006/relationships/hyperlink" Target="http://amazon.in" TargetMode="External"/><Relationship Id="rId70" Type="http://schemas.openxmlformats.org/officeDocument/2006/relationships/hyperlink" Target="http://amazon.com.au" TargetMode="External"/><Relationship Id="rId139" Type="http://schemas.openxmlformats.org/officeDocument/2006/relationships/hyperlink" Target="http://amazon.de" TargetMode="External"/><Relationship Id="rId138" Type="http://schemas.openxmlformats.org/officeDocument/2006/relationships/hyperlink" Target="http://amazon.it" TargetMode="External"/><Relationship Id="rId137" Type="http://schemas.openxmlformats.org/officeDocument/2006/relationships/hyperlink" Target="http://amazon.com" TargetMode="External"/><Relationship Id="rId132" Type="http://schemas.openxmlformats.org/officeDocument/2006/relationships/hyperlink" Target="http://amazon.com" TargetMode="External"/><Relationship Id="rId131" Type="http://schemas.openxmlformats.org/officeDocument/2006/relationships/hyperlink" Target="http://amazon.com.au" TargetMode="External"/><Relationship Id="rId130" Type="http://schemas.openxmlformats.org/officeDocument/2006/relationships/hyperlink" Target="http://amazon.fr" TargetMode="External"/><Relationship Id="rId136" Type="http://schemas.openxmlformats.org/officeDocument/2006/relationships/hyperlink" Target="http://amazon.com.au" TargetMode="External"/><Relationship Id="rId135" Type="http://schemas.openxmlformats.org/officeDocument/2006/relationships/hyperlink" Target="http://amazon.se" TargetMode="External"/><Relationship Id="rId134" Type="http://schemas.openxmlformats.org/officeDocument/2006/relationships/hyperlink" Target="http://amazon.de" TargetMode="External"/><Relationship Id="rId133" Type="http://schemas.openxmlformats.org/officeDocument/2006/relationships/hyperlink" Target="http://amazon.co.uk" TargetMode="External"/><Relationship Id="rId62" Type="http://schemas.openxmlformats.org/officeDocument/2006/relationships/hyperlink" Target="http://amazon.fr" TargetMode="External"/><Relationship Id="rId61" Type="http://schemas.openxmlformats.org/officeDocument/2006/relationships/hyperlink" Target="http://amazon.ca" TargetMode="External"/><Relationship Id="rId64" Type="http://schemas.openxmlformats.org/officeDocument/2006/relationships/hyperlink" Target="http://amazon.se" TargetMode="External"/><Relationship Id="rId63" Type="http://schemas.openxmlformats.org/officeDocument/2006/relationships/hyperlink" Target="http://amazon.co.uk" TargetMode="External"/><Relationship Id="rId66" Type="http://schemas.openxmlformats.org/officeDocument/2006/relationships/hyperlink" Target="http://amazon.ca" TargetMode="External"/><Relationship Id="rId65" Type="http://schemas.openxmlformats.org/officeDocument/2006/relationships/hyperlink" Target="http://amazon.de" TargetMode="External"/><Relationship Id="rId68" Type="http://schemas.openxmlformats.org/officeDocument/2006/relationships/hyperlink" Target="http://amazon.com" TargetMode="External"/><Relationship Id="rId67" Type="http://schemas.openxmlformats.org/officeDocument/2006/relationships/hyperlink" Target="http://amazon.co.uk" TargetMode="External"/><Relationship Id="rId60" Type="http://schemas.openxmlformats.org/officeDocument/2006/relationships/hyperlink" Target="http://amazon.com" TargetMode="External"/><Relationship Id="rId69" Type="http://schemas.openxmlformats.org/officeDocument/2006/relationships/hyperlink" Target="http://amazon.com.mx" TargetMode="External"/><Relationship Id="rId162" Type="http://schemas.openxmlformats.org/officeDocument/2006/relationships/drawing" Target="../drawings/drawing7.xml"/><Relationship Id="rId51" Type="http://schemas.openxmlformats.org/officeDocument/2006/relationships/hyperlink" Target="http://amazon.co.uk" TargetMode="External"/><Relationship Id="rId50" Type="http://schemas.openxmlformats.org/officeDocument/2006/relationships/hyperlink" Target="http://amazon.ca" TargetMode="External"/><Relationship Id="rId53" Type="http://schemas.openxmlformats.org/officeDocument/2006/relationships/hyperlink" Target="http://amazon.fr" TargetMode="External"/><Relationship Id="rId52" Type="http://schemas.openxmlformats.org/officeDocument/2006/relationships/hyperlink" Target="http://amazon.com" TargetMode="External"/><Relationship Id="rId55" Type="http://schemas.openxmlformats.org/officeDocument/2006/relationships/hyperlink" Target="http://amazon.com.au" TargetMode="External"/><Relationship Id="rId161" Type="http://schemas.openxmlformats.org/officeDocument/2006/relationships/hyperlink" Target="http://amazon.de" TargetMode="External"/><Relationship Id="rId54" Type="http://schemas.openxmlformats.org/officeDocument/2006/relationships/hyperlink" Target="http://amazon.com.br" TargetMode="External"/><Relationship Id="rId160" Type="http://schemas.openxmlformats.org/officeDocument/2006/relationships/hyperlink" Target="http://amazon.it" TargetMode="External"/><Relationship Id="rId57" Type="http://schemas.openxmlformats.org/officeDocument/2006/relationships/hyperlink" Target="http://amazon.de" TargetMode="External"/><Relationship Id="rId56" Type="http://schemas.openxmlformats.org/officeDocument/2006/relationships/hyperlink" Target="http://amazon.es" TargetMode="External"/><Relationship Id="rId159" Type="http://schemas.openxmlformats.org/officeDocument/2006/relationships/hyperlink" Target="http://amazon.com.au" TargetMode="External"/><Relationship Id="rId59" Type="http://schemas.openxmlformats.org/officeDocument/2006/relationships/hyperlink" Target="http://amazon.com.au" TargetMode="External"/><Relationship Id="rId154" Type="http://schemas.openxmlformats.org/officeDocument/2006/relationships/hyperlink" Target="http://amazon.de" TargetMode="External"/><Relationship Id="rId58" Type="http://schemas.openxmlformats.org/officeDocument/2006/relationships/hyperlink" Target="http://amazon.co.jp" TargetMode="External"/><Relationship Id="rId153" Type="http://schemas.openxmlformats.org/officeDocument/2006/relationships/hyperlink" Target="http://amazon.co.uk" TargetMode="External"/><Relationship Id="rId152" Type="http://schemas.openxmlformats.org/officeDocument/2006/relationships/hyperlink" Target="http://amazon.ca" TargetMode="External"/><Relationship Id="rId151" Type="http://schemas.openxmlformats.org/officeDocument/2006/relationships/hyperlink" Target="http://amazon.com.au" TargetMode="External"/><Relationship Id="rId158" Type="http://schemas.openxmlformats.org/officeDocument/2006/relationships/hyperlink" Target="http://amazon.com" TargetMode="External"/><Relationship Id="rId157" Type="http://schemas.openxmlformats.org/officeDocument/2006/relationships/hyperlink" Target="http://amazon.co.uk" TargetMode="External"/><Relationship Id="rId156" Type="http://schemas.openxmlformats.org/officeDocument/2006/relationships/hyperlink" Target="http://amazon.ca" TargetMode="External"/><Relationship Id="rId155" Type="http://schemas.openxmlformats.org/officeDocument/2006/relationships/hyperlink" Target="http://amazon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fFm3yuRKQRrZtwuRxmqV1rnTUYvaEWEhGIuLQG1hJM/edit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13"/>
    <col customWidth="1" min="5" max="5" width="15.0"/>
    <col customWidth="1" min="8" max="8" width="19.5"/>
    <col customWidth="1" min="9" max="9" width="13.38"/>
    <col customWidth="1" min="10" max="10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O1" s="3" t="s">
        <v>13</v>
      </c>
    </row>
    <row r="2">
      <c r="A2" s="4">
        <v>7.0</v>
      </c>
      <c r="B2" s="4">
        <v>2022.0</v>
      </c>
      <c r="C2" s="5">
        <f>Sumproduct(Sales!$F$2:$F999,month(Sales!$A$2:$A999)=A2,year(Sales!$A$2:$A999)=B2)</f>
        <v>1171.63</v>
      </c>
      <c r="D2" s="5">
        <f>Sumproduct('Amazon Royalties'!$E$2:$E999,month('Amazon Royalties'!$B$2:$B999)=A2,year('Amazon Royalties'!$B$2:$B999)=B2)</f>
        <v>78.357601</v>
      </c>
      <c r="E2" s="5">
        <f>Sumproduct(Sales!$K$2:$K999,month(Sales!$A$2:$A999)=A2,year(Sales!$A$2:$A999)=B2)</f>
        <v>750</v>
      </c>
      <c r="F2" s="5">
        <f>Sumproduct(Expenses!$B$2:$B999,Month(Expenses!$A$2:$A999)=A2,year(Expenses!$A$2:$A999)=B2)</f>
        <v>59.31</v>
      </c>
      <c r="G2" s="4">
        <f>Sumproduct('Staff Salaries'!$B$3:$B999,month('Staff Salaries'!$A$3:$A999)=$A2,year('Staff Salaries'!$A$3:$A999)=$B2)</f>
        <v>300</v>
      </c>
      <c r="H2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,year(importrange(""https://docs.google.com/spreadsheets/d/15CJ-h55pYD1KSEfDJoQc5rhrr0QtLCfpr6KnyxjMee4/edit#gid=71971023"",""Expired!a2:a""))=B2)"),0.0)</f>
        <v>0</v>
      </c>
      <c r="I2" s="5">
        <f>sumproduct('Profit Distributions'!$B$2:$B999,Year('Profit Distributions'!$A$2:$A999)=B2,Month('Profit Distributions'!$A$2:$A999)=A2,'Profit Distributions'!$C$2:$C999&lt;&gt;"Savings")</f>
        <v>0</v>
      </c>
      <c r="J2" s="5">
        <f>sumproduct('Profit Distributions'!$B$2:$B999,Year('Profit Distributions'!$A$2:$A999)=B2,Month('Profit Distributions'!$A$2:$A999)=A2,'Profit Distributions'!$C$2:$C999="Savings")</f>
        <v>0</v>
      </c>
      <c r="K2" s="6">
        <f t="shared" ref="K2:K43" si="1">C2+D2-F2-G2-E2+H2</f>
        <v>140.677601</v>
      </c>
      <c r="L2" s="6">
        <f t="shared" ref="L2:L43" si="2">K2-J2</f>
        <v>140.677601</v>
      </c>
      <c r="M2" s="6">
        <f>L2-I2</f>
        <v>140.677601</v>
      </c>
      <c r="O2" s="6">
        <f>IFERROR(__xludf.DUMMYFUNCTION("INDEX(M:M, MAX(FILTER(ROW(M:M), ISNUMBER(M:M))))+'Profit Distributions'!$G$3+'Staff Total'!$D$2"),-4985.266742111924)</f>
        <v>-4985.266742</v>
      </c>
    </row>
    <row r="3">
      <c r="A3" s="4">
        <v>8.0</v>
      </c>
      <c r="B3" s="4">
        <v>2022.0</v>
      </c>
      <c r="C3" s="5">
        <f>Sumproduct(Sales!$F$2:$F999,month(Sales!$A$2:$A999)=A3,year(Sales!$A$2:$A999)=B3)</f>
        <v>1576.13</v>
      </c>
      <c r="D3" s="5">
        <f>Sumproduct('Amazon Royalties'!$E$2:$E999,month('Amazon Royalties'!$B$2:$B999)=A3,year('Amazon Royalties'!$B$2:$B999)=B3)</f>
        <v>67.87038</v>
      </c>
      <c r="E3" s="5">
        <f>Sumproduct(Sales!$K$2:$K999,month(Sales!$A$2:$A999)=A3,year(Sales!$A$2:$A999)=B3)</f>
        <v>945</v>
      </c>
      <c r="F3" s="5">
        <f>Sumproduct(Expenses!$B$2:$B999,Month(Expenses!$A$2:$A999)=A3,year(Expenses!$A$2:$A999)=B3)</f>
        <v>298.52</v>
      </c>
      <c r="G3" s="4">
        <f>Sumproduct('Staff Salaries'!$B$3:$B999,month('Staff Salaries'!$A$3:$A999)=$A3,year('Staff Salaries'!$A$3:$A999)=$B3)</f>
        <v>300</v>
      </c>
      <c r="H3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,year(importrange(""https://docs.google.com/spreadsheets/d/15CJ-h55pYD1KSEfDJoQc5rhrr0QtLCfpr6KnyxjMee4/edit#gid=71971023"",""Expired!a2:a""))=B3)"),0.0)</f>
        <v>0</v>
      </c>
      <c r="I3" s="5">
        <f>sumproduct('Profit Distributions'!$B$2:$B999,Year('Profit Distributions'!$A$2:$A999)=B3,Month('Profit Distributions'!$A$2:$A999)=A3,'Profit Distributions'!$C$2:$C999&lt;&gt;"Savings")</f>
        <v>0</v>
      </c>
      <c r="J3" s="5">
        <f>sumproduct('Profit Distributions'!$B$2:$B999,Year('Profit Distributions'!$A$2:$A999)=B3,Month('Profit Distributions'!$A$2:$A999)=A3,'Profit Distributions'!$C$2:$C999="Savings")</f>
        <v>0</v>
      </c>
      <c r="K3" s="6">
        <f t="shared" si="1"/>
        <v>100.48038</v>
      </c>
      <c r="L3" s="6">
        <f t="shared" si="2"/>
        <v>100.48038</v>
      </c>
      <c r="M3" s="6">
        <f t="shared" ref="M3:M43" si="3">L3+M2-I3</f>
        <v>241.157981</v>
      </c>
      <c r="N3" s="3"/>
    </row>
    <row r="4">
      <c r="A4" s="4">
        <v>9.0</v>
      </c>
      <c r="B4" s="4">
        <v>2022.0</v>
      </c>
      <c r="C4" s="5">
        <f>Sumproduct(Sales!$F$2:$F999,month(Sales!$A$2:$A999)=A4,year(Sales!$A$2:$A999)=B4)</f>
        <v>1312.72</v>
      </c>
      <c r="D4" s="5">
        <f>Sumproduct('Amazon Royalties'!$E$2:$E999,month('Amazon Royalties'!$B$2:$B999)=A4,year('Amazon Royalties'!$B$2:$B999)=B4)</f>
        <v>72.406828</v>
      </c>
      <c r="E4" s="5">
        <f>Sumproduct(Sales!$K$2:$K999,month(Sales!$A$2:$A999)=A4,year(Sales!$A$2:$A999)=B4)</f>
        <v>855</v>
      </c>
      <c r="F4" s="5">
        <f>Sumproduct(Expenses!$B$2:$B999,Month(Expenses!$A$2:$A999)=A4,year(Expenses!$A$2:$A999)=B4)</f>
        <v>228.3</v>
      </c>
      <c r="G4" s="4">
        <f>Sumproduct('Staff Salaries'!$B$3:$B999,month('Staff Salaries'!$A$3:$A999)=$A4,year('Staff Salaries'!$A$3:$A999)=$B4)</f>
        <v>300</v>
      </c>
      <c r="H4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4,year(importrange(""https://docs.google.com/spreadsheets/d/15CJ-h55pYD1KSEfDJoQc5rhrr0QtLCfpr6KnyxjMee4/edit#gid=71971023"",""Expired!a2:a""))=B4)"),0.0)</f>
        <v>0</v>
      </c>
      <c r="I4" s="5">
        <f>sumproduct('Profit Distributions'!$B$2:$B999,Year('Profit Distributions'!$A$2:$A999)=B4,Month('Profit Distributions'!$A$2:$A999)=A4,'Profit Distributions'!$C$2:$C999&lt;&gt;"Savings")</f>
        <v>0</v>
      </c>
      <c r="J4" s="5">
        <f>sumproduct('Profit Distributions'!$B$2:$B999,Year('Profit Distributions'!$A$2:$A999)=B4,Month('Profit Distributions'!$A$2:$A999)=A4,'Profit Distributions'!$C$2:$C999="Savings")</f>
        <v>0</v>
      </c>
      <c r="K4" s="6">
        <f t="shared" si="1"/>
        <v>1.826828</v>
      </c>
      <c r="L4" s="6">
        <f t="shared" si="2"/>
        <v>1.826828</v>
      </c>
      <c r="M4" s="6">
        <f t="shared" si="3"/>
        <v>242.984809</v>
      </c>
      <c r="N4" s="3"/>
    </row>
    <row r="5">
      <c r="A5" s="4">
        <v>10.0</v>
      </c>
      <c r="B5" s="4">
        <v>2022.0</v>
      </c>
      <c r="C5" s="5">
        <f>Sumproduct(Sales!$F$2:$F999,month(Sales!$A$2:$A999)=A5,year(Sales!$A$2:$A999)=B5)</f>
        <v>1510.96</v>
      </c>
      <c r="D5" s="5">
        <f>Sumproduct('Amazon Royalties'!$E$2:$E999,month('Amazon Royalties'!$B$2:$B999)=A5,year('Amazon Royalties'!$B$2:$B999)=B5)</f>
        <v>79.8203256</v>
      </c>
      <c r="E5" s="5">
        <f>Sumproduct(Sales!$K$2:$K999,month(Sales!$A$2:$A999)=A5,year(Sales!$A$2:$A999)=B5)</f>
        <v>1020</v>
      </c>
      <c r="F5" s="5">
        <f>Sumproduct(Expenses!$B$2:$B999,Month(Expenses!$A$2:$A999)=A5,year(Expenses!$A$2:$A999)=B5)</f>
        <v>217.4</v>
      </c>
      <c r="G5" s="4">
        <f>Sumproduct('Staff Salaries'!$B$3:$B999,month('Staff Salaries'!$A$3:$A999)=$A5,year('Staff Salaries'!$A$3:$A999)=$B5)</f>
        <v>300</v>
      </c>
      <c r="H5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5,year(importrange(""https://docs.google.com/spreadsheets/d/15CJ-h55pYD1KSEfDJoQc5rhrr0QtLCfpr6KnyxjMee4/edit#gid=71971023"",""Expired!a2:a""))=B5)"),0.0)</f>
        <v>0</v>
      </c>
      <c r="I5" s="5">
        <f>sumproduct('Profit Distributions'!$B$2:$B999,Year('Profit Distributions'!$A$2:$A999)=B5,Month('Profit Distributions'!$A$2:$A999)=A5,'Profit Distributions'!$C$2:$C999&lt;&gt;"Savings")</f>
        <v>0</v>
      </c>
      <c r="J5" s="5">
        <f>sumproduct('Profit Distributions'!$B$2:$B999,Year('Profit Distributions'!$A$2:$A999)=B5,Month('Profit Distributions'!$A$2:$A999)=A5,'Profit Distributions'!$C$2:$C999="Savings")</f>
        <v>0</v>
      </c>
      <c r="K5" s="6">
        <f t="shared" si="1"/>
        <v>53.3803256</v>
      </c>
      <c r="L5" s="6">
        <f t="shared" si="2"/>
        <v>53.3803256</v>
      </c>
      <c r="M5" s="6">
        <f t="shared" si="3"/>
        <v>296.3651346</v>
      </c>
      <c r="N5" s="3"/>
    </row>
    <row r="6">
      <c r="A6" s="4">
        <v>11.0</v>
      </c>
      <c r="B6" s="4">
        <v>2022.0</v>
      </c>
      <c r="C6" s="5">
        <f>Sumproduct(Sales!$F$2:$F999,month(Sales!$A$2:$A999)=A6,year(Sales!$A$2:$A999)=B6)</f>
        <v>1077.53</v>
      </c>
      <c r="D6" s="5">
        <f>Sumproduct('Amazon Royalties'!$E$2:$E999,month('Amazon Royalties'!$B$2:$B999)=A6,year('Amazon Royalties'!$B$2:$B999)=B6)</f>
        <v>82.575785</v>
      </c>
      <c r="E6" s="5">
        <f>Sumproduct(Sales!$K$2:$K999,month(Sales!$A$2:$A999)=A6,year(Sales!$A$2:$A999)=B6)</f>
        <v>570</v>
      </c>
      <c r="F6" s="5">
        <f>Sumproduct(Expenses!$B$2:$B999,Month(Expenses!$A$2:$A999)=A6,year(Expenses!$A$2:$A999)=B6)</f>
        <v>175.97</v>
      </c>
      <c r="G6" s="4">
        <f>Sumproduct('Staff Salaries'!$B$3:$B999,month('Staff Salaries'!$A$3:$A999)=$A6,year('Staff Salaries'!$A$3:$A999)=$B6)</f>
        <v>300</v>
      </c>
      <c r="H6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6,year(importrange(""https://docs.google.com/spreadsheets/d/15CJ-h55pYD1KSEfDJoQc5rhrr0QtLCfpr6KnyxjMee4/edit#gid=71971023"",""Expired!a2:a""))=B6)"),0.0)</f>
        <v>0</v>
      </c>
      <c r="I6" s="5">
        <f>sumproduct('Profit Distributions'!$B$2:$B999,Year('Profit Distributions'!$A$2:$A999)=B6,Month('Profit Distributions'!$A$2:$A999)=A6,'Profit Distributions'!$C$2:$C999&lt;&gt;"Savings")</f>
        <v>0</v>
      </c>
      <c r="J6" s="5">
        <f>sumproduct('Profit Distributions'!$B$2:$B999,Year('Profit Distributions'!$A$2:$A999)=B6,Month('Profit Distributions'!$A$2:$A999)=A6,'Profit Distributions'!$C$2:$C999="Savings")</f>
        <v>0</v>
      </c>
      <c r="K6" s="6">
        <f t="shared" si="1"/>
        <v>114.135785</v>
      </c>
      <c r="L6" s="6">
        <f t="shared" si="2"/>
        <v>114.135785</v>
      </c>
      <c r="M6" s="6">
        <f t="shared" si="3"/>
        <v>410.5009196</v>
      </c>
      <c r="N6" s="3"/>
    </row>
    <row r="7">
      <c r="A7" s="4">
        <v>12.0</v>
      </c>
      <c r="B7" s="4">
        <v>2022.0</v>
      </c>
      <c r="C7" s="5">
        <f>Sumproduct(Sales!$F$2:$F999,month(Sales!$A$2:$A999)=A7,year(Sales!$A$2:$A999)=B7)</f>
        <v>1433.11</v>
      </c>
      <c r="D7" s="5">
        <f>Sumproduct('Amazon Royalties'!$E$2:$E999,month('Amazon Royalties'!$B$2:$B999)=A7,year('Amazon Royalties'!$B$2:$B999)=B7)</f>
        <v>109.9750281</v>
      </c>
      <c r="E7" s="5">
        <f>Sumproduct(Sales!$K$2:$K999,month(Sales!$A$2:$A999)=A7,year(Sales!$A$2:$A999)=B7)</f>
        <v>1140</v>
      </c>
      <c r="F7" s="5">
        <f>Sumproduct(Expenses!$B$2:$B999,Month(Expenses!$A$2:$A999)=A7,year(Expenses!$A$2:$A999)=B7)</f>
        <v>577.77</v>
      </c>
      <c r="G7" s="4">
        <f>Sumproduct('Staff Salaries'!$B$3:$B999,month('Staff Salaries'!$A$3:$A999)=$A7,year('Staff Salaries'!$A$3:$A999)=$B7)</f>
        <v>300</v>
      </c>
      <c r="H7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7,year(importrange(""https://docs.google.com/spreadsheets/d/15CJ-h55pYD1KSEfDJoQc5rhrr0QtLCfpr6KnyxjMee4/edit#gid=71971023"",""Expired!a2:a""))=B7)"),0.0)</f>
        <v>0</v>
      </c>
      <c r="I7" s="5">
        <f>sumproduct('Profit Distributions'!$B$2:$B999,Year('Profit Distributions'!$A$2:$A999)=B7,Month('Profit Distributions'!$A$2:$A999)=A7,'Profit Distributions'!$C$2:$C999&lt;&gt;"Savings")</f>
        <v>0</v>
      </c>
      <c r="J7" s="5">
        <f>sumproduct('Profit Distributions'!$B$2:$B999,Year('Profit Distributions'!$A$2:$A999)=B7,Month('Profit Distributions'!$A$2:$A999)=A7,'Profit Distributions'!$C$2:$C999="Savings")</f>
        <v>0</v>
      </c>
      <c r="K7" s="6">
        <f t="shared" si="1"/>
        <v>-474.6849719</v>
      </c>
      <c r="L7" s="6">
        <f t="shared" si="2"/>
        <v>-474.6849719</v>
      </c>
      <c r="M7" s="6">
        <f t="shared" si="3"/>
        <v>-64.1840523</v>
      </c>
      <c r="N7" s="3"/>
    </row>
    <row r="8">
      <c r="A8" s="4">
        <v>1.0</v>
      </c>
      <c r="B8" s="4">
        <v>2023.0</v>
      </c>
      <c r="C8" s="5">
        <f>Sumproduct(Sales!$F$2:$F999,month(Sales!$A$2:$A999)=A8,year(Sales!$A$2:$A999)=B8)</f>
        <v>4994.92</v>
      </c>
      <c r="D8" s="5">
        <f>Sumproduct('Amazon Royalties'!$E$2:$E999,month('Amazon Royalties'!$B$2:$B999)=A8,year('Amazon Royalties'!$B$2:$B999)=B8)</f>
        <v>49.221648</v>
      </c>
      <c r="E8" s="5">
        <f>Sumproduct(Sales!$K$2:$K999,month(Sales!$A$2:$A999)=A8,year(Sales!$A$2:$A999)=B8)</f>
        <v>2415</v>
      </c>
      <c r="F8" s="5">
        <f>Sumproduct(Expenses!$B$2:$B999,Month(Expenses!$A$2:$A999)=A8,year(Expenses!$A$2:$A999)=B8)</f>
        <v>222.7</v>
      </c>
      <c r="G8" s="4">
        <f>Sumproduct('Staff Salaries'!$B$3:$B999,month('Staff Salaries'!$A$3:$A999)=$A8,year('Staff Salaries'!$A$3:$A999)=$B8)</f>
        <v>300</v>
      </c>
      <c r="H8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8,year(importrange(""https://docs.google.com/spreadsheets/d/15CJ-h55pYD1KSEfDJoQc5rhrr0QtLCfpr6KnyxjMee4/edit#gid=71971023"",""Expired!a2:a""))=B8)"),0.0)</f>
        <v>0</v>
      </c>
      <c r="I8" s="5">
        <f>sumproduct('Profit Distributions'!$B$2:$B999,Year('Profit Distributions'!$A$2:$A999)=B8,Month('Profit Distributions'!$A$2:$A999)=A8,'Profit Distributions'!$C$2:$C999&lt;&gt;"Savings")</f>
        <v>0</v>
      </c>
      <c r="J8" s="5">
        <f>sumproduct('Profit Distributions'!$B$2:$B999,Year('Profit Distributions'!$A$2:$A999)=B8,Month('Profit Distributions'!$A$2:$A999)=A8,'Profit Distributions'!$C$2:$C999="Savings")</f>
        <v>0</v>
      </c>
      <c r="K8" s="6">
        <f t="shared" si="1"/>
        <v>2106.441648</v>
      </c>
      <c r="L8" s="6">
        <f t="shared" si="2"/>
        <v>2106.441648</v>
      </c>
      <c r="M8" s="6">
        <f t="shared" si="3"/>
        <v>2042.257596</v>
      </c>
      <c r="N8" s="3"/>
    </row>
    <row r="9">
      <c r="A9" s="4">
        <v>2.0</v>
      </c>
      <c r="B9" s="4">
        <v>2023.0</v>
      </c>
      <c r="C9" s="5">
        <f>Sumproduct(Sales!$F$2:$F999,month(Sales!$A$2:$A999)=A9,year(Sales!$A$2:$A999)=B9)</f>
        <v>3661.85</v>
      </c>
      <c r="D9" s="5">
        <f>Sumproduct('Amazon Royalties'!$E$2:$E999,month('Amazon Royalties'!$B$2:$B999)=A9,year('Amazon Royalties'!$B$2:$B999)=B9)</f>
        <v>66.627678</v>
      </c>
      <c r="E9" s="5">
        <f>Sumproduct(Sales!$K$2:$K999,month(Sales!$A$2:$A999)=A9,year(Sales!$A$2:$A999)=B9)</f>
        <v>1800</v>
      </c>
      <c r="F9" s="5">
        <f>Sumproduct(Expenses!$B$2:$B999,Month(Expenses!$A$2:$A999)=A9,year(Expenses!$A$2:$A999)=B9)</f>
        <v>171.16</v>
      </c>
      <c r="G9" s="4">
        <f>Sumproduct('Staff Salaries'!$B$3:$B999,month('Staff Salaries'!$A$3:$A999)=$A9,year('Staff Salaries'!$A$3:$A999)=$B9)</f>
        <v>300</v>
      </c>
      <c r="H9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9,year(importrange(""https://docs.google.com/spreadsheets/d/15CJ-h55pYD1KSEfDJoQc5rhrr0QtLCfpr6KnyxjMee4/edit#gid=71971023"",""Expired!a2:a""))=B9)"),0.0)</f>
        <v>0</v>
      </c>
      <c r="I9" s="5">
        <f>sumproduct('Profit Distributions'!$B$2:$B999,Year('Profit Distributions'!$A$2:$A999)=B9,Month('Profit Distributions'!$A$2:$A999)=A9,'Profit Distributions'!$C$2:$C999&lt;&gt;"Savings")</f>
        <v>1100</v>
      </c>
      <c r="J9" s="5">
        <f>sumproduct('Profit Distributions'!$B$2:$B999,Year('Profit Distributions'!$A$2:$A999)=B9,Month('Profit Distributions'!$A$2:$A999)=A9,'Profit Distributions'!$C$2:$C999="Savings")</f>
        <v>0</v>
      </c>
      <c r="K9" s="6">
        <f t="shared" si="1"/>
        <v>1457.317678</v>
      </c>
      <c r="L9" s="6">
        <f t="shared" si="2"/>
        <v>1457.317678</v>
      </c>
      <c r="M9" s="6">
        <f t="shared" si="3"/>
        <v>2399.575274</v>
      </c>
      <c r="N9" s="6"/>
    </row>
    <row r="10">
      <c r="A10" s="4">
        <v>3.0</v>
      </c>
      <c r="B10" s="4">
        <v>2023.0</v>
      </c>
      <c r="C10" s="5">
        <f>Sumproduct(Sales!$F$2:$F999,month(Sales!$A$2:$A999)=A10,year(Sales!$A$2:$A999)=B10)</f>
        <v>2499.48</v>
      </c>
      <c r="D10" s="5">
        <f>Sumproduct('Amazon Royalties'!$E$2:$E999,month('Amazon Royalties'!$B$2:$B999)=A10,year('Amazon Royalties'!$B$2:$B999)=B10)</f>
        <v>170.2994463</v>
      </c>
      <c r="E10" s="5">
        <f>Sumproduct(Sales!$K$2:$K999,month(Sales!$A$2:$A999)=A10,year(Sales!$A$2:$A999)=B10)</f>
        <v>1500</v>
      </c>
      <c r="F10" s="5">
        <f>Sumproduct(Expenses!$B$2:$B999,Month(Expenses!$A$2:$A999)=A10,year(Expenses!$A$2:$A999)=B10)</f>
        <v>303.93</v>
      </c>
      <c r="G10" s="4">
        <f>Sumproduct('Staff Salaries'!$B$3:$B999,month('Staff Salaries'!$A$3:$A999)=$A10,year('Staff Salaries'!$A$3:$A999)=$B10)</f>
        <v>300</v>
      </c>
      <c r="H10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10,year(importrange(""https://docs.google.com/spreadsheets/d/15CJ-h55pYD1KSEfDJoQc5rhrr0QtLCfpr6KnyxjMee4/edit#gid=71971023"",""Expired!a2:a""))=B10)"),0.0)</f>
        <v>0</v>
      </c>
      <c r="I10" s="5">
        <f>sumproduct('Profit Distributions'!$B$2:$B999,Year('Profit Distributions'!$A$2:$A999)=B10,Month('Profit Distributions'!$A$2:$A999)=A10,'Profit Distributions'!$C$2:$C999&lt;&gt;"Savings")</f>
        <v>1100</v>
      </c>
      <c r="J10" s="5">
        <f>sumproduct('Profit Distributions'!$B$2:$B999,Year('Profit Distributions'!$A$2:$A999)=B10,Month('Profit Distributions'!$A$2:$A999)=A10,'Profit Distributions'!$C$2:$C999="Savings")</f>
        <v>0</v>
      </c>
      <c r="K10" s="6">
        <f t="shared" si="1"/>
        <v>565.8494463</v>
      </c>
      <c r="L10" s="6">
        <f t="shared" si="2"/>
        <v>565.8494463</v>
      </c>
      <c r="M10" s="6">
        <f t="shared" si="3"/>
        <v>1865.42472</v>
      </c>
      <c r="N10" s="6"/>
    </row>
    <row r="11">
      <c r="A11" s="4">
        <v>4.0</v>
      </c>
      <c r="B11" s="4">
        <v>2023.0</v>
      </c>
      <c r="C11" s="5">
        <f>Sumproduct(Sales!$F$2:$F999,month(Sales!$A$2:$A999)=A11,year(Sales!$A$2:$A999)=B11)</f>
        <v>2657.56</v>
      </c>
      <c r="D11" s="5">
        <f>Sumproduct('Amazon Royalties'!$E$2:$E999,month('Amazon Royalties'!$B$2:$B999)=A11,year('Amazon Royalties'!$B$2:$B999)=B11)</f>
        <v>98.90229</v>
      </c>
      <c r="E11" s="5">
        <f>Sumproduct(Sales!$K$2:$K999,month(Sales!$A$2:$A999)=A11,year(Sales!$A$2:$A999)=B11)</f>
        <v>1800</v>
      </c>
      <c r="F11" s="5">
        <f>Sumproduct(Expenses!$B$2:$B999,Month(Expenses!$A$2:$A999)=A11,year(Expenses!$A$2:$A999)=B11)</f>
        <v>178.3</v>
      </c>
      <c r="G11" s="4">
        <f>Sumproduct('Staff Salaries'!$B$3:$B999,month('Staff Salaries'!$A$3:$A999)=$A11,year('Staff Salaries'!$A$3:$A999)=$B11)</f>
        <v>300</v>
      </c>
      <c r="H11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11,year(importrange(""https://docs.google.com/spreadsheets/d/15CJ-h55pYD1KSEfDJoQc5rhrr0QtLCfpr6KnyxjMee4/edit#gid=71971023"",""Expired!a2:a""))=B11)"),0.0)</f>
        <v>0</v>
      </c>
      <c r="I11" s="5">
        <f>sumproduct('Profit Distributions'!$B$2:$B999,Year('Profit Distributions'!$A$2:$A999)=B11,Month('Profit Distributions'!$A$2:$A999)=A11,'Profit Distributions'!$C$2:$C999&lt;&gt;"Savings")</f>
        <v>0</v>
      </c>
      <c r="J11" s="5">
        <f>sumproduct('Profit Distributions'!$B$2:$B999,Year('Profit Distributions'!$A$2:$A999)=B11,Month('Profit Distributions'!$A$2:$A999)=A11,'Profit Distributions'!$C$2:$C999="Savings")</f>
        <v>0</v>
      </c>
      <c r="K11" s="6">
        <f t="shared" si="1"/>
        <v>478.16229</v>
      </c>
      <c r="L11" s="6">
        <f t="shared" si="2"/>
        <v>478.16229</v>
      </c>
      <c r="M11" s="6">
        <f t="shared" si="3"/>
        <v>2343.58701</v>
      </c>
      <c r="N11" s="6"/>
    </row>
    <row r="12">
      <c r="A12" s="4">
        <v>5.0</v>
      </c>
      <c r="B12" s="4">
        <v>2023.0</v>
      </c>
      <c r="C12" s="5">
        <f>Sumproduct(Sales!$F$2:$F999,month(Sales!$A$2:$A999)=A12,year(Sales!$A$2:$A999)=B12)</f>
        <v>2633.81</v>
      </c>
      <c r="D12" s="5">
        <f>Sumproduct('Amazon Royalties'!$E$2:$E999,month('Amazon Royalties'!$B$2:$B999)=A12,year('Amazon Royalties'!$B$2:$B999)=B12)</f>
        <v>75.94143</v>
      </c>
      <c r="E12" s="5">
        <f>Sumproduct(Sales!$K$2:$K999,month(Sales!$A$2:$A999)=A12,year(Sales!$A$2:$A999)=B12)</f>
        <v>1845</v>
      </c>
      <c r="F12" s="5">
        <f>Sumproduct(Expenses!$B$2:$B999,Month(Expenses!$A$2:$A999)=A12,year(Expenses!$A$2:$A999)=B12)</f>
        <v>351.75</v>
      </c>
      <c r="G12" s="4">
        <f>Sumproduct('Staff Salaries'!$B$3:$B999,month('Staff Salaries'!$A$3:$A999)=$A12,year('Staff Salaries'!$A$3:$A999)=$B12)</f>
        <v>300</v>
      </c>
      <c r="H12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12,year(importrange(""https://docs.google.com/spreadsheets/d/15CJ-h55pYD1KSEfDJoQc5rhrr0QtLCfpr6KnyxjMee4/edit#gid=71971023"",""Expired!a2:a""))=B12)"),90.0)</f>
        <v>90</v>
      </c>
      <c r="I12" s="5">
        <f>sumproduct('Profit Distributions'!$B$2:$B999,Year('Profit Distributions'!$A$2:$A999)=B12,Month('Profit Distributions'!$A$2:$A999)=A12,'Profit Distributions'!$C$2:$C999&lt;&gt;"Savings")</f>
        <v>1400</v>
      </c>
      <c r="J12" s="5">
        <f>sumproduct('Profit Distributions'!$B$2:$B999,Year('Profit Distributions'!$A$2:$A999)=B12,Month('Profit Distributions'!$A$2:$A999)=A12,'Profit Distributions'!$C$2:$C999="Savings")</f>
        <v>0</v>
      </c>
      <c r="K12" s="6">
        <f t="shared" si="1"/>
        <v>303.00143</v>
      </c>
      <c r="L12" s="6">
        <f t="shared" si="2"/>
        <v>303.00143</v>
      </c>
      <c r="M12" s="6">
        <f t="shared" si="3"/>
        <v>1246.58844</v>
      </c>
      <c r="N12" s="6"/>
    </row>
    <row r="13">
      <c r="A13" s="4">
        <v>6.0</v>
      </c>
      <c r="B13" s="4">
        <v>2023.0</v>
      </c>
      <c r="C13" s="5">
        <f>Sumproduct(Sales!$F$2:$F999,month(Sales!$A$2:$A999)=A13,year(Sales!$A$2:$A999)=B13)</f>
        <v>1009.09</v>
      </c>
      <c r="D13" s="5">
        <f>Sumproduct('Amazon Royalties'!$E$2:$E999,month('Amazon Royalties'!$B$2:$B999)=A13,year('Amazon Royalties'!$B$2:$B999)=B13)</f>
        <v>103.6418427</v>
      </c>
      <c r="E13" s="5">
        <f>Sumproduct(Sales!$K$2:$K999,month(Sales!$A$2:$A999)=A13,year(Sales!$A$2:$A999)=B13)</f>
        <v>255</v>
      </c>
      <c r="F13" s="5">
        <f>Sumproduct(Expenses!$B$2:$B999,Month(Expenses!$A$2:$A999)=A13,year(Expenses!$A$2:$A999)=B13)</f>
        <v>211.7</v>
      </c>
      <c r="G13" s="4">
        <f>Sumproduct('Staff Salaries'!$B$3:$B999,month('Staff Salaries'!$A$3:$A999)=$A13,year('Staff Salaries'!$A$3:$A999)=$B13)</f>
        <v>300</v>
      </c>
      <c r="H13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13,year(importrange(""https://docs.google.com/spreadsheets/d/15CJ-h55pYD1KSEfDJoQc5rhrr0QtLCfpr6KnyxjMee4/edit#gid=71971023"",""Expired!a2:a""))=B13)"),0.0)</f>
        <v>0</v>
      </c>
      <c r="I13" s="5">
        <f>sumproduct('Profit Distributions'!$B$2:$B999,Year('Profit Distributions'!$A$2:$A999)=B13,Month('Profit Distributions'!$A$2:$A999)=A13,'Profit Distributions'!$C$2:$C999&lt;&gt;"Savings")</f>
        <v>0</v>
      </c>
      <c r="J13" s="5">
        <f>sumproduct('Profit Distributions'!$B$2:$B999,Year('Profit Distributions'!$A$2:$A999)=B13,Month('Profit Distributions'!$A$2:$A999)=A13,'Profit Distributions'!$C$2:$C999="Savings")</f>
        <v>0</v>
      </c>
      <c r="K13" s="6">
        <f t="shared" si="1"/>
        <v>346.0318427</v>
      </c>
      <c r="L13" s="6">
        <f t="shared" si="2"/>
        <v>346.0318427</v>
      </c>
      <c r="M13" s="6">
        <f t="shared" si="3"/>
        <v>1592.620283</v>
      </c>
      <c r="N13" s="6"/>
    </row>
    <row r="14">
      <c r="A14" s="4">
        <v>7.0</v>
      </c>
      <c r="B14" s="4">
        <v>2023.0</v>
      </c>
      <c r="C14" s="5">
        <f>Sumproduct(Sales!$F$2:$F999,month(Sales!$A$2:$A999)=A14,year(Sales!$A$2:$A999)=B14)</f>
        <v>2546.816136</v>
      </c>
      <c r="D14" s="5">
        <f>Sumproduct('Amazon Royalties'!$E$2:$E999,month('Amazon Royalties'!$B$2:$B999)=A14,year('Amazon Royalties'!$B$2:$B999)=B14)</f>
        <v>83.72371</v>
      </c>
      <c r="E14" s="5">
        <f>Sumproduct(Sales!$K$2:$K999,month(Sales!$A$2:$A999)=A14,year(Sales!$A$2:$A999)=B14)</f>
        <v>240</v>
      </c>
      <c r="F14" s="5">
        <f>Sumproduct(Expenses!$B$2:$B999,Month(Expenses!$A$2:$A999)=A14,year(Expenses!$A$2:$A999)=B14)</f>
        <v>233.48</v>
      </c>
      <c r="G14" s="4">
        <f>Sumproduct('Staff Salaries'!$B$3:$B999,month('Staff Salaries'!$A$3:$A999)=$A14,year('Staff Salaries'!$A$3:$A999)=$B14)</f>
        <v>300</v>
      </c>
      <c r="H14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14,year(importrange(""https://docs.google.com/spreadsheets/d/15CJ-h55pYD1KSEfDJoQc5rhrr0QtLCfpr6KnyxjMee4/edit#gid=71971023"",""Expired!a2:a""))=B14)"),0.0)</f>
        <v>0</v>
      </c>
      <c r="I14" s="5">
        <f>sumproduct('Profit Distributions'!$B$2:$B999,Year('Profit Distributions'!$A$2:$A999)=B14,Month('Profit Distributions'!$A$2:$A999)=A14,'Profit Distributions'!$C$2:$C999&lt;&gt;"Savings")</f>
        <v>274</v>
      </c>
      <c r="J14" s="5">
        <f>sumproduct('Profit Distributions'!$B$2:$B999,Year('Profit Distributions'!$A$2:$A999)=B14,Month('Profit Distributions'!$A$2:$A999)=A14,'Profit Distributions'!$C$2:$C999="Savings")</f>
        <v>0</v>
      </c>
      <c r="K14" s="6">
        <f t="shared" si="1"/>
        <v>1857.059846</v>
      </c>
      <c r="L14" s="6">
        <f t="shared" si="2"/>
        <v>1857.059846</v>
      </c>
      <c r="M14" s="6">
        <f t="shared" si="3"/>
        <v>3175.680128</v>
      </c>
      <c r="N14" s="6"/>
    </row>
    <row r="15">
      <c r="A15" s="4">
        <v>8.0</v>
      </c>
      <c r="B15" s="4">
        <v>2023.0</v>
      </c>
      <c r="C15" s="5">
        <f>Sumproduct(Sales!$F$2:$F999,month(Sales!$A$2:$A999)=A15,year(Sales!$A$2:$A999)=B15)</f>
        <v>3586.524007</v>
      </c>
      <c r="D15" s="5">
        <f>Sumproduct('Amazon Royalties'!$E$2:$E999,month('Amazon Royalties'!$B$2:$B999)=A15,year('Amazon Royalties'!$B$2:$B999)=B15)</f>
        <v>81.022032</v>
      </c>
      <c r="E15" s="5">
        <f>'Teacher Salaries'!V16</f>
        <v>971.25</v>
      </c>
      <c r="F15" s="5">
        <f>Sumproduct(Expenses!$B$2:$B999,Month(Expenses!$A$2:$A999)=A15,year(Expenses!$A$2:$A999)=B15)</f>
        <v>420.98</v>
      </c>
      <c r="G15" s="4">
        <f>Sumproduct('Staff Salaries'!$B$3:$B999,month('Staff Salaries'!$A$3:$A999)=$A15,year('Staff Salaries'!$A$3:$A999)=$B15)</f>
        <v>0</v>
      </c>
      <c r="H15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15,year(importrange(""https://docs.google.com/spreadsheets/d/15CJ-h55pYD1KSEfDJoQc5rhrr0QtLCfpr6KnyxjMee4/edit#gid=71971023"",""Expired!a2:a""))=B15)"),405.0)</f>
        <v>405</v>
      </c>
      <c r="I15" s="5">
        <f>sumproduct('Profit Distributions'!$B$2:$B999,Year('Profit Distributions'!$A$2:$A999)=B15,Month('Profit Distributions'!$A$2:$A999)=A15,'Profit Distributions'!$C$2:$C999&lt;&gt;"Savings")</f>
        <v>1800</v>
      </c>
      <c r="J15" s="5">
        <f>sumproduct('Profit Distributions'!$B$2:$B999,Year('Profit Distributions'!$A$2:$A999)=B15,Month('Profit Distributions'!$A$2:$A999)=A15,'Profit Distributions'!$C$2:$C999="Savings")</f>
        <v>1600</v>
      </c>
      <c r="K15" s="6">
        <f t="shared" si="1"/>
        <v>2680.316039</v>
      </c>
      <c r="L15" s="6">
        <f t="shared" si="2"/>
        <v>1080.316039</v>
      </c>
      <c r="M15" s="6">
        <f t="shared" si="3"/>
        <v>2455.996167</v>
      </c>
      <c r="N15" s="6"/>
    </row>
    <row r="16">
      <c r="A16" s="4">
        <v>9.0</v>
      </c>
      <c r="B16" s="4">
        <v>2023.0</v>
      </c>
      <c r="C16" s="5">
        <f>Sumproduct(Sales!$F$2:$F999,month(Sales!$A$2:$A999)=A16,year(Sales!$A$2:$A999)=B16)</f>
        <v>2256.817805</v>
      </c>
      <c r="D16" s="5">
        <f>Sumproduct('Amazon Royalties'!$E$2:$E999,month('Amazon Royalties'!$B$2:$B999)=A16,year('Amazon Royalties'!$B$2:$B999)=B16)</f>
        <v>107.454207</v>
      </c>
      <c r="E16" s="5">
        <f>'Teacher Salaries'!V17</f>
        <v>1600</v>
      </c>
      <c r="F16" s="5">
        <f>Sumproduct(Expenses!$B$2:$B999,Month(Expenses!$A$2:$A999)=A16,year(Expenses!$A$2:$A999)=B16)</f>
        <v>226.46</v>
      </c>
      <c r="G16" s="4">
        <f>Sumproduct('Staff Salaries'!$B$3:$B999,month('Staff Salaries'!$A$3:$A999)=$A16,year('Staff Salaries'!$A$3:$A999)=$B16)</f>
        <v>0</v>
      </c>
      <c r="H16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16,year(importrange(""https://docs.google.com/spreadsheets/d/15CJ-h55pYD1KSEfDJoQc5rhrr0QtLCfpr6KnyxjMee4/edit#gid=71971023"",""Expired!a2:a""))=B16)"),0.0)</f>
        <v>0</v>
      </c>
      <c r="I16" s="5">
        <f>sumproduct('Profit Distributions'!$B$2:$B999,Year('Profit Distributions'!$A$2:$A999)=B16,Month('Profit Distributions'!$A$2:$A999)=A16,'Profit Distributions'!$C$2:$C999&lt;&gt;"Savings")</f>
        <v>2674</v>
      </c>
      <c r="J16" s="5">
        <f>sumproduct('Profit Distributions'!$B$2:$B999,Year('Profit Distributions'!$A$2:$A999)=B16,Month('Profit Distributions'!$A$2:$A999)=A16,'Profit Distributions'!$C$2:$C999="Savings")</f>
        <v>0</v>
      </c>
      <c r="K16" s="6">
        <f t="shared" si="1"/>
        <v>537.8120124</v>
      </c>
      <c r="L16" s="6">
        <f t="shared" si="2"/>
        <v>537.8120124</v>
      </c>
      <c r="M16" s="6">
        <f t="shared" si="3"/>
        <v>319.8081799</v>
      </c>
      <c r="N16" s="6"/>
    </row>
    <row r="17">
      <c r="A17" s="4">
        <v>10.0</v>
      </c>
      <c r="B17" s="4">
        <v>2023.0</v>
      </c>
      <c r="C17" s="5">
        <f>Sumproduct(Sales!$F$2:$F999,month(Sales!$A$2:$A999)=A17,year(Sales!$A$2:$A999)=B17)</f>
        <v>3826.546631</v>
      </c>
      <c r="D17" s="5">
        <f>Sumproduct('Amazon Royalties'!$E$2:$E999,month('Amazon Royalties'!$B$2:$B999)=A17,year('Amazon Royalties'!$B$2:$B999)=B17)</f>
        <v>92.757525</v>
      </c>
      <c r="E17" s="5">
        <f>'Teacher Salaries'!V18</f>
        <v>1600</v>
      </c>
      <c r="F17" s="5">
        <f>Sumproduct(Expenses!$B$2:$B999,Month(Expenses!$A$2:$A999)=A17,year(Expenses!$A$2:$A999)=B17)</f>
        <v>205.66</v>
      </c>
      <c r="G17" s="4">
        <f>Sumproduct('Staff Salaries'!$B$3:$B999,month('Staff Salaries'!$A$3:$A999)=$A17,year('Staff Salaries'!$A$3:$A999)=$B17)</f>
        <v>0</v>
      </c>
      <c r="H17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17,year(importrange(""https://docs.google.com/spreadsheets/d/15CJ-h55pYD1KSEfDJoQc5rhrr0QtLCfpr6KnyxjMee4/edit#gid=71971023"",""Expired!a2:a""))=B17)"),0.0)</f>
        <v>0</v>
      </c>
      <c r="I17" s="5">
        <f>sumproduct('Profit Distributions'!$B$2:$B999,Year('Profit Distributions'!$A$2:$A999)=B17,Month('Profit Distributions'!$A$2:$A999)=A17,'Profit Distributions'!$C$2:$C999&lt;&gt;"Savings")</f>
        <v>0</v>
      </c>
      <c r="J17" s="5">
        <f>sumproduct('Profit Distributions'!$B$2:$B999,Year('Profit Distributions'!$A$2:$A999)=B17,Month('Profit Distributions'!$A$2:$A999)=A17,'Profit Distributions'!$C$2:$C999="Savings")</f>
        <v>0</v>
      </c>
      <c r="K17" s="6">
        <f t="shared" si="1"/>
        <v>2113.644156</v>
      </c>
      <c r="L17" s="6">
        <f t="shared" si="2"/>
        <v>2113.644156</v>
      </c>
      <c r="M17" s="6">
        <f t="shared" si="3"/>
        <v>2433.452336</v>
      </c>
      <c r="N17" s="6"/>
    </row>
    <row r="18">
      <c r="A18" s="4">
        <v>11.0</v>
      </c>
      <c r="B18" s="4">
        <v>2023.0</v>
      </c>
      <c r="C18" s="5">
        <f>Sumproduct(Sales!$F$2:$F999,month(Sales!$A$2:$A999)=A18,year(Sales!$A$2:$A999)=B18)</f>
        <v>3221.933323</v>
      </c>
      <c r="D18" s="5">
        <f>Sumproduct('Amazon Royalties'!$E$2:$E999,month('Amazon Royalties'!$B$2:$B999)=A18,year('Amazon Royalties'!$B$2:$B999)=B18)</f>
        <v>99.9834572</v>
      </c>
      <c r="E18" s="5">
        <f>'Teacher Salaries'!V19</f>
        <v>1722</v>
      </c>
      <c r="F18" s="5">
        <f>Sumproduct(Expenses!$B$2:$B999,Month(Expenses!$A$2:$A999)=A18,year(Expenses!$A$2:$A999)=B18)</f>
        <v>521.62</v>
      </c>
      <c r="G18" s="4">
        <f>Sumproduct('Staff Salaries'!$B$3:$B999,month('Staff Salaries'!$A$3:$A999)=$A18,year('Staff Salaries'!$A$3:$A999)=$B18)</f>
        <v>0</v>
      </c>
      <c r="H18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18,year(importrange(""https://docs.google.com/spreadsheets/d/15CJ-h55pYD1KSEfDJoQc5rhrr0QtLCfpr6KnyxjMee4/edit#gid=71971023"",""Expired!a2:a""))=B18)"),0.0)</f>
        <v>0</v>
      </c>
      <c r="I18" s="5">
        <f>sumproduct('Profit Distributions'!$B$2:$B999,Year('Profit Distributions'!$A$2:$A999)=B18,Month('Profit Distributions'!$A$2:$A999)=A18,'Profit Distributions'!$C$2:$C999&lt;&gt;"Savings")</f>
        <v>2240</v>
      </c>
      <c r="J18" s="5">
        <f>sumproduct('Profit Distributions'!$B$2:$B999,Year('Profit Distributions'!$A$2:$A999)=B18,Month('Profit Distributions'!$A$2:$A999)=A18,'Profit Distributions'!$C$2:$C999="Savings")</f>
        <v>200</v>
      </c>
      <c r="K18" s="6">
        <f t="shared" si="1"/>
        <v>1078.29678</v>
      </c>
      <c r="L18" s="6">
        <f t="shared" si="2"/>
        <v>878.2967802</v>
      </c>
      <c r="M18" s="6">
        <f t="shared" si="3"/>
        <v>1071.749116</v>
      </c>
      <c r="N18" s="6"/>
    </row>
    <row r="19">
      <c r="A19" s="4">
        <v>12.0</v>
      </c>
      <c r="B19" s="4">
        <v>2023.0</v>
      </c>
      <c r="C19" s="5">
        <f>Sumproduct(Sales!$F$2:$F999,month(Sales!$A$2:$A999)=A19,year(Sales!$A$2:$A999)=B19)</f>
        <v>2770.858067</v>
      </c>
      <c r="D19" s="5">
        <f>Sumproduct('Amazon Royalties'!$E$2:$E999,month('Amazon Royalties'!$B$2:$B999)=A19,year('Amazon Royalties'!$B$2:$B999)=B19)</f>
        <v>57.873277</v>
      </c>
      <c r="E19" s="5">
        <f>'Teacher Salaries'!V20</f>
        <v>1976</v>
      </c>
      <c r="F19" s="5">
        <f>Sumproduct(Expenses!$B$2:$B999,Month(Expenses!$A$2:$A999)=A19,year(Expenses!$A$2:$A999)=B19)</f>
        <v>209.99</v>
      </c>
      <c r="G19" s="4">
        <f>Sumproduct('Staff Salaries'!$B$3:$B999,month('Staff Salaries'!$A$3:$A999)=$A19,year('Staff Salaries'!$A$3:$A999)=$B19)</f>
        <v>0</v>
      </c>
      <c r="H19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19,year(importrange(""https://docs.google.com/spreadsheets/d/15CJ-h55pYD1KSEfDJoQc5rhrr0QtLCfpr6KnyxjMee4/edit#gid=71971023"",""Expired!a2:a""))=B19)"),0.0)</f>
        <v>0</v>
      </c>
      <c r="I19" s="5">
        <f>sumproduct('Profit Distributions'!$B$2:$B999,Year('Profit Distributions'!$A$2:$A999)=B19,Month('Profit Distributions'!$A$2:$A999)=A19,'Profit Distributions'!$C$2:$C999&lt;&gt;"Savings")</f>
        <v>644</v>
      </c>
      <c r="J19" s="5">
        <f>sumproduct('Profit Distributions'!$B$2:$B999,Year('Profit Distributions'!$A$2:$A999)=B19,Month('Profit Distributions'!$A$2:$A999)=A19,'Profit Distributions'!$C$2:$C999="Savings")</f>
        <v>0</v>
      </c>
      <c r="K19" s="6">
        <f t="shared" si="1"/>
        <v>642.7413444</v>
      </c>
      <c r="L19" s="6">
        <f t="shared" si="2"/>
        <v>642.7413444</v>
      </c>
      <c r="M19" s="6">
        <f t="shared" si="3"/>
        <v>1070.490461</v>
      </c>
      <c r="N19" s="6"/>
    </row>
    <row r="20">
      <c r="A20" s="4">
        <v>1.0</v>
      </c>
      <c r="B20" s="4">
        <v>2024.0</v>
      </c>
      <c r="C20" s="5">
        <f>Sumproduct(Sales!$F$2:$F999,month(Sales!$A$2:$A999)=A20,year(Sales!$A$2:$A999)=B20)</f>
        <v>6476.598881</v>
      </c>
      <c r="D20" s="5">
        <f>Sumproduct('Amazon Royalties'!$E$2:$E999,month('Amazon Royalties'!$B$2:$B999)=A20,year('Amazon Royalties'!$B$2:$B999)=B20)</f>
        <v>88.206357</v>
      </c>
      <c r="E20" s="5">
        <f>'Teacher Salaries'!V21</f>
        <v>2160</v>
      </c>
      <c r="F20" s="7">
        <f>Sumproduct(Expenses!$B$2:$B999,Month(Expenses!$A$2:$A999)=A20,year(Expenses!$A$2:$A999)=B20)</f>
        <v>573.46</v>
      </c>
      <c r="G20" s="4">
        <f>Sumproduct('Staff Salaries'!$B$3:$B999,month('Staff Salaries'!$A$3:$A999)=$A20,year('Staff Salaries'!$A$3:$A999)=$B20)</f>
        <v>150</v>
      </c>
      <c r="H20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20,year(importrange(""https://docs.google.com/spreadsheets/d/15CJ-h55pYD1KSEfDJoQc5rhrr0QtLCfpr6KnyxjMee4/edit#gid=71971023"",""Expired!a2:a""))=B20)"),0.0)</f>
        <v>0</v>
      </c>
      <c r="I20" s="5">
        <f>sumproduct('Profit Distributions'!$B$2:$B999,Year('Profit Distributions'!$A$2:$A999)=B20,Month('Profit Distributions'!$A$2:$A999)=A20,'Profit Distributions'!$C$2:$C999&lt;&gt;"Savings")</f>
        <v>550</v>
      </c>
      <c r="J20" s="5">
        <f>sumproduct('Profit Distributions'!$B$2:$B999,Year('Profit Distributions'!$A$2:$A999)=B20,Month('Profit Distributions'!$A$2:$A999)=A20,'Profit Distributions'!$C$2:$C999="Savings")</f>
        <v>2700</v>
      </c>
      <c r="K20" s="6">
        <f t="shared" si="1"/>
        <v>3681.345238</v>
      </c>
      <c r="L20" s="6">
        <f t="shared" si="2"/>
        <v>981.3452379</v>
      </c>
      <c r="M20" s="6">
        <f t="shared" si="3"/>
        <v>1501.835699</v>
      </c>
      <c r="N20" s="6"/>
    </row>
    <row r="21">
      <c r="A21" s="4">
        <v>2.0</v>
      </c>
      <c r="B21" s="4">
        <v>2024.0</v>
      </c>
      <c r="C21" s="5">
        <f>Sumproduct(Sales!$F$2:$F999,month(Sales!$A$2:$A999)=A21,year(Sales!$A$2:$A999)=B21)</f>
        <v>3662.242335</v>
      </c>
      <c r="D21" s="5">
        <f>Sumproduct('Amazon Royalties'!$E$2:$E999,month('Amazon Royalties'!$B$2:$B999)=A21,year('Amazon Royalties'!$B$2:$B999)=B21)</f>
        <v>165.0349728</v>
      </c>
      <c r="E21" s="5">
        <f>'Teacher Salaries'!V22</f>
        <v>2096</v>
      </c>
      <c r="F21" s="5">
        <f>Sumproduct(Expenses!$B$2:$B999,Month(Expenses!$A$2:$A999)=A21,year(Expenses!$A$2:$A999)=B21)</f>
        <v>223.76</v>
      </c>
      <c r="G21" s="4">
        <f>Sumproduct('Staff Salaries'!$B$3:$B999,month('Staff Salaries'!$A$3:$A999)=$A21,year('Staff Salaries'!$A$3:$A999)=$B21)</f>
        <v>150</v>
      </c>
      <c r="H21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21,year(importrange(""https://docs.google.com/spreadsheets/d/15CJ-h55pYD1KSEfDJoQc5rhrr0QtLCfpr6KnyxjMee4/edit#gid=71971023"",""Expired!a2:a""))=B21)"),0.0)</f>
        <v>0</v>
      </c>
      <c r="I21" s="5">
        <f>sumproduct('Profit Distributions'!$B$2:$B999,Year('Profit Distributions'!$A$2:$A999)=B21,Month('Profit Distributions'!$A$2:$A999)=A21,'Profit Distributions'!$C$2:$C999&lt;&gt;"Savings")</f>
        <v>1000</v>
      </c>
      <c r="J21" s="5">
        <f>sumproduct('Profit Distributions'!$B$2:$B999,Year('Profit Distributions'!$A$2:$A999)=B21,Month('Profit Distributions'!$A$2:$A999)=A21,'Profit Distributions'!$C$2:$C999="Savings")</f>
        <v>0</v>
      </c>
      <c r="K21" s="6">
        <f t="shared" si="1"/>
        <v>1357.517308</v>
      </c>
      <c r="L21" s="6">
        <f t="shared" si="2"/>
        <v>1357.517308</v>
      </c>
      <c r="M21" s="6">
        <f t="shared" si="3"/>
        <v>1859.353006</v>
      </c>
      <c r="N21" s="6"/>
    </row>
    <row r="22">
      <c r="A22" s="4">
        <v>3.0</v>
      </c>
      <c r="B22" s="4">
        <v>2024.0</v>
      </c>
      <c r="C22" s="5">
        <f>Sumproduct(Sales!$F$2:$F999,month(Sales!$A$2:$A999)=A22,year(Sales!$A$2:$A999)=B22)</f>
        <v>5508.374256</v>
      </c>
      <c r="D22" s="5">
        <f>Sumproduct('Amazon Royalties'!$E$2:$E999,month('Amazon Royalties'!$B$2:$B999)=A22,year('Amazon Royalties'!$B$2:$B999)=B22)</f>
        <v>106.6700235</v>
      </c>
      <c r="E22" s="3">
        <f>'Teacher Salaries'!V23</f>
        <v>2112</v>
      </c>
      <c r="F22" s="5">
        <f>Sumproduct(Expenses!$B$2:$B999,Month(Expenses!$A$2:$A999)=A22,year(Expenses!$A$2:$A999)=B22)</f>
        <v>60.99</v>
      </c>
      <c r="G22" s="4">
        <f>Sumproduct('Staff Salaries'!$B$3:$B999,month('Staff Salaries'!$A$3:$A999)=$A22,year('Staff Salaries'!$A$3:$A999)=$B22)</f>
        <v>150</v>
      </c>
      <c r="H22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22,year(importrange(""https://docs.google.com/spreadsheets/d/15CJ-h55pYD1KSEfDJoQc5rhrr0QtLCfpr6KnyxjMee4/edit#gid=71971023"",""Expired!a2:a""))=B22)"),0.0)</f>
        <v>0</v>
      </c>
      <c r="I22" s="5">
        <f>sumproduct('Profit Distributions'!$B$2:$B999,Year('Profit Distributions'!$A$2:$A999)=B22,Month('Profit Distributions'!$A$2:$A999)=A22,'Profit Distributions'!$C$2:$C999&lt;&gt;"Savings")</f>
        <v>808</v>
      </c>
      <c r="J22" s="5">
        <f>sumproduct('Profit Distributions'!$B$2:$B999,Year('Profit Distributions'!$A$2:$A999)=B22,Month('Profit Distributions'!$A$2:$A999)=A22,'Profit Distributions'!$C$2:$C999="Savings")</f>
        <v>0</v>
      </c>
      <c r="K22" s="6">
        <f t="shared" si="1"/>
        <v>3292.054279</v>
      </c>
      <c r="L22" s="6">
        <f t="shared" si="2"/>
        <v>3292.054279</v>
      </c>
      <c r="M22" s="6">
        <f t="shared" si="3"/>
        <v>4343.407286</v>
      </c>
      <c r="N22" s="6"/>
    </row>
    <row r="23">
      <c r="A23" s="4">
        <v>4.0</v>
      </c>
      <c r="B23" s="4">
        <v>2024.0</v>
      </c>
      <c r="C23" s="5">
        <f>Sumproduct(Sales!$F$2:$F999,month(Sales!$A$2:$A999)=A23,year(Sales!$A$2:$A999)=B23)</f>
        <v>4961.047135</v>
      </c>
      <c r="D23" s="5">
        <f>Sumproduct('Amazon Royalties'!$E$2:$E999,month('Amazon Royalties'!$B$2:$B999)=A23,year('Amazon Royalties'!$B$2:$B999)=B23)</f>
        <v>85.4223716</v>
      </c>
      <c r="E23" s="5">
        <f>'Teacher Salaries'!V24</f>
        <v>2136</v>
      </c>
      <c r="F23" s="5">
        <f>Sumproduct(Expenses!$B$2:$B999,Month(Expenses!$A$2:$A999)=A23,year(Expenses!$A$2:$A999)=B23)</f>
        <v>169.99</v>
      </c>
      <c r="G23" s="4">
        <f>Sumproduct('Staff Salaries'!$B$3:$B999,month('Staff Salaries'!$A$3:$A999)=$A23,year('Staff Salaries'!$A$3:$A999)=$B23)</f>
        <v>150</v>
      </c>
      <c r="H23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23,year(importrange(""https://docs.google.com/spreadsheets/d/15CJ-h55pYD1KSEfDJoQc5rhrr0QtLCfpr6KnyxjMee4/edit#gid=71971023"",""Expired!a2:a""))=B23)"),0.0)</f>
        <v>0</v>
      </c>
      <c r="I23" s="5">
        <f>sumproduct('Profit Distributions'!$B$2:$B999,Year('Profit Distributions'!$A$2:$A999)=B23,Month('Profit Distributions'!$A$2:$A999)=A23,'Profit Distributions'!$C$2:$C999&lt;&gt;"Savings")</f>
        <v>1000</v>
      </c>
      <c r="J23" s="5">
        <f>sumproduct('Profit Distributions'!$B$2:$B999,Year('Profit Distributions'!$A$2:$A999)=B23,Month('Profit Distributions'!$A$2:$A999)=A23,'Profit Distributions'!$C$2:$C999="Savings")</f>
        <v>0</v>
      </c>
      <c r="K23" s="6">
        <f t="shared" si="1"/>
        <v>2590.479506</v>
      </c>
      <c r="L23" s="6">
        <f t="shared" si="2"/>
        <v>2590.479506</v>
      </c>
      <c r="M23" s="6">
        <f t="shared" si="3"/>
        <v>5933.886792</v>
      </c>
      <c r="N23" s="6"/>
    </row>
    <row r="24">
      <c r="A24" s="4">
        <v>5.0</v>
      </c>
      <c r="B24" s="4">
        <v>2024.0</v>
      </c>
      <c r="C24" s="5">
        <f>Sumproduct(Sales!$F$2:$F999,month(Sales!$A$2:$A999)=A24,year(Sales!$A$2:$A999)=B24)</f>
        <v>4280.875982</v>
      </c>
      <c r="D24" s="5">
        <f>Sumproduct('Amazon Royalties'!$E$2:$E999,month('Amazon Royalties'!$B$2:$B999)=A24,year('Amazon Royalties'!$B$2:$B999)=B24)</f>
        <v>58.0240464</v>
      </c>
      <c r="E24" s="5">
        <f>'Teacher Salaries'!V25</f>
        <v>2479</v>
      </c>
      <c r="F24" s="5">
        <f>Sumproduct(Expenses!$B$2:$B999,Month(Expenses!$A$2:$A999)=A24,year(Expenses!$A$2:$A999)=B24)</f>
        <v>258.31</v>
      </c>
      <c r="G24" s="4">
        <f>Sumproduct('Staff Salaries'!$B$3:$B999,month('Staff Salaries'!$A$3:$A999)=$A24,year('Staff Salaries'!$A$3:$A999)=$B24)</f>
        <v>150</v>
      </c>
      <c r="H24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24,year(importrange(""https://docs.google.com/spreadsheets/d/15CJ-h55pYD1KSEfDJoQc5rhrr0QtLCfpr6KnyxjMee4/edit#gid=71971023"",""Expired!a2:a""))=B24)"),0.0)</f>
        <v>0</v>
      </c>
      <c r="I24" s="5">
        <f>sumproduct('Profit Distributions'!$B$2:$B999,Year('Profit Distributions'!$A$2:$A999)=B24,Month('Profit Distributions'!$A$2:$A999)=A24,'Profit Distributions'!$C$2:$C999&lt;&gt;"Savings")</f>
        <v>6742</v>
      </c>
      <c r="J24" s="5">
        <f>sumproduct('Profit Distributions'!$B$2:$B999,Year('Profit Distributions'!$A$2:$A999)=B24,Month('Profit Distributions'!$A$2:$A999)=A24,'Profit Distributions'!$C$2:$C999="Savings")</f>
        <v>640</v>
      </c>
      <c r="K24" s="6">
        <f t="shared" si="1"/>
        <v>1451.590028</v>
      </c>
      <c r="L24" s="6">
        <f t="shared" si="2"/>
        <v>811.5900285</v>
      </c>
      <c r="M24" s="6">
        <f t="shared" si="3"/>
        <v>3.476820579</v>
      </c>
      <c r="N24" s="6"/>
    </row>
    <row r="25">
      <c r="A25" s="4">
        <v>6.0</v>
      </c>
      <c r="B25" s="4">
        <v>2024.0</v>
      </c>
      <c r="C25" s="5">
        <f>Sumproduct(Sales!$F$2:$F999,month(Sales!$A$2:$A999)=A25,year(Sales!$A$2:$A999)=B25)</f>
        <v>3360.930026</v>
      </c>
      <c r="D25" s="5">
        <f>Sumproduct('Amazon Royalties'!$E$2:$E999,month('Amazon Royalties'!$B$2:$B999)=A25,year('Amazon Royalties'!$B$2:$B999)=B25)</f>
        <v>131.373426</v>
      </c>
      <c r="E25" s="5">
        <f>'Teacher Salaries'!V26</f>
        <v>2487</v>
      </c>
      <c r="F25" s="5">
        <f>Sumproduct(Expenses!$B$2:$B999,Month(Expenses!$A$2:$A999)=A25,year(Expenses!$A$2:$A999)=B25)</f>
        <v>216.99</v>
      </c>
      <c r="G25" s="4">
        <f>Sumproduct('Staff Salaries'!$B$3:$B999,month('Staff Salaries'!$A$3:$A999)=$A25,year('Staff Salaries'!$A$3:$A999)=$B25)</f>
        <v>1592</v>
      </c>
      <c r="H25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25,year(importrange(""https://docs.google.com/spreadsheets/d/15CJ-h55pYD1KSEfDJoQc5rhrr0QtLCfpr6KnyxjMee4/edit#gid=71971023"",""Expired!a2:a""))=B25)"),0.0)</f>
        <v>0</v>
      </c>
      <c r="I25" s="5">
        <f>sumproduct('Profit Distributions'!$B$2:$B999,Year('Profit Distributions'!$A$2:$A999)=B25,Month('Profit Distributions'!$A$2:$A999)=A25,'Profit Distributions'!$C$2:$C999&lt;&gt;"Savings")</f>
        <v>0</v>
      </c>
      <c r="J25" s="5">
        <f>sumproduct('Profit Distributions'!$B$2:$B999,Year('Profit Distributions'!$A$2:$A999)=B25,Month('Profit Distributions'!$A$2:$A999)=A25,'Profit Distributions'!$C$2:$C999="Savings")</f>
        <v>0</v>
      </c>
      <c r="K25" s="6">
        <f t="shared" si="1"/>
        <v>-803.6865481</v>
      </c>
      <c r="L25" s="6">
        <f t="shared" si="2"/>
        <v>-803.6865481</v>
      </c>
      <c r="M25" s="6">
        <f t="shared" si="3"/>
        <v>-800.2097275</v>
      </c>
      <c r="N25" s="6"/>
    </row>
    <row r="26">
      <c r="A26" s="4">
        <v>7.0</v>
      </c>
      <c r="B26" s="4">
        <v>2024.0</v>
      </c>
      <c r="C26" s="5">
        <f>Sumproduct(Sales!$F$2:$F999,month(Sales!$A$2:$A999)=A26,year(Sales!$A$2:$A999)=B26)</f>
        <v>3307.980033</v>
      </c>
      <c r="D26" s="5">
        <f>Sumproduct('Amazon Royalties'!$E$2:$E999,month('Amazon Royalties'!$B$2:$B999)=A26,year('Amazon Royalties'!$B$2:$B999)=B26)</f>
        <v>68.3964536</v>
      </c>
      <c r="E26" s="5">
        <f>'Teacher Salaries'!V27</f>
        <v>2255</v>
      </c>
      <c r="F26" s="5">
        <f>Sumproduct(Expenses!$B$2:$B999,Month(Expenses!$A$2:$A999)=A26,year(Expenses!$A$2:$A999)=B26)</f>
        <v>326.99</v>
      </c>
      <c r="G26" s="4">
        <f>Sumproduct('Staff Salaries'!$B$3:$B999,month('Staff Salaries'!$A$3:$A999)=$A26,year('Staff Salaries'!$A$3:$A999)=$B26)</f>
        <v>1622</v>
      </c>
      <c r="H26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26,year(importrange(""https://docs.google.com/spreadsheets/d/15CJ-h55pYD1KSEfDJoQc5rhrr0QtLCfpr6KnyxjMee4/edit#gid=71971023"",""Expired!a2:a""))=B26)"),0.0)</f>
        <v>0</v>
      </c>
      <c r="I26" s="5">
        <f>sumproduct('Profit Distributions'!$B$2:$B999,Year('Profit Distributions'!$A$2:$A999)=B26,Month('Profit Distributions'!$A$2:$A999)=A26,'Profit Distributions'!$C$2:$C999&lt;&gt;"Savings")</f>
        <v>0</v>
      </c>
      <c r="J26" s="5">
        <f>sumproduct('Profit Distributions'!$B$2:$B999,Year('Profit Distributions'!$A$2:$A999)=B26,Month('Profit Distributions'!$A$2:$A999)=A26,'Profit Distributions'!$C$2:$C999="Savings")</f>
        <v>0</v>
      </c>
      <c r="K26" s="6">
        <f t="shared" si="1"/>
        <v>-827.6135132</v>
      </c>
      <c r="L26" s="6">
        <f t="shared" si="2"/>
        <v>-827.6135132</v>
      </c>
      <c r="M26" s="6">
        <f t="shared" si="3"/>
        <v>-1627.823241</v>
      </c>
      <c r="N26" s="6"/>
    </row>
    <row r="27">
      <c r="A27" s="4">
        <v>8.0</v>
      </c>
      <c r="B27" s="4">
        <v>2024.0</v>
      </c>
      <c r="C27" s="5">
        <f>Sumproduct(Sales!$F$2:$F999,month(Sales!$A$2:$A999)=A27,year(Sales!$A$2:$A999)=B27)</f>
        <v>5210.026948</v>
      </c>
      <c r="D27" s="5">
        <f>Sumproduct('Amazon Royalties'!$E$2:$E999,month('Amazon Royalties'!$B$2:$B999)=A27,year('Amazon Royalties'!$B$2:$B999)=B27)</f>
        <v>72.54076</v>
      </c>
      <c r="E27" s="5">
        <f>'Teacher Salaries'!V28</f>
        <v>2413</v>
      </c>
      <c r="F27" s="5">
        <f>Sumproduct(Expenses!$B$2:$B999,Month(Expenses!$A$2:$A999)=A27,year(Expenses!$A$2:$A999)=B27)</f>
        <v>134.1</v>
      </c>
      <c r="G27" s="4">
        <f>Sumproduct('Staff Salaries'!$B$3:$B999,month('Staff Salaries'!$A$3:$A999)=$A27,year('Staff Salaries'!$A$3:$A999)=$B27)</f>
        <v>2736</v>
      </c>
      <c r="H27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27,year(importrange(""https://docs.google.com/spreadsheets/d/15CJ-h55pYD1KSEfDJoQc5rhrr0QtLCfpr6KnyxjMee4/edit#gid=71971023"",""Expired!a2:a""))=B27)"),0.0)</f>
        <v>0</v>
      </c>
      <c r="I27" s="5">
        <f>sumproduct('Profit Distributions'!$B$2:$B999,Year('Profit Distributions'!$A$2:$A999)=B27,Month('Profit Distributions'!$A$2:$A999)=A27,'Profit Distributions'!$C$2:$C999&lt;&gt;"Savings")</f>
        <v>0</v>
      </c>
      <c r="J27" s="5">
        <f>sumproduct('Profit Distributions'!$B$2:$B999,Year('Profit Distributions'!$A$2:$A999)=B27,Month('Profit Distributions'!$A$2:$A999)=A27,'Profit Distributions'!$C$2:$C999="Savings")</f>
        <v>0</v>
      </c>
      <c r="K27" s="6">
        <f t="shared" si="1"/>
        <v>-0.5322922071</v>
      </c>
      <c r="L27" s="6">
        <f t="shared" si="2"/>
        <v>-0.5322922071</v>
      </c>
      <c r="M27" s="6">
        <f t="shared" si="3"/>
        <v>-1628.355533</v>
      </c>
      <c r="N27" s="6"/>
    </row>
    <row r="28">
      <c r="A28" s="4">
        <v>9.0</v>
      </c>
      <c r="B28" s="4">
        <v>2024.0</v>
      </c>
      <c r="C28" s="5">
        <f>Sumproduct(Sales!$F$2:$F999,month(Sales!$A$2:$A999)=A28,year(Sales!$A$2:$A999)=B28)</f>
        <v>4643.614922</v>
      </c>
      <c r="D28" s="5">
        <f>Sumproduct('Amazon Royalties'!$E$2:$E999,month('Amazon Royalties'!$B$2:$B999)=A28,year('Amazon Royalties'!$B$2:$B999)=B28)</f>
        <v>72.45979</v>
      </c>
      <c r="E28" s="5">
        <f>'Teacher Salaries'!V29</f>
        <v>2618</v>
      </c>
      <c r="F28" s="5">
        <f>Sumproduct(Expenses!$B$2:$B999,Month(Expenses!$A$2:$A999)=A28,year(Expenses!$A$2:$A999)=B28)</f>
        <v>243.99</v>
      </c>
      <c r="G28" s="4">
        <f>Sumproduct('Staff Salaries'!$B$3:$B999,month('Staff Salaries'!$A$3:$A999)=$A28,year('Staff Salaries'!$A$3:$A999)=$B28)</f>
        <v>1865</v>
      </c>
      <c r="H28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28,year(importrange(""https://docs.google.com/spreadsheets/d/15CJ-h55pYD1KSEfDJoQc5rhrr0QtLCfpr6KnyxjMee4/edit#gid=71971023"",""Expired!a2:a""))=B28)"),0.0)</f>
        <v>0</v>
      </c>
      <c r="I28" s="5">
        <f>sumproduct('Profit Distributions'!$B$2:$B999,Year('Profit Distributions'!$A$2:$A999)=B28,Month('Profit Distributions'!$A$2:$A999)=A28,'Profit Distributions'!$C$2:$C999&lt;&gt;"Savings")</f>
        <v>0</v>
      </c>
      <c r="J28" s="5">
        <f>sumproduct('Profit Distributions'!$B$2:$B999,Year('Profit Distributions'!$A$2:$A999)=B28,Month('Profit Distributions'!$A$2:$A999)=A28,'Profit Distributions'!$C$2:$C999="Savings")</f>
        <v>0</v>
      </c>
      <c r="K28" s="6">
        <f t="shared" si="1"/>
        <v>-10.91528828</v>
      </c>
      <c r="L28" s="6">
        <f t="shared" si="2"/>
        <v>-10.91528828</v>
      </c>
      <c r="M28" s="6">
        <f t="shared" si="3"/>
        <v>-1639.270821</v>
      </c>
      <c r="N28" s="6"/>
    </row>
    <row r="29">
      <c r="A29" s="4">
        <v>10.0</v>
      </c>
      <c r="B29" s="4">
        <v>2024.0</v>
      </c>
      <c r="C29" s="5">
        <f>Sumproduct(Sales!$F$2:$F999,month(Sales!$A$2:$A999)=A29,year(Sales!$A$2:$A999)=B29)</f>
        <v>5389.362147</v>
      </c>
      <c r="D29" s="5">
        <f>Sumproduct('Amazon Royalties'!$E$2:$E999,month('Amazon Royalties'!$B$2:$B999)=A29,year('Amazon Royalties'!$B$2:$B999)=B29)</f>
        <v>61.672832</v>
      </c>
      <c r="E29" s="5">
        <f>'Teacher Salaries'!V30</f>
        <v>2903</v>
      </c>
      <c r="F29" s="5">
        <f>Sumproduct(Expenses!$B$2:$B999,Month(Expenses!$A$2:$A999)=A29,year(Expenses!$A$2:$A999)=B29)</f>
        <v>216.15</v>
      </c>
      <c r="G29" s="4">
        <f>Sumproduct('Staff Salaries'!$B$3:$B999,month('Staff Salaries'!$A$3:$A999)=$A29,year('Staff Salaries'!$A$3:$A999)=$B29)</f>
        <v>1600</v>
      </c>
      <c r="H29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29,year(importrange(""https://docs.google.com/spreadsheets/d/15CJ-h55pYD1KSEfDJoQc5rhrr0QtLCfpr6KnyxjMee4/edit#gid=71971023"",""Expired!a2:a""))=B29)"),0.0)</f>
        <v>0</v>
      </c>
      <c r="I29" s="5">
        <f>sumproduct('Profit Distributions'!$B$2:$B999,Year('Profit Distributions'!$A$2:$A999)=B29,Month('Profit Distributions'!$A$2:$A999)=A29,'Profit Distributions'!$C$2:$C999&lt;&gt;"Savings")</f>
        <v>0</v>
      </c>
      <c r="J29" s="5">
        <f>sumproduct('Profit Distributions'!$B$2:$B999,Year('Profit Distributions'!$A$2:$A999)=B29,Month('Profit Distributions'!$A$2:$A999)=A29,'Profit Distributions'!$C$2:$C999="Savings")</f>
        <v>0</v>
      </c>
      <c r="K29" s="6">
        <f t="shared" si="1"/>
        <v>731.8849786</v>
      </c>
      <c r="L29" s="6">
        <f t="shared" si="2"/>
        <v>731.8849786</v>
      </c>
      <c r="M29" s="6">
        <f t="shared" si="3"/>
        <v>-907.3858426</v>
      </c>
    </row>
    <row r="30">
      <c r="A30" s="4">
        <v>11.0</v>
      </c>
      <c r="B30" s="4">
        <v>2024.0</v>
      </c>
      <c r="C30" s="5">
        <f>Sumproduct(Sales!$F$2:$F999,month(Sales!$A$2:$A999)=A30,year(Sales!$A$2:$A999)=B30)</f>
        <v>3662.09</v>
      </c>
      <c r="D30" s="5">
        <f>Sumproduct('Amazon Royalties'!$E$2:$E999,month('Amazon Royalties'!$B$2:$B999)=A30,year('Amazon Royalties'!$B$2:$B999)=B30)</f>
        <v>86.1259126</v>
      </c>
      <c r="E30" s="5">
        <f>'Teacher Salaries'!V31</f>
        <v>2991</v>
      </c>
      <c r="F30" s="5">
        <f>Sumproduct(Expenses!$B$2:$B999,Month(Expenses!$A$2:$A999)=A30,year(Expenses!$A$2:$A999)=B30)</f>
        <v>230.8</v>
      </c>
      <c r="G30" s="4">
        <f>Sumproduct('Staff Salaries'!$B$3:$B999,month('Staff Salaries'!$A$3:$A999)=$A30,year('Staff Salaries'!$A$3:$A999)=$B30)</f>
        <v>1600</v>
      </c>
      <c r="H30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30,year(importrange(""https://docs.google.com/spreadsheets/d/15CJ-h55pYD1KSEfDJoQc5rhrr0QtLCfpr6KnyxjMee4/edit#gid=71971023"",""Expired!a2:a""))=B30)"),0.0)</f>
        <v>0</v>
      </c>
      <c r="I30" s="5">
        <f>sumproduct('Profit Distributions'!$B$2:$B999,Year('Profit Distributions'!$A$2:$A999)=B30,Month('Profit Distributions'!$A$2:$A999)=A30,'Profit Distributions'!$C$2:$C999&lt;&gt;"Savings")</f>
        <v>0</v>
      </c>
      <c r="J30" s="5">
        <f>sumproduct('Profit Distributions'!$B$2:$B999,Year('Profit Distributions'!$A$2:$A999)=B30,Month('Profit Distributions'!$A$2:$A999)=A30,'Profit Distributions'!$C$2:$C999="Savings")</f>
        <v>0</v>
      </c>
      <c r="K30" s="6">
        <f t="shared" si="1"/>
        <v>-1073.584087</v>
      </c>
      <c r="L30" s="6">
        <f t="shared" si="2"/>
        <v>-1073.584087</v>
      </c>
      <c r="M30" s="6">
        <f t="shared" si="3"/>
        <v>-1980.96993</v>
      </c>
    </row>
    <row r="31">
      <c r="A31" s="4">
        <v>12.0</v>
      </c>
      <c r="B31" s="4">
        <v>2024.0</v>
      </c>
      <c r="C31" s="5">
        <f>Sumproduct(Sales!$F$2:$F999,month(Sales!$A$2:$A999)=A31,year(Sales!$A$2:$A999)=B31)</f>
        <v>4073.8</v>
      </c>
      <c r="D31" s="5">
        <f>Sumproduct('Amazon Royalties'!$E$2:$E999,month('Amazon Royalties'!$B$2:$B999)=A31,year('Amazon Royalties'!$B$2:$B999)=B31)</f>
        <v>124.842471</v>
      </c>
      <c r="E31" s="5">
        <f>'Teacher Salaries'!V32</f>
        <v>3047</v>
      </c>
      <c r="F31" s="5">
        <f>Sumproduct(Expenses!$B$2:$B999,Month(Expenses!$A$2:$A999)=A31,year(Expenses!$A$2:$A999)=B31)</f>
        <v>419.11</v>
      </c>
      <c r="G31" s="4">
        <f>Sumproduct('Staff Salaries'!$B$3:$B999,month('Staff Salaries'!$A$3:$A999)=$A31,year('Staff Salaries'!$A$3:$A999)=$B31)</f>
        <v>1700</v>
      </c>
      <c r="H31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31,year(importrange(""https://docs.google.com/spreadsheets/d/15CJ-h55pYD1KSEfDJoQc5rhrr0QtLCfpr6KnyxjMee4/edit#gid=71971023"",""Expired!a2:a""))=B31)"),0.0)</f>
        <v>0</v>
      </c>
      <c r="I31" s="5">
        <f>sumproduct('Profit Distributions'!$B$2:$B999,Year('Profit Distributions'!$A$2:$A999)=B31,Month('Profit Distributions'!$A$2:$A999)=A31,'Profit Distributions'!$C$2:$C999&lt;&gt;"Savings")</f>
        <v>0</v>
      </c>
      <c r="J31" s="5">
        <f>sumproduct('Profit Distributions'!$B$2:$B999,Year('Profit Distributions'!$A$2:$A999)=B31,Month('Profit Distributions'!$A$2:$A999)=A31,'Profit Distributions'!$C$2:$C999="Savings")</f>
        <v>0</v>
      </c>
      <c r="K31" s="6">
        <f t="shared" si="1"/>
        <v>-967.467529</v>
      </c>
      <c r="L31" s="6">
        <f t="shared" si="2"/>
        <v>-967.467529</v>
      </c>
      <c r="M31" s="6">
        <f t="shared" si="3"/>
        <v>-2948.437459</v>
      </c>
    </row>
    <row r="32">
      <c r="A32" s="8">
        <v>1.0</v>
      </c>
      <c r="B32" s="8">
        <v>2025.0</v>
      </c>
      <c r="C32" s="5">
        <f>Sumproduct(Sales!$F$2:$F999,month(Sales!$A$2:$A999)=A32,year(Sales!$A$2:$A999)=B32)</f>
        <v>7034.14</v>
      </c>
      <c r="D32" s="5">
        <f>Sumproduct('Amazon Royalties'!$E$2:$E999,month('Amazon Royalties'!$B$2:$B999)=A32,year('Amazon Royalties'!$B$2:$B999)=B32)</f>
        <v>102.67837</v>
      </c>
      <c r="E32" s="5">
        <f>'Teacher Salaries'!V33</f>
        <v>3157</v>
      </c>
      <c r="F32" s="5">
        <f>Sumproduct(Expenses!$B$2:$B999,Month(Expenses!$A$2:$A999)=A32,year(Expenses!$A$2:$A999)=B32)</f>
        <v>502.03</v>
      </c>
      <c r="G32" s="4">
        <f>Sumproduct('Staff Salaries'!$B$3:$B999,month('Staff Salaries'!$A$3:$A999)=$A32,year('Staff Salaries'!$A$3:$A999)=$B32)</f>
        <v>1700</v>
      </c>
      <c r="H32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32,year(importrange(""https://docs.google.com/spreadsheets/d/15CJ-h55pYD1KSEfDJoQc5rhrr0QtLCfpr6KnyxjMee4/edit#gid=71971023"",""Expired!a2:a""))=B32)"),0.0)</f>
        <v>0</v>
      </c>
      <c r="I32" s="5">
        <f>sumproduct('Profit Distributions'!$B$2:$B999,Year('Profit Distributions'!$A$2:$A999)=B32,Month('Profit Distributions'!$A$2:$A999)=A32,'Profit Distributions'!$C$2:$C999&lt;&gt;"Savings")</f>
        <v>0</v>
      </c>
      <c r="J32" s="5">
        <f>sumproduct('Profit Distributions'!$B$2:$B999,Year('Profit Distributions'!$A$2:$A999)=B32,Month('Profit Distributions'!$A$2:$A999)=A32,'Profit Distributions'!$C$2:$C999="Savings")</f>
        <v>0</v>
      </c>
      <c r="K32" s="6">
        <f t="shared" si="1"/>
        <v>1777.78837</v>
      </c>
      <c r="L32" s="6">
        <f t="shared" si="2"/>
        <v>1777.78837</v>
      </c>
      <c r="M32" s="6">
        <f t="shared" si="3"/>
        <v>-1170.649089</v>
      </c>
    </row>
    <row r="33">
      <c r="A33" s="8">
        <v>2.0</v>
      </c>
      <c r="B33" s="8">
        <v>2025.0</v>
      </c>
      <c r="C33" s="5">
        <f>Sumproduct(Sales!$F$2:$F999,month(Sales!$A$2:$A999)=A33,year(Sales!$A$2:$A999)=B33)</f>
        <v>3304.26</v>
      </c>
      <c r="D33" s="5">
        <f>Sumproduct('Amazon Royalties'!$E$2:$E999,month('Amazon Royalties'!$B$2:$B999)=A33,year('Amazon Royalties'!$B$2:$B999)=B33)</f>
        <v>120.807768</v>
      </c>
      <c r="E33" s="5">
        <f>'Teacher Salaries'!V34</f>
        <v>3025</v>
      </c>
      <c r="F33" s="5">
        <f>Sumproduct(Expenses!$B$2:$B999,Month(Expenses!$A$2:$A999)=A33,year(Expenses!$A$2:$A999)=B33)</f>
        <v>175.98</v>
      </c>
      <c r="G33" s="4">
        <f>Sumproduct('Staff Salaries'!$B$3:$B999,month('Staff Salaries'!$A$3:$A999)=$A33,year('Staff Salaries'!$A$3:$A999)=$B33)</f>
        <v>1700</v>
      </c>
      <c r="H33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33,year(importrange(""https://docs.google.com/spreadsheets/d/15CJ-h55pYD1KSEfDJoQc5rhrr0QtLCfpr6KnyxjMee4/edit#gid=71971023"",""Expired!a2:a""))=B33)"),0.0)</f>
        <v>0</v>
      </c>
      <c r="I33" s="5">
        <f>sumproduct('Profit Distributions'!$B$2:$B999,Year('Profit Distributions'!$A$2:$A999)=B33,Month('Profit Distributions'!$A$2:$A999)=A33,'Profit Distributions'!$C$2:$C999&lt;&gt;"Savings")</f>
        <v>0</v>
      </c>
      <c r="J33" s="5">
        <f>sumproduct('Profit Distributions'!$B$2:$B999,Year('Profit Distributions'!$A$2:$A999)=B33,Month('Profit Distributions'!$A$2:$A999)=A33,'Profit Distributions'!$C$2:$C999="Savings")</f>
        <v>0</v>
      </c>
      <c r="K33" s="6">
        <f t="shared" si="1"/>
        <v>-1475.912232</v>
      </c>
      <c r="L33" s="6">
        <f t="shared" si="2"/>
        <v>-1475.912232</v>
      </c>
      <c r="M33" s="6">
        <f t="shared" si="3"/>
        <v>-2646.561321</v>
      </c>
    </row>
    <row r="34">
      <c r="A34" s="8">
        <v>3.0</v>
      </c>
      <c r="B34" s="8">
        <v>2025.0</v>
      </c>
      <c r="C34" s="5">
        <f>Sumproduct(Sales!$F$2:$F999,month(Sales!$A$2:$A999)=A34,year(Sales!$A$2:$A999)=B34)</f>
        <v>5362.18</v>
      </c>
      <c r="D34" s="5">
        <f>Sumproduct('Amazon Royalties'!$E$2:$E999,month('Amazon Royalties'!$B$2:$B999)=A34,year('Amazon Royalties'!$B$2:$B999)=B34)</f>
        <v>71.816917</v>
      </c>
      <c r="E34" s="5">
        <f>'Teacher Salaries'!V35</f>
        <v>3277</v>
      </c>
      <c r="F34" s="5">
        <f>Sumproduct(Expenses!$B$2:$B999,Month(Expenses!$A$2:$A999)=A34,year(Expenses!$A$2:$A999)=B34)</f>
        <v>135.98</v>
      </c>
      <c r="G34" s="4">
        <f>Sumproduct('Staff Salaries'!$B$3:$B999,month('Staff Salaries'!$A$3:$A999)=$A34,year('Staff Salaries'!$A$3:$A999)=$B34)</f>
        <v>1700</v>
      </c>
      <c r="H34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34,year(importrange(""https://docs.google.com/spreadsheets/d/15CJ-h55pYD1KSEfDJoQc5rhrr0QtLCfpr6KnyxjMee4/edit#gid=71971023"",""Expired!a2:a""))=B34)"),0.0)</f>
        <v>0</v>
      </c>
      <c r="I34" s="5">
        <f>sumproduct('Profit Distributions'!$B$2:$B999,Year('Profit Distributions'!$A$2:$A999)=B34,Month('Profit Distributions'!$A$2:$A999)=A34,'Profit Distributions'!$C$2:$C999&lt;&gt;"Savings")</f>
        <v>0</v>
      </c>
      <c r="J34" s="5">
        <f>sumproduct('Profit Distributions'!$B$2:$B999,Year('Profit Distributions'!$A$2:$A999)=B34,Month('Profit Distributions'!$A$2:$A999)=A34,'Profit Distributions'!$C$2:$C999="Savings")</f>
        <v>0</v>
      </c>
      <c r="K34" s="6">
        <f t="shared" si="1"/>
        <v>321.016917</v>
      </c>
      <c r="L34" s="6">
        <f t="shared" si="2"/>
        <v>321.016917</v>
      </c>
      <c r="M34" s="6">
        <f t="shared" si="3"/>
        <v>-2325.544404</v>
      </c>
    </row>
    <row r="35">
      <c r="A35" s="8">
        <v>4.0</v>
      </c>
      <c r="B35" s="8">
        <v>2025.0</v>
      </c>
      <c r="C35" s="5">
        <f>Sumproduct(Sales!$F$2:$F999,month(Sales!$A$2:$A999)=A35,year(Sales!$A$2:$A999)=B35)</f>
        <v>4293.83</v>
      </c>
      <c r="D35" s="5">
        <f>Sumproduct('Amazon Royalties'!$E$2:$E999,month('Amazon Royalties'!$B$2:$B999)=A35,year('Amazon Royalties'!$B$2:$B999)=B35)</f>
        <v>155.6411627</v>
      </c>
      <c r="E35" s="5">
        <f>'Teacher Salaries'!V36</f>
        <v>3178</v>
      </c>
      <c r="F35" s="5">
        <f>Sumproduct(Expenses!$B$2:$B999,Month(Expenses!$A$2:$A999)=A35,year(Expenses!$A$2:$A999)=B35)</f>
        <v>146.98</v>
      </c>
      <c r="G35" s="4">
        <f>Sumproduct('Staff Salaries'!$B$3:$B999,month('Staff Salaries'!$A$3:$A999)=$A35,year('Staff Salaries'!$A$3:$A999)=$B35)</f>
        <v>1700</v>
      </c>
      <c r="H35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35,year(importrange(""https://docs.google.com/spreadsheets/d/15CJ-h55pYD1KSEfDJoQc5rhrr0QtLCfpr6KnyxjMee4/edit#gid=71971023"",""Expired!a2:a""))=B35)"),0.0)</f>
        <v>0</v>
      </c>
      <c r="I35" s="5">
        <f>sumproduct('Profit Distributions'!$B$2:$B999,Year('Profit Distributions'!$A$2:$A999)=B35,Month('Profit Distributions'!$A$2:$A999)=A35,'Profit Distributions'!$C$2:$C999&lt;&gt;"Savings")</f>
        <v>0</v>
      </c>
      <c r="J35" s="5">
        <f>sumproduct('Profit Distributions'!$B$2:$B999,Year('Profit Distributions'!$A$2:$A999)=B35,Month('Profit Distributions'!$A$2:$A999)=A35,'Profit Distributions'!$C$2:$C999="Savings")</f>
        <v>0</v>
      </c>
      <c r="K35" s="6">
        <f t="shared" si="1"/>
        <v>-575.5088373</v>
      </c>
      <c r="L35" s="6">
        <f t="shared" si="2"/>
        <v>-575.5088373</v>
      </c>
      <c r="M35" s="6">
        <f t="shared" si="3"/>
        <v>-2901.053241</v>
      </c>
    </row>
    <row r="36">
      <c r="A36" s="8">
        <v>5.0</v>
      </c>
      <c r="B36" s="8">
        <v>2025.0</v>
      </c>
      <c r="C36" s="5">
        <f>Sumproduct(Sales!$F$2:$F999,month(Sales!$A$2:$A999)=A36,year(Sales!$A$2:$A999)=B36)</f>
        <v>3945.89</v>
      </c>
      <c r="D36" s="5">
        <f>Sumproduct('Amazon Royalties'!$E$2:$E999,month('Amazon Royalties'!$B$2:$B999)=A36,year('Amazon Royalties'!$B$2:$B999)=B36)</f>
        <v>65.5417448</v>
      </c>
      <c r="E36" s="5">
        <f>'Teacher Salaries'!V37</f>
        <v>3211</v>
      </c>
      <c r="F36" s="5">
        <f>Sumproduct(Expenses!$B$2:$B999,Month(Expenses!$A$2:$A999)=A36,year(Expenses!$A$2:$A999)=B36)</f>
        <v>313.6</v>
      </c>
      <c r="G36" s="4">
        <f>Sumproduct('Staff Salaries'!$B$3:$B999,month('Staff Salaries'!$A$3:$A999)=$A36,year('Staff Salaries'!$A$3:$A999)=$B36)</f>
        <v>1700</v>
      </c>
      <c r="H36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36,year(importrange(""https://docs.google.com/spreadsheets/d/15CJ-h55pYD1KSEfDJoQc5rhrr0QtLCfpr6KnyxjMee4/edit#gid=71971023"",""Expired!a2:a""))=B36)"),0.0)</f>
        <v>0</v>
      </c>
      <c r="I36" s="5">
        <f>sumproduct('Profit Distributions'!$B$2:$B999,Year('Profit Distributions'!$A$2:$A999)=B36,Month('Profit Distributions'!$A$2:$A999)=A36,'Profit Distributions'!$C$2:$C999&lt;&gt;"Savings")</f>
        <v>0</v>
      </c>
      <c r="J36" s="5">
        <f>sumproduct('Profit Distributions'!$B$2:$B999,Year('Profit Distributions'!$A$2:$A999)=B36,Month('Profit Distributions'!$A$2:$A999)=A36,'Profit Distributions'!$C$2:$C999="Savings")</f>
        <v>-3000</v>
      </c>
      <c r="K36" s="6">
        <f t="shared" si="1"/>
        <v>-1213.168255</v>
      </c>
      <c r="L36" s="6">
        <f t="shared" si="2"/>
        <v>1786.831745</v>
      </c>
      <c r="M36" s="6">
        <f t="shared" si="3"/>
        <v>-1114.221496</v>
      </c>
    </row>
    <row r="37">
      <c r="A37" s="8">
        <v>6.0</v>
      </c>
      <c r="B37" s="8">
        <v>2025.0</v>
      </c>
      <c r="C37" s="5">
        <f>Sumproduct(Sales!$F$2:$F999,month(Sales!$A$2:$A999)=A37,year(Sales!$A$2:$A999)=B37)</f>
        <v>2738.89</v>
      </c>
      <c r="D37" s="5">
        <f>Sumproduct('Amazon Royalties'!$E$2:$E999,month('Amazon Royalties'!$B$2:$B999)=A37,year('Amazon Royalties'!$B$2:$B999)=B37)</f>
        <v>48.8400395</v>
      </c>
      <c r="E37" s="5">
        <f>'Teacher Salaries'!V38</f>
        <v>2818</v>
      </c>
      <c r="F37" s="5">
        <f>Sumproduct(Expenses!$B$2:$B999,Month(Expenses!$A$2:$A999)=A37,year(Expenses!$A$2:$A999)=B37)</f>
        <v>202.18</v>
      </c>
      <c r="G37" s="4">
        <f>Sumproduct('Staff Salaries'!$B$3:$B999,month('Staff Salaries'!$A$3:$A999)=$A37,year('Staff Salaries'!$A$3:$A999)=$B37)</f>
        <v>1700</v>
      </c>
      <c r="H37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37,year(importrange(""https://docs.google.com/spreadsheets/d/15CJ-h55pYD1KSEfDJoQc5rhrr0QtLCfpr6KnyxjMee4/edit#gid=71971023"",""Expired!a2:a""))=B37)"),0.0)</f>
        <v>0</v>
      </c>
      <c r="I37" s="5">
        <f>sumproduct('Profit Distributions'!$B$2:$B999,Year('Profit Distributions'!$A$2:$A999)=B37,Month('Profit Distributions'!$A$2:$A999)=A37,'Profit Distributions'!$C$2:$C999&lt;&gt;"Savings")</f>
        <v>0</v>
      </c>
      <c r="J37" s="5">
        <f>sumproduct('Profit Distributions'!$B$2:$B999,Year('Profit Distributions'!$A$2:$A999)=B37,Month('Profit Distributions'!$A$2:$A999)=A37,'Profit Distributions'!$C$2:$C999="Savings")</f>
        <v>0</v>
      </c>
      <c r="K37" s="6">
        <f t="shared" si="1"/>
        <v>-1932.449961</v>
      </c>
      <c r="L37" s="6">
        <f t="shared" si="2"/>
        <v>-1932.449961</v>
      </c>
      <c r="M37" s="6">
        <f t="shared" si="3"/>
        <v>-3046.671457</v>
      </c>
    </row>
    <row r="38">
      <c r="A38" s="8">
        <v>7.0</v>
      </c>
      <c r="B38" s="8">
        <v>2025.0</v>
      </c>
      <c r="C38" s="5">
        <f>Sumproduct(Sales!$F$2:$F999,month(Sales!$A$2:$A999)=A38,year(Sales!$A$2:$A999)=B38)</f>
        <v>4263.42</v>
      </c>
      <c r="D38" s="5">
        <f>Sumproduct('Amazon Royalties'!$E$2:$E999,month('Amazon Royalties'!$B$2:$B999)=A38,year('Amazon Royalties'!$B$2:$B999)=B38)</f>
        <v>91.24263</v>
      </c>
      <c r="E38" s="5">
        <f>'Teacher Salaries'!V39</f>
        <v>2906</v>
      </c>
      <c r="F38" s="5">
        <f>Sumproduct(Expenses!$B$2:$B999,Month(Expenses!$A$2:$A999)=A38,year(Expenses!$A$2:$A999)=B38)</f>
        <v>286.18</v>
      </c>
      <c r="G38" s="4">
        <f>Sumproduct('Staff Salaries'!$B$3:$B999,month('Staff Salaries'!$A$3:$A999)=$A38,year('Staff Salaries'!$A$3:$A999)=$B38)</f>
        <v>1700</v>
      </c>
      <c r="H38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38,year(importrange(""https://docs.google.com/spreadsheets/d/15CJ-h55pYD1KSEfDJoQc5rhrr0QtLCfpr6KnyxjMee4/edit#gid=71971023"",""Expired!a2:a""))=B38)"),0.0)</f>
        <v>0</v>
      </c>
      <c r="I38" s="5">
        <f>sumproduct('Profit Distributions'!$B$2:$B999,Year('Profit Distributions'!$A$2:$A999)=B38,Month('Profit Distributions'!$A$2:$A999)=A38,'Profit Distributions'!$C$2:$C999&lt;&gt;"Savings")</f>
        <v>0</v>
      </c>
      <c r="J38" s="5">
        <f>sumproduct('Profit Distributions'!$B$2:$B999,Year('Profit Distributions'!$A$2:$A999)=B38,Month('Profit Distributions'!$A$2:$A999)=A38,'Profit Distributions'!$C$2:$C999="Savings")</f>
        <v>0</v>
      </c>
      <c r="K38" s="6">
        <f t="shared" si="1"/>
        <v>-537.51737</v>
      </c>
      <c r="L38" s="6">
        <f t="shared" si="2"/>
        <v>-537.51737</v>
      </c>
      <c r="M38" s="6">
        <f t="shared" si="3"/>
        <v>-3584.188827</v>
      </c>
    </row>
    <row r="39">
      <c r="A39" s="8">
        <v>8.0</v>
      </c>
      <c r="B39" s="8">
        <v>2025.0</v>
      </c>
      <c r="C39" s="5">
        <f>Sumproduct(Sales!$F$2:$F999,month(Sales!$A$2:$A999)=A39,year(Sales!$A$2:$A999)=B39)</f>
        <v>2948.53</v>
      </c>
      <c r="D39" s="5">
        <f>Sumproduct('Amazon Royalties'!$E$2:$E999,month('Amazon Royalties'!$B$2:$B999)=A39,year('Amazon Royalties'!$B$2:$B999)=B39)</f>
        <v>71.646288</v>
      </c>
      <c r="E39" s="5">
        <f>'Teacher Salaries'!V40</f>
        <v>2895</v>
      </c>
      <c r="F39" s="5">
        <f>Sumproduct(Expenses!$B$2:$B999,Month(Expenses!$A$2:$A999)=A39,year(Expenses!$A$2:$A999)=B39)</f>
        <v>302.64</v>
      </c>
      <c r="G39" s="4">
        <f>Sumproduct('Staff Salaries'!$B$3:$B999,month('Staff Salaries'!$A$3:$A999)=$A39,year('Staff Salaries'!$A$3:$A999)=$B39)</f>
        <v>1700</v>
      </c>
      <c r="H39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39,year(importrange(""https://docs.google.com/spreadsheets/d/15CJ-h55pYD1KSEfDJoQc5rhrr0QtLCfpr6KnyxjMee4/edit#gid=71971023"",""Expired!a2:a""))=B39)"),0.0)</f>
        <v>0</v>
      </c>
      <c r="I39" s="5">
        <f>sumproduct('Profit Distributions'!$B$2:$B999,Year('Profit Distributions'!$A$2:$A999)=B39,Month('Profit Distributions'!$A$2:$A999)=A39,'Profit Distributions'!$C$2:$C999&lt;&gt;"Savings")</f>
        <v>0</v>
      </c>
      <c r="J39" s="5">
        <f>sumproduct('Profit Distributions'!$B$2:$B999,Year('Profit Distributions'!$A$2:$A999)=B39,Month('Profit Distributions'!$A$2:$A999)=A39,'Profit Distributions'!$C$2:$C999="Savings")</f>
        <v>-2140</v>
      </c>
      <c r="K39" s="6">
        <f t="shared" si="1"/>
        <v>-1877.463712</v>
      </c>
      <c r="L39" s="6">
        <f t="shared" si="2"/>
        <v>262.536288</v>
      </c>
      <c r="M39" s="6">
        <f t="shared" si="3"/>
        <v>-3321.652539</v>
      </c>
    </row>
    <row r="40">
      <c r="A40" s="8">
        <v>9.0</v>
      </c>
      <c r="B40" s="8">
        <v>2025.0</v>
      </c>
      <c r="C40" s="5">
        <f>Sumproduct(Sales!$F$2:$F999,month(Sales!$A$2:$A999)=A40,year(Sales!$A$2:$A999)=B40)</f>
        <v>4906.04</v>
      </c>
      <c r="D40" s="5">
        <f>Sumproduct('Amazon Royalties'!$E$2:$E999,month('Amazon Royalties'!$B$2:$B999)=A40,year('Amazon Royalties'!$B$2:$B999)=B40)</f>
        <v>73.0131216</v>
      </c>
      <c r="E40" s="5">
        <f>'Teacher Salaries'!V41</f>
        <v>2785</v>
      </c>
      <c r="F40" s="5">
        <f>Sumproduct(Expenses!$B$2:$B999,Month(Expenses!$A$2:$A999)=A40,year(Expenses!$A$2:$A999)=B40)</f>
        <v>567.83</v>
      </c>
      <c r="G40" s="4">
        <f>Sumproduct('Staff Salaries'!$B$3:$B999,month('Staff Salaries'!$A$3:$A999)=$A40,year('Staff Salaries'!$A$3:$A999)=$B40)</f>
        <v>1700</v>
      </c>
      <c r="H40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40,year(importrange(""https://docs.google.com/spreadsheets/d/15CJ-h55pYD1KSEfDJoQc5rhrr0QtLCfpr6KnyxjMee4/edit#gid=71971023"",""Expired!a2:a""))=B40)"),0.0)</f>
        <v>0</v>
      </c>
      <c r="I40" s="5">
        <f>sumproduct('Profit Distributions'!$B$2:$B999,Year('Profit Distributions'!$A$2:$A999)=B40,Month('Profit Distributions'!$A$2:$A999)=A40,'Profit Distributions'!$C$2:$C999&lt;&gt;"Savings")</f>
        <v>0</v>
      </c>
      <c r="J40" s="5">
        <f>sumproduct('Profit Distributions'!$B$2:$B999,Year('Profit Distributions'!$A$2:$A999)=B40,Month('Profit Distributions'!$A$2:$A999)=A40,'Profit Distributions'!$C$2:$C999="Savings")</f>
        <v>0</v>
      </c>
      <c r="K40" s="6">
        <f t="shared" si="1"/>
        <v>-73.7768784</v>
      </c>
      <c r="L40" s="6">
        <f t="shared" si="2"/>
        <v>-73.7768784</v>
      </c>
      <c r="M40" s="6">
        <f t="shared" si="3"/>
        <v>-3395.429417</v>
      </c>
    </row>
    <row r="41">
      <c r="A41" s="8">
        <v>10.0</v>
      </c>
      <c r="B41" s="8">
        <v>2025.0</v>
      </c>
      <c r="C41" s="5">
        <f>Sumproduct(Sales!$F$2:$F999,month(Sales!$A$2:$A999)=A41,year(Sales!$A$2:$A999)=B41)</f>
        <v>1694.82</v>
      </c>
      <c r="D41" s="5">
        <f>Sumproduct('Amazon Royalties'!$E$2:$E999,month('Amazon Royalties'!$B$2:$B999)=A41,year('Amazon Royalties'!$B$2:$B999)=B41)</f>
        <v>70.7806968</v>
      </c>
      <c r="E41" s="5">
        <f>'Teacher Salaries'!V42</f>
        <v>2807</v>
      </c>
      <c r="F41" s="5">
        <f>Sumproduct(Expenses!$B$2:$B999,Month(Expenses!$A$2:$A999)=A41,year(Expenses!$A$2:$A999)=B41)</f>
        <v>790.39</v>
      </c>
      <c r="G41" s="4">
        <f>Sumproduct('Staff Salaries'!$B$3:$B999,month('Staff Salaries'!$A$3:$A999)=$A41,year('Staff Salaries'!$A$3:$A999)=$B41)</f>
        <v>400</v>
      </c>
      <c r="H41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41,year(importrange(""https://docs.google.com/spreadsheets/d/15CJ-h55pYD1KSEfDJoQc5rhrr0QtLCfpr6KnyxjMee4/edit#gid=71971023"",""Expired!a2:a""))=B41)"),0.0)</f>
        <v>0</v>
      </c>
      <c r="I41" s="5">
        <f>sumproduct('Profit Distributions'!$B$2:$B999,Year('Profit Distributions'!$A$2:$A999)=B41,Month('Profit Distributions'!$A$2:$A999)=A41,'Profit Distributions'!$C$2:$C999&lt;&gt;"Savings")</f>
        <v>0</v>
      </c>
      <c r="J41" s="5">
        <f>sumproduct('Profit Distributions'!$B$2:$B999,Year('Profit Distributions'!$A$2:$A999)=B41,Month('Profit Distributions'!$A$2:$A999)=A41,'Profit Distributions'!$C$2:$C999="Savings")</f>
        <v>0</v>
      </c>
      <c r="K41" s="6">
        <f t="shared" si="1"/>
        <v>-2231.789303</v>
      </c>
      <c r="L41" s="6">
        <f t="shared" si="2"/>
        <v>-2231.789303</v>
      </c>
      <c r="M41" s="6">
        <f t="shared" si="3"/>
        <v>-5627.218721</v>
      </c>
    </row>
    <row r="42">
      <c r="A42" s="8">
        <v>11.0</v>
      </c>
      <c r="B42" s="8">
        <v>2025.0</v>
      </c>
      <c r="C42" s="5">
        <f>Sumproduct(Sales!$F$2:$F999,month(Sales!$A$2:$A999)=A42,year(Sales!$A$2:$A999)=B42)</f>
        <v>3881.32</v>
      </c>
      <c r="D42" s="5">
        <f>Sumproduct('Amazon Royalties'!$E$2:$E999,month('Amazon Royalties'!$B$2:$B999)=A42,year('Amazon Royalties'!$B$2:$B999)=B42)</f>
        <v>35.220089</v>
      </c>
      <c r="E42" s="5">
        <f>'Teacher Salaries'!V43</f>
        <v>2807</v>
      </c>
      <c r="F42" s="5">
        <f>Sumproduct(Expenses!$B$2:$B999,Month(Expenses!$A$2:$A999)=A42,year(Expenses!$A$2:$A999)=B42)</f>
        <v>594.01</v>
      </c>
      <c r="G42" s="4">
        <f>Sumproduct('Staff Salaries'!$B$3:$B999,month('Staff Salaries'!$A$3:$A999)=$A42,year('Staff Salaries'!$A$3:$A999)=$B42)</f>
        <v>400</v>
      </c>
      <c r="H42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42,year(importrange(""https://docs.google.com/spreadsheets/d/15CJ-h55pYD1KSEfDJoQc5rhrr0QtLCfpr6KnyxjMee4/edit#gid=71971023"",""Expired!a2:a""))=B42)"),0.0)</f>
        <v>0</v>
      </c>
      <c r="I42" s="5">
        <f>sumproduct('Profit Distributions'!$B$2:$B999,Year('Profit Distributions'!$A$2:$A999)=B42,Month('Profit Distributions'!$A$2:$A999)=A42,'Profit Distributions'!$C$2:$C999&lt;&gt;"Savings")</f>
        <v>0</v>
      </c>
      <c r="J42" s="5">
        <f>sumproduct('Profit Distributions'!$B$2:$B999,Year('Profit Distributions'!$A$2:$A999)=B42,Month('Profit Distributions'!$A$2:$A999)=A42,'Profit Distributions'!$C$2:$C999="Savings")</f>
        <v>0</v>
      </c>
      <c r="K42" s="6">
        <f t="shared" si="1"/>
        <v>115.530089</v>
      </c>
      <c r="L42" s="6">
        <f t="shared" si="2"/>
        <v>115.530089</v>
      </c>
      <c r="M42" s="6">
        <f t="shared" si="3"/>
        <v>-5511.688632</v>
      </c>
    </row>
    <row r="43">
      <c r="A43" s="8">
        <v>12.0</v>
      </c>
      <c r="B43" s="8">
        <v>2025.0</v>
      </c>
      <c r="C43" s="5">
        <f>Sumproduct(Sales!$F$2:$F999,month(Sales!$A$2:$A999)=A43,year(Sales!$A$2:$A999)=B43)</f>
        <v>4071.05</v>
      </c>
      <c r="D43" s="5">
        <f>Sumproduct('Amazon Royalties'!$E$2:$E999,month('Amazon Royalties'!$B$2:$B999)=A43,year('Amazon Royalties'!$B$2:$B999)=B43)</f>
        <v>44.58188945</v>
      </c>
      <c r="E43" s="5">
        <f>'Teacher Salaries'!V44</f>
        <v>2377</v>
      </c>
      <c r="F43" s="5">
        <f>Sumproduct(Expenses!$B$2:$B999,Month(Expenses!$A$2:$A999)=A43,year(Expenses!$A$2:$A999)=B43)</f>
        <v>855.08</v>
      </c>
      <c r="G43" s="4">
        <f>Sumproduct('Staff Salaries'!$B$3:$B999,month('Staff Salaries'!$A$3:$A999)=$A43,year('Staff Salaries'!$A$3:$A999)=$B43)</f>
        <v>400</v>
      </c>
      <c r="H43" s="4">
        <f>IFERROR(__xludf.DUMMYFUNCTION("sumproduct(importrange(""https://docs.google.com/spreadsheets/d/15CJ-h55pYD1KSEfDJoQc5rhrr0QtLCfpr6KnyxjMee4/edit#gid=71971023"",""Expired!E2:E""),Month(importrange(""https://docs.google.com/spreadsheets/d/15CJ-h55pYD1KSEfDJoQc5rhrr0QtLCfpr6KnyxjMee4/edit"&amp;"#gid=71971023"",""Expired!a2:a""))=A43,year(importrange(""https://docs.google.com/spreadsheets/d/15CJ-h55pYD1KSEfDJoQc5rhrr0QtLCfpr6KnyxjMee4/edit#gid=71971023"",""Expired!a2:a""))=B43)"),0.0)</f>
        <v>0</v>
      </c>
      <c r="I43" s="5">
        <f>sumproduct('Profit Distributions'!$B$2:$B999,Year('Profit Distributions'!$A$2:$A999)=B43,Month('Profit Distributions'!$A$2:$A999)=A43,'Profit Distributions'!$C$2:$C999&lt;&gt;"Savings")</f>
        <v>0</v>
      </c>
      <c r="J43" s="5">
        <f>sumproduct('Profit Distributions'!$B$2:$B999,Year('Profit Distributions'!$A$2:$A999)=B43,Month('Profit Distributions'!$A$2:$A999)=A43,'Profit Distributions'!$C$2:$C999="Savings")</f>
        <v>0</v>
      </c>
      <c r="K43" s="6">
        <f t="shared" si="1"/>
        <v>483.5518894</v>
      </c>
      <c r="L43" s="6">
        <f t="shared" si="2"/>
        <v>483.5518894</v>
      </c>
      <c r="M43" s="6">
        <f t="shared" si="3"/>
        <v>-5028.136742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4" max="4" width="6.5"/>
    <col customWidth="1" min="8" max="8" width="14.75"/>
    <col customWidth="1" min="9" max="9" width="6.25"/>
    <col customWidth="1" min="10" max="10" width="17.75"/>
  </cols>
  <sheetData>
    <row r="1">
      <c r="A1" s="9" t="s">
        <v>14</v>
      </c>
      <c r="B1" s="2" t="s">
        <v>15</v>
      </c>
      <c r="C1" s="10" t="s">
        <v>16</v>
      </c>
      <c r="D1" s="2" t="s">
        <v>17</v>
      </c>
      <c r="E1" s="11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11" t="s">
        <v>27</v>
      </c>
      <c r="O1" s="11" t="s">
        <v>28</v>
      </c>
    </row>
    <row r="2">
      <c r="A2" s="9">
        <v>44732.0</v>
      </c>
      <c r="B2" s="2" t="s">
        <v>29</v>
      </c>
      <c r="C2" s="12">
        <v>142.55</v>
      </c>
      <c r="D2" s="2" t="s">
        <v>30</v>
      </c>
      <c r="E2" s="11" t="s">
        <v>31</v>
      </c>
      <c r="F2" s="13">
        <v>149.97</v>
      </c>
      <c r="G2" s="2" t="s">
        <v>32</v>
      </c>
      <c r="H2" s="8">
        <v>9.0</v>
      </c>
      <c r="I2" s="2" t="s">
        <v>33</v>
      </c>
      <c r="J2" s="8">
        <v>75.0</v>
      </c>
      <c r="K2" s="14">
        <v>0.0</v>
      </c>
      <c r="L2" s="8">
        <v>149.97</v>
      </c>
      <c r="M2" s="8">
        <v>1.0</v>
      </c>
      <c r="N2" s="11">
        <v>675.0</v>
      </c>
      <c r="O2" s="2">
        <v>4.38385954E8</v>
      </c>
    </row>
    <row r="3">
      <c r="A3" s="9">
        <v>44732.0</v>
      </c>
      <c r="B3" s="2" t="s">
        <v>34</v>
      </c>
      <c r="C3" s="12">
        <v>129.0</v>
      </c>
      <c r="D3" s="2" t="s">
        <v>30</v>
      </c>
      <c r="E3" s="11" t="s">
        <v>31</v>
      </c>
      <c r="F3" s="13">
        <v>135.71</v>
      </c>
      <c r="G3" s="2" t="s">
        <v>35</v>
      </c>
      <c r="H3" s="8">
        <v>8.0</v>
      </c>
      <c r="I3" s="2" t="s">
        <v>33</v>
      </c>
      <c r="J3" s="8">
        <v>60.0</v>
      </c>
      <c r="K3" s="14">
        <v>120.0</v>
      </c>
      <c r="L3" s="8">
        <v>15.71</v>
      </c>
      <c r="M3" s="2" t="s">
        <v>36</v>
      </c>
      <c r="N3" s="11">
        <v>480.0</v>
      </c>
      <c r="O3" s="2">
        <v>4.38809844E8</v>
      </c>
    </row>
    <row r="4">
      <c r="A4" s="9">
        <v>44732.0</v>
      </c>
      <c r="B4" s="2" t="s">
        <v>37</v>
      </c>
      <c r="C4" s="12">
        <v>143.0</v>
      </c>
      <c r="D4" s="2" t="s">
        <v>30</v>
      </c>
      <c r="E4" s="11" t="s">
        <v>38</v>
      </c>
      <c r="F4" s="13">
        <v>150.44</v>
      </c>
      <c r="G4" s="2" t="s">
        <v>32</v>
      </c>
      <c r="H4" s="8">
        <v>9.0</v>
      </c>
      <c r="I4" s="2" t="s">
        <v>33</v>
      </c>
      <c r="J4" s="8">
        <v>75.0</v>
      </c>
      <c r="K4" s="14">
        <v>0.0</v>
      </c>
      <c r="L4" s="8">
        <v>150.44</v>
      </c>
      <c r="M4" s="8">
        <v>1.0</v>
      </c>
      <c r="N4" s="11">
        <v>675.0</v>
      </c>
      <c r="O4" s="2" t="s">
        <v>39</v>
      </c>
    </row>
    <row r="5">
      <c r="A5" s="9">
        <v>44735.0</v>
      </c>
      <c r="B5" s="2" t="s">
        <v>40</v>
      </c>
      <c r="C5" s="12">
        <v>160.0</v>
      </c>
      <c r="D5" s="2" t="s">
        <v>30</v>
      </c>
      <c r="E5" s="11" t="s">
        <v>31</v>
      </c>
      <c r="F5" s="13">
        <v>168.32</v>
      </c>
      <c r="G5" s="2" t="s">
        <v>35</v>
      </c>
      <c r="H5" s="8">
        <v>8.0</v>
      </c>
      <c r="I5" s="2" t="s">
        <v>33</v>
      </c>
      <c r="J5" s="8">
        <v>60.0</v>
      </c>
      <c r="K5" s="14">
        <v>120.0</v>
      </c>
      <c r="L5" s="8">
        <v>48.32</v>
      </c>
      <c r="M5" s="2" t="s">
        <v>36</v>
      </c>
      <c r="N5" s="11">
        <v>480.0</v>
      </c>
      <c r="O5" s="2">
        <v>4.40292427E8</v>
      </c>
    </row>
    <row r="6">
      <c r="A6" s="9">
        <v>44736.0</v>
      </c>
      <c r="B6" s="2" t="s">
        <v>41</v>
      </c>
      <c r="C6" s="12">
        <v>28.44</v>
      </c>
      <c r="D6" s="2" t="s">
        <v>42</v>
      </c>
      <c r="E6" s="11" t="s">
        <v>38</v>
      </c>
      <c r="F6" s="13">
        <v>28.44</v>
      </c>
      <c r="G6" s="2" t="s">
        <v>43</v>
      </c>
      <c r="H6" s="8">
        <v>1.0</v>
      </c>
      <c r="I6" s="2" t="s">
        <v>44</v>
      </c>
      <c r="J6" s="8">
        <v>60.0</v>
      </c>
      <c r="K6" s="14">
        <v>15.0</v>
      </c>
      <c r="L6" s="8">
        <v>13.44</v>
      </c>
      <c r="M6" s="2" t="s">
        <v>36</v>
      </c>
      <c r="N6" s="11">
        <v>60.0</v>
      </c>
      <c r="O6" s="11" t="s">
        <v>45</v>
      </c>
    </row>
    <row r="7">
      <c r="A7" s="9">
        <v>44743.0</v>
      </c>
      <c r="B7" s="2" t="s">
        <v>46</v>
      </c>
      <c r="C7" s="12">
        <v>73.23</v>
      </c>
      <c r="D7" s="2" t="s">
        <v>30</v>
      </c>
      <c r="E7" s="11" t="s">
        <v>38</v>
      </c>
      <c r="F7" s="13">
        <v>76.37</v>
      </c>
      <c r="G7" s="2" t="s">
        <v>35</v>
      </c>
      <c r="H7" s="8">
        <v>4.0</v>
      </c>
      <c r="I7" s="2" t="s">
        <v>44</v>
      </c>
      <c r="J7" s="8">
        <v>60.0</v>
      </c>
      <c r="K7" s="14">
        <v>60.0</v>
      </c>
      <c r="L7" s="8">
        <v>16.37</v>
      </c>
      <c r="M7" s="2" t="s">
        <v>36</v>
      </c>
      <c r="N7" s="11">
        <v>240.0</v>
      </c>
      <c r="O7" s="11" t="s">
        <v>47</v>
      </c>
    </row>
    <row r="8">
      <c r="A8" s="9">
        <v>44747.0</v>
      </c>
      <c r="B8" s="2" t="s">
        <v>41</v>
      </c>
      <c r="C8" s="12">
        <v>28.44</v>
      </c>
      <c r="D8" s="2" t="s">
        <v>42</v>
      </c>
      <c r="E8" s="11" t="s">
        <v>38</v>
      </c>
      <c r="F8" s="13">
        <v>28.44</v>
      </c>
      <c r="G8" s="2" t="s">
        <v>43</v>
      </c>
      <c r="H8" s="8">
        <v>1.0</v>
      </c>
      <c r="I8" s="2" t="s">
        <v>44</v>
      </c>
      <c r="J8" s="8">
        <v>60.0</v>
      </c>
      <c r="K8" s="14">
        <v>15.0</v>
      </c>
      <c r="L8" s="8">
        <v>13.44</v>
      </c>
      <c r="M8" s="2" t="s">
        <v>36</v>
      </c>
      <c r="N8" s="11">
        <v>60.0</v>
      </c>
      <c r="O8" s="11" t="s">
        <v>48</v>
      </c>
    </row>
    <row r="9">
      <c r="A9" s="9">
        <v>44749.0</v>
      </c>
      <c r="B9" s="2" t="s">
        <v>49</v>
      </c>
      <c r="C9" s="12">
        <v>18.67</v>
      </c>
      <c r="D9" s="2" t="s">
        <v>30</v>
      </c>
      <c r="E9" s="11" t="s">
        <v>38</v>
      </c>
      <c r="F9" s="13">
        <v>18.98</v>
      </c>
      <c r="G9" s="2" t="s">
        <v>35</v>
      </c>
      <c r="H9" s="8">
        <v>1.0</v>
      </c>
      <c r="I9" s="2" t="s">
        <v>44</v>
      </c>
      <c r="J9" s="8">
        <v>60.0</v>
      </c>
      <c r="K9" s="14">
        <v>15.0</v>
      </c>
      <c r="L9" s="8">
        <v>3.98</v>
      </c>
      <c r="M9" s="2" t="s">
        <v>36</v>
      </c>
      <c r="N9" s="11">
        <v>60.0</v>
      </c>
      <c r="O9" s="11" t="s">
        <v>50</v>
      </c>
    </row>
    <row r="10">
      <c r="A10" s="9">
        <v>44753.0</v>
      </c>
      <c r="B10" s="2" t="s">
        <v>51</v>
      </c>
      <c r="C10" s="12">
        <v>28.26</v>
      </c>
      <c r="D10" s="2" t="s">
        <v>30</v>
      </c>
      <c r="E10" s="11" t="s">
        <v>38</v>
      </c>
      <c r="F10" s="13">
        <v>28.4</v>
      </c>
      <c r="G10" s="2" t="s">
        <v>43</v>
      </c>
      <c r="H10" s="8">
        <v>1.0</v>
      </c>
      <c r="I10" s="2" t="s">
        <v>44</v>
      </c>
      <c r="J10" s="8">
        <v>60.0</v>
      </c>
      <c r="K10" s="14">
        <v>15.0</v>
      </c>
      <c r="L10" s="8">
        <v>13.4</v>
      </c>
      <c r="M10" s="2" t="s">
        <v>36</v>
      </c>
      <c r="N10" s="11">
        <v>60.0</v>
      </c>
      <c r="O10" s="11" t="s">
        <v>52</v>
      </c>
    </row>
    <row r="11">
      <c r="A11" s="9">
        <v>44760.0</v>
      </c>
      <c r="B11" s="2" t="s">
        <v>49</v>
      </c>
      <c r="C11" s="12">
        <v>37.69</v>
      </c>
      <c r="D11" s="2" t="s">
        <v>30</v>
      </c>
      <c r="E11" s="11" t="s">
        <v>38</v>
      </c>
      <c r="F11" s="13">
        <v>38.24</v>
      </c>
      <c r="G11" s="2" t="s">
        <v>35</v>
      </c>
      <c r="H11" s="8">
        <v>2.0</v>
      </c>
      <c r="I11" s="2" t="s">
        <v>44</v>
      </c>
      <c r="J11" s="8">
        <v>60.0</v>
      </c>
      <c r="K11" s="14">
        <v>30.0</v>
      </c>
      <c r="L11" s="8">
        <v>8.24</v>
      </c>
      <c r="M11" s="2" t="s">
        <v>36</v>
      </c>
      <c r="N11" s="11">
        <v>120.0</v>
      </c>
      <c r="O11" s="11" t="s">
        <v>53</v>
      </c>
    </row>
    <row r="12">
      <c r="A12" s="9">
        <v>44763.0</v>
      </c>
      <c r="B12" s="2" t="s">
        <v>54</v>
      </c>
      <c r="C12" s="12">
        <v>200.0</v>
      </c>
      <c r="D12" s="2" t="s">
        <v>42</v>
      </c>
      <c r="E12" s="11" t="s">
        <v>31</v>
      </c>
      <c r="F12" s="13">
        <v>200.0</v>
      </c>
      <c r="G12" s="2" t="s">
        <v>43</v>
      </c>
      <c r="H12" s="8">
        <v>8.0</v>
      </c>
      <c r="I12" s="2" t="s">
        <v>33</v>
      </c>
      <c r="J12" s="8">
        <v>60.0</v>
      </c>
      <c r="K12" s="14">
        <v>120.0</v>
      </c>
      <c r="L12" s="8">
        <v>80.0</v>
      </c>
      <c r="M12" s="2" t="s">
        <v>36</v>
      </c>
      <c r="N12" s="11">
        <v>480.0</v>
      </c>
      <c r="O12" s="11">
        <v>4.58357464E8</v>
      </c>
    </row>
    <row r="13">
      <c r="A13" s="9">
        <v>44766.0</v>
      </c>
      <c r="B13" s="2" t="s">
        <v>55</v>
      </c>
      <c r="C13" s="12">
        <v>191.32</v>
      </c>
      <c r="D13" s="2" t="s">
        <v>42</v>
      </c>
      <c r="E13" s="11" t="s">
        <v>38</v>
      </c>
      <c r="F13" s="13">
        <v>191.32</v>
      </c>
      <c r="G13" s="2" t="s">
        <v>43</v>
      </c>
      <c r="H13" s="8">
        <v>8.0</v>
      </c>
      <c r="I13" s="2" t="s">
        <v>33</v>
      </c>
      <c r="J13" s="8">
        <v>60.0</v>
      </c>
      <c r="K13" s="14">
        <v>120.0</v>
      </c>
      <c r="L13" s="8">
        <v>71.32</v>
      </c>
      <c r="M13" s="2" t="s">
        <v>36</v>
      </c>
      <c r="N13" s="11">
        <v>480.0</v>
      </c>
      <c r="O13" s="11" t="s">
        <v>56</v>
      </c>
    </row>
    <row r="14">
      <c r="A14" s="9">
        <v>44767.0</v>
      </c>
      <c r="B14" s="2" t="s">
        <v>57</v>
      </c>
      <c r="C14" s="12">
        <v>190.4</v>
      </c>
      <c r="D14" s="2" t="s">
        <v>30</v>
      </c>
      <c r="E14" s="11" t="s">
        <v>38</v>
      </c>
      <c r="F14" s="13">
        <v>194.64</v>
      </c>
      <c r="G14" s="2" t="s">
        <v>43</v>
      </c>
      <c r="H14" s="8">
        <v>8.0</v>
      </c>
      <c r="I14" s="2" t="s">
        <v>33</v>
      </c>
      <c r="J14" s="8">
        <v>60.0</v>
      </c>
      <c r="K14" s="14">
        <v>120.0</v>
      </c>
      <c r="L14" s="8">
        <v>74.64</v>
      </c>
      <c r="M14" s="2" t="s">
        <v>36</v>
      </c>
      <c r="N14" s="11">
        <v>480.0</v>
      </c>
      <c r="O14" s="11">
        <v>4.60580316E8</v>
      </c>
    </row>
    <row r="15">
      <c r="A15" s="9">
        <v>44767.0</v>
      </c>
      <c r="B15" s="2" t="s">
        <v>58</v>
      </c>
      <c r="C15" s="12">
        <v>171.52</v>
      </c>
      <c r="D15" s="2" t="s">
        <v>30</v>
      </c>
      <c r="E15" s="11" t="s">
        <v>38</v>
      </c>
      <c r="F15" s="13">
        <v>175.34</v>
      </c>
      <c r="G15" s="2" t="s">
        <v>43</v>
      </c>
      <c r="H15" s="8">
        <v>8.0</v>
      </c>
      <c r="I15" s="2" t="s">
        <v>33</v>
      </c>
      <c r="J15" s="8">
        <v>60.0</v>
      </c>
      <c r="K15" s="14">
        <v>120.0</v>
      </c>
      <c r="L15" s="8">
        <v>55.34</v>
      </c>
      <c r="M15" s="2" t="s">
        <v>36</v>
      </c>
      <c r="N15" s="11">
        <v>480.0</v>
      </c>
      <c r="O15" s="11" t="s">
        <v>59</v>
      </c>
    </row>
    <row r="16">
      <c r="A16" s="9">
        <v>44770.0</v>
      </c>
      <c r="B16" s="2" t="s">
        <v>41</v>
      </c>
      <c r="C16" s="12">
        <v>28.44</v>
      </c>
      <c r="D16" s="2" t="s">
        <v>42</v>
      </c>
      <c r="E16" s="11" t="s">
        <v>38</v>
      </c>
      <c r="F16" s="13">
        <v>28.44</v>
      </c>
      <c r="G16" s="2" t="s">
        <v>43</v>
      </c>
      <c r="H16" s="8">
        <v>1.0</v>
      </c>
      <c r="I16" s="2" t="s">
        <v>44</v>
      </c>
      <c r="J16" s="8">
        <v>60.0</v>
      </c>
      <c r="K16" s="14">
        <v>15.0</v>
      </c>
      <c r="L16" s="8">
        <v>13.44</v>
      </c>
      <c r="M16" s="2" t="s">
        <v>36</v>
      </c>
      <c r="N16" s="11">
        <v>60.0</v>
      </c>
      <c r="O16" s="11" t="s">
        <v>60</v>
      </c>
    </row>
    <row r="17">
      <c r="A17" s="9">
        <v>44770.0</v>
      </c>
      <c r="B17" s="2" t="s">
        <v>61</v>
      </c>
      <c r="C17" s="12">
        <v>187.85</v>
      </c>
      <c r="D17" s="2" t="s">
        <v>30</v>
      </c>
      <c r="E17" s="11" t="s">
        <v>38</v>
      </c>
      <c r="F17" s="13">
        <v>191.46</v>
      </c>
      <c r="G17" s="2" t="s">
        <v>43</v>
      </c>
      <c r="H17" s="8">
        <v>8.0</v>
      </c>
      <c r="I17" s="2" t="s">
        <v>33</v>
      </c>
      <c r="J17" s="8">
        <v>60.0</v>
      </c>
      <c r="K17" s="14">
        <v>120.0</v>
      </c>
      <c r="L17" s="8">
        <v>71.46</v>
      </c>
      <c r="M17" s="2" t="s">
        <v>36</v>
      </c>
      <c r="N17" s="11">
        <v>480.0</v>
      </c>
      <c r="O17" s="11" t="s">
        <v>62</v>
      </c>
    </row>
    <row r="18">
      <c r="A18" s="9">
        <v>44774.0</v>
      </c>
      <c r="B18" s="11" t="s">
        <v>63</v>
      </c>
      <c r="C18" s="12">
        <v>145.0</v>
      </c>
      <c r="D18" s="2" t="s">
        <v>30</v>
      </c>
      <c r="E18" s="11" t="s">
        <v>38</v>
      </c>
      <c r="F18" s="13">
        <v>148.82</v>
      </c>
      <c r="G18" s="15" t="s">
        <v>35</v>
      </c>
      <c r="H18" s="8">
        <v>8.0</v>
      </c>
      <c r="I18" s="2" t="s">
        <v>33</v>
      </c>
      <c r="J18" s="8">
        <v>60.0</v>
      </c>
      <c r="K18" s="14">
        <v>120.0</v>
      </c>
      <c r="L18" s="8">
        <v>28.82</v>
      </c>
      <c r="M18" s="2" t="s">
        <v>36</v>
      </c>
      <c r="N18" s="11">
        <v>480.0</v>
      </c>
      <c r="O18" s="11">
        <v>4.65786012E8</v>
      </c>
    </row>
    <row r="19">
      <c r="A19" s="9">
        <v>44774.0</v>
      </c>
      <c r="B19" s="2" t="s">
        <v>41</v>
      </c>
      <c r="C19" s="12">
        <v>28.44</v>
      </c>
      <c r="D19" s="2" t="s">
        <v>42</v>
      </c>
      <c r="E19" s="11" t="s">
        <v>38</v>
      </c>
      <c r="F19" s="13">
        <v>28.44</v>
      </c>
      <c r="G19" s="2" t="s">
        <v>43</v>
      </c>
      <c r="H19" s="8">
        <v>1.0</v>
      </c>
      <c r="I19" s="2" t="s">
        <v>44</v>
      </c>
      <c r="J19" s="8">
        <v>60.0</v>
      </c>
      <c r="K19" s="14">
        <v>15.0</v>
      </c>
      <c r="L19" s="8">
        <v>13.44</v>
      </c>
      <c r="M19" s="2" t="s">
        <v>36</v>
      </c>
      <c r="N19" s="11">
        <v>60.0</v>
      </c>
      <c r="O19" s="11" t="s">
        <v>64</v>
      </c>
    </row>
    <row r="20">
      <c r="A20" s="9">
        <v>44776.0</v>
      </c>
      <c r="B20" s="2" t="s">
        <v>65</v>
      </c>
      <c r="C20" s="12">
        <v>200.0</v>
      </c>
      <c r="D20" s="2" t="s">
        <v>42</v>
      </c>
      <c r="E20" s="11" t="s">
        <v>66</v>
      </c>
      <c r="F20" s="13">
        <v>188.55</v>
      </c>
      <c r="G20" s="2" t="s">
        <v>43</v>
      </c>
      <c r="H20" s="8">
        <v>8.0</v>
      </c>
      <c r="I20" s="2" t="s">
        <v>33</v>
      </c>
      <c r="J20" s="8">
        <v>60.0</v>
      </c>
      <c r="K20" s="14">
        <v>120.0</v>
      </c>
      <c r="L20" s="8">
        <v>68.55</v>
      </c>
      <c r="M20" s="2" t="s">
        <v>36</v>
      </c>
      <c r="N20" s="11">
        <v>480.0</v>
      </c>
      <c r="O20" s="11">
        <v>1.88277549E8</v>
      </c>
    </row>
    <row r="21">
      <c r="A21" s="9">
        <v>44781.0</v>
      </c>
      <c r="B21" s="2" t="s">
        <v>46</v>
      </c>
      <c r="C21" s="12">
        <v>74.91</v>
      </c>
      <c r="D21" s="2" t="s">
        <v>30</v>
      </c>
      <c r="E21" s="11" t="s">
        <v>38</v>
      </c>
      <c r="F21" s="13">
        <v>76.39</v>
      </c>
      <c r="G21" s="2" t="s">
        <v>35</v>
      </c>
      <c r="H21" s="8">
        <v>4.0</v>
      </c>
      <c r="I21" s="2" t="s">
        <v>44</v>
      </c>
      <c r="J21" s="8">
        <v>60.0</v>
      </c>
      <c r="K21" s="14">
        <v>60.0</v>
      </c>
      <c r="L21" s="8">
        <v>16.39</v>
      </c>
      <c r="M21" s="2" t="s">
        <v>36</v>
      </c>
      <c r="N21" s="11">
        <v>240.0</v>
      </c>
      <c r="O21" s="11" t="s">
        <v>67</v>
      </c>
    </row>
    <row r="22">
      <c r="A22" s="9">
        <v>44781.0</v>
      </c>
      <c r="B22" s="2" t="s">
        <v>49</v>
      </c>
      <c r="C22" s="12">
        <v>40.0</v>
      </c>
      <c r="D22" s="2" t="s">
        <v>42</v>
      </c>
      <c r="E22" s="11" t="s">
        <v>66</v>
      </c>
      <c r="F22" s="13">
        <v>37.35</v>
      </c>
      <c r="G22" s="2" t="s">
        <v>43</v>
      </c>
      <c r="H22" s="8">
        <v>2.0</v>
      </c>
      <c r="I22" s="2" t="s">
        <v>44</v>
      </c>
      <c r="J22" s="8">
        <v>60.0</v>
      </c>
      <c r="K22" s="14">
        <v>30.0</v>
      </c>
      <c r="L22" s="8">
        <v>7.35</v>
      </c>
      <c r="M22" s="3"/>
      <c r="N22" s="11">
        <v>120.0</v>
      </c>
      <c r="O22" s="11">
        <v>1.88636694E8</v>
      </c>
    </row>
    <row r="23">
      <c r="A23" s="9">
        <v>44784.0</v>
      </c>
      <c r="B23" s="2" t="s">
        <v>68</v>
      </c>
      <c r="C23" s="12">
        <v>200.0</v>
      </c>
      <c r="D23" s="2" t="s">
        <v>42</v>
      </c>
      <c r="E23" s="11" t="s">
        <v>66</v>
      </c>
      <c r="F23" s="13">
        <v>188.55</v>
      </c>
      <c r="G23" s="2" t="s">
        <v>32</v>
      </c>
      <c r="H23" s="8">
        <v>12.0</v>
      </c>
      <c r="I23" s="2" t="s">
        <v>33</v>
      </c>
      <c r="J23" s="8">
        <v>75.0</v>
      </c>
      <c r="K23" s="14">
        <v>225.0</v>
      </c>
      <c r="L23" s="8">
        <v>-36.45</v>
      </c>
      <c r="M23" s="8">
        <v>2.0</v>
      </c>
      <c r="N23" s="11">
        <v>900.0</v>
      </c>
      <c r="O23" s="11">
        <v>1.89002401E8</v>
      </c>
    </row>
    <row r="24">
      <c r="A24" s="9">
        <v>44785.0</v>
      </c>
      <c r="B24" s="2" t="s">
        <v>69</v>
      </c>
      <c r="C24" s="12">
        <v>200.0</v>
      </c>
      <c r="D24" s="2" t="s">
        <v>42</v>
      </c>
      <c r="E24" s="11" t="s">
        <v>66</v>
      </c>
      <c r="F24" s="13">
        <v>188.55</v>
      </c>
      <c r="G24" s="2" t="s">
        <v>32</v>
      </c>
      <c r="H24" s="8">
        <v>12.0</v>
      </c>
      <c r="I24" s="2" t="s">
        <v>33</v>
      </c>
      <c r="J24" s="8">
        <v>75.0</v>
      </c>
      <c r="K24" s="14">
        <v>0.0</v>
      </c>
      <c r="L24" s="8">
        <v>188.55</v>
      </c>
      <c r="M24" s="8">
        <v>2.0</v>
      </c>
      <c r="N24" s="11">
        <v>900.0</v>
      </c>
      <c r="O24" s="11">
        <v>1.88840032E8</v>
      </c>
    </row>
    <row r="25">
      <c r="A25" s="9">
        <v>44785.0</v>
      </c>
      <c r="B25" s="2" t="s">
        <v>70</v>
      </c>
      <c r="C25" s="8">
        <v>200.0</v>
      </c>
      <c r="D25" s="2" t="s">
        <v>42</v>
      </c>
      <c r="E25" s="11" t="s">
        <v>66</v>
      </c>
      <c r="F25" s="13">
        <v>188.55</v>
      </c>
      <c r="G25" s="2" t="s">
        <v>32</v>
      </c>
      <c r="H25" s="8">
        <v>12.0</v>
      </c>
      <c r="I25" s="2" t="s">
        <v>33</v>
      </c>
      <c r="J25" s="8">
        <v>75.0</v>
      </c>
      <c r="K25" s="14">
        <v>0.0</v>
      </c>
      <c r="L25" s="8">
        <v>188.55</v>
      </c>
      <c r="M25" s="8">
        <v>2.0</v>
      </c>
      <c r="N25" s="11">
        <v>900.0</v>
      </c>
      <c r="O25" s="11">
        <v>1.88915011E8</v>
      </c>
    </row>
    <row r="26">
      <c r="A26" s="9">
        <v>44785.0</v>
      </c>
      <c r="B26" s="2" t="s">
        <v>71</v>
      </c>
      <c r="C26" s="8">
        <v>200.0</v>
      </c>
      <c r="D26" s="2" t="s">
        <v>42</v>
      </c>
      <c r="E26" s="11" t="s">
        <v>66</v>
      </c>
      <c r="F26" s="13">
        <v>188.55</v>
      </c>
      <c r="G26" s="2" t="s">
        <v>43</v>
      </c>
      <c r="H26" s="8">
        <v>8.0</v>
      </c>
      <c r="I26" s="2" t="s">
        <v>33</v>
      </c>
      <c r="J26" s="8">
        <v>60.0</v>
      </c>
      <c r="K26" s="14">
        <v>120.0</v>
      </c>
      <c r="L26" s="8">
        <v>68.55</v>
      </c>
      <c r="M26" s="2" t="s">
        <v>36</v>
      </c>
      <c r="N26" s="11">
        <v>480.0</v>
      </c>
      <c r="O26" s="11">
        <v>1.88786366E8</v>
      </c>
    </row>
    <row r="27">
      <c r="A27" s="9">
        <v>44786.0</v>
      </c>
      <c r="B27" s="2" t="s">
        <v>72</v>
      </c>
      <c r="C27" s="8">
        <v>200.0</v>
      </c>
      <c r="D27" s="2" t="s">
        <v>42</v>
      </c>
      <c r="E27" s="11" t="s">
        <v>66</v>
      </c>
      <c r="F27" s="13">
        <v>188.55</v>
      </c>
      <c r="G27" s="2" t="s">
        <v>43</v>
      </c>
      <c r="H27" s="8">
        <v>8.0</v>
      </c>
      <c r="I27" s="2" t="s">
        <v>33</v>
      </c>
      <c r="J27" s="8">
        <v>60.0</v>
      </c>
      <c r="K27" s="14">
        <v>120.0</v>
      </c>
      <c r="L27" s="8">
        <v>68.55</v>
      </c>
      <c r="M27" s="2" t="s">
        <v>36</v>
      </c>
      <c r="N27" s="11">
        <v>480.0</v>
      </c>
      <c r="O27" s="11">
        <v>1.88813576E8</v>
      </c>
    </row>
    <row r="28">
      <c r="A28" s="9">
        <v>44787.0</v>
      </c>
      <c r="B28" s="2" t="s">
        <v>73</v>
      </c>
      <c r="C28" s="8">
        <v>140.26</v>
      </c>
      <c r="D28" s="2" t="s">
        <v>30</v>
      </c>
      <c r="E28" s="11" t="s">
        <v>66</v>
      </c>
      <c r="F28" s="13">
        <v>125.93</v>
      </c>
      <c r="G28" s="2" t="s">
        <v>35</v>
      </c>
      <c r="H28" s="8">
        <v>8.0</v>
      </c>
      <c r="I28" s="2" t="s">
        <v>33</v>
      </c>
      <c r="J28" s="8">
        <v>60.0</v>
      </c>
      <c r="K28" s="14">
        <v>120.0</v>
      </c>
      <c r="L28" s="8">
        <v>5.93</v>
      </c>
      <c r="M28" s="2" t="s">
        <v>36</v>
      </c>
      <c r="N28" s="11">
        <v>480.0</v>
      </c>
      <c r="O28" s="11">
        <v>1.89095677E8</v>
      </c>
    </row>
    <row r="29">
      <c r="A29" s="9">
        <v>44788.0</v>
      </c>
      <c r="B29" s="2" t="s">
        <v>41</v>
      </c>
      <c r="C29" s="8">
        <v>30.0</v>
      </c>
      <c r="D29" s="2" t="s">
        <v>42</v>
      </c>
      <c r="E29" s="11" t="s">
        <v>66</v>
      </c>
      <c r="F29" s="13">
        <v>27.9</v>
      </c>
      <c r="G29" s="2" t="s">
        <v>43</v>
      </c>
      <c r="H29" s="8">
        <v>1.0</v>
      </c>
      <c r="I29" s="2" t="s">
        <v>44</v>
      </c>
      <c r="J29" s="8">
        <v>60.0</v>
      </c>
      <c r="K29" s="14">
        <v>15.0</v>
      </c>
      <c r="L29" s="8">
        <v>12.9</v>
      </c>
      <c r="M29" s="2" t="s">
        <v>36</v>
      </c>
      <c r="N29" s="11">
        <v>60.0</v>
      </c>
      <c r="O29" s="11">
        <v>1.89582776E8</v>
      </c>
    </row>
    <row r="30">
      <c r="A30" s="9">
        <v>44810.0</v>
      </c>
      <c r="B30" s="2" t="s">
        <v>74</v>
      </c>
      <c r="C30" s="8">
        <v>200.0</v>
      </c>
      <c r="D30" s="2" t="s">
        <v>42</v>
      </c>
      <c r="E30" s="11" t="s">
        <v>66</v>
      </c>
      <c r="F30" s="13">
        <v>188.55</v>
      </c>
      <c r="G30" s="2" t="s">
        <v>43</v>
      </c>
      <c r="H30" s="8">
        <v>8.0</v>
      </c>
      <c r="I30" s="2" t="s">
        <v>33</v>
      </c>
      <c r="J30" s="8">
        <v>60.0</v>
      </c>
      <c r="K30" s="14">
        <v>120.0</v>
      </c>
      <c r="L30" s="8">
        <v>68.55</v>
      </c>
      <c r="M30" s="2" t="s">
        <v>36</v>
      </c>
      <c r="N30" s="11">
        <v>480.0</v>
      </c>
      <c r="O30" s="11">
        <v>1.90990762E8</v>
      </c>
    </row>
    <row r="31">
      <c r="A31" s="9">
        <v>44812.0</v>
      </c>
      <c r="B31" s="2" t="s">
        <v>75</v>
      </c>
      <c r="C31" s="8">
        <v>80.0</v>
      </c>
      <c r="D31" s="2" t="s">
        <v>42</v>
      </c>
      <c r="E31" s="11" t="s">
        <v>66</v>
      </c>
      <c r="F31" s="13">
        <v>75.15</v>
      </c>
      <c r="G31" s="2" t="s">
        <v>35</v>
      </c>
      <c r="H31" s="8">
        <v>4.0</v>
      </c>
      <c r="I31" s="2" t="s">
        <v>44</v>
      </c>
      <c r="J31" s="8">
        <v>60.0</v>
      </c>
      <c r="K31" s="14">
        <v>60.0</v>
      </c>
      <c r="L31" s="8">
        <v>15.15</v>
      </c>
      <c r="M31" s="2" t="s">
        <v>36</v>
      </c>
      <c r="N31" s="11">
        <v>240.0</v>
      </c>
      <c r="O31" s="11">
        <v>1.9071313E8</v>
      </c>
    </row>
    <row r="32">
      <c r="A32" s="9">
        <v>44813.0</v>
      </c>
      <c r="B32" s="2" t="s">
        <v>76</v>
      </c>
      <c r="C32" s="8">
        <v>200.0</v>
      </c>
      <c r="D32" s="2" t="s">
        <v>42</v>
      </c>
      <c r="E32" s="11" t="s">
        <v>66</v>
      </c>
      <c r="F32" s="13">
        <v>188.55</v>
      </c>
      <c r="G32" s="2" t="s">
        <v>43</v>
      </c>
      <c r="H32" s="8">
        <v>8.0</v>
      </c>
      <c r="I32" s="2" t="s">
        <v>33</v>
      </c>
      <c r="J32" s="8">
        <v>60.0</v>
      </c>
      <c r="K32" s="14">
        <v>120.0</v>
      </c>
      <c r="L32" s="8">
        <v>68.55</v>
      </c>
      <c r="M32" s="2" t="s">
        <v>36</v>
      </c>
      <c r="N32" s="11">
        <v>480.0</v>
      </c>
      <c r="O32" s="11">
        <v>1.91033346E8</v>
      </c>
    </row>
    <row r="33">
      <c r="A33" s="9">
        <v>44813.0</v>
      </c>
      <c r="B33" s="2" t="s">
        <v>77</v>
      </c>
      <c r="C33" s="8">
        <v>200.0</v>
      </c>
      <c r="D33" s="2" t="s">
        <v>42</v>
      </c>
      <c r="E33" s="11" t="s">
        <v>66</v>
      </c>
      <c r="F33" s="13">
        <v>188.55</v>
      </c>
      <c r="G33" s="2" t="s">
        <v>43</v>
      </c>
      <c r="H33" s="8">
        <v>8.0</v>
      </c>
      <c r="I33" s="2" t="s">
        <v>33</v>
      </c>
      <c r="J33" s="8">
        <v>60.0</v>
      </c>
      <c r="K33" s="14">
        <v>120.0</v>
      </c>
      <c r="L33" s="8">
        <v>68.55</v>
      </c>
      <c r="M33" s="2" t="s">
        <v>36</v>
      </c>
      <c r="N33" s="11">
        <v>480.0</v>
      </c>
      <c r="O33" s="11">
        <v>1.90838946E8</v>
      </c>
    </row>
    <row r="34">
      <c r="A34" s="9">
        <v>44813.0</v>
      </c>
      <c r="B34" s="2" t="s">
        <v>78</v>
      </c>
      <c r="C34" s="8">
        <v>30.0</v>
      </c>
      <c r="D34" s="2" t="s">
        <v>42</v>
      </c>
      <c r="E34" s="11" t="s">
        <v>66</v>
      </c>
      <c r="F34" s="13">
        <v>27.9</v>
      </c>
      <c r="G34" s="2" t="s">
        <v>43</v>
      </c>
      <c r="H34" s="8">
        <v>1.0</v>
      </c>
      <c r="I34" s="2" t="s">
        <v>44</v>
      </c>
      <c r="J34" s="8">
        <v>60.0</v>
      </c>
      <c r="K34" s="14">
        <v>15.0</v>
      </c>
      <c r="L34" s="8">
        <v>12.9</v>
      </c>
      <c r="M34" s="2" t="s">
        <v>36</v>
      </c>
      <c r="N34" s="11">
        <v>60.0</v>
      </c>
      <c r="O34" s="11">
        <v>1.90805518E8</v>
      </c>
    </row>
    <row r="35">
      <c r="A35" s="9">
        <v>44815.0</v>
      </c>
      <c r="B35" s="2" t="s">
        <v>79</v>
      </c>
      <c r="C35" s="8">
        <v>200.0</v>
      </c>
      <c r="D35" s="2" t="s">
        <v>42</v>
      </c>
      <c r="E35" s="11" t="s">
        <v>66</v>
      </c>
      <c r="F35" s="13">
        <v>188.55</v>
      </c>
      <c r="G35" s="2" t="s">
        <v>43</v>
      </c>
      <c r="H35" s="8">
        <v>8.0</v>
      </c>
      <c r="I35" s="2" t="s">
        <v>33</v>
      </c>
      <c r="J35" s="8">
        <v>60.0</v>
      </c>
      <c r="K35" s="14">
        <v>120.0</v>
      </c>
      <c r="L35" s="8">
        <v>68.55</v>
      </c>
      <c r="M35" s="2" t="s">
        <v>36</v>
      </c>
      <c r="N35" s="11">
        <v>480.0</v>
      </c>
      <c r="O35" s="11">
        <v>1.91243534E8</v>
      </c>
    </row>
    <row r="36">
      <c r="A36" s="9">
        <v>44816.0</v>
      </c>
      <c r="B36" s="2" t="s">
        <v>49</v>
      </c>
      <c r="C36" s="8">
        <v>40.0</v>
      </c>
      <c r="D36" s="2" t="s">
        <v>42</v>
      </c>
      <c r="E36" s="11" t="s">
        <v>66</v>
      </c>
      <c r="F36" s="13">
        <v>37.35</v>
      </c>
      <c r="G36" s="2" t="s">
        <v>35</v>
      </c>
      <c r="H36" s="8">
        <v>2.0</v>
      </c>
      <c r="I36" s="2" t="s">
        <v>44</v>
      </c>
      <c r="J36" s="8">
        <v>60.0</v>
      </c>
      <c r="K36" s="14">
        <v>30.0</v>
      </c>
      <c r="L36" s="8">
        <v>7.35</v>
      </c>
      <c r="M36" s="2" t="s">
        <v>36</v>
      </c>
      <c r="N36" s="11">
        <v>120.0</v>
      </c>
      <c r="O36" s="11">
        <v>1.91583179E8</v>
      </c>
    </row>
    <row r="37">
      <c r="A37" s="9">
        <v>44821.0</v>
      </c>
      <c r="B37" s="2" t="s">
        <v>78</v>
      </c>
      <c r="C37" s="8">
        <v>30.0</v>
      </c>
      <c r="D37" s="2" t="s">
        <v>42</v>
      </c>
      <c r="E37" s="11" t="s">
        <v>66</v>
      </c>
      <c r="F37" s="13">
        <v>27.9</v>
      </c>
      <c r="G37" s="2" t="s">
        <v>43</v>
      </c>
      <c r="H37" s="8">
        <v>1.0</v>
      </c>
      <c r="I37" s="2" t="s">
        <v>44</v>
      </c>
      <c r="J37" s="8">
        <v>60.0</v>
      </c>
      <c r="K37" s="14">
        <v>15.0</v>
      </c>
      <c r="L37" s="8">
        <v>12.9</v>
      </c>
      <c r="M37" s="2" t="s">
        <v>36</v>
      </c>
      <c r="N37" s="11">
        <v>60.0</v>
      </c>
      <c r="O37" s="11">
        <v>1.91973369E8</v>
      </c>
    </row>
    <row r="38">
      <c r="A38" s="9">
        <v>44822.0</v>
      </c>
      <c r="B38" s="2" t="s">
        <v>78</v>
      </c>
      <c r="C38" s="8">
        <v>200.0</v>
      </c>
      <c r="D38" s="2" t="s">
        <v>42</v>
      </c>
      <c r="E38" s="11" t="s">
        <v>66</v>
      </c>
      <c r="F38" s="13">
        <v>188.55</v>
      </c>
      <c r="G38" s="2" t="s">
        <v>43</v>
      </c>
      <c r="H38" s="8">
        <v>8.0</v>
      </c>
      <c r="I38" s="2" t="s">
        <v>33</v>
      </c>
      <c r="J38" s="8">
        <v>60.0</v>
      </c>
      <c r="K38" s="14">
        <v>120.0</v>
      </c>
      <c r="L38" s="8">
        <v>68.55</v>
      </c>
      <c r="M38" s="2" t="s">
        <v>36</v>
      </c>
      <c r="N38" s="11">
        <v>480.0</v>
      </c>
      <c r="O38" s="11">
        <v>1.91659344E8</v>
      </c>
    </row>
    <row r="39">
      <c r="A39" s="9">
        <v>44823.0</v>
      </c>
      <c r="B39" s="2" t="s">
        <v>80</v>
      </c>
      <c r="C39" s="8">
        <v>200.0</v>
      </c>
      <c r="D39" s="2" t="s">
        <v>42</v>
      </c>
      <c r="E39" s="11" t="s">
        <v>66</v>
      </c>
      <c r="F39" s="13">
        <v>188.55</v>
      </c>
      <c r="G39" s="2" t="s">
        <v>43</v>
      </c>
      <c r="H39" s="8">
        <v>8.0</v>
      </c>
      <c r="I39" s="2" t="s">
        <v>33</v>
      </c>
      <c r="J39" s="8">
        <v>60.0</v>
      </c>
      <c r="K39" s="14">
        <v>120.0</v>
      </c>
      <c r="L39" s="8">
        <v>68.55</v>
      </c>
      <c r="M39" s="2" t="s">
        <v>36</v>
      </c>
      <c r="N39" s="11">
        <v>480.0</v>
      </c>
      <c r="O39" s="11">
        <v>1.91913157E8</v>
      </c>
    </row>
    <row r="40">
      <c r="A40" s="9">
        <v>44829.0</v>
      </c>
      <c r="B40" s="2" t="s">
        <v>81</v>
      </c>
      <c r="C40" s="8">
        <v>17.66</v>
      </c>
      <c r="D40" s="2" t="s">
        <v>82</v>
      </c>
      <c r="E40" s="11" t="s">
        <v>66</v>
      </c>
      <c r="F40" s="13">
        <v>13.12</v>
      </c>
      <c r="G40" s="2" t="s">
        <v>35</v>
      </c>
      <c r="H40" s="8">
        <v>1.0</v>
      </c>
      <c r="I40" s="2" t="s">
        <v>44</v>
      </c>
      <c r="J40" s="8">
        <v>60.0</v>
      </c>
      <c r="K40" s="14">
        <v>15.0</v>
      </c>
      <c r="L40" s="8">
        <v>-1.88</v>
      </c>
      <c r="M40" s="2" t="s">
        <v>36</v>
      </c>
      <c r="N40" s="11">
        <v>60.0</v>
      </c>
      <c r="O40" s="11">
        <v>1.92168585E8</v>
      </c>
    </row>
    <row r="41">
      <c r="A41" s="9">
        <v>44837.0</v>
      </c>
      <c r="B41" s="2" t="s">
        <v>46</v>
      </c>
      <c r="C41" s="8">
        <v>100.0</v>
      </c>
      <c r="D41" s="2" t="s">
        <v>42</v>
      </c>
      <c r="E41" s="11" t="s">
        <v>66</v>
      </c>
      <c r="F41" s="13">
        <v>94.05</v>
      </c>
      <c r="G41" s="2" t="s">
        <v>35</v>
      </c>
      <c r="H41" s="8">
        <v>5.0</v>
      </c>
      <c r="I41" s="2" t="s">
        <v>44</v>
      </c>
      <c r="J41" s="8">
        <v>60.0</v>
      </c>
      <c r="K41" s="14">
        <v>75.0</v>
      </c>
      <c r="L41" s="8">
        <v>19.05</v>
      </c>
      <c r="M41" s="2" t="s">
        <v>36</v>
      </c>
      <c r="N41" s="11">
        <v>300.0</v>
      </c>
      <c r="O41" s="11">
        <v>1.93030355E8</v>
      </c>
    </row>
    <row r="42">
      <c r="A42" s="9">
        <v>44837.0</v>
      </c>
      <c r="B42" s="2" t="s">
        <v>40</v>
      </c>
      <c r="C42" s="8">
        <v>80.0</v>
      </c>
      <c r="D42" s="2" t="s">
        <v>30</v>
      </c>
      <c r="E42" s="11" t="s">
        <v>83</v>
      </c>
      <c r="F42" s="13">
        <v>73.88</v>
      </c>
      <c r="G42" s="2" t="s">
        <v>35</v>
      </c>
      <c r="H42" s="8">
        <v>4.0</v>
      </c>
      <c r="I42" s="2" t="s">
        <v>44</v>
      </c>
      <c r="J42" s="8">
        <v>60.0</v>
      </c>
      <c r="K42" s="14">
        <v>60.0</v>
      </c>
      <c r="L42" s="8">
        <v>13.88</v>
      </c>
      <c r="M42" s="2" t="s">
        <v>36</v>
      </c>
      <c r="N42" s="11">
        <v>240.0</v>
      </c>
      <c r="O42" s="11">
        <v>5.08162337E8</v>
      </c>
    </row>
    <row r="43">
      <c r="A43" s="9">
        <v>44838.0</v>
      </c>
      <c r="B43" s="2" t="s">
        <v>49</v>
      </c>
      <c r="C43" s="8">
        <v>80.0</v>
      </c>
      <c r="D43" s="2" t="s">
        <v>42</v>
      </c>
      <c r="E43" s="11" t="s">
        <v>66</v>
      </c>
      <c r="F43" s="13">
        <v>75.15</v>
      </c>
      <c r="G43" s="2" t="s">
        <v>35</v>
      </c>
      <c r="H43" s="8">
        <v>4.0</v>
      </c>
      <c r="I43" s="2" t="s">
        <v>44</v>
      </c>
      <c r="J43" s="8">
        <v>60.0</v>
      </c>
      <c r="K43" s="14">
        <v>60.0</v>
      </c>
      <c r="L43" s="8">
        <v>15.15</v>
      </c>
      <c r="M43" s="2" t="s">
        <v>36</v>
      </c>
      <c r="N43" s="11">
        <v>240.0</v>
      </c>
      <c r="O43" s="11">
        <v>1.93087041E8</v>
      </c>
    </row>
    <row r="44">
      <c r="A44" s="9">
        <v>44840.0</v>
      </c>
      <c r="B44" s="2" t="s">
        <v>77</v>
      </c>
      <c r="C44" s="8">
        <v>200.0</v>
      </c>
      <c r="D44" s="2" t="s">
        <v>42</v>
      </c>
      <c r="E44" s="11" t="s">
        <v>66</v>
      </c>
      <c r="F44" s="13">
        <v>188.55</v>
      </c>
      <c r="G44" s="2" t="s">
        <v>43</v>
      </c>
      <c r="H44" s="8">
        <v>8.0</v>
      </c>
      <c r="I44" s="2" t="s">
        <v>33</v>
      </c>
      <c r="J44" s="8">
        <v>60.0</v>
      </c>
      <c r="K44" s="14">
        <v>120.0</v>
      </c>
      <c r="L44" s="8">
        <v>68.55</v>
      </c>
      <c r="M44" s="2" t="s">
        <v>36</v>
      </c>
      <c r="N44" s="11">
        <v>480.0</v>
      </c>
      <c r="O44" s="11">
        <v>1.92869988E8</v>
      </c>
    </row>
    <row r="45">
      <c r="A45" s="9">
        <v>44845.0</v>
      </c>
      <c r="B45" s="2" t="s">
        <v>84</v>
      </c>
      <c r="C45" s="8">
        <v>145.0</v>
      </c>
      <c r="D45" s="2" t="s">
        <v>42</v>
      </c>
      <c r="E45" s="11" t="s">
        <v>66</v>
      </c>
      <c r="F45" s="13">
        <v>136.58</v>
      </c>
      <c r="G45" s="2" t="s">
        <v>35</v>
      </c>
      <c r="H45" s="8">
        <v>8.0</v>
      </c>
      <c r="I45" s="2" t="s">
        <v>33</v>
      </c>
      <c r="J45" s="8">
        <v>60.0</v>
      </c>
      <c r="K45" s="14">
        <v>120.0</v>
      </c>
      <c r="L45" s="8">
        <v>16.58</v>
      </c>
      <c r="M45" s="2" t="s">
        <v>36</v>
      </c>
      <c r="N45" s="11">
        <v>480.0</v>
      </c>
      <c r="O45" s="11">
        <v>1.9328293E8</v>
      </c>
    </row>
    <row r="46">
      <c r="A46" s="9">
        <v>44849.0</v>
      </c>
      <c r="B46" s="2" t="s">
        <v>78</v>
      </c>
      <c r="C46" s="8">
        <v>200.0</v>
      </c>
      <c r="D46" s="2" t="s">
        <v>42</v>
      </c>
      <c r="E46" s="11" t="s">
        <v>66</v>
      </c>
      <c r="F46" s="13">
        <v>188.55</v>
      </c>
      <c r="G46" s="2" t="s">
        <v>43</v>
      </c>
      <c r="H46" s="8">
        <v>8.0</v>
      </c>
      <c r="I46" s="2" t="s">
        <v>33</v>
      </c>
      <c r="J46" s="8">
        <v>60.0</v>
      </c>
      <c r="K46" s="14">
        <v>120.0</v>
      </c>
      <c r="L46" s="8">
        <v>68.55</v>
      </c>
      <c r="M46" s="2" t="s">
        <v>36</v>
      </c>
      <c r="N46" s="11">
        <v>480.0</v>
      </c>
      <c r="O46" s="11">
        <v>1.93738864E8</v>
      </c>
    </row>
    <row r="47">
      <c r="A47" s="9">
        <v>44849.0</v>
      </c>
      <c r="B47" s="2" t="s">
        <v>85</v>
      </c>
      <c r="C47" s="8">
        <v>200.0</v>
      </c>
      <c r="D47" s="2" t="s">
        <v>42</v>
      </c>
      <c r="E47" s="11" t="s">
        <v>66</v>
      </c>
      <c r="F47" s="13">
        <v>188.55</v>
      </c>
      <c r="G47" s="2" t="s">
        <v>32</v>
      </c>
      <c r="H47" s="8">
        <v>12.0</v>
      </c>
      <c r="I47" s="2" t="s">
        <v>33</v>
      </c>
      <c r="J47" s="8">
        <v>75.0</v>
      </c>
      <c r="K47" s="14">
        <v>225.0</v>
      </c>
      <c r="L47" s="8">
        <v>-36.45</v>
      </c>
      <c r="M47" s="8">
        <v>3.0</v>
      </c>
      <c r="N47" s="11">
        <v>900.0</v>
      </c>
      <c r="O47" s="11">
        <v>1.93793492E8</v>
      </c>
    </row>
    <row r="48">
      <c r="A48" s="9">
        <v>44853.0</v>
      </c>
      <c r="B48" s="2" t="s">
        <v>68</v>
      </c>
      <c r="C48" s="8">
        <v>200.0</v>
      </c>
      <c r="D48" s="2" t="s">
        <v>42</v>
      </c>
      <c r="E48" s="11" t="s">
        <v>66</v>
      </c>
      <c r="F48" s="13">
        <v>188.55</v>
      </c>
      <c r="G48" s="2" t="s">
        <v>32</v>
      </c>
      <c r="H48" s="8">
        <v>12.0</v>
      </c>
      <c r="I48" s="2" t="s">
        <v>33</v>
      </c>
      <c r="J48" s="8">
        <v>75.0</v>
      </c>
      <c r="K48" s="14">
        <v>0.0</v>
      </c>
      <c r="L48" s="8">
        <v>188.55</v>
      </c>
      <c r="M48" s="8">
        <v>3.0</v>
      </c>
      <c r="N48" s="11">
        <v>900.0</v>
      </c>
      <c r="O48" s="11">
        <v>1.94615564E8</v>
      </c>
    </row>
    <row r="49">
      <c r="A49" s="9">
        <v>44855.0</v>
      </c>
      <c r="B49" s="2" t="s">
        <v>71</v>
      </c>
      <c r="C49" s="8">
        <v>200.0</v>
      </c>
      <c r="D49" s="2" t="s">
        <v>42</v>
      </c>
      <c r="E49" s="11" t="s">
        <v>66</v>
      </c>
      <c r="F49" s="13">
        <v>188.55</v>
      </c>
      <c r="G49" s="2" t="s">
        <v>43</v>
      </c>
      <c r="H49" s="8">
        <v>8.0</v>
      </c>
      <c r="I49" s="2" t="s">
        <v>33</v>
      </c>
      <c r="J49" s="8">
        <v>60.0</v>
      </c>
      <c r="K49" s="14">
        <v>120.0</v>
      </c>
      <c r="L49" s="8">
        <v>68.55</v>
      </c>
      <c r="M49" s="2" t="s">
        <v>36</v>
      </c>
      <c r="N49" s="11">
        <v>480.0</v>
      </c>
      <c r="O49" s="11">
        <v>1.94153606E8</v>
      </c>
    </row>
    <row r="50">
      <c r="A50" s="9">
        <v>44862.0</v>
      </c>
      <c r="B50" s="2" t="s">
        <v>86</v>
      </c>
      <c r="C50" s="8">
        <v>200.0</v>
      </c>
      <c r="D50" s="2" t="s">
        <v>42</v>
      </c>
      <c r="E50" s="11" t="s">
        <v>66</v>
      </c>
      <c r="F50" s="13">
        <v>188.55</v>
      </c>
      <c r="G50" s="2" t="s">
        <v>43</v>
      </c>
      <c r="H50" s="8">
        <v>8.0</v>
      </c>
      <c r="I50" s="2" t="s">
        <v>33</v>
      </c>
      <c r="J50" s="8">
        <v>60.0</v>
      </c>
      <c r="K50" s="14">
        <v>120.0</v>
      </c>
      <c r="L50" s="8">
        <v>68.55</v>
      </c>
      <c r="M50" s="2" t="s">
        <v>36</v>
      </c>
      <c r="N50" s="11">
        <v>480.0</v>
      </c>
      <c r="O50" s="11">
        <v>1.94643653E8</v>
      </c>
    </row>
    <row r="51">
      <c r="A51" s="9">
        <v>44868.0</v>
      </c>
      <c r="B51" s="2" t="s">
        <v>77</v>
      </c>
      <c r="C51" s="8">
        <v>200.0</v>
      </c>
      <c r="D51" s="2" t="s">
        <v>42</v>
      </c>
      <c r="E51" s="11" t="s">
        <v>66</v>
      </c>
      <c r="F51" s="13">
        <v>188.55</v>
      </c>
      <c r="G51" s="2" t="s">
        <v>43</v>
      </c>
      <c r="H51" s="8">
        <v>8.0</v>
      </c>
      <c r="I51" s="2" t="s">
        <v>33</v>
      </c>
      <c r="J51" s="8">
        <v>60.0</v>
      </c>
      <c r="K51" s="14">
        <v>120.0</v>
      </c>
      <c r="L51" s="8">
        <v>68.55</v>
      </c>
      <c r="M51" s="2" t="s">
        <v>36</v>
      </c>
      <c r="N51" s="11">
        <v>480.0</v>
      </c>
      <c r="O51" s="11">
        <v>1.95171061E8</v>
      </c>
    </row>
    <row r="52">
      <c r="A52" s="9">
        <v>44879.0</v>
      </c>
      <c r="B52" s="11" t="s">
        <v>58</v>
      </c>
      <c r="C52" s="11">
        <v>171.52</v>
      </c>
      <c r="D52" s="11" t="s">
        <v>30</v>
      </c>
      <c r="E52" s="11" t="s">
        <v>38</v>
      </c>
      <c r="F52" s="13">
        <v>176.99</v>
      </c>
      <c r="G52" s="11" t="s">
        <v>43</v>
      </c>
      <c r="H52" s="11">
        <v>8.0</v>
      </c>
      <c r="I52" s="11" t="s">
        <v>33</v>
      </c>
      <c r="J52" s="11">
        <v>45.0</v>
      </c>
      <c r="K52" s="14">
        <v>90.0</v>
      </c>
      <c r="L52" s="8">
        <v>86.99</v>
      </c>
      <c r="N52" s="11">
        <v>360.0</v>
      </c>
      <c r="O52" s="11" t="s">
        <v>87</v>
      </c>
    </row>
    <row r="53">
      <c r="A53" s="9">
        <v>44880.0</v>
      </c>
      <c r="B53" s="2" t="s">
        <v>72</v>
      </c>
      <c r="C53" s="8">
        <v>400.0</v>
      </c>
      <c r="D53" s="2" t="s">
        <v>42</v>
      </c>
      <c r="E53" s="11" t="s">
        <v>66</v>
      </c>
      <c r="F53" s="13">
        <v>377.55</v>
      </c>
      <c r="G53" s="2" t="s">
        <v>43</v>
      </c>
      <c r="H53" s="8">
        <v>16.0</v>
      </c>
      <c r="I53" s="2" t="s">
        <v>33</v>
      </c>
      <c r="J53" s="8">
        <v>60.0</v>
      </c>
      <c r="K53" s="14">
        <v>240.0</v>
      </c>
      <c r="L53" s="8">
        <v>137.55</v>
      </c>
      <c r="M53" s="2" t="s">
        <v>36</v>
      </c>
      <c r="N53" s="11">
        <v>960.0</v>
      </c>
      <c r="O53" s="11">
        <v>1.96568327E8</v>
      </c>
    </row>
    <row r="54">
      <c r="A54" s="9">
        <v>44882.0</v>
      </c>
      <c r="B54" s="11" t="s">
        <v>63</v>
      </c>
      <c r="C54" s="11">
        <v>145.0</v>
      </c>
      <c r="D54" s="11" t="s">
        <v>42</v>
      </c>
      <c r="E54" s="11" t="s">
        <v>66</v>
      </c>
      <c r="F54" s="13">
        <v>136.58</v>
      </c>
      <c r="G54" s="2" t="s">
        <v>35</v>
      </c>
      <c r="H54" s="8">
        <v>8.0</v>
      </c>
      <c r="I54" s="2" t="s">
        <v>33</v>
      </c>
      <c r="J54" s="8">
        <v>60.0</v>
      </c>
      <c r="K54" s="14">
        <v>120.0</v>
      </c>
      <c r="L54" s="8">
        <v>16.58</v>
      </c>
      <c r="M54" s="2" t="s">
        <v>36</v>
      </c>
      <c r="N54" s="11">
        <v>480.0</v>
      </c>
      <c r="O54" s="11">
        <v>1.96241009E8</v>
      </c>
    </row>
    <row r="55">
      <c r="A55" s="9">
        <v>44890.0</v>
      </c>
      <c r="B55" s="11" t="s">
        <v>69</v>
      </c>
      <c r="C55" s="11">
        <v>190.0</v>
      </c>
      <c r="D55" s="11" t="s">
        <v>30</v>
      </c>
      <c r="E55" s="11" t="s">
        <v>31</v>
      </c>
      <c r="F55" s="13">
        <v>197.86</v>
      </c>
      <c r="G55" s="11" t="s">
        <v>32</v>
      </c>
      <c r="H55" s="11">
        <v>12.0</v>
      </c>
      <c r="I55" s="11" t="s">
        <v>33</v>
      </c>
      <c r="J55" s="8">
        <v>75.0</v>
      </c>
      <c r="K55" s="14">
        <v>0.0</v>
      </c>
      <c r="L55" s="8">
        <v>197.86</v>
      </c>
      <c r="M55" s="8">
        <v>3.0</v>
      </c>
      <c r="N55" s="11">
        <v>900.0</v>
      </c>
      <c r="O55" s="11">
        <v>5.46475861E8</v>
      </c>
    </row>
    <row r="56">
      <c r="A56" s="9">
        <v>44896.0</v>
      </c>
      <c r="B56" s="11" t="s">
        <v>88</v>
      </c>
      <c r="C56" s="11">
        <v>20.0</v>
      </c>
      <c r="D56" s="11" t="s">
        <v>42</v>
      </c>
      <c r="E56" s="11" t="s">
        <v>66</v>
      </c>
      <c r="F56" s="13">
        <v>18.45</v>
      </c>
      <c r="G56" s="11" t="s">
        <v>35</v>
      </c>
      <c r="H56" s="11">
        <v>1.0</v>
      </c>
      <c r="I56" s="11" t="s">
        <v>44</v>
      </c>
      <c r="J56" s="11">
        <v>60.0</v>
      </c>
      <c r="K56" s="14">
        <v>15.0</v>
      </c>
      <c r="L56" s="8">
        <v>3.45</v>
      </c>
      <c r="N56" s="11">
        <v>60.0</v>
      </c>
      <c r="O56" s="11">
        <v>1.9742811E8</v>
      </c>
    </row>
    <row r="57">
      <c r="A57" s="9">
        <v>44896.0</v>
      </c>
      <c r="B57" s="11" t="s">
        <v>89</v>
      </c>
      <c r="C57" s="11">
        <v>200.0</v>
      </c>
      <c r="D57" s="11" t="s">
        <v>42</v>
      </c>
      <c r="E57" s="11" t="s">
        <v>66</v>
      </c>
      <c r="F57" s="13">
        <v>188.55</v>
      </c>
      <c r="G57" s="11" t="s">
        <v>43</v>
      </c>
      <c r="H57" s="11">
        <v>8.0</v>
      </c>
      <c r="I57" s="11" t="s">
        <v>33</v>
      </c>
      <c r="J57" s="11">
        <v>60.0</v>
      </c>
      <c r="K57" s="14">
        <v>120.0</v>
      </c>
      <c r="L57" s="8">
        <v>68.55</v>
      </c>
      <c r="N57" s="11">
        <v>480.0</v>
      </c>
      <c r="O57" s="11">
        <v>1.9720576E8</v>
      </c>
    </row>
    <row r="58">
      <c r="A58" s="9">
        <v>44897.0</v>
      </c>
      <c r="B58" s="11" t="s">
        <v>78</v>
      </c>
      <c r="C58" s="11">
        <v>200.0</v>
      </c>
      <c r="D58" s="11" t="s">
        <v>42</v>
      </c>
      <c r="E58" s="11" t="s">
        <v>66</v>
      </c>
      <c r="F58" s="13">
        <v>188.55</v>
      </c>
      <c r="G58" s="11" t="s">
        <v>43</v>
      </c>
      <c r="H58" s="11">
        <v>8.0</v>
      </c>
      <c r="I58" s="11" t="s">
        <v>33</v>
      </c>
      <c r="J58" s="11">
        <v>60.0</v>
      </c>
      <c r="K58" s="14">
        <v>120.0</v>
      </c>
      <c r="L58" s="8">
        <v>68.55</v>
      </c>
      <c r="N58" s="11">
        <v>480.0</v>
      </c>
      <c r="O58" s="11">
        <v>1.97997169E8</v>
      </c>
    </row>
    <row r="59">
      <c r="A59" s="9">
        <v>44900.0</v>
      </c>
      <c r="B59" s="11" t="s">
        <v>88</v>
      </c>
      <c r="C59" s="11">
        <v>145.0</v>
      </c>
      <c r="D59" s="11" t="s">
        <v>42</v>
      </c>
      <c r="E59" s="11" t="s">
        <v>66</v>
      </c>
      <c r="F59" s="13">
        <v>136.58</v>
      </c>
      <c r="G59" s="11" t="s">
        <v>35</v>
      </c>
      <c r="H59" s="11">
        <v>8.0</v>
      </c>
      <c r="I59" s="11" t="s">
        <v>33</v>
      </c>
      <c r="J59" s="11">
        <v>60.0</v>
      </c>
      <c r="K59" s="14">
        <v>120.0</v>
      </c>
      <c r="L59" s="8">
        <v>16.58</v>
      </c>
      <c r="N59" s="11">
        <v>480.0</v>
      </c>
      <c r="O59" s="11">
        <v>1.98044202E8</v>
      </c>
    </row>
    <row r="60">
      <c r="A60" s="9">
        <v>44906.0</v>
      </c>
      <c r="B60" s="11" t="s">
        <v>90</v>
      </c>
      <c r="C60" s="11">
        <v>145.0</v>
      </c>
      <c r="D60" s="11" t="s">
        <v>42</v>
      </c>
      <c r="E60" s="11" t="s">
        <v>66</v>
      </c>
      <c r="F60" s="13">
        <v>136.58</v>
      </c>
      <c r="G60" s="11" t="s">
        <v>35</v>
      </c>
      <c r="H60" s="11">
        <v>8.0</v>
      </c>
      <c r="I60" s="11" t="s">
        <v>33</v>
      </c>
      <c r="J60" s="11">
        <v>60.0</v>
      </c>
      <c r="K60" s="14">
        <v>120.0</v>
      </c>
      <c r="L60" s="8">
        <v>16.58</v>
      </c>
      <c r="N60" s="11">
        <v>480.0</v>
      </c>
      <c r="O60" s="11">
        <v>1.98341245E8</v>
      </c>
    </row>
    <row r="61">
      <c r="A61" s="9">
        <v>44907.0</v>
      </c>
      <c r="B61" s="11" t="s">
        <v>46</v>
      </c>
      <c r="C61" s="11">
        <v>80.0</v>
      </c>
      <c r="D61" s="11" t="s">
        <v>42</v>
      </c>
      <c r="E61" s="11" t="s">
        <v>66</v>
      </c>
      <c r="F61" s="13">
        <v>75.15</v>
      </c>
      <c r="G61" s="11" t="s">
        <v>35</v>
      </c>
      <c r="H61" s="11">
        <v>4.0</v>
      </c>
      <c r="I61" s="11" t="s">
        <v>44</v>
      </c>
      <c r="J61" s="11">
        <v>60.0</v>
      </c>
      <c r="K61" s="14">
        <v>60.0</v>
      </c>
      <c r="L61" s="8">
        <v>15.15</v>
      </c>
      <c r="N61" s="11">
        <v>240.0</v>
      </c>
      <c r="O61" s="11">
        <v>1.98610975E8</v>
      </c>
    </row>
    <row r="62">
      <c r="A62" s="9">
        <v>44912.0</v>
      </c>
      <c r="B62" s="11" t="s">
        <v>72</v>
      </c>
      <c r="C62" s="11">
        <v>200.0</v>
      </c>
      <c r="D62" s="11" t="s">
        <v>42</v>
      </c>
      <c r="E62" s="11" t="s">
        <v>66</v>
      </c>
      <c r="F62" s="13">
        <v>188.55</v>
      </c>
      <c r="G62" s="11" t="s">
        <v>43</v>
      </c>
      <c r="H62" s="11">
        <v>8.0</v>
      </c>
      <c r="I62" s="11" t="s">
        <v>33</v>
      </c>
      <c r="J62" s="11">
        <v>60.0</v>
      </c>
      <c r="K62" s="14">
        <v>120.0</v>
      </c>
      <c r="L62" s="8">
        <v>68.55</v>
      </c>
      <c r="N62" s="11">
        <v>480.0</v>
      </c>
      <c r="O62" s="11">
        <v>1.9895521E8</v>
      </c>
    </row>
    <row r="63">
      <c r="A63" s="9">
        <v>44919.0</v>
      </c>
      <c r="B63" s="11" t="s">
        <v>91</v>
      </c>
      <c r="C63" s="11">
        <v>165.98</v>
      </c>
      <c r="D63" s="11" t="s">
        <v>82</v>
      </c>
      <c r="E63" s="11" t="s">
        <v>66</v>
      </c>
      <c r="F63" s="13">
        <v>175.57</v>
      </c>
      <c r="G63" s="11" t="s">
        <v>32</v>
      </c>
      <c r="H63" s="11">
        <v>12.0</v>
      </c>
      <c r="I63" s="11" t="s">
        <v>33</v>
      </c>
      <c r="J63" s="11">
        <v>75.0</v>
      </c>
      <c r="K63" s="14">
        <v>225.0</v>
      </c>
      <c r="L63" s="8">
        <v>-49.43</v>
      </c>
      <c r="M63" s="11">
        <v>4.0</v>
      </c>
      <c r="N63" s="11">
        <v>900.0</v>
      </c>
      <c r="O63" s="11">
        <v>1.99195804E8</v>
      </c>
    </row>
    <row r="64">
      <c r="A64" s="9">
        <v>44922.0</v>
      </c>
      <c r="B64" s="11" t="s">
        <v>34</v>
      </c>
      <c r="C64" s="11">
        <v>145.0</v>
      </c>
      <c r="D64" s="11" t="s">
        <v>42</v>
      </c>
      <c r="E64" s="11" t="s">
        <v>66</v>
      </c>
      <c r="F64" s="13">
        <v>136.58</v>
      </c>
      <c r="G64" s="11" t="s">
        <v>35</v>
      </c>
      <c r="H64" s="11">
        <v>8.0</v>
      </c>
      <c r="I64" s="11" t="s">
        <v>33</v>
      </c>
      <c r="J64" s="11">
        <v>60.0</v>
      </c>
      <c r="K64" s="14">
        <v>120.0</v>
      </c>
      <c r="L64" s="8">
        <v>16.58</v>
      </c>
      <c r="N64" s="11">
        <v>480.0</v>
      </c>
      <c r="O64" s="11">
        <v>1.997248E8</v>
      </c>
    </row>
    <row r="65">
      <c r="A65" s="9">
        <v>44923.0</v>
      </c>
      <c r="B65" s="11" t="s">
        <v>92</v>
      </c>
      <c r="C65" s="11">
        <v>200.0</v>
      </c>
      <c r="D65" s="11" t="s">
        <v>42</v>
      </c>
      <c r="E65" s="11" t="s">
        <v>66</v>
      </c>
      <c r="F65" s="13">
        <v>188.55</v>
      </c>
      <c r="G65" s="11" t="s">
        <v>43</v>
      </c>
      <c r="H65" s="11">
        <v>8.0</v>
      </c>
      <c r="I65" s="11" t="s">
        <v>33</v>
      </c>
      <c r="J65" s="11">
        <v>60.0</v>
      </c>
      <c r="K65" s="14">
        <v>120.0</v>
      </c>
      <c r="L65" s="8">
        <v>68.55</v>
      </c>
      <c r="N65" s="11">
        <v>480.0</v>
      </c>
      <c r="O65" s="11">
        <v>2.00044299E8</v>
      </c>
    </row>
    <row r="66">
      <c r="A66" s="9">
        <v>44928.0</v>
      </c>
      <c r="B66" s="11" t="s">
        <v>93</v>
      </c>
      <c r="C66" s="11">
        <v>200.0</v>
      </c>
      <c r="D66" s="11" t="s">
        <v>42</v>
      </c>
      <c r="E66" s="11" t="s">
        <v>66</v>
      </c>
      <c r="F66" s="13">
        <v>188.55</v>
      </c>
      <c r="G66" s="11" t="s">
        <v>32</v>
      </c>
      <c r="H66" s="11">
        <v>12.0</v>
      </c>
      <c r="I66" s="11" t="s">
        <v>33</v>
      </c>
      <c r="J66" s="11">
        <v>75.0</v>
      </c>
      <c r="K66" s="14">
        <v>0.0</v>
      </c>
      <c r="L66" s="8">
        <v>188.55</v>
      </c>
      <c r="M66" s="11">
        <v>4.0</v>
      </c>
      <c r="N66" s="11">
        <v>900.0</v>
      </c>
      <c r="O66" s="11">
        <v>2.00623078E8</v>
      </c>
    </row>
    <row r="67">
      <c r="A67" s="9">
        <v>44928.0</v>
      </c>
      <c r="B67" s="11" t="s">
        <v>94</v>
      </c>
      <c r="C67" s="11">
        <v>145.0</v>
      </c>
      <c r="D67" s="11" t="s">
        <v>30</v>
      </c>
      <c r="E67" s="11" t="s">
        <v>31</v>
      </c>
      <c r="F67" s="13">
        <v>154.82</v>
      </c>
      <c r="G67" s="11" t="s">
        <v>35</v>
      </c>
      <c r="H67" s="11">
        <v>8.0</v>
      </c>
      <c r="I67" s="11" t="s">
        <v>33</v>
      </c>
      <c r="J67" s="11">
        <v>60.0</v>
      </c>
      <c r="K67" s="14">
        <v>120.0</v>
      </c>
      <c r="L67" s="8">
        <v>34.82</v>
      </c>
      <c r="N67" s="11">
        <v>480.0</v>
      </c>
      <c r="O67" s="11">
        <v>5.75395007E8</v>
      </c>
    </row>
    <row r="68">
      <c r="A68" s="9">
        <v>44930.0</v>
      </c>
      <c r="B68" s="11" t="s">
        <v>95</v>
      </c>
      <c r="C68" s="11">
        <v>20.0</v>
      </c>
      <c r="D68" s="11" t="s">
        <v>42</v>
      </c>
      <c r="E68" s="11" t="s">
        <v>66</v>
      </c>
      <c r="F68" s="13">
        <v>18.45</v>
      </c>
      <c r="G68" s="11" t="s">
        <v>35</v>
      </c>
      <c r="H68" s="11">
        <v>1.0</v>
      </c>
      <c r="I68" s="11" t="s">
        <v>44</v>
      </c>
      <c r="J68" s="11">
        <v>60.0</v>
      </c>
      <c r="K68" s="14">
        <v>15.0</v>
      </c>
      <c r="L68" s="8">
        <v>3.45</v>
      </c>
      <c r="N68" s="11">
        <v>60.0</v>
      </c>
      <c r="O68" s="11">
        <v>2.00240276E8</v>
      </c>
    </row>
    <row r="69">
      <c r="A69" s="9">
        <v>44930.0</v>
      </c>
      <c r="B69" s="11" t="s">
        <v>96</v>
      </c>
      <c r="C69" s="11">
        <v>200.0</v>
      </c>
      <c r="D69" s="11" t="s">
        <v>42</v>
      </c>
      <c r="E69" s="11" t="s">
        <v>66</v>
      </c>
      <c r="F69" s="13">
        <v>188.55</v>
      </c>
      <c r="G69" s="11" t="s">
        <v>43</v>
      </c>
      <c r="H69" s="11">
        <v>8.0</v>
      </c>
      <c r="I69" s="11" t="s">
        <v>33</v>
      </c>
      <c r="J69" s="11">
        <v>60.0</v>
      </c>
      <c r="K69" s="14">
        <v>120.0</v>
      </c>
      <c r="L69" s="8">
        <v>68.55</v>
      </c>
      <c r="N69" s="11">
        <v>480.0</v>
      </c>
      <c r="O69" s="11">
        <v>2.00424744E8</v>
      </c>
    </row>
    <row r="70">
      <c r="A70" s="9">
        <v>44931.0</v>
      </c>
      <c r="B70" s="11" t="s">
        <v>97</v>
      </c>
      <c r="C70" s="11">
        <v>200.0</v>
      </c>
      <c r="D70" s="11" t="s">
        <v>42</v>
      </c>
      <c r="E70" s="11" t="s">
        <v>66</v>
      </c>
      <c r="F70" s="13">
        <v>188.55</v>
      </c>
      <c r="G70" s="11" t="s">
        <v>32</v>
      </c>
      <c r="H70" s="11">
        <v>12.0</v>
      </c>
      <c r="I70" s="11" t="s">
        <v>33</v>
      </c>
      <c r="J70" s="11">
        <v>75.0</v>
      </c>
      <c r="K70" s="14">
        <v>0.0</v>
      </c>
      <c r="L70" s="8">
        <v>188.55</v>
      </c>
      <c r="M70" s="11">
        <v>4.0</v>
      </c>
      <c r="N70" s="11">
        <v>900.0</v>
      </c>
      <c r="O70" s="11">
        <v>2.00215214E8</v>
      </c>
    </row>
    <row r="71">
      <c r="A71" s="9">
        <v>44932.0</v>
      </c>
      <c r="B71" s="11" t="s">
        <v>98</v>
      </c>
      <c r="C71" s="11">
        <v>200.0</v>
      </c>
      <c r="D71" s="11" t="s">
        <v>42</v>
      </c>
      <c r="E71" s="11" t="s">
        <v>66</v>
      </c>
      <c r="F71" s="13">
        <v>188.55</v>
      </c>
      <c r="G71" s="11" t="s">
        <v>32</v>
      </c>
      <c r="H71" s="11">
        <v>12.0</v>
      </c>
      <c r="I71" s="11" t="s">
        <v>33</v>
      </c>
      <c r="J71" s="11">
        <v>75.0</v>
      </c>
      <c r="K71" s="14">
        <v>0.0</v>
      </c>
      <c r="L71" s="8">
        <v>188.55</v>
      </c>
      <c r="M71" s="11">
        <v>4.0</v>
      </c>
      <c r="N71" s="11">
        <v>900.0</v>
      </c>
      <c r="O71" s="11">
        <v>2.0021356E8</v>
      </c>
    </row>
    <row r="72">
      <c r="A72" s="9">
        <v>44932.0</v>
      </c>
      <c r="B72" s="11" t="s">
        <v>99</v>
      </c>
      <c r="C72" s="11">
        <v>200.0</v>
      </c>
      <c r="D72" s="11" t="s">
        <v>42</v>
      </c>
      <c r="E72" s="11" t="s">
        <v>66</v>
      </c>
      <c r="F72" s="13">
        <v>188.55</v>
      </c>
      <c r="G72" s="11" t="s">
        <v>32</v>
      </c>
      <c r="H72" s="11">
        <v>12.0</v>
      </c>
      <c r="I72" s="11" t="s">
        <v>33</v>
      </c>
      <c r="J72" s="11">
        <v>75.0</v>
      </c>
      <c r="K72" s="14">
        <v>225.0</v>
      </c>
      <c r="L72" s="8">
        <v>-36.45</v>
      </c>
      <c r="M72" s="11">
        <v>5.0</v>
      </c>
      <c r="N72" s="11">
        <v>900.0</v>
      </c>
      <c r="O72" s="11">
        <v>2.00656844E8</v>
      </c>
    </row>
    <row r="73">
      <c r="A73" s="9">
        <v>44932.0</v>
      </c>
      <c r="B73" s="11" t="s">
        <v>100</v>
      </c>
      <c r="C73" s="11">
        <v>200.0</v>
      </c>
      <c r="D73" s="11" t="s">
        <v>42</v>
      </c>
      <c r="E73" s="11" t="s">
        <v>66</v>
      </c>
      <c r="F73" s="13">
        <v>188.55</v>
      </c>
      <c r="G73" s="11" t="s">
        <v>43</v>
      </c>
      <c r="H73" s="11">
        <v>8.0</v>
      </c>
      <c r="I73" s="11" t="s">
        <v>33</v>
      </c>
      <c r="J73" s="11">
        <v>60.0</v>
      </c>
      <c r="K73" s="14">
        <v>120.0</v>
      </c>
      <c r="L73" s="8">
        <v>68.55</v>
      </c>
      <c r="M73" s="11" t="s">
        <v>36</v>
      </c>
      <c r="N73" s="11">
        <v>480.0</v>
      </c>
      <c r="O73" s="11">
        <v>2.00770333E8</v>
      </c>
    </row>
    <row r="74">
      <c r="A74" s="9">
        <v>44933.0</v>
      </c>
      <c r="B74" s="11" t="s">
        <v>101</v>
      </c>
      <c r="C74" s="11">
        <v>200.0</v>
      </c>
      <c r="D74" s="11" t="s">
        <v>42</v>
      </c>
      <c r="E74" s="11" t="s">
        <v>66</v>
      </c>
      <c r="F74" s="13">
        <v>188.55</v>
      </c>
      <c r="G74" s="11" t="s">
        <v>32</v>
      </c>
      <c r="H74" s="11">
        <v>12.0</v>
      </c>
      <c r="I74" s="11" t="s">
        <v>33</v>
      </c>
      <c r="J74" s="11">
        <v>75.0</v>
      </c>
      <c r="K74" s="14">
        <v>0.0</v>
      </c>
      <c r="L74" s="8">
        <v>188.55</v>
      </c>
      <c r="M74" s="11">
        <v>4.0</v>
      </c>
      <c r="N74" s="11">
        <v>900.0</v>
      </c>
      <c r="O74" s="11">
        <v>2.01013561E8</v>
      </c>
    </row>
    <row r="75">
      <c r="A75" s="9">
        <v>44934.0</v>
      </c>
      <c r="B75" s="11" t="s">
        <v>102</v>
      </c>
      <c r="C75" s="11">
        <v>40.0</v>
      </c>
      <c r="D75" s="11" t="s">
        <v>42</v>
      </c>
      <c r="E75" s="11" t="s">
        <v>66</v>
      </c>
      <c r="F75" s="13">
        <v>37.35</v>
      </c>
      <c r="G75" s="11" t="s">
        <v>35</v>
      </c>
      <c r="H75" s="11">
        <v>2.0</v>
      </c>
      <c r="I75" s="11" t="s">
        <v>44</v>
      </c>
      <c r="J75" s="11">
        <v>60.0</v>
      </c>
      <c r="K75" s="14">
        <v>30.0</v>
      </c>
      <c r="L75" s="8">
        <v>7.35</v>
      </c>
      <c r="N75" s="11">
        <v>120.0</v>
      </c>
      <c r="O75" s="11">
        <v>2.00944513E8</v>
      </c>
    </row>
    <row r="76">
      <c r="A76" s="9">
        <v>44935.0</v>
      </c>
      <c r="B76" s="11" t="s">
        <v>103</v>
      </c>
      <c r="C76" s="11">
        <v>200.0</v>
      </c>
      <c r="D76" s="11" t="s">
        <v>42</v>
      </c>
      <c r="E76" s="11" t="s">
        <v>66</v>
      </c>
      <c r="F76" s="13">
        <v>188.55</v>
      </c>
      <c r="G76" s="11" t="s">
        <v>32</v>
      </c>
      <c r="H76" s="11">
        <v>12.0</v>
      </c>
      <c r="I76" s="11" t="s">
        <v>33</v>
      </c>
      <c r="J76" s="11">
        <v>75.0</v>
      </c>
      <c r="K76" s="14">
        <v>0.0</v>
      </c>
      <c r="L76" s="8">
        <v>188.55</v>
      </c>
      <c r="M76" s="11">
        <v>5.0</v>
      </c>
      <c r="N76" s="11">
        <v>900.0</v>
      </c>
      <c r="O76" s="11">
        <v>2.00699437E8</v>
      </c>
    </row>
    <row r="77">
      <c r="A77" s="9">
        <v>44936.0</v>
      </c>
      <c r="B77" s="11" t="s">
        <v>104</v>
      </c>
      <c r="C77" s="11">
        <v>200.0</v>
      </c>
      <c r="D77" s="11" t="s">
        <v>42</v>
      </c>
      <c r="E77" s="11" t="s">
        <v>66</v>
      </c>
      <c r="F77" s="13">
        <v>188.55</v>
      </c>
      <c r="G77" s="11" t="s">
        <v>43</v>
      </c>
      <c r="H77" s="11">
        <v>8.0</v>
      </c>
      <c r="I77" s="11" t="s">
        <v>33</v>
      </c>
      <c r="J77" s="11">
        <v>60.0</v>
      </c>
      <c r="K77" s="14">
        <v>120.0</v>
      </c>
      <c r="L77" s="8">
        <v>68.55</v>
      </c>
      <c r="N77" s="11">
        <v>480.0</v>
      </c>
      <c r="O77" s="11">
        <v>2.00831424E8</v>
      </c>
    </row>
    <row r="78">
      <c r="A78" s="9">
        <v>44938.0</v>
      </c>
      <c r="B78" s="11" t="s">
        <v>85</v>
      </c>
      <c r="C78" s="11">
        <v>165.02</v>
      </c>
      <c r="D78" s="11" t="s">
        <v>82</v>
      </c>
      <c r="E78" s="11" t="s">
        <v>66</v>
      </c>
      <c r="F78" s="13">
        <v>175.57</v>
      </c>
      <c r="G78" s="11" t="s">
        <v>32</v>
      </c>
      <c r="H78" s="11">
        <v>12.0</v>
      </c>
      <c r="I78" s="11" t="s">
        <v>33</v>
      </c>
      <c r="J78" s="11">
        <v>75.0</v>
      </c>
      <c r="K78" s="14">
        <v>225.0</v>
      </c>
      <c r="L78" s="8">
        <v>-49.43</v>
      </c>
      <c r="M78" s="11">
        <v>3.0</v>
      </c>
      <c r="N78" s="11">
        <v>900.0</v>
      </c>
      <c r="O78" s="11">
        <v>2.01511886E8</v>
      </c>
    </row>
    <row r="79">
      <c r="A79" s="9">
        <v>44939.0</v>
      </c>
      <c r="B79" s="11" t="s">
        <v>68</v>
      </c>
      <c r="C79" s="11">
        <v>200.0</v>
      </c>
      <c r="D79" s="11" t="s">
        <v>42</v>
      </c>
      <c r="E79" s="11" t="s">
        <v>66</v>
      </c>
      <c r="F79" s="13">
        <v>188.55</v>
      </c>
      <c r="G79" s="11" t="s">
        <v>32</v>
      </c>
      <c r="H79" s="11">
        <v>12.0</v>
      </c>
      <c r="I79" s="11" t="s">
        <v>33</v>
      </c>
      <c r="J79" s="11">
        <v>75.0</v>
      </c>
      <c r="K79" s="14">
        <v>0.0</v>
      </c>
      <c r="L79" s="8">
        <v>188.55</v>
      </c>
      <c r="M79" s="11">
        <v>3.0</v>
      </c>
      <c r="N79" s="11">
        <v>900.0</v>
      </c>
      <c r="O79" s="11">
        <v>2.01192935E8</v>
      </c>
    </row>
    <row r="80">
      <c r="A80" s="9">
        <v>44940.0</v>
      </c>
      <c r="B80" s="11" t="s">
        <v>105</v>
      </c>
      <c r="C80" s="11">
        <v>200.0</v>
      </c>
      <c r="D80" s="11" t="s">
        <v>42</v>
      </c>
      <c r="E80" s="11" t="s">
        <v>66</v>
      </c>
      <c r="F80" s="13">
        <v>188.55</v>
      </c>
      <c r="G80" s="11" t="s">
        <v>43</v>
      </c>
      <c r="H80" s="11">
        <v>8.0</v>
      </c>
      <c r="I80" s="11" t="s">
        <v>33</v>
      </c>
      <c r="J80" s="11">
        <v>60.0</v>
      </c>
      <c r="K80" s="14">
        <v>120.0</v>
      </c>
      <c r="L80" s="8">
        <v>68.55</v>
      </c>
      <c r="N80" s="11">
        <v>480.0</v>
      </c>
      <c r="O80" s="11">
        <v>2.01272238E8</v>
      </c>
    </row>
    <row r="81">
      <c r="A81" s="9">
        <v>44942.0</v>
      </c>
      <c r="B81" s="11" t="s">
        <v>106</v>
      </c>
      <c r="C81" s="11">
        <v>200.0</v>
      </c>
      <c r="D81" s="11" t="s">
        <v>42</v>
      </c>
      <c r="E81" s="11" t="s">
        <v>66</v>
      </c>
      <c r="F81" s="13">
        <v>188.55</v>
      </c>
      <c r="G81" s="11" t="s">
        <v>32</v>
      </c>
      <c r="H81" s="11">
        <v>12.0</v>
      </c>
      <c r="I81" s="11" t="s">
        <v>33</v>
      </c>
      <c r="J81" s="11">
        <v>75.0</v>
      </c>
      <c r="K81" s="14">
        <v>225.0</v>
      </c>
      <c r="L81" s="8">
        <v>-36.45</v>
      </c>
      <c r="M81" s="11">
        <v>6.0</v>
      </c>
      <c r="N81" s="11">
        <v>900.0</v>
      </c>
      <c r="O81" s="11">
        <v>2.01514663E8</v>
      </c>
    </row>
    <row r="82">
      <c r="A82" s="9">
        <v>44943.0</v>
      </c>
      <c r="B82" s="11" t="s">
        <v>46</v>
      </c>
      <c r="C82" s="11">
        <v>80.0</v>
      </c>
      <c r="D82" s="11" t="s">
        <v>42</v>
      </c>
      <c r="E82" s="11" t="s">
        <v>66</v>
      </c>
      <c r="F82" s="13">
        <v>75.15</v>
      </c>
      <c r="G82" s="11" t="s">
        <v>35</v>
      </c>
      <c r="H82" s="11">
        <v>4.0</v>
      </c>
      <c r="I82" s="11" t="s">
        <v>44</v>
      </c>
      <c r="J82" s="11">
        <v>60.0</v>
      </c>
      <c r="K82" s="14">
        <v>60.0</v>
      </c>
      <c r="L82" s="8">
        <v>15.15</v>
      </c>
      <c r="N82" s="11">
        <v>240.0</v>
      </c>
      <c r="O82" s="11">
        <v>2.01627806E8</v>
      </c>
    </row>
    <row r="83">
      <c r="A83" s="9">
        <v>44943.0</v>
      </c>
      <c r="B83" s="11" t="s">
        <v>107</v>
      </c>
      <c r="C83" s="11">
        <v>30.0</v>
      </c>
      <c r="D83" s="11" t="s">
        <v>42</v>
      </c>
      <c r="E83" s="11" t="s">
        <v>66</v>
      </c>
      <c r="F83" s="13">
        <v>27.9</v>
      </c>
      <c r="G83" s="11" t="s">
        <v>43</v>
      </c>
      <c r="H83" s="11">
        <v>1.0</v>
      </c>
      <c r="I83" s="11" t="s">
        <v>44</v>
      </c>
      <c r="J83" s="11">
        <v>60.0</v>
      </c>
      <c r="K83" s="14">
        <v>15.0</v>
      </c>
      <c r="L83" s="8">
        <v>12.9</v>
      </c>
      <c r="N83" s="11">
        <v>60.0</v>
      </c>
      <c r="O83" s="11">
        <v>2.01540651E8</v>
      </c>
    </row>
    <row r="84">
      <c r="A84" s="9">
        <v>44943.0</v>
      </c>
      <c r="B84" s="11" t="s">
        <v>108</v>
      </c>
      <c r="C84" s="11">
        <v>200.0</v>
      </c>
      <c r="D84" s="11" t="s">
        <v>42</v>
      </c>
      <c r="E84" s="11" t="s">
        <v>66</v>
      </c>
      <c r="F84" s="13">
        <v>188.55</v>
      </c>
      <c r="G84" s="11" t="s">
        <v>32</v>
      </c>
      <c r="H84" s="11">
        <v>12.0</v>
      </c>
      <c r="I84" s="11" t="s">
        <v>33</v>
      </c>
      <c r="J84" s="11">
        <v>75.0</v>
      </c>
      <c r="K84" s="14">
        <v>0.0</v>
      </c>
      <c r="L84" s="8">
        <v>188.55</v>
      </c>
      <c r="M84" s="11">
        <v>6.0</v>
      </c>
      <c r="N84" s="11">
        <v>900.0</v>
      </c>
      <c r="O84" s="11">
        <v>2.01907068E8</v>
      </c>
    </row>
    <row r="85">
      <c r="A85" s="9">
        <v>44944.0</v>
      </c>
      <c r="B85" s="11" t="s">
        <v>71</v>
      </c>
      <c r="C85" s="11">
        <v>200.0</v>
      </c>
      <c r="D85" s="11" t="s">
        <v>42</v>
      </c>
      <c r="E85" s="11" t="s">
        <v>66</v>
      </c>
      <c r="F85" s="13">
        <v>188.55</v>
      </c>
      <c r="G85" s="11" t="s">
        <v>43</v>
      </c>
      <c r="H85" s="11">
        <v>8.0</v>
      </c>
      <c r="I85" s="11" t="s">
        <v>33</v>
      </c>
      <c r="J85" s="11">
        <v>60.0</v>
      </c>
      <c r="K85" s="14">
        <v>120.0</v>
      </c>
      <c r="L85" s="8">
        <v>68.55</v>
      </c>
      <c r="N85" s="11">
        <v>480.0</v>
      </c>
      <c r="O85" s="11">
        <v>2.0172722E8</v>
      </c>
    </row>
    <row r="86">
      <c r="A86" s="9">
        <v>44945.0</v>
      </c>
      <c r="B86" s="11" t="s">
        <v>95</v>
      </c>
      <c r="C86" s="11">
        <v>20.0</v>
      </c>
      <c r="D86" s="11" t="s">
        <v>42</v>
      </c>
      <c r="E86" s="11" t="s">
        <v>66</v>
      </c>
      <c r="F86" s="13">
        <v>18.45</v>
      </c>
      <c r="G86" s="11" t="s">
        <v>35</v>
      </c>
      <c r="H86" s="11">
        <v>1.0</v>
      </c>
      <c r="I86" s="11" t="s">
        <v>44</v>
      </c>
      <c r="J86" s="11">
        <v>60.0</v>
      </c>
      <c r="K86" s="14">
        <v>15.0</v>
      </c>
      <c r="L86" s="8">
        <v>3.45</v>
      </c>
      <c r="N86" s="11">
        <v>60.0</v>
      </c>
      <c r="O86" s="11">
        <v>2.01998064E8</v>
      </c>
    </row>
    <row r="87">
      <c r="A87" s="9">
        <v>44946.0</v>
      </c>
      <c r="B87" s="11" t="s">
        <v>107</v>
      </c>
      <c r="C87" s="11">
        <v>184.93</v>
      </c>
      <c r="D87" s="11" t="s">
        <v>30</v>
      </c>
      <c r="E87" s="11" t="s">
        <v>66</v>
      </c>
      <c r="F87" s="13">
        <v>175.57</v>
      </c>
      <c r="G87" s="11" t="s">
        <v>32</v>
      </c>
      <c r="H87" s="11">
        <v>12.0</v>
      </c>
      <c r="I87" s="11" t="s">
        <v>33</v>
      </c>
      <c r="J87" s="11">
        <v>75.0</v>
      </c>
      <c r="K87" s="14">
        <v>0.0</v>
      </c>
      <c r="L87" s="8">
        <v>175.57</v>
      </c>
      <c r="M87" s="11">
        <v>6.0</v>
      </c>
      <c r="N87" s="11">
        <v>900.0</v>
      </c>
      <c r="O87" s="11">
        <v>2.01871295E8</v>
      </c>
    </row>
    <row r="88">
      <c r="A88" s="9">
        <v>44947.0</v>
      </c>
      <c r="B88" s="11" t="s">
        <v>78</v>
      </c>
      <c r="C88" s="11">
        <v>200.0</v>
      </c>
      <c r="D88" s="11" t="s">
        <v>42</v>
      </c>
      <c r="E88" s="11" t="s">
        <v>66</v>
      </c>
      <c r="F88" s="13">
        <v>188.55</v>
      </c>
      <c r="G88" s="11" t="s">
        <v>43</v>
      </c>
      <c r="H88" s="11">
        <v>8.0</v>
      </c>
      <c r="I88" s="11" t="s">
        <v>33</v>
      </c>
      <c r="J88" s="11">
        <v>60.0</v>
      </c>
      <c r="K88" s="14">
        <v>120.0</v>
      </c>
      <c r="L88" s="8">
        <v>68.55</v>
      </c>
      <c r="N88" s="11">
        <v>480.0</v>
      </c>
      <c r="O88" s="11">
        <v>2.0178776E8</v>
      </c>
    </row>
    <row r="89">
      <c r="A89" s="9">
        <v>44947.0</v>
      </c>
      <c r="B89" s="11" t="s">
        <v>72</v>
      </c>
      <c r="C89" s="11">
        <v>200.0</v>
      </c>
      <c r="D89" s="11" t="s">
        <v>42</v>
      </c>
      <c r="E89" s="11" t="s">
        <v>66</v>
      </c>
      <c r="F89" s="13">
        <v>188.55</v>
      </c>
      <c r="G89" s="11" t="s">
        <v>43</v>
      </c>
      <c r="H89" s="11">
        <v>8.0</v>
      </c>
      <c r="I89" s="11" t="s">
        <v>33</v>
      </c>
      <c r="J89" s="11">
        <v>60.0</v>
      </c>
      <c r="K89" s="14">
        <v>120.0</v>
      </c>
      <c r="L89" s="8">
        <v>68.55</v>
      </c>
      <c r="N89" s="11">
        <v>480.0</v>
      </c>
      <c r="O89" s="11">
        <v>2.01842985E8</v>
      </c>
    </row>
    <row r="90">
      <c r="A90" s="9">
        <v>44947.0</v>
      </c>
      <c r="B90" s="11" t="s">
        <v>109</v>
      </c>
      <c r="C90" s="11">
        <v>30.0</v>
      </c>
      <c r="D90" s="11" t="s">
        <v>42</v>
      </c>
      <c r="E90" s="11" t="s">
        <v>66</v>
      </c>
      <c r="F90" s="13">
        <v>27.9</v>
      </c>
      <c r="G90" s="11" t="s">
        <v>43</v>
      </c>
      <c r="H90" s="11">
        <v>1.0</v>
      </c>
      <c r="I90" s="11" t="s">
        <v>44</v>
      </c>
      <c r="J90" s="11">
        <v>60.0</v>
      </c>
      <c r="K90" s="14">
        <v>15.0</v>
      </c>
      <c r="L90" s="8">
        <v>12.9</v>
      </c>
      <c r="N90" s="11">
        <v>60.0</v>
      </c>
      <c r="O90" s="11">
        <v>2.01910007E8</v>
      </c>
    </row>
    <row r="91">
      <c r="A91" s="9">
        <v>44949.0</v>
      </c>
      <c r="B91" s="11" t="s">
        <v>29</v>
      </c>
      <c r="C91" s="11">
        <v>184.25</v>
      </c>
      <c r="D91" s="11" t="s">
        <v>30</v>
      </c>
      <c r="E91" s="11" t="s">
        <v>31</v>
      </c>
      <c r="F91" s="13">
        <v>200.32</v>
      </c>
      <c r="G91" s="11" t="s">
        <v>32</v>
      </c>
      <c r="H91" s="11">
        <v>12.0</v>
      </c>
      <c r="I91" s="11" t="s">
        <v>33</v>
      </c>
      <c r="J91" s="11">
        <v>75.0</v>
      </c>
      <c r="K91" s="14">
        <v>0.0</v>
      </c>
      <c r="L91" s="8">
        <v>200.32</v>
      </c>
      <c r="M91" s="11">
        <v>5.0</v>
      </c>
      <c r="N91" s="11">
        <v>900.0</v>
      </c>
      <c r="O91" s="11">
        <v>5.90830785E8</v>
      </c>
    </row>
    <row r="92">
      <c r="A92" s="9">
        <v>44949.0</v>
      </c>
      <c r="B92" s="11" t="s">
        <v>110</v>
      </c>
      <c r="C92" s="11">
        <v>30.0</v>
      </c>
      <c r="D92" s="11" t="s">
        <v>42</v>
      </c>
      <c r="E92" s="11" t="s">
        <v>66</v>
      </c>
      <c r="F92" s="13">
        <v>27.9</v>
      </c>
      <c r="G92" s="11" t="s">
        <v>43</v>
      </c>
      <c r="H92" s="11">
        <v>1.0</v>
      </c>
      <c r="I92" s="11" t="s">
        <v>44</v>
      </c>
      <c r="J92" s="11">
        <v>60.0</v>
      </c>
      <c r="K92" s="14">
        <v>15.0</v>
      </c>
      <c r="L92" s="8">
        <v>12.9</v>
      </c>
      <c r="N92" s="11">
        <v>60.0</v>
      </c>
      <c r="O92" s="11">
        <v>2.01954239E8</v>
      </c>
    </row>
    <row r="93">
      <c r="A93" s="9">
        <v>44951.0</v>
      </c>
      <c r="B93" s="11" t="s">
        <v>111</v>
      </c>
      <c r="C93" s="11">
        <v>162.77</v>
      </c>
      <c r="D93" s="11" t="s">
        <v>30</v>
      </c>
      <c r="E93" s="11" t="s">
        <v>31</v>
      </c>
      <c r="F93" s="13">
        <v>177.78</v>
      </c>
      <c r="G93" s="11" t="s">
        <v>32</v>
      </c>
      <c r="H93" s="11">
        <v>12.0</v>
      </c>
      <c r="I93" s="11" t="s">
        <v>33</v>
      </c>
      <c r="J93" s="11">
        <v>75.0</v>
      </c>
      <c r="K93" s="14">
        <v>0.0</v>
      </c>
      <c r="L93" s="8">
        <v>177.78</v>
      </c>
      <c r="M93" s="11">
        <v>6.0</v>
      </c>
      <c r="N93" s="11">
        <v>900.0</v>
      </c>
      <c r="O93" s="11">
        <v>5.92848975E8</v>
      </c>
    </row>
    <row r="94">
      <c r="A94" s="9">
        <v>44951.0</v>
      </c>
      <c r="B94" s="11" t="s">
        <v>112</v>
      </c>
      <c r="C94" s="11">
        <v>200.0</v>
      </c>
      <c r="D94" s="11" t="s">
        <v>42</v>
      </c>
      <c r="E94" s="11" t="s">
        <v>66</v>
      </c>
      <c r="F94" s="13">
        <v>188.55</v>
      </c>
      <c r="G94" s="11" t="s">
        <v>43</v>
      </c>
      <c r="H94" s="11">
        <v>8.0</v>
      </c>
      <c r="I94" s="11" t="s">
        <v>33</v>
      </c>
      <c r="J94" s="11">
        <v>60.0</v>
      </c>
      <c r="K94" s="14">
        <v>120.0</v>
      </c>
      <c r="L94" s="8">
        <v>68.55</v>
      </c>
      <c r="N94" s="11">
        <v>480.0</v>
      </c>
      <c r="O94" s="11">
        <v>2.02252937E8</v>
      </c>
    </row>
    <row r="95">
      <c r="A95" s="9">
        <v>44954.0</v>
      </c>
      <c r="B95" s="11" t="s">
        <v>113</v>
      </c>
      <c r="C95" s="11">
        <v>40.12</v>
      </c>
      <c r="D95" s="11" t="s">
        <v>114</v>
      </c>
      <c r="E95" s="11" t="s">
        <v>66</v>
      </c>
      <c r="F95" s="13">
        <v>22.15</v>
      </c>
      <c r="G95" s="11" t="s">
        <v>43</v>
      </c>
      <c r="H95" s="11">
        <v>1.0</v>
      </c>
      <c r="I95" s="11" t="s">
        <v>44</v>
      </c>
      <c r="J95" s="11">
        <v>60.0</v>
      </c>
      <c r="K95" s="14">
        <v>15.0</v>
      </c>
      <c r="L95" s="8">
        <v>7.15</v>
      </c>
      <c r="N95" s="11">
        <v>60.0</v>
      </c>
      <c r="O95" s="11">
        <v>2.02621339E8</v>
      </c>
    </row>
    <row r="96">
      <c r="A96" s="9">
        <v>44955.0</v>
      </c>
      <c r="B96" s="11" t="s">
        <v>92</v>
      </c>
      <c r="C96" s="11">
        <v>200.0</v>
      </c>
      <c r="D96" s="11" t="s">
        <v>42</v>
      </c>
      <c r="E96" s="11" t="s">
        <v>66</v>
      </c>
      <c r="F96" s="13">
        <v>188.55</v>
      </c>
      <c r="G96" s="11" t="s">
        <v>43</v>
      </c>
      <c r="H96" s="11">
        <v>8.0</v>
      </c>
      <c r="I96" s="11" t="s">
        <v>33</v>
      </c>
      <c r="J96" s="11">
        <v>60.0</v>
      </c>
      <c r="K96" s="14">
        <v>120.0</v>
      </c>
      <c r="L96" s="8">
        <v>68.55</v>
      </c>
      <c r="N96" s="11">
        <v>480.0</v>
      </c>
      <c r="O96" s="11">
        <v>2.02228235E8</v>
      </c>
    </row>
    <row r="97">
      <c r="A97" s="9">
        <v>44956.0</v>
      </c>
      <c r="B97" s="11" t="s">
        <v>84</v>
      </c>
      <c r="C97" s="11">
        <v>145.0</v>
      </c>
      <c r="D97" s="11" t="s">
        <v>42</v>
      </c>
      <c r="E97" s="11" t="s">
        <v>66</v>
      </c>
      <c r="F97" s="13">
        <v>136.58</v>
      </c>
      <c r="G97" s="11" t="s">
        <v>35</v>
      </c>
      <c r="H97" s="11">
        <v>8.0</v>
      </c>
      <c r="I97" s="11" t="s">
        <v>33</v>
      </c>
      <c r="J97" s="11">
        <v>60.0</v>
      </c>
      <c r="K97" s="14">
        <v>120.0</v>
      </c>
      <c r="L97" s="8">
        <v>16.58</v>
      </c>
      <c r="N97" s="11">
        <v>480.0</v>
      </c>
      <c r="O97" s="11">
        <v>2.02991148E8</v>
      </c>
    </row>
    <row r="98">
      <c r="A98" s="9">
        <v>44956.0</v>
      </c>
      <c r="B98" s="11" t="s">
        <v>110</v>
      </c>
      <c r="C98" s="11">
        <v>200.0</v>
      </c>
      <c r="D98" s="11" t="s">
        <v>42</v>
      </c>
      <c r="E98" s="11" t="s">
        <v>66</v>
      </c>
      <c r="F98" s="13">
        <v>188.55</v>
      </c>
      <c r="G98" s="11" t="s">
        <v>43</v>
      </c>
      <c r="H98" s="11">
        <v>8.0</v>
      </c>
      <c r="I98" s="11" t="s">
        <v>33</v>
      </c>
      <c r="J98" s="11">
        <v>60.0</v>
      </c>
      <c r="K98" s="14">
        <v>120.0</v>
      </c>
      <c r="L98" s="8">
        <v>68.55</v>
      </c>
      <c r="N98" s="11">
        <v>480.0</v>
      </c>
      <c r="O98" s="11">
        <v>2.0265773E8</v>
      </c>
    </row>
    <row r="99">
      <c r="A99" s="9">
        <v>44956.0</v>
      </c>
      <c r="B99" s="11" t="s">
        <v>63</v>
      </c>
      <c r="C99" s="11">
        <v>145.0</v>
      </c>
      <c r="D99" s="11" t="s">
        <v>42</v>
      </c>
      <c r="E99" s="11" t="s">
        <v>66</v>
      </c>
      <c r="F99" s="13">
        <v>136.58</v>
      </c>
      <c r="G99" s="11" t="s">
        <v>35</v>
      </c>
      <c r="H99" s="11">
        <v>8.0</v>
      </c>
      <c r="I99" s="11" t="s">
        <v>33</v>
      </c>
      <c r="J99" s="11">
        <v>60.0</v>
      </c>
      <c r="K99" s="14">
        <v>120.0</v>
      </c>
      <c r="L99" s="8">
        <v>16.58</v>
      </c>
      <c r="N99" s="11">
        <v>480.0</v>
      </c>
      <c r="O99" s="11">
        <v>2.03000841E8</v>
      </c>
    </row>
    <row r="100">
      <c r="A100" s="9">
        <v>44958.0</v>
      </c>
      <c r="B100" s="11" t="s">
        <v>69</v>
      </c>
      <c r="C100" s="11">
        <v>170.0</v>
      </c>
      <c r="D100" s="11" t="s">
        <v>30</v>
      </c>
      <c r="E100" s="11" t="s">
        <v>31</v>
      </c>
      <c r="F100" s="13">
        <v>187.16</v>
      </c>
      <c r="G100" s="11" t="s">
        <v>32</v>
      </c>
      <c r="H100" s="11">
        <v>12.0</v>
      </c>
      <c r="I100" s="11" t="s">
        <v>33</v>
      </c>
      <c r="J100" s="11">
        <v>75.0</v>
      </c>
      <c r="K100" s="14">
        <v>0.0</v>
      </c>
      <c r="L100" s="8">
        <v>187.16</v>
      </c>
      <c r="M100" s="11">
        <v>3.0</v>
      </c>
      <c r="N100" s="11">
        <v>900.0</v>
      </c>
      <c r="O100" s="11">
        <v>5.9837931E8</v>
      </c>
    </row>
    <row r="101">
      <c r="A101" s="9">
        <v>44959.0</v>
      </c>
      <c r="B101" s="11" t="s">
        <v>95</v>
      </c>
      <c r="C101" s="11">
        <v>20.0</v>
      </c>
      <c r="D101" s="11" t="s">
        <v>42</v>
      </c>
      <c r="E101" s="11" t="s">
        <v>66</v>
      </c>
      <c r="F101" s="13">
        <v>18.45</v>
      </c>
      <c r="G101" s="11" t="s">
        <v>35</v>
      </c>
      <c r="H101" s="11">
        <v>1.0</v>
      </c>
      <c r="I101" s="11" t="s">
        <v>44</v>
      </c>
      <c r="J101" s="11">
        <v>60.0</v>
      </c>
      <c r="K101" s="14">
        <v>15.0</v>
      </c>
      <c r="L101" s="8">
        <v>3.45</v>
      </c>
      <c r="N101" s="11">
        <v>60.0</v>
      </c>
      <c r="O101" s="11">
        <v>2.0282867E8</v>
      </c>
    </row>
    <row r="102">
      <c r="A102" s="9">
        <v>44960.0</v>
      </c>
      <c r="B102" s="11" t="s">
        <v>95</v>
      </c>
      <c r="C102" s="11">
        <v>20.0</v>
      </c>
      <c r="D102" s="11" t="s">
        <v>42</v>
      </c>
      <c r="E102" s="11" t="s">
        <v>66</v>
      </c>
      <c r="F102" s="13">
        <v>18.45</v>
      </c>
      <c r="G102" s="11" t="s">
        <v>35</v>
      </c>
      <c r="H102" s="11">
        <v>1.0</v>
      </c>
      <c r="I102" s="11" t="s">
        <v>44</v>
      </c>
      <c r="J102" s="11">
        <v>60.0</v>
      </c>
      <c r="K102" s="14">
        <v>15.0</v>
      </c>
      <c r="L102" s="8">
        <v>3.45</v>
      </c>
      <c r="N102" s="11">
        <v>60.0</v>
      </c>
      <c r="O102" s="11">
        <v>2.02752042E8</v>
      </c>
    </row>
    <row r="103">
      <c r="A103" s="9">
        <v>44960.0</v>
      </c>
      <c r="B103" s="11" t="s">
        <v>113</v>
      </c>
      <c r="C103" s="11">
        <v>265.79</v>
      </c>
      <c r="D103" s="11" t="s">
        <v>114</v>
      </c>
      <c r="E103" s="11" t="s">
        <v>66</v>
      </c>
      <c r="F103" s="13">
        <v>175.57</v>
      </c>
      <c r="G103" s="11" t="s">
        <v>43</v>
      </c>
      <c r="H103" s="11">
        <v>8.0</v>
      </c>
      <c r="I103" s="11" t="s">
        <v>33</v>
      </c>
      <c r="J103" s="11">
        <v>60.0</v>
      </c>
      <c r="K103" s="14">
        <v>120.0</v>
      </c>
      <c r="L103" s="8">
        <v>55.57</v>
      </c>
      <c r="N103" s="11">
        <v>480.0</v>
      </c>
      <c r="O103" s="11">
        <v>2.02960183E8</v>
      </c>
    </row>
    <row r="104">
      <c r="A104" s="9">
        <v>44962.0</v>
      </c>
      <c r="B104" s="11" t="s">
        <v>115</v>
      </c>
      <c r="C104" s="11">
        <v>20.0</v>
      </c>
      <c r="D104" s="11" t="s">
        <v>42</v>
      </c>
      <c r="E104" s="11" t="s">
        <v>66</v>
      </c>
      <c r="F104" s="13">
        <v>18.45</v>
      </c>
      <c r="G104" s="11" t="s">
        <v>35</v>
      </c>
      <c r="H104" s="11">
        <v>1.0</v>
      </c>
      <c r="I104" s="11" t="s">
        <v>44</v>
      </c>
      <c r="J104" s="11">
        <v>60.0</v>
      </c>
      <c r="K104" s="14">
        <v>15.0</v>
      </c>
      <c r="L104" s="8">
        <v>3.45</v>
      </c>
      <c r="N104" s="11">
        <v>60.0</v>
      </c>
      <c r="O104" s="11">
        <v>2.03440863E8</v>
      </c>
    </row>
    <row r="105">
      <c r="A105" s="9">
        <v>44963.0</v>
      </c>
      <c r="B105" s="11" t="s">
        <v>109</v>
      </c>
      <c r="C105" s="11">
        <v>30.0</v>
      </c>
      <c r="D105" s="11" t="s">
        <v>42</v>
      </c>
      <c r="E105" s="11" t="s">
        <v>66</v>
      </c>
      <c r="F105" s="13">
        <v>27.9</v>
      </c>
      <c r="G105" s="11" t="s">
        <v>43</v>
      </c>
      <c r="H105" s="11">
        <v>1.0</v>
      </c>
      <c r="I105" s="11" t="s">
        <v>44</v>
      </c>
      <c r="J105" s="11">
        <v>60.0</v>
      </c>
      <c r="K105" s="14">
        <v>15.0</v>
      </c>
      <c r="L105" s="8">
        <v>12.9</v>
      </c>
      <c r="N105" s="11">
        <v>60.0</v>
      </c>
      <c r="O105" s="11">
        <v>2.03264064E8</v>
      </c>
    </row>
    <row r="106">
      <c r="A106" s="9">
        <v>44965.0</v>
      </c>
      <c r="B106" s="11" t="s">
        <v>116</v>
      </c>
      <c r="C106" s="11">
        <v>200.0</v>
      </c>
      <c r="D106" s="11" t="s">
        <v>42</v>
      </c>
      <c r="E106" s="11" t="s">
        <v>66</v>
      </c>
      <c r="F106" s="13">
        <v>188.55</v>
      </c>
      <c r="G106" s="11" t="s">
        <v>43</v>
      </c>
      <c r="H106" s="11">
        <v>8.0</v>
      </c>
      <c r="I106" s="11" t="s">
        <v>33</v>
      </c>
      <c r="J106" s="11">
        <v>60.0</v>
      </c>
      <c r="K106" s="14">
        <v>120.0</v>
      </c>
      <c r="L106" s="8">
        <v>68.55</v>
      </c>
      <c r="N106" s="11">
        <v>480.0</v>
      </c>
      <c r="O106" s="11">
        <v>2.03303009E8</v>
      </c>
    </row>
    <row r="107">
      <c r="A107" s="9">
        <v>44965.0</v>
      </c>
      <c r="B107" s="11" t="s">
        <v>117</v>
      </c>
      <c r="C107" s="11">
        <v>200.0</v>
      </c>
      <c r="D107" s="11" t="s">
        <v>42</v>
      </c>
      <c r="E107" s="11" t="s">
        <v>66</v>
      </c>
      <c r="F107" s="13">
        <v>188.55</v>
      </c>
      <c r="G107" s="11" t="s">
        <v>43</v>
      </c>
      <c r="H107" s="11">
        <v>8.0</v>
      </c>
      <c r="I107" s="11" t="s">
        <v>33</v>
      </c>
      <c r="J107" s="11">
        <v>60.0</v>
      </c>
      <c r="K107" s="14">
        <v>120.0</v>
      </c>
      <c r="L107" s="8">
        <v>68.55</v>
      </c>
      <c r="N107" s="11">
        <v>480.0</v>
      </c>
      <c r="O107" s="11">
        <v>2.03405828E8</v>
      </c>
    </row>
    <row r="108">
      <c r="A108" s="9">
        <v>44966.0</v>
      </c>
      <c r="B108" s="11" t="s">
        <v>95</v>
      </c>
      <c r="C108" s="11">
        <v>20.0</v>
      </c>
      <c r="D108" s="11" t="s">
        <v>42</v>
      </c>
      <c r="E108" s="11" t="s">
        <v>66</v>
      </c>
      <c r="F108" s="13">
        <v>18.45</v>
      </c>
      <c r="G108" s="11" t="s">
        <v>35</v>
      </c>
      <c r="H108" s="11">
        <v>1.0</v>
      </c>
      <c r="I108" s="11" t="s">
        <v>44</v>
      </c>
      <c r="J108" s="11">
        <v>60.0</v>
      </c>
      <c r="K108" s="14">
        <v>15.0</v>
      </c>
      <c r="L108" s="8">
        <v>3.45</v>
      </c>
      <c r="N108" s="11">
        <v>60.0</v>
      </c>
      <c r="O108" s="11">
        <v>2.03310532E8</v>
      </c>
    </row>
    <row r="109">
      <c r="A109" s="9">
        <v>44969.0</v>
      </c>
      <c r="B109" s="11" t="s">
        <v>49</v>
      </c>
      <c r="C109" s="11">
        <v>145.0</v>
      </c>
      <c r="D109" s="11" t="s">
        <v>42</v>
      </c>
      <c r="E109" s="11" t="s">
        <v>66</v>
      </c>
      <c r="F109" s="13">
        <v>136.58</v>
      </c>
      <c r="G109" s="11" t="s">
        <v>35</v>
      </c>
      <c r="H109" s="11">
        <v>8.0</v>
      </c>
      <c r="I109" s="11" t="s">
        <v>33</v>
      </c>
      <c r="J109" s="11">
        <v>60.0</v>
      </c>
      <c r="K109" s="14">
        <v>120.0</v>
      </c>
      <c r="L109" s="8">
        <v>16.58</v>
      </c>
      <c r="N109" s="11">
        <v>480.0</v>
      </c>
      <c r="O109" s="11">
        <v>2.03637475E8</v>
      </c>
    </row>
    <row r="110">
      <c r="A110" s="9">
        <v>44971.0</v>
      </c>
      <c r="B110" s="11" t="s">
        <v>118</v>
      </c>
      <c r="C110" s="11">
        <v>200.0</v>
      </c>
      <c r="D110" s="11" t="s">
        <v>42</v>
      </c>
      <c r="E110" s="11" t="s">
        <v>66</v>
      </c>
      <c r="F110" s="13">
        <v>188.55</v>
      </c>
      <c r="G110" s="11" t="s">
        <v>32</v>
      </c>
      <c r="H110" s="11">
        <v>12.0</v>
      </c>
      <c r="I110" s="11" t="s">
        <v>33</v>
      </c>
      <c r="J110" s="11">
        <v>75.0</v>
      </c>
      <c r="K110" s="14">
        <v>225.0</v>
      </c>
      <c r="L110" s="8">
        <v>-36.45</v>
      </c>
      <c r="M110" s="11">
        <v>7.0</v>
      </c>
      <c r="N110" s="11">
        <v>900.0</v>
      </c>
      <c r="O110" s="11">
        <v>2.03782603E8</v>
      </c>
    </row>
    <row r="111">
      <c r="A111" s="9">
        <v>44971.0</v>
      </c>
      <c r="B111" s="11" t="s">
        <v>119</v>
      </c>
      <c r="C111" s="11">
        <v>200.0</v>
      </c>
      <c r="D111" s="11" t="s">
        <v>42</v>
      </c>
      <c r="E111" s="11" t="s">
        <v>66</v>
      </c>
      <c r="F111" s="13">
        <v>188.55</v>
      </c>
      <c r="G111" s="11" t="s">
        <v>32</v>
      </c>
      <c r="H111" s="11">
        <v>12.0</v>
      </c>
      <c r="I111" s="11" t="s">
        <v>33</v>
      </c>
      <c r="J111" s="11">
        <v>75.0</v>
      </c>
      <c r="K111" s="14">
        <v>225.0</v>
      </c>
      <c r="L111" s="8">
        <v>-36.45</v>
      </c>
      <c r="M111" s="11">
        <v>8.0</v>
      </c>
      <c r="N111" s="11">
        <v>900.0</v>
      </c>
      <c r="O111" s="11">
        <v>2.03689779E8</v>
      </c>
    </row>
    <row r="112">
      <c r="A112" s="9">
        <v>44972.0</v>
      </c>
      <c r="B112" s="11" t="s">
        <v>120</v>
      </c>
      <c r="C112" s="11">
        <v>200.0</v>
      </c>
      <c r="D112" s="11" t="s">
        <v>42</v>
      </c>
      <c r="E112" s="11" t="s">
        <v>66</v>
      </c>
      <c r="F112" s="13">
        <v>188.55</v>
      </c>
      <c r="G112" s="11" t="s">
        <v>32</v>
      </c>
      <c r="H112" s="11">
        <v>12.0</v>
      </c>
      <c r="I112" s="11" t="s">
        <v>33</v>
      </c>
      <c r="J112" s="11">
        <v>75.0</v>
      </c>
      <c r="K112" s="14">
        <v>0.0</v>
      </c>
      <c r="L112" s="8">
        <v>188.55</v>
      </c>
      <c r="M112" s="11">
        <v>8.0</v>
      </c>
      <c r="N112" s="11">
        <v>900.0</v>
      </c>
      <c r="O112" s="11">
        <v>2.04065858E8</v>
      </c>
    </row>
    <row r="113">
      <c r="A113" s="9">
        <v>44972.0</v>
      </c>
      <c r="B113" s="11" t="s">
        <v>104</v>
      </c>
      <c r="C113" s="11">
        <v>200.0</v>
      </c>
      <c r="D113" s="11" t="s">
        <v>42</v>
      </c>
      <c r="E113" s="11" t="s">
        <v>66</v>
      </c>
      <c r="F113" s="13">
        <v>188.55</v>
      </c>
      <c r="G113" s="11" t="s">
        <v>43</v>
      </c>
      <c r="H113" s="11">
        <v>8.0</v>
      </c>
      <c r="I113" s="11" t="s">
        <v>33</v>
      </c>
      <c r="J113" s="11">
        <v>60.0</v>
      </c>
      <c r="K113" s="14">
        <v>120.0</v>
      </c>
      <c r="L113" s="8">
        <v>68.55</v>
      </c>
      <c r="N113" s="11">
        <v>480.0</v>
      </c>
      <c r="O113" s="11">
        <v>2.04104343E8</v>
      </c>
    </row>
    <row r="114">
      <c r="A114" s="9">
        <v>44973.0</v>
      </c>
      <c r="B114" s="11" t="s">
        <v>121</v>
      </c>
      <c r="C114" s="11">
        <v>186.92</v>
      </c>
      <c r="D114" s="11" t="s">
        <v>30</v>
      </c>
      <c r="E114" s="11" t="s">
        <v>66</v>
      </c>
      <c r="F114" s="13">
        <v>175.57</v>
      </c>
      <c r="G114" s="11" t="s">
        <v>32</v>
      </c>
      <c r="H114" s="11">
        <v>12.0</v>
      </c>
      <c r="I114" s="11" t="s">
        <v>33</v>
      </c>
      <c r="J114" s="11">
        <v>75.0</v>
      </c>
      <c r="K114" s="14">
        <v>0.0</v>
      </c>
      <c r="L114" s="8">
        <v>175.57</v>
      </c>
      <c r="M114" s="11">
        <v>7.0</v>
      </c>
      <c r="N114" s="11">
        <v>900.0</v>
      </c>
      <c r="O114" s="11">
        <v>2.04111973E8</v>
      </c>
    </row>
    <row r="115">
      <c r="A115" s="9">
        <v>44973.0</v>
      </c>
      <c r="B115" s="11" t="s">
        <v>96</v>
      </c>
      <c r="C115" s="11">
        <v>200.0</v>
      </c>
      <c r="D115" s="11" t="s">
        <v>42</v>
      </c>
      <c r="E115" s="11" t="s">
        <v>66</v>
      </c>
      <c r="F115" s="13">
        <v>188.55</v>
      </c>
      <c r="G115" s="11" t="s">
        <v>43</v>
      </c>
      <c r="H115" s="11">
        <v>8.0</v>
      </c>
      <c r="I115" s="11" t="s">
        <v>33</v>
      </c>
      <c r="J115" s="11">
        <v>60.0</v>
      </c>
      <c r="K115" s="14">
        <v>120.0</v>
      </c>
      <c r="L115" s="8">
        <v>68.55</v>
      </c>
      <c r="N115" s="11">
        <v>480.0</v>
      </c>
      <c r="O115" s="11">
        <v>2.03707915E8</v>
      </c>
    </row>
    <row r="116">
      <c r="A116" s="9">
        <v>44973.0</v>
      </c>
      <c r="B116" s="11" t="s">
        <v>72</v>
      </c>
      <c r="C116" s="11">
        <v>200.0</v>
      </c>
      <c r="D116" s="11" t="s">
        <v>42</v>
      </c>
      <c r="E116" s="11" t="s">
        <v>66</v>
      </c>
      <c r="F116" s="13">
        <v>188.55</v>
      </c>
      <c r="G116" s="11" t="s">
        <v>43</v>
      </c>
      <c r="H116" s="11">
        <v>8.0</v>
      </c>
      <c r="I116" s="11" t="s">
        <v>33</v>
      </c>
      <c r="J116" s="11">
        <v>60.0</v>
      </c>
      <c r="K116" s="14">
        <v>120.0</v>
      </c>
      <c r="L116" s="8">
        <v>68.55</v>
      </c>
      <c r="N116" s="11">
        <v>480.0</v>
      </c>
      <c r="O116" s="11">
        <v>2.0387258E8</v>
      </c>
    </row>
    <row r="117">
      <c r="A117" s="9">
        <v>44976.0</v>
      </c>
      <c r="B117" s="11" t="s">
        <v>102</v>
      </c>
      <c r="C117" s="11">
        <v>33.23</v>
      </c>
      <c r="D117" s="11" t="s">
        <v>82</v>
      </c>
      <c r="E117" s="11" t="s">
        <v>66</v>
      </c>
      <c r="F117" s="13">
        <v>31.17</v>
      </c>
      <c r="G117" s="11" t="s">
        <v>35</v>
      </c>
      <c r="H117" s="11">
        <v>2.0</v>
      </c>
      <c r="I117" s="11" t="s">
        <v>44</v>
      </c>
      <c r="J117" s="11">
        <v>60.0</v>
      </c>
      <c r="K117" s="14">
        <v>30.0</v>
      </c>
      <c r="L117" s="8">
        <v>1.17</v>
      </c>
      <c r="N117" s="11">
        <v>120.0</v>
      </c>
      <c r="O117" s="11">
        <v>2.04203026E8</v>
      </c>
    </row>
    <row r="118">
      <c r="A118" s="9">
        <v>44977.0</v>
      </c>
      <c r="B118" s="11" t="s">
        <v>122</v>
      </c>
      <c r="C118" s="11">
        <v>30.0</v>
      </c>
      <c r="D118" s="11" t="s">
        <v>42</v>
      </c>
      <c r="E118" s="11" t="s">
        <v>66</v>
      </c>
      <c r="F118" s="13">
        <v>27.9</v>
      </c>
      <c r="G118" s="11" t="s">
        <v>43</v>
      </c>
      <c r="H118" s="11">
        <v>1.0</v>
      </c>
      <c r="I118" s="11" t="s">
        <v>44</v>
      </c>
      <c r="J118" s="11">
        <v>60.0</v>
      </c>
      <c r="K118" s="14">
        <v>15.0</v>
      </c>
      <c r="L118" s="8">
        <v>12.9</v>
      </c>
      <c r="N118" s="11">
        <v>60.0</v>
      </c>
      <c r="O118" s="11">
        <v>2.04154105E8</v>
      </c>
    </row>
    <row r="119">
      <c r="A119" s="9">
        <v>44977.0</v>
      </c>
      <c r="B119" s="11" t="s">
        <v>123</v>
      </c>
      <c r="C119" s="11">
        <v>20.0</v>
      </c>
      <c r="D119" s="11" t="s">
        <v>42</v>
      </c>
      <c r="E119" s="11" t="s">
        <v>66</v>
      </c>
      <c r="F119" s="13">
        <v>18.45</v>
      </c>
      <c r="G119" s="11" t="s">
        <v>35</v>
      </c>
      <c r="H119" s="11">
        <v>1.0</v>
      </c>
      <c r="I119" s="11" t="s">
        <v>44</v>
      </c>
      <c r="J119" s="11">
        <v>60.0</v>
      </c>
      <c r="K119" s="14">
        <v>15.0</v>
      </c>
      <c r="L119" s="8">
        <v>3.45</v>
      </c>
      <c r="N119" s="11">
        <v>60.0</v>
      </c>
      <c r="O119" s="11">
        <v>2.04365168E8</v>
      </c>
    </row>
    <row r="120">
      <c r="A120" s="9">
        <v>44977.0</v>
      </c>
      <c r="B120" s="11" t="s">
        <v>124</v>
      </c>
      <c r="C120" s="11">
        <v>167.32</v>
      </c>
      <c r="D120" s="11" t="s">
        <v>82</v>
      </c>
      <c r="E120" s="11" t="s">
        <v>66</v>
      </c>
      <c r="F120" s="13">
        <v>175.57</v>
      </c>
      <c r="G120" s="11" t="s">
        <v>32</v>
      </c>
      <c r="H120" s="11">
        <v>12.0</v>
      </c>
      <c r="I120" s="11" t="s">
        <v>33</v>
      </c>
      <c r="J120" s="11">
        <v>75.0</v>
      </c>
      <c r="K120" s="14">
        <v>0.0</v>
      </c>
      <c r="L120" s="8">
        <v>175.57</v>
      </c>
      <c r="M120" s="11">
        <v>7.0</v>
      </c>
      <c r="N120" s="11">
        <v>900.0</v>
      </c>
      <c r="O120" s="11">
        <v>2.04221483E8</v>
      </c>
    </row>
    <row r="121">
      <c r="A121" s="9">
        <v>44978.0</v>
      </c>
      <c r="B121" s="11" t="s">
        <v>125</v>
      </c>
      <c r="C121" s="11">
        <v>187.37</v>
      </c>
      <c r="D121" s="11" t="s">
        <v>30</v>
      </c>
      <c r="E121" s="11" t="s">
        <v>66</v>
      </c>
      <c r="F121" s="13">
        <v>175.56</v>
      </c>
      <c r="G121" s="11" t="s">
        <v>32</v>
      </c>
      <c r="H121" s="11">
        <v>12.0</v>
      </c>
      <c r="I121" s="11" t="s">
        <v>33</v>
      </c>
      <c r="J121" s="11">
        <v>75.0</v>
      </c>
      <c r="K121" s="14">
        <v>0.0</v>
      </c>
      <c r="L121" s="8">
        <v>175.56</v>
      </c>
      <c r="M121" s="11">
        <v>8.0</v>
      </c>
      <c r="N121" s="11">
        <v>900.0</v>
      </c>
      <c r="O121" s="11">
        <v>2.04287348E8</v>
      </c>
    </row>
    <row r="122">
      <c r="A122" s="9">
        <v>44980.0</v>
      </c>
      <c r="B122" s="11" t="s">
        <v>126</v>
      </c>
      <c r="C122" s="11">
        <v>270.73</v>
      </c>
      <c r="D122" s="11" t="s">
        <v>114</v>
      </c>
      <c r="E122" s="11" t="s">
        <v>66</v>
      </c>
      <c r="F122" s="13">
        <v>175.57</v>
      </c>
      <c r="G122" s="11" t="s">
        <v>32</v>
      </c>
      <c r="H122" s="11">
        <v>12.0</v>
      </c>
      <c r="I122" s="11" t="s">
        <v>33</v>
      </c>
      <c r="J122" s="11">
        <v>75.0</v>
      </c>
      <c r="K122" s="14">
        <v>0.0</v>
      </c>
      <c r="L122" s="8">
        <v>175.57</v>
      </c>
      <c r="M122" s="11">
        <v>8.0</v>
      </c>
      <c r="N122" s="11">
        <v>900.0</v>
      </c>
      <c r="O122" s="11">
        <v>2.04594972E8</v>
      </c>
    </row>
    <row r="123">
      <c r="A123" s="9">
        <v>44981.0</v>
      </c>
      <c r="B123" s="11" t="s">
        <v>127</v>
      </c>
      <c r="C123" s="11">
        <v>200.0</v>
      </c>
      <c r="D123" s="11" t="s">
        <v>42</v>
      </c>
      <c r="E123" s="11" t="s">
        <v>66</v>
      </c>
      <c r="F123" s="13">
        <v>188.55</v>
      </c>
      <c r="G123" s="11" t="s">
        <v>43</v>
      </c>
      <c r="H123" s="11">
        <v>8.0</v>
      </c>
      <c r="I123" s="11" t="s">
        <v>33</v>
      </c>
      <c r="J123" s="11">
        <v>60.0</v>
      </c>
      <c r="K123" s="14">
        <v>120.0</v>
      </c>
      <c r="L123" s="8">
        <v>68.55</v>
      </c>
      <c r="N123" s="11">
        <v>480.0</v>
      </c>
      <c r="O123" s="11">
        <v>2.04571922E8</v>
      </c>
    </row>
    <row r="124">
      <c r="A124" s="9">
        <v>44981.0</v>
      </c>
      <c r="B124" s="11" t="s">
        <v>128</v>
      </c>
      <c r="C124" s="11">
        <v>200.0</v>
      </c>
      <c r="D124" s="11" t="s">
        <v>42</v>
      </c>
      <c r="E124" s="11" t="s">
        <v>66</v>
      </c>
      <c r="F124" s="13">
        <v>188.55</v>
      </c>
      <c r="G124" s="11" t="s">
        <v>32</v>
      </c>
      <c r="H124" s="11">
        <v>12.0</v>
      </c>
      <c r="I124" s="11" t="s">
        <v>33</v>
      </c>
      <c r="J124" s="11">
        <v>75.0</v>
      </c>
      <c r="K124" s="14">
        <v>0.0</v>
      </c>
      <c r="L124" s="8">
        <v>188.55</v>
      </c>
      <c r="M124" s="11">
        <v>7.0</v>
      </c>
      <c r="N124" s="11">
        <v>900.0</v>
      </c>
      <c r="O124" s="11">
        <v>2.04261307E8</v>
      </c>
    </row>
    <row r="125">
      <c r="A125" s="9">
        <v>44984.0</v>
      </c>
      <c r="B125" s="11" t="s">
        <v>122</v>
      </c>
      <c r="C125" s="11">
        <v>200.0</v>
      </c>
      <c r="D125" s="11" t="s">
        <v>42</v>
      </c>
      <c r="E125" s="11" t="s">
        <v>66</v>
      </c>
      <c r="F125" s="13">
        <v>188.55</v>
      </c>
      <c r="G125" s="11" t="s">
        <v>43</v>
      </c>
      <c r="H125" s="11">
        <v>8.0</v>
      </c>
      <c r="I125" s="11" t="s">
        <v>33</v>
      </c>
      <c r="J125" s="11">
        <v>60.0</v>
      </c>
      <c r="K125" s="14">
        <v>120.0</v>
      </c>
      <c r="L125" s="8">
        <v>68.55</v>
      </c>
      <c r="N125" s="11">
        <v>480.0</v>
      </c>
      <c r="O125" s="11">
        <v>2.05090506E8</v>
      </c>
    </row>
    <row r="126">
      <c r="A126" s="9">
        <v>44984.0</v>
      </c>
      <c r="B126" s="11" t="s">
        <v>77</v>
      </c>
      <c r="C126" s="11">
        <v>200.0</v>
      </c>
      <c r="D126" s="11" t="s">
        <v>42</v>
      </c>
      <c r="E126" s="11" t="s">
        <v>66</v>
      </c>
      <c r="F126" s="13">
        <v>188.55</v>
      </c>
      <c r="G126" s="11" t="s">
        <v>43</v>
      </c>
      <c r="H126" s="11">
        <v>8.0</v>
      </c>
      <c r="I126" s="11" t="s">
        <v>33</v>
      </c>
      <c r="J126" s="11">
        <v>60.0</v>
      </c>
      <c r="K126" s="14">
        <v>120.0</v>
      </c>
      <c r="L126" s="8">
        <v>68.55</v>
      </c>
      <c r="N126" s="11">
        <v>480.0</v>
      </c>
      <c r="O126" s="11">
        <v>2.04895247E8</v>
      </c>
    </row>
    <row r="127">
      <c r="A127" s="9">
        <v>44985.0</v>
      </c>
      <c r="B127" s="11" t="s">
        <v>129</v>
      </c>
      <c r="C127" s="11">
        <v>20.0</v>
      </c>
      <c r="D127" s="11" t="s">
        <v>42</v>
      </c>
      <c r="E127" s="11" t="s">
        <v>66</v>
      </c>
      <c r="F127" s="13">
        <v>18.45</v>
      </c>
      <c r="G127" s="11" t="s">
        <v>35</v>
      </c>
      <c r="H127" s="11">
        <v>1.0</v>
      </c>
      <c r="I127" s="11" t="s">
        <v>44</v>
      </c>
      <c r="J127" s="11">
        <v>60.0</v>
      </c>
      <c r="K127" s="14">
        <v>15.0</v>
      </c>
      <c r="L127" s="8">
        <v>3.45</v>
      </c>
      <c r="N127" s="11">
        <v>60.0</v>
      </c>
      <c r="O127" s="11">
        <v>2.05061783E8</v>
      </c>
    </row>
    <row r="128">
      <c r="A128" s="9">
        <v>44986.0</v>
      </c>
      <c r="B128" s="11" t="s">
        <v>75</v>
      </c>
      <c r="C128" s="11">
        <v>145.0</v>
      </c>
      <c r="D128" s="11" t="s">
        <v>42</v>
      </c>
      <c r="E128" s="11" t="s">
        <v>66</v>
      </c>
      <c r="F128" s="13">
        <v>136.58</v>
      </c>
      <c r="G128" s="11" t="s">
        <v>35</v>
      </c>
      <c r="H128" s="11">
        <v>8.0</v>
      </c>
      <c r="I128" s="11" t="s">
        <v>33</v>
      </c>
      <c r="J128" s="11">
        <v>60.0</v>
      </c>
      <c r="K128" s="14">
        <v>120.0</v>
      </c>
      <c r="L128" s="8">
        <v>16.58</v>
      </c>
      <c r="N128" s="11">
        <v>480.0</v>
      </c>
      <c r="O128" s="11">
        <v>2.05043461E8</v>
      </c>
    </row>
    <row r="129">
      <c r="A129" s="9">
        <v>44990.0</v>
      </c>
      <c r="B129" s="11" t="s">
        <v>106</v>
      </c>
      <c r="C129" s="11">
        <v>167.44</v>
      </c>
      <c r="D129" s="11" t="s">
        <v>82</v>
      </c>
      <c r="E129" s="11" t="s">
        <v>66</v>
      </c>
      <c r="F129" s="13">
        <v>175.57</v>
      </c>
      <c r="G129" s="11" t="s">
        <v>32</v>
      </c>
      <c r="H129" s="11">
        <v>12.0</v>
      </c>
      <c r="I129" s="11" t="s">
        <v>33</v>
      </c>
      <c r="J129" s="11">
        <v>75.0</v>
      </c>
      <c r="K129" s="14">
        <v>225.0</v>
      </c>
      <c r="L129" s="8">
        <v>-49.43</v>
      </c>
      <c r="M129" s="11">
        <v>9.0</v>
      </c>
      <c r="N129" s="11">
        <v>900.0</v>
      </c>
      <c r="O129" s="11">
        <v>2.05285554E8</v>
      </c>
    </row>
    <row r="130">
      <c r="A130" s="9">
        <v>44991.0</v>
      </c>
      <c r="B130" s="11" t="s">
        <v>46</v>
      </c>
      <c r="C130" s="11">
        <v>80.0</v>
      </c>
      <c r="D130" s="11" t="s">
        <v>42</v>
      </c>
      <c r="E130" s="11" t="s">
        <v>66</v>
      </c>
      <c r="F130" s="13">
        <v>75.15</v>
      </c>
      <c r="G130" s="11" t="s">
        <v>35</v>
      </c>
      <c r="H130" s="11">
        <v>4.0</v>
      </c>
      <c r="I130" s="11" t="s">
        <v>44</v>
      </c>
      <c r="J130" s="11">
        <v>60.0</v>
      </c>
      <c r="K130" s="14">
        <v>60.0</v>
      </c>
      <c r="L130" s="8">
        <v>15.15</v>
      </c>
      <c r="N130" s="11">
        <v>240.0</v>
      </c>
      <c r="O130" s="11">
        <v>2.05409593E8</v>
      </c>
    </row>
    <row r="131">
      <c r="A131" s="9">
        <v>44991.0</v>
      </c>
      <c r="B131" s="11" t="s">
        <v>115</v>
      </c>
      <c r="C131" s="11">
        <v>120.94</v>
      </c>
      <c r="D131" s="11" t="s">
        <v>82</v>
      </c>
      <c r="E131" s="11" t="s">
        <v>66</v>
      </c>
      <c r="F131" s="13">
        <v>125.94</v>
      </c>
      <c r="G131" s="11" t="s">
        <v>35</v>
      </c>
      <c r="H131" s="11">
        <v>8.0</v>
      </c>
      <c r="I131" s="11" t="s">
        <v>33</v>
      </c>
      <c r="J131" s="11">
        <v>60.0</v>
      </c>
      <c r="K131" s="14">
        <v>120.0</v>
      </c>
      <c r="L131" s="8">
        <v>5.94</v>
      </c>
      <c r="N131" s="11">
        <v>480.0</v>
      </c>
      <c r="O131" s="11">
        <v>2.05365732E8</v>
      </c>
    </row>
    <row r="132">
      <c r="A132" s="9">
        <v>44993.0</v>
      </c>
      <c r="B132" s="11" t="s">
        <v>111</v>
      </c>
      <c r="C132" s="11">
        <v>166.84</v>
      </c>
      <c r="D132" s="11" t="s">
        <v>82</v>
      </c>
      <c r="E132" s="11" t="s">
        <v>31</v>
      </c>
      <c r="F132" s="13">
        <v>197.7</v>
      </c>
      <c r="G132" s="11" t="s">
        <v>32</v>
      </c>
      <c r="H132" s="11">
        <v>12.0</v>
      </c>
      <c r="I132" s="11" t="s">
        <v>33</v>
      </c>
      <c r="J132" s="11">
        <v>75.0</v>
      </c>
      <c r="K132" s="14">
        <v>0.0</v>
      </c>
      <c r="L132" s="8">
        <v>197.7</v>
      </c>
      <c r="M132" s="11">
        <v>9.0</v>
      </c>
      <c r="N132" s="11">
        <v>900.0</v>
      </c>
      <c r="O132" s="11">
        <v>6.27972737E8</v>
      </c>
    </row>
    <row r="133">
      <c r="A133" s="9">
        <v>44998.0</v>
      </c>
      <c r="B133" s="11" t="s">
        <v>116</v>
      </c>
      <c r="C133" s="11">
        <v>200.0</v>
      </c>
      <c r="D133" s="11" t="s">
        <v>42</v>
      </c>
      <c r="E133" s="11" t="s">
        <v>66</v>
      </c>
      <c r="F133" s="13">
        <v>188.55</v>
      </c>
      <c r="G133" s="11" t="s">
        <v>43</v>
      </c>
      <c r="H133" s="11">
        <v>8.0</v>
      </c>
      <c r="I133" s="11" t="s">
        <v>33</v>
      </c>
      <c r="J133" s="11">
        <v>60.0</v>
      </c>
      <c r="K133" s="14">
        <v>120.0</v>
      </c>
      <c r="L133" s="8">
        <v>68.55</v>
      </c>
      <c r="N133" s="11">
        <v>480.0</v>
      </c>
      <c r="O133" s="11">
        <v>2.0584543E8</v>
      </c>
    </row>
    <row r="134">
      <c r="A134" s="9">
        <v>44999.0</v>
      </c>
      <c r="B134" s="11" t="s">
        <v>94</v>
      </c>
      <c r="C134" s="11">
        <v>80.0</v>
      </c>
      <c r="D134" s="11" t="s">
        <v>30</v>
      </c>
      <c r="E134" s="11" t="s">
        <v>31</v>
      </c>
      <c r="F134" s="13">
        <v>85.82</v>
      </c>
      <c r="G134" s="11" t="s">
        <v>35</v>
      </c>
      <c r="H134" s="11">
        <v>4.0</v>
      </c>
      <c r="I134" s="11" t="s">
        <v>44</v>
      </c>
      <c r="J134" s="11">
        <v>60.0</v>
      </c>
      <c r="K134" s="14">
        <v>60.0</v>
      </c>
      <c r="L134" s="8">
        <v>25.82</v>
      </c>
      <c r="N134" s="11">
        <v>240.0</v>
      </c>
      <c r="O134" s="11">
        <v>6.32783282E8</v>
      </c>
    </row>
    <row r="135">
      <c r="A135" s="9">
        <v>44999.0</v>
      </c>
      <c r="B135" s="11" t="s">
        <v>72</v>
      </c>
      <c r="C135" s="11">
        <v>200.0</v>
      </c>
      <c r="D135" s="11" t="s">
        <v>42</v>
      </c>
      <c r="E135" s="11" t="s">
        <v>66</v>
      </c>
      <c r="F135" s="13">
        <v>188.55</v>
      </c>
      <c r="G135" s="11" t="s">
        <v>43</v>
      </c>
      <c r="H135" s="11">
        <v>8.0</v>
      </c>
      <c r="I135" s="11" t="s">
        <v>33</v>
      </c>
      <c r="J135" s="11">
        <v>60.0</v>
      </c>
      <c r="K135" s="14">
        <v>120.0</v>
      </c>
      <c r="L135" s="8">
        <v>68.55</v>
      </c>
      <c r="N135" s="11">
        <v>480.0</v>
      </c>
      <c r="O135" s="11">
        <v>2.05746834E8</v>
      </c>
    </row>
    <row r="136">
      <c r="A136" s="9">
        <v>45001.0</v>
      </c>
      <c r="B136" s="11" t="s">
        <v>34</v>
      </c>
      <c r="C136" s="11">
        <v>145.0</v>
      </c>
      <c r="D136" s="11" t="s">
        <v>42</v>
      </c>
      <c r="E136" s="11" t="s">
        <v>66</v>
      </c>
      <c r="F136" s="13">
        <v>136.58</v>
      </c>
      <c r="G136" s="11" t="s">
        <v>35</v>
      </c>
      <c r="H136" s="11">
        <v>8.0</v>
      </c>
      <c r="I136" s="11" t="s">
        <v>33</v>
      </c>
      <c r="J136" s="11">
        <v>60.0</v>
      </c>
      <c r="K136" s="14">
        <v>120.0</v>
      </c>
      <c r="L136" s="8">
        <v>16.58</v>
      </c>
      <c r="N136" s="11">
        <v>480.0</v>
      </c>
      <c r="O136" s="11">
        <v>2.05881188E8</v>
      </c>
    </row>
    <row r="137">
      <c r="A137" s="9">
        <v>45006.0</v>
      </c>
      <c r="B137" s="11" t="s">
        <v>102</v>
      </c>
      <c r="C137" s="11">
        <v>40.0</v>
      </c>
      <c r="D137" s="11" t="s">
        <v>42</v>
      </c>
      <c r="E137" s="11" t="s">
        <v>66</v>
      </c>
      <c r="F137" s="13">
        <v>37.35</v>
      </c>
      <c r="G137" s="11" t="s">
        <v>35</v>
      </c>
      <c r="H137" s="11">
        <v>2.0</v>
      </c>
      <c r="I137" s="11" t="s">
        <v>44</v>
      </c>
      <c r="J137" s="11">
        <v>60.0</v>
      </c>
      <c r="K137" s="14">
        <v>30.0</v>
      </c>
      <c r="L137" s="8">
        <v>7.35</v>
      </c>
      <c r="N137" s="11">
        <v>120.0</v>
      </c>
      <c r="O137" s="11">
        <v>2.06194964E8</v>
      </c>
    </row>
    <row r="138">
      <c r="A138" s="9">
        <v>45006.0</v>
      </c>
      <c r="B138" s="11" t="s">
        <v>104</v>
      </c>
      <c r="C138" s="11">
        <v>200.0</v>
      </c>
      <c r="D138" s="11" t="s">
        <v>42</v>
      </c>
      <c r="E138" s="11" t="s">
        <v>66</v>
      </c>
      <c r="F138" s="13">
        <v>188.55</v>
      </c>
      <c r="G138" s="11" t="s">
        <v>43</v>
      </c>
      <c r="H138" s="11">
        <v>8.0</v>
      </c>
      <c r="I138" s="11" t="s">
        <v>33</v>
      </c>
      <c r="J138" s="11">
        <v>60.0</v>
      </c>
      <c r="K138" s="14">
        <v>120.0</v>
      </c>
      <c r="L138" s="8">
        <v>68.55</v>
      </c>
      <c r="N138" s="11">
        <v>480.0</v>
      </c>
      <c r="O138" s="11">
        <v>2.06330834E8</v>
      </c>
    </row>
    <row r="139">
      <c r="A139" s="9">
        <v>45007.0</v>
      </c>
      <c r="B139" s="11" t="s">
        <v>90</v>
      </c>
      <c r="C139" s="11">
        <v>145.0</v>
      </c>
      <c r="D139" s="11" t="s">
        <v>42</v>
      </c>
      <c r="E139" s="11" t="s">
        <v>66</v>
      </c>
      <c r="F139" s="13">
        <v>136.58</v>
      </c>
      <c r="G139" s="11" t="s">
        <v>35</v>
      </c>
      <c r="H139" s="11">
        <v>8.0</v>
      </c>
      <c r="I139" s="11" t="s">
        <v>33</v>
      </c>
      <c r="J139" s="11">
        <v>60.0</v>
      </c>
      <c r="K139" s="14">
        <v>120.0</v>
      </c>
      <c r="L139" s="8">
        <v>16.58</v>
      </c>
      <c r="N139" s="11">
        <v>480.0</v>
      </c>
      <c r="O139" s="11">
        <v>2.06632596E8</v>
      </c>
    </row>
    <row r="140">
      <c r="A140" s="9">
        <v>45008.0</v>
      </c>
      <c r="B140" s="11" t="s">
        <v>130</v>
      </c>
      <c r="C140" s="11">
        <v>20.0</v>
      </c>
      <c r="D140" s="11" t="s">
        <v>42</v>
      </c>
      <c r="E140" s="11" t="s">
        <v>66</v>
      </c>
      <c r="F140" s="13">
        <v>18.45</v>
      </c>
      <c r="G140" s="11" t="s">
        <v>35</v>
      </c>
      <c r="H140" s="11">
        <v>1.0</v>
      </c>
      <c r="I140" s="11" t="s">
        <v>44</v>
      </c>
      <c r="J140" s="11">
        <v>60.0</v>
      </c>
      <c r="K140" s="14">
        <v>15.0</v>
      </c>
      <c r="L140" s="8">
        <v>3.45</v>
      </c>
      <c r="N140" s="11">
        <v>60.0</v>
      </c>
      <c r="O140" s="11">
        <v>2.06428712E8</v>
      </c>
    </row>
    <row r="141">
      <c r="A141" s="9">
        <v>45009.0</v>
      </c>
      <c r="B141" s="11" t="s">
        <v>113</v>
      </c>
      <c r="C141" s="11">
        <v>200.0</v>
      </c>
      <c r="D141" s="11" t="s">
        <v>42</v>
      </c>
      <c r="E141" s="11" t="s">
        <v>66</v>
      </c>
      <c r="F141" s="13">
        <v>188.55</v>
      </c>
      <c r="G141" s="11" t="s">
        <v>43</v>
      </c>
      <c r="H141" s="11">
        <v>8.0</v>
      </c>
      <c r="I141" s="11" t="s">
        <v>33</v>
      </c>
      <c r="J141" s="11">
        <v>60.0</v>
      </c>
      <c r="K141" s="14">
        <v>120.0</v>
      </c>
      <c r="L141" s="8">
        <v>68.55</v>
      </c>
      <c r="N141" s="11">
        <v>480.0</v>
      </c>
      <c r="O141" s="11">
        <v>2.07127751E8</v>
      </c>
    </row>
    <row r="142">
      <c r="A142" s="9">
        <v>45011.0</v>
      </c>
      <c r="B142" s="11" t="s">
        <v>107</v>
      </c>
      <c r="C142" s="11">
        <v>183.84</v>
      </c>
      <c r="D142" s="11" t="s">
        <v>30</v>
      </c>
      <c r="E142" s="11" t="s">
        <v>66</v>
      </c>
      <c r="F142" s="13">
        <v>175.56</v>
      </c>
      <c r="G142" s="11" t="s">
        <v>32</v>
      </c>
      <c r="H142" s="11">
        <v>12.0</v>
      </c>
      <c r="I142" s="11" t="s">
        <v>33</v>
      </c>
      <c r="J142" s="11">
        <v>75.0</v>
      </c>
      <c r="K142" s="14">
        <v>0.0</v>
      </c>
      <c r="L142" s="8">
        <v>175.56</v>
      </c>
      <c r="M142" s="11">
        <v>9.0</v>
      </c>
      <c r="N142" s="11">
        <v>900.0</v>
      </c>
      <c r="O142" s="11">
        <v>2.07081503E8</v>
      </c>
    </row>
    <row r="143">
      <c r="A143" s="9">
        <v>45015.0</v>
      </c>
      <c r="B143" s="11" t="s">
        <v>69</v>
      </c>
      <c r="C143" s="11">
        <v>200.0</v>
      </c>
      <c r="D143" s="11" t="s">
        <v>30</v>
      </c>
      <c r="E143" s="11" t="s">
        <v>31</v>
      </c>
      <c r="F143" s="13">
        <v>218.1</v>
      </c>
      <c r="G143" s="11" t="s">
        <v>32</v>
      </c>
      <c r="H143" s="11">
        <v>12.0</v>
      </c>
      <c r="I143" s="11" t="s">
        <v>33</v>
      </c>
      <c r="J143" s="11">
        <v>75.0</v>
      </c>
      <c r="K143" s="14">
        <v>0.0</v>
      </c>
      <c r="L143" s="8">
        <v>218.1</v>
      </c>
      <c r="M143" s="16" t="s">
        <v>131</v>
      </c>
      <c r="N143" s="11">
        <v>900.0</v>
      </c>
      <c r="O143" s="11">
        <v>6.461015E8</v>
      </c>
    </row>
    <row r="144">
      <c r="A144" s="9">
        <v>45016.0</v>
      </c>
      <c r="B144" s="11" t="s">
        <v>132</v>
      </c>
      <c r="C144" s="11">
        <v>40.0</v>
      </c>
      <c r="D144" s="11" t="s">
        <v>42</v>
      </c>
      <c r="E144" s="11" t="s">
        <v>66</v>
      </c>
      <c r="F144" s="13">
        <v>37.35</v>
      </c>
      <c r="G144" s="11" t="s">
        <v>35</v>
      </c>
      <c r="H144" s="11">
        <v>2.0</v>
      </c>
      <c r="I144" s="11" t="s">
        <v>44</v>
      </c>
      <c r="J144" s="11">
        <v>60.0</v>
      </c>
      <c r="K144" s="14">
        <v>30.0</v>
      </c>
      <c r="L144" s="8">
        <v>7.35</v>
      </c>
      <c r="N144" s="11">
        <v>120.0</v>
      </c>
      <c r="O144" s="11">
        <v>2.07336726E8</v>
      </c>
    </row>
    <row r="145">
      <c r="A145" s="9">
        <v>45016.0</v>
      </c>
      <c r="B145" s="11" t="s">
        <v>122</v>
      </c>
      <c r="C145" s="11">
        <v>200.0</v>
      </c>
      <c r="D145" s="11" t="s">
        <v>42</v>
      </c>
      <c r="E145" s="11" t="s">
        <v>66</v>
      </c>
      <c r="F145" s="13">
        <v>188.55</v>
      </c>
      <c r="G145" s="11" t="s">
        <v>43</v>
      </c>
      <c r="H145" s="11">
        <v>8.0</v>
      </c>
      <c r="I145" s="11" t="s">
        <v>33</v>
      </c>
      <c r="J145" s="11">
        <v>60.0</v>
      </c>
      <c r="K145" s="14">
        <v>120.0</v>
      </c>
      <c r="L145" s="8">
        <v>68.55</v>
      </c>
      <c r="N145" s="11">
        <v>480.0</v>
      </c>
      <c r="O145" s="11">
        <v>2.07356905E8</v>
      </c>
    </row>
    <row r="146">
      <c r="A146" s="9">
        <v>45024.0</v>
      </c>
      <c r="B146" s="11" t="s">
        <v>110</v>
      </c>
      <c r="C146" s="11">
        <v>200.0</v>
      </c>
      <c r="D146" s="11" t="s">
        <v>42</v>
      </c>
      <c r="E146" s="11" t="s">
        <v>66</v>
      </c>
      <c r="F146" s="13">
        <v>188.55</v>
      </c>
      <c r="G146" s="11" t="s">
        <v>43</v>
      </c>
      <c r="H146" s="11">
        <v>8.0</v>
      </c>
      <c r="I146" s="11" t="s">
        <v>33</v>
      </c>
      <c r="J146" s="11">
        <v>60.0</v>
      </c>
      <c r="K146" s="14">
        <v>120.0</v>
      </c>
      <c r="L146" s="8">
        <v>68.55</v>
      </c>
      <c r="N146" s="11">
        <v>480.0</v>
      </c>
      <c r="O146" s="11">
        <v>2.07948587E8</v>
      </c>
    </row>
    <row r="147">
      <c r="A147" s="9">
        <v>45026.0</v>
      </c>
      <c r="B147" s="11" t="s">
        <v>133</v>
      </c>
      <c r="C147" s="11">
        <v>160.77</v>
      </c>
      <c r="D147" s="11" t="s">
        <v>82</v>
      </c>
      <c r="E147" s="11" t="s">
        <v>66</v>
      </c>
      <c r="F147" s="13">
        <v>175.57</v>
      </c>
      <c r="G147" s="11" t="s">
        <v>43</v>
      </c>
      <c r="H147" s="11">
        <v>8.0</v>
      </c>
      <c r="I147" s="11" t="s">
        <v>33</v>
      </c>
      <c r="J147" s="11">
        <v>60.0</v>
      </c>
      <c r="K147" s="14">
        <v>120.0</v>
      </c>
      <c r="L147" s="8">
        <v>55.57</v>
      </c>
      <c r="N147" s="11">
        <v>480.0</v>
      </c>
      <c r="O147" s="11">
        <v>2.07644133E8</v>
      </c>
    </row>
    <row r="148">
      <c r="A148" s="9">
        <v>45030.0</v>
      </c>
      <c r="B148" s="11" t="s">
        <v>46</v>
      </c>
      <c r="C148" s="11">
        <v>80.0</v>
      </c>
      <c r="D148" s="11" t="s">
        <v>42</v>
      </c>
      <c r="E148" s="11" t="s">
        <v>66</v>
      </c>
      <c r="F148" s="13">
        <v>75.15</v>
      </c>
      <c r="G148" s="11" t="s">
        <v>35</v>
      </c>
      <c r="H148" s="11">
        <v>4.0</v>
      </c>
      <c r="I148" s="11" t="s">
        <v>44</v>
      </c>
      <c r="J148" s="11">
        <v>60.0</v>
      </c>
      <c r="K148" s="14">
        <v>60.0</v>
      </c>
      <c r="L148" s="8">
        <v>15.15</v>
      </c>
      <c r="N148" s="11">
        <v>240.0</v>
      </c>
      <c r="O148" s="11">
        <v>2.07696798E8</v>
      </c>
    </row>
    <row r="149">
      <c r="A149" s="9">
        <v>45030.0</v>
      </c>
      <c r="B149" s="11" t="s">
        <v>134</v>
      </c>
      <c r="C149" s="11">
        <v>30.0</v>
      </c>
      <c r="D149" s="11" t="s">
        <v>42</v>
      </c>
      <c r="E149" s="11" t="s">
        <v>66</v>
      </c>
      <c r="F149" s="13">
        <v>27.9</v>
      </c>
      <c r="G149" s="11" t="s">
        <v>43</v>
      </c>
      <c r="H149" s="11">
        <v>1.0</v>
      </c>
      <c r="I149" s="11" t="s">
        <v>44</v>
      </c>
      <c r="J149" s="11">
        <v>60.0</v>
      </c>
      <c r="K149" s="14">
        <v>15.0</v>
      </c>
      <c r="L149" s="8">
        <v>12.9</v>
      </c>
      <c r="N149" s="11">
        <v>60.0</v>
      </c>
      <c r="O149" s="11">
        <v>2.0786866E8</v>
      </c>
    </row>
    <row r="150">
      <c r="A150" s="9">
        <v>45030.0</v>
      </c>
      <c r="B150" s="11" t="s">
        <v>135</v>
      </c>
      <c r="C150" s="11">
        <v>200.0</v>
      </c>
      <c r="D150" s="11" t="s">
        <v>42</v>
      </c>
      <c r="E150" s="11" t="s">
        <v>66</v>
      </c>
      <c r="F150" s="13">
        <v>188.55</v>
      </c>
      <c r="G150" s="11" t="s">
        <v>43</v>
      </c>
      <c r="H150" s="11">
        <v>8.0</v>
      </c>
      <c r="I150" s="11" t="s">
        <v>33</v>
      </c>
      <c r="J150" s="11">
        <v>60.0</v>
      </c>
      <c r="K150" s="14">
        <v>120.0</v>
      </c>
      <c r="L150" s="8">
        <v>68.55</v>
      </c>
      <c r="N150" s="11">
        <v>480.0</v>
      </c>
      <c r="O150" s="11">
        <v>2.07726573E8</v>
      </c>
    </row>
    <row r="151">
      <c r="A151" s="9">
        <v>45030.0</v>
      </c>
      <c r="B151" s="11" t="s">
        <v>136</v>
      </c>
      <c r="C151" s="11">
        <v>30.0</v>
      </c>
      <c r="D151" s="11" t="s">
        <v>42</v>
      </c>
      <c r="E151" s="11" t="s">
        <v>66</v>
      </c>
      <c r="F151" s="13">
        <v>27.9</v>
      </c>
      <c r="G151" s="11" t="s">
        <v>43</v>
      </c>
      <c r="H151" s="11">
        <v>1.0</v>
      </c>
      <c r="I151" s="11" t="s">
        <v>44</v>
      </c>
      <c r="J151" s="11">
        <v>60.0</v>
      </c>
      <c r="K151" s="14">
        <v>15.0</v>
      </c>
      <c r="L151" s="8">
        <v>12.9</v>
      </c>
      <c r="N151" s="11">
        <v>60.0</v>
      </c>
      <c r="O151" s="11">
        <v>2.07744292E8</v>
      </c>
    </row>
    <row r="152">
      <c r="A152" s="9">
        <v>45031.0</v>
      </c>
      <c r="B152" s="11" t="s">
        <v>132</v>
      </c>
      <c r="C152" s="11">
        <v>145.0</v>
      </c>
      <c r="D152" s="11" t="s">
        <v>42</v>
      </c>
      <c r="E152" s="11" t="s">
        <v>66</v>
      </c>
      <c r="F152" s="13">
        <v>136.58</v>
      </c>
      <c r="G152" s="11" t="s">
        <v>35</v>
      </c>
      <c r="H152" s="11">
        <v>8.0</v>
      </c>
      <c r="I152" s="11" t="s">
        <v>33</v>
      </c>
      <c r="J152" s="11">
        <v>60.0</v>
      </c>
      <c r="K152" s="14">
        <v>120.0</v>
      </c>
      <c r="L152" s="8">
        <v>16.58</v>
      </c>
      <c r="N152" s="11">
        <v>480.0</v>
      </c>
      <c r="O152" s="11">
        <v>2.08525607E8</v>
      </c>
    </row>
    <row r="153">
      <c r="A153" s="9">
        <v>45032.0</v>
      </c>
      <c r="B153" s="11" t="s">
        <v>137</v>
      </c>
      <c r="C153" s="11">
        <v>200.0</v>
      </c>
      <c r="D153" s="11" t="s">
        <v>42</v>
      </c>
      <c r="E153" s="11" t="s">
        <v>66</v>
      </c>
      <c r="F153" s="13">
        <v>188.55</v>
      </c>
      <c r="G153" s="11" t="s">
        <v>43</v>
      </c>
      <c r="H153" s="11">
        <v>8.0</v>
      </c>
      <c r="I153" s="11" t="s">
        <v>33</v>
      </c>
      <c r="J153" s="11">
        <v>60.0</v>
      </c>
      <c r="K153" s="14">
        <v>120.0</v>
      </c>
      <c r="L153" s="8">
        <v>68.55</v>
      </c>
      <c r="N153" s="11">
        <v>480.0</v>
      </c>
      <c r="O153" s="11">
        <v>2.08329588E8</v>
      </c>
    </row>
    <row r="154">
      <c r="A154" s="9">
        <v>45035.0</v>
      </c>
      <c r="B154" s="11" t="s">
        <v>104</v>
      </c>
      <c r="C154" s="11">
        <v>200.0</v>
      </c>
      <c r="D154" s="11" t="s">
        <v>42</v>
      </c>
      <c r="E154" s="11" t="s">
        <v>66</v>
      </c>
      <c r="F154" s="13">
        <v>188.55</v>
      </c>
      <c r="G154" s="11" t="s">
        <v>43</v>
      </c>
      <c r="H154" s="11">
        <v>8.0</v>
      </c>
      <c r="I154" s="11" t="s">
        <v>33</v>
      </c>
      <c r="J154" s="11">
        <v>60.0</v>
      </c>
      <c r="K154" s="14">
        <v>120.0</v>
      </c>
      <c r="L154" s="8">
        <v>68.55</v>
      </c>
      <c r="N154" s="11">
        <v>480.0</v>
      </c>
      <c r="O154" s="11">
        <v>2.0857954E8</v>
      </c>
    </row>
    <row r="155">
      <c r="A155" s="9">
        <v>45036.0</v>
      </c>
      <c r="B155" s="11" t="s">
        <v>138</v>
      </c>
      <c r="C155" s="11">
        <v>30.0</v>
      </c>
      <c r="D155" s="11" t="s">
        <v>42</v>
      </c>
      <c r="E155" s="11" t="s">
        <v>66</v>
      </c>
      <c r="F155" s="13">
        <v>27.9</v>
      </c>
      <c r="G155" s="11" t="s">
        <v>43</v>
      </c>
      <c r="H155" s="11">
        <v>1.0</v>
      </c>
      <c r="I155" s="11" t="s">
        <v>44</v>
      </c>
      <c r="J155" s="11">
        <v>60.0</v>
      </c>
      <c r="K155" s="14">
        <v>15.0</v>
      </c>
      <c r="L155" s="8">
        <v>12.9</v>
      </c>
      <c r="N155" s="11">
        <v>60.0</v>
      </c>
      <c r="O155" s="11">
        <v>2.08371927E8</v>
      </c>
    </row>
    <row r="156">
      <c r="A156" s="9">
        <v>45036.0</v>
      </c>
      <c r="B156" s="11" t="s">
        <v>139</v>
      </c>
      <c r="C156" s="11">
        <v>200.0</v>
      </c>
      <c r="D156" s="11" t="s">
        <v>42</v>
      </c>
      <c r="E156" s="11" t="s">
        <v>66</v>
      </c>
      <c r="F156" s="13">
        <v>188.55</v>
      </c>
      <c r="G156" s="11" t="s">
        <v>43</v>
      </c>
      <c r="H156" s="11">
        <v>8.0</v>
      </c>
      <c r="I156" s="11" t="s">
        <v>33</v>
      </c>
      <c r="J156" s="11">
        <v>60.0</v>
      </c>
      <c r="K156" s="14">
        <v>120.0</v>
      </c>
      <c r="L156" s="8">
        <v>68.55</v>
      </c>
      <c r="N156" s="11">
        <v>480.0</v>
      </c>
      <c r="O156" s="11">
        <v>2.08273643E8</v>
      </c>
    </row>
    <row r="157">
      <c r="A157" s="9">
        <v>45037.0</v>
      </c>
      <c r="B157" s="11" t="s">
        <v>72</v>
      </c>
      <c r="C157" s="11">
        <v>200.0</v>
      </c>
      <c r="D157" s="11" t="s">
        <v>42</v>
      </c>
      <c r="E157" s="11" t="s">
        <v>66</v>
      </c>
      <c r="F157" s="13">
        <v>188.55</v>
      </c>
      <c r="G157" s="11" t="s">
        <v>43</v>
      </c>
      <c r="H157" s="11">
        <v>8.0</v>
      </c>
      <c r="I157" s="11" t="s">
        <v>33</v>
      </c>
      <c r="J157" s="11">
        <v>60.0</v>
      </c>
      <c r="K157" s="14">
        <v>120.0</v>
      </c>
      <c r="L157" s="8">
        <v>68.55</v>
      </c>
      <c r="N157" s="11">
        <v>480.0</v>
      </c>
      <c r="O157" s="11">
        <v>2.08462693E8</v>
      </c>
    </row>
    <row r="158">
      <c r="A158" s="9">
        <v>45039.0</v>
      </c>
      <c r="B158" s="11" t="s">
        <v>80</v>
      </c>
      <c r="C158" s="11">
        <v>145.0</v>
      </c>
      <c r="D158" s="11" t="s">
        <v>42</v>
      </c>
      <c r="E158" s="11" t="s">
        <v>66</v>
      </c>
      <c r="F158" s="13">
        <v>136.58</v>
      </c>
      <c r="G158" s="11" t="s">
        <v>35</v>
      </c>
      <c r="H158" s="11">
        <v>8.0</v>
      </c>
      <c r="I158" s="11" t="s">
        <v>33</v>
      </c>
      <c r="J158" s="11">
        <v>60.0</v>
      </c>
      <c r="K158" s="14">
        <v>120.0</v>
      </c>
      <c r="L158" s="8">
        <v>16.58</v>
      </c>
      <c r="N158" s="11">
        <v>480.0</v>
      </c>
      <c r="O158" s="11">
        <v>2.09026091E8</v>
      </c>
    </row>
    <row r="159">
      <c r="A159" s="9">
        <v>45041.0</v>
      </c>
      <c r="B159" s="11" t="s">
        <v>84</v>
      </c>
      <c r="C159" s="11">
        <v>145.0</v>
      </c>
      <c r="D159" s="11" t="s">
        <v>42</v>
      </c>
      <c r="E159" s="11" t="s">
        <v>66</v>
      </c>
      <c r="F159" s="13">
        <v>136.58</v>
      </c>
      <c r="G159" s="11" t="s">
        <v>35</v>
      </c>
      <c r="H159" s="11">
        <v>8.0</v>
      </c>
      <c r="I159" s="11" t="s">
        <v>33</v>
      </c>
      <c r="J159" s="11">
        <v>60.0</v>
      </c>
      <c r="K159" s="14">
        <v>120.0</v>
      </c>
      <c r="L159" s="8">
        <v>16.58</v>
      </c>
      <c r="N159" s="11">
        <v>480.0</v>
      </c>
      <c r="O159" s="11">
        <v>2.08720004E8</v>
      </c>
    </row>
    <row r="160">
      <c r="A160" s="9">
        <v>45041.0</v>
      </c>
      <c r="B160" s="11" t="s">
        <v>134</v>
      </c>
      <c r="C160" s="11">
        <v>200.0</v>
      </c>
      <c r="D160" s="11" t="s">
        <v>42</v>
      </c>
      <c r="E160" s="11" t="s">
        <v>66</v>
      </c>
      <c r="F160" s="13">
        <v>188.55</v>
      </c>
      <c r="G160" s="11" t="s">
        <v>43</v>
      </c>
      <c r="H160" s="11">
        <v>8.0</v>
      </c>
      <c r="I160" s="11" t="s">
        <v>33</v>
      </c>
      <c r="J160" s="11">
        <v>60.0</v>
      </c>
      <c r="K160" s="14">
        <v>120.0</v>
      </c>
      <c r="L160" s="8">
        <v>68.55</v>
      </c>
      <c r="N160" s="11">
        <v>480.0</v>
      </c>
      <c r="O160" s="11">
        <v>2.08839686E8</v>
      </c>
    </row>
    <row r="161">
      <c r="A161" s="9">
        <v>45042.0</v>
      </c>
      <c r="B161" s="11" t="s">
        <v>127</v>
      </c>
      <c r="C161" s="11">
        <v>200.0</v>
      </c>
      <c r="D161" s="11" t="s">
        <v>42</v>
      </c>
      <c r="E161" s="11" t="s">
        <v>66</v>
      </c>
      <c r="F161" s="13">
        <v>188.55</v>
      </c>
      <c r="G161" s="11" t="s">
        <v>43</v>
      </c>
      <c r="H161" s="11">
        <v>8.0</v>
      </c>
      <c r="I161" s="11" t="s">
        <v>33</v>
      </c>
      <c r="J161" s="11">
        <v>60.0</v>
      </c>
      <c r="K161" s="14">
        <v>120.0</v>
      </c>
      <c r="L161" s="8">
        <v>68.55</v>
      </c>
      <c r="N161" s="11">
        <v>480.0</v>
      </c>
      <c r="O161" s="11">
        <v>2.09041685E8</v>
      </c>
    </row>
    <row r="162">
      <c r="A162" s="9">
        <v>45043.0</v>
      </c>
      <c r="B162" s="11" t="s">
        <v>140</v>
      </c>
      <c r="C162" s="11">
        <v>200.0</v>
      </c>
      <c r="D162" s="11" t="s">
        <v>42</v>
      </c>
      <c r="E162" s="11" t="s">
        <v>66</v>
      </c>
      <c r="F162" s="13">
        <v>188.55</v>
      </c>
      <c r="G162" s="11" t="s">
        <v>43</v>
      </c>
      <c r="H162" s="11">
        <v>8.0</v>
      </c>
      <c r="I162" s="11" t="s">
        <v>33</v>
      </c>
      <c r="J162" s="11">
        <v>60.0</v>
      </c>
      <c r="K162" s="14">
        <v>120.0</v>
      </c>
      <c r="L162" s="8">
        <v>68.55</v>
      </c>
      <c r="N162" s="11">
        <v>480.0</v>
      </c>
      <c r="O162" s="11">
        <v>2.08737845E8</v>
      </c>
    </row>
    <row r="163">
      <c r="A163" s="9">
        <v>45043.0</v>
      </c>
      <c r="B163" s="11" t="s">
        <v>77</v>
      </c>
      <c r="C163" s="11">
        <v>200.0</v>
      </c>
      <c r="D163" s="11" t="s">
        <v>42</v>
      </c>
      <c r="E163" s="11" t="s">
        <v>66</v>
      </c>
      <c r="F163" s="13">
        <v>188.55</v>
      </c>
      <c r="G163" s="11" t="s">
        <v>43</v>
      </c>
      <c r="H163" s="11">
        <v>8.0</v>
      </c>
      <c r="I163" s="11" t="s">
        <v>33</v>
      </c>
      <c r="J163" s="11">
        <v>60.0</v>
      </c>
      <c r="K163" s="14">
        <v>120.0</v>
      </c>
      <c r="L163" s="8">
        <v>68.55</v>
      </c>
      <c r="N163" s="11">
        <v>480.0</v>
      </c>
      <c r="O163" s="11">
        <v>2.08904572E8</v>
      </c>
    </row>
    <row r="164">
      <c r="A164" s="9">
        <v>45044.0</v>
      </c>
      <c r="B164" s="11" t="s">
        <v>138</v>
      </c>
      <c r="C164" s="11">
        <v>30.0</v>
      </c>
      <c r="D164" s="11" t="s">
        <v>42</v>
      </c>
      <c r="E164" s="11" t="s">
        <v>66</v>
      </c>
      <c r="F164" s="13">
        <v>27.9</v>
      </c>
      <c r="G164" s="11" t="s">
        <v>43</v>
      </c>
      <c r="H164" s="11">
        <v>1.0</v>
      </c>
      <c r="I164" s="11" t="s">
        <v>44</v>
      </c>
      <c r="J164" s="11">
        <v>60.0</v>
      </c>
      <c r="K164" s="14">
        <v>15.0</v>
      </c>
      <c r="L164" s="8">
        <v>12.9</v>
      </c>
      <c r="N164" s="11">
        <v>60.0</v>
      </c>
      <c r="O164" s="11">
        <v>2.08736677E8</v>
      </c>
    </row>
    <row r="165">
      <c r="A165" s="9">
        <v>45048.0</v>
      </c>
      <c r="B165" s="11" t="s">
        <v>102</v>
      </c>
      <c r="C165" s="11">
        <v>40.0</v>
      </c>
      <c r="D165" s="11" t="s">
        <v>42</v>
      </c>
      <c r="E165" s="11" t="s">
        <v>66</v>
      </c>
      <c r="F165" s="13">
        <v>37.35</v>
      </c>
      <c r="G165" s="11" t="s">
        <v>35</v>
      </c>
      <c r="H165" s="11">
        <v>2.0</v>
      </c>
      <c r="I165" s="11" t="s">
        <v>44</v>
      </c>
      <c r="J165" s="11">
        <v>60.0</v>
      </c>
      <c r="K165" s="14">
        <v>30.0</v>
      </c>
      <c r="L165" s="8">
        <v>7.35</v>
      </c>
      <c r="N165" s="11">
        <v>120.0</v>
      </c>
      <c r="O165" s="11">
        <v>2.09275478E8</v>
      </c>
    </row>
    <row r="166">
      <c r="A166" s="9">
        <v>45048.0</v>
      </c>
      <c r="B166" s="11" t="s">
        <v>116</v>
      </c>
      <c r="C166" s="11">
        <v>200.0</v>
      </c>
      <c r="D166" s="11" t="s">
        <v>42</v>
      </c>
      <c r="E166" s="11" t="s">
        <v>66</v>
      </c>
      <c r="F166" s="13">
        <v>188.55</v>
      </c>
      <c r="G166" s="11" t="s">
        <v>43</v>
      </c>
      <c r="H166" s="11">
        <v>8.0</v>
      </c>
      <c r="I166" s="11" t="s">
        <v>33</v>
      </c>
      <c r="J166" s="11">
        <v>60.0</v>
      </c>
      <c r="K166" s="14">
        <v>120.0</v>
      </c>
      <c r="L166" s="8">
        <v>68.55</v>
      </c>
      <c r="N166" s="11">
        <v>480.0</v>
      </c>
      <c r="O166" s="11">
        <v>2.09624263E8</v>
      </c>
    </row>
    <row r="167">
      <c r="A167" s="9">
        <v>45051.0</v>
      </c>
      <c r="B167" s="11" t="s">
        <v>69</v>
      </c>
      <c r="C167" s="11">
        <v>164.69</v>
      </c>
      <c r="D167" s="11" t="s">
        <v>30</v>
      </c>
      <c r="E167" s="11" t="s">
        <v>31</v>
      </c>
      <c r="F167" s="13">
        <v>184.64</v>
      </c>
      <c r="G167" s="11" t="s">
        <v>32</v>
      </c>
      <c r="H167" s="11">
        <v>12.0</v>
      </c>
      <c r="I167" s="11" t="s">
        <v>33</v>
      </c>
      <c r="J167" s="11">
        <v>75.0</v>
      </c>
      <c r="K167" s="14">
        <v>225.0</v>
      </c>
      <c r="L167" s="8">
        <v>-40.36</v>
      </c>
      <c r="M167" s="11">
        <v>10.0</v>
      </c>
      <c r="N167" s="11">
        <v>900.0</v>
      </c>
      <c r="O167" s="11">
        <v>6.78601359E8</v>
      </c>
    </row>
    <row r="168">
      <c r="A168" s="9">
        <v>45055.0</v>
      </c>
      <c r="B168" s="11" t="s">
        <v>129</v>
      </c>
      <c r="C168" s="11">
        <v>20.0</v>
      </c>
      <c r="D168" s="11" t="s">
        <v>42</v>
      </c>
      <c r="E168" s="11" t="s">
        <v>66</v>
      </c>
      <c r="F168" s="13">
        <v>18.45</v>
      </c>
      <c r="G168" s="11" t="s">
        <v>35</v>
      </c>
      <c r="H168" s="11">
        <v>1.0</v>
      </c>
      <c r="I168" s="11" t="s">
        <v>44</v>
      </c>
      <c r="J168" s="11">
        <v>60.0</v>
      </c>
      <c r="K168" s="14">
        <v>15.0</v>
      </c>
      <c r="L168" s="8">
        <v>3.45</v>
      </c>
      <c r="N168" s="11">
        <v>60.0</v>
      </c>
      <c r="O168" s="11">
        <v>2.09713395E8</v>
      </c>
    </row>
    <row r="169">
      <c r="A169" s="9">
        <v>45055.0</v>
      </c>
      <c r="B169" s="11" t="s">
        <v>141</v>
      </c>
      <c r="C169" s="11">
        <v>145.0</v>
      </c>
      <c r="D169" s="11" t="s">
        <v>42</v>
      </c>
      <c r="E169" s="11" t="s">
        <v>66</v>
      </c>
      <c r="F169" s="13">
        <v>136.58</v>
      </c>
      <c r="G169" s="11" t="s">
        <v>35</v>
      </c>
      <c r="H169" s="11">
        <v>8.0</v>
      </c>
      <c r="I169" s="11" t="s">
        <v>33</v>
      </c>
      <c r="J169" s="11">
        <v>60.0</v>
      </c>
      <c r="K169" s="14">
        <v>120.0</v>
      </c>
      <c r="L169" s="8">
        <v>16.58</v>
      </c>
      <c r="N169" s="11">
        <v>480.0</v>
      </c>
      <c r="O169" s="11">
        <v>2.09652077E8</v>
      </c>
    </row>
    <row r="170">
      <c r="A170" s="9">
        <v>45055.0</v>
      </c>
      <c r="B170" s="11" t="s">
        <v>91</v>
      </c>
      <c r="C170" s="11">
        <v>200.0</v>
      </c>
      <c r="D170" s="11" t="s">
        <v>42</v>
      </c>
      <c r="E170" s="11" t="s">
        <v>66</v>
      </c>
      <c r="F170" s="13">
        <v>188.55</v>
      </c>
      <c r="G170" s="11" t="s">
        <v>43</v>
      </c>
      <c r="H170" s="11">
        <v>8.0</v>
      </c>
      <c r="I170" s="11" t="s">
        <v>33</v>
      </c>
      <c r="J170" s="11">
        <v>60.0</v>
      </c>
      <c r="K170" s="14">
        <v>120.0</v>
      </c>
      <c r="L170" s="8">
        <v>68.55</v>
      </c>
      <c r="N170" s="11">
        <v>480.0</v>
      </c>
      <c r="O170" s="11">
        <v>2.09907513E8</v>
      </c>
    </row>
    <row r="171">
      <c r="A171" s="9">
        <v>45059.0</v>
      </c>
      <c r="B171" s="11" t="s">
        <v>142</v>
      </c>
      <c r="C171" s="11">
        <v>20.0</v>
      </c>
      <c r="D171" s="11" t="s">
        <v>42</v>
      </c>
      <c r="E171" s="11" t="s">
        <v>66</v>
      </c>
      <c r="F171" s="13">
        <v>18.45</v>
      </c>
      <c r="G171" s="11" t="s">
        <v>35</v>
      </c>
      <c r="H171" s="11">
        <v>1.0</v>
      </c>
      <c r="I171" s="11" t="s">
        <v>143</v>
      </c>
      <c r="J171" s="11">
        <v>60.0</v>
      </c>
      <c r="K171" s="14">
        <v>15.0</v>
      </c>
      <c r="L171" s="8">
        <v>3.45</v>
      </c>
      <c r="N171" s="11">
        <v>60.0</v>
      </c>
      <c r="O171" s="11">
        <v>2.09689458E8</v>
      </c>
    </row>
    <row r="172">
      <c r="A172" s="9">
        <v>45059.0</v>
      </c>
      <c r="B172" s="11" t="s">
        <v>49</v>
      </c>
      <c r="C172" s="11">
        <v>145.0</v>
      </c>
      <c r="D172" s="11" t="s">
        <v>42</v>
      </c>
      <c r="E172" s="11" t="s">
        <v>66</v>
      </c>
      <c r="F172" s="13">
        <v>136.58</v>
      </c>
      <c r="G172" s="11" t="s">
        <v>35</v>
      </c>
      <c r="H172" s="11">
        <v>8.0</v>
      </c>
      <c r="I172" s="11" t="s">
        <v>33</v>
      </c>
      <c r="J172" s="11">
        <v>60.0</v>
      </c>
      <c r="K172" s="14">
        <v>120.0</v>
      </c>
      <c r="L172" s="8">
        <v>16.58</v>
      </c>
      <c r="N172" s="11">
        <v>480.0</v>
      </c>
      <c r="O172" s="11">
        <v>2.09783155E8</v>
      </c>
    </row>
    <row r="173">
      <c r="A173" s="9">
        <v>45059.0</v>
      </c>
      <c r="B173" s="11" t="s">
        <v>142</v>
      </c>
      <c r="C173" s="11">
        <v>145.0</v>
      </c>
      <c r="D173" s="11" t="s">
        <v>42</v>
      </c>
      <c r="E173" s="11" t="s">
        <v>66</v>
      </c>
      <c r="F173" s="13">
        <v>136.58</v>
      </c>
      <c r="G173" s="11" t="s">
        <v>35</v>
      </c>
      <c r="H173" s="11">
        <v>8.0</v>
      </c>
      <c r="I173" s="11" t="s">
        <v>33</v>
      </c>
      <c r="J173" s="11">
        <v>60.0</v>
      </c>
      <c r="K173" s="14">
        <v>120.0</v>
      </c>
      <c r="L173" s="8">
        <v>16.58</v>
      </c>
      <c r="N173" s="11">
        <v>480.0</v>
      </c>
      <c r="O173" s="11">
        <v>2.09689458E8</v>
      </c>
    </row>
    <row r="174">
      <c r="A174" s="9">
        <v>45060.0</v>
      </c>
      <c r="B174" s="11" t="s">
        <v>106</v>
      </c>
      <c r="C174" s="11">
        <v>158.82</v>
      </c>
      <c r="D174" s="11" t="s">
        <v>82</v>
      </c>
      <c r="E174" s="11" t="s">
        <v>66</v>
      </c>
      <c r="F174" s="13">
        <v>175.57</v>
      </c>
      <c r="G174" s="11" t="s">
        <v>32</v>
      </c>
      <c r="H174" s="11">
        <v>12.0</v>
      </c>
      <c r="I174" s="11" t="s">
        <v>33</v>
      </c>
      <c r="J174" s="11">
        <v>75.0</v>
      </c>
      <c r="K174" s="14">
        <v>0.0</v>
      </c>
      <c r="L174" s="8">
        <v>175.57</v>
      </c>
      <c r="M174" s="11">
        <v>10.0</v>
      </c>
      <c r="N174" s="11">
        <v>900.0</v>
      </c>
      <c r="O174" s="11">
        <v>2.1001864E8</v>
      </c>
    </row>
    <row r="175">
      <c r="A175" s="9">
        <v>45061.0</v>
      </c>
      <c r="B175" s="11" t="s">
        <v>144</v>
      </c>
      <c r="C175" s="11">
        <v>200.0</v>
      </c>
      <c r="D175" s="11" t="s">
        <v>42</v>
      </c>
      <c r="E175" s="11" t="s">
        <v>66</v>
      </c>
      <c r="F175" s="13">
        <v>188.55</v>
      </c>
      <c r="G175" s="11" t="s">
        <v>32</v>
      </c>
      <c r="H175" s="11">
        <v>12.0</v>
      </c>
      <c r="I175" s="11" t="s">
        <v>33</v>
      </c>
      <c r="J175" s="11">
        <v>75.0</v>
      </c>
      <c r="K175" s="14">
        <v>225.0</v>
      </c>
      <c r="L175" s="8">
        <v>-36.45</v>
      </c>
      <c r="M175" s="11">
        <v>11.0</v>
      </c>
      <c r="N175" s="11">
        <v>900.0</v>
      </c>
      <c r="O175" s="11">
        <v>2.09694068E8</v>
      </c>
    </row>
    <row r="176">
      <c r="A176" s="9">
        <v>45067.0</v>
      </c>
      <c r="B176" s="2" t="s">
        <v>145</v>
      </c>
      <c r="C176" s="8">
        <v>166.67</v>
      </c>
      <c r="D176" s="2" t="s">
        <v>146</v>
      </c>
      <c r="E176" s="2" t="s">
        <v>66</v>
      </c>
      <c r="F176" s="4">
        <v>157.05</v>
      </c>
      <c r="G176" s="11" t="s">
        <v>32</v>
      </c>
      <c r="H176" s="11">
        <v>12.0</v>
      </c>
      <c r="I176" s="11" t="s">
        <v>33</v>
      </c>
      <c r="J176" s="11">
        <v>75.0</v>
      </c>
      <c r="K176" s="14">
        <v>0.0</v>
      </c>
      <c r="L176" s="8">
        <v>157.0</v>
      </c>
      <c r="M176" s="11">
        <v>10.0</v>
      </c>
      <c r="N176" s="11">
        <v>900.0</v>
      </c>
      <c r="O176" s="11">
        <v>2.10625797E8</v>
      </c>
    </row>
    <row r="177">
      <c r="A177" s="9">
        <v>45067.0</v>
      </c>
      <c r="B177" s="11" t="s">
        <v>147</v>
      </c>
      <c r="C177" s="11">
        <v>145.0</v>
      </c>
      <c r="D177" s="11" t="s">
        <v>42</v>
      </c>
      <c r="E177" s="11" t="s">
        <v>66</v>
      </c>
      <c r="F177" s="13">
        <v>136.58</v>
      </c>
      <c r="G177" s="11" t="s">
        <v>35</v>
      </c>
      <c r="H177" s="11">
        <v>8.0</v>
      </c>
      <c r="I177" s="11" t="s">
        <v>33</v>
      </c>
      <c r="J177" s="11">
        <v>60.0</v>
      </c>
      <c r="K177" s="14">
        <v>120.0</v>
      </c>
      <c r="L177" s="8">
        <v>16.58</v>
      </c>
      <c r="N177" s="11">
        <v>480.0</v>
      </c>
      <c r="O177" s="11">
        <v>2.10171566E8</v>
      </c>
    </row>
    <row r="178">
      <c r="A178" s="9">
        <v>45071.0</v>
      </c>
      <c r="B178" s="11" t="s">
        <v>34</v>
      </c>
      <c r="C178" s="11">
        <v>145.0</v>
      </c>
      <c r="D178" s="11" t="s">
        <v>42</v>
      </c>
      <c r="E178" s="11" t="s">
        <v>66</v>
      </c>
      <c r="F178" s="13">
        <v>136.58</v>
      </c>
      <c r="G178" s="11" t="s">
        <v>35</v>
      </c>
      <c r="H178" s="11">
        <v>8.0</v>
      </c>
      <c r="I178" s="11" t="s">
        <v>33</v>
      </c>
      <c r="J178" s="11">
        <v>60.0</v>
      </c>
      <c r="K178" s="14">
        <v>120.0</v>
      </c>
      <c r="L178" s="8">
        <v>16.58</v>
      </c>
      <c r="N178" s="11">
        <v>480.0</v>
      </c>
      <c r="O178" s="11">
        <v>2.11053471E8</v>
      </c>
    </row>
    <row r="179">
      <c r="A179" s="9">
        <v>45075.0</v>
      </c>
      <c r="B179" s="11" t="s">
        <v>113</v>
      </c>
      <c r="C179" s="11">
        <v>200.0</v>
      </c>
      <c r="D179" s="11" t="s">
        <v>42</v>
      </c>
      <c r="E179" s="11" t="s">
        <v>66</v>
      </c>
      <c r="F179" s="13">
        <v>188.55</v>
      </c>
      <c r="G179" s="11" t="s">
        <v>43</v>
      </c>
      <c r="H179" s="11">
        <v>8.0</v>
      </c>
      <c r="I179" s="11" t="s">
        <v>33</v>
      </c>
      <c r="J179" s="11">
        <v>60.0</v>
      </c>
      <c r="K179" s="14">
        <v>120.0</v>
      </c>
      <c r="L179" s="8">
        <v>68.55</v>
      </c>
      <c r="N179" s="11">
        <v>480.0</v>
      </c>
      <c r="O179" s="11">
        <v>2.10830448E8</v>
      </c>
    </row>
    <row r="180">
      <c r="A180" s="9">
        <v>45076.0</v>
      </c>
      <c r="B180" s="11" t="s">
        <v>111</v>
      </c>
      <c r="C180" s="11">
        <v>161.28</v>
      </c>
      <c r="D180" s="11" t="s">
        <v>82</v>
      </c>
      <c r="E180" s="11" t="s">
        <v>31</v>
      </c>
      <c r="F180" s="13">
        <v>200.2</v>
      </c>
      <c r="G180" s="11" t="s">
        <v>43</v>
      </c>
      <c r="H180" s="11">
        <v>8.0</v>
      </c>
      <c r="I180" s="11" t="s">
        <v>33</v>
      </c>
      <c r="J180" s="11">
        <v>60.0</v>
      </c>
      <c r="K180" s="14">
        <v>120.0</v>
      </c>
      <c r="L180" s="8">
        <v>80.2</v>
      </c>
      <c r="N180" s="11">
        <v>480.0</v>
      </c>
      <c r="O180" s="11">
        <v>7.00162039E8</v>
      </c>
    </row>
    <row r="181">
      <c r="A181" s="9">
        <v>45076.0</v>
      </c>
      <c r="B181" s="11" t="s">
        <v>72</v>
      </c>
      <c r="C181" s="11">
        <v>200.0</v>
      </c>
      <c r="D181" s="11" t="s">
        <v>42</v>
      </c>
      <c r="E181" s="11" t="s">
        <v>66</v>
      </c>
      <c r="F181" s="13">
        <v>188.55</v>
      </c>
      <c r="G181" s="11" t="s">
        <v>43</v>
      </c>
      <c r="H181" s="11">
        <v>8.0</v>
      </c>
      <c r="I181" s="11" t="s">
        <v>33</v>
      </c>
      <c r="J181" s="11">
        <v>60.0</v>
      </c>
      <c r="K181" s="14">
        <v>120.0</v>
      </c>
      <c r="L181" s="8">
        <v>68.55</v>
      </c>
      <c r="N181" s="11">
        <v>480.0</v>
      </c>
      <c r="O181" s="11">
        <v>2.10901914E8</v>
      </c>
    </row>
    <row r="182">
      <c r="A182" s="9">
        <v>45076.0</v>
      </c>
      <c r="B182" s="11" t="s">
        <v>148</v>
      </c>
      <c r="C182" s="11">
        <v>200.0</v>
      </c>
      <c r="D182" s="11" t="s">
        <v>42</v>
      </c>
      <c r="E182" s="11" t="s">
        <v>66</v>
      </c>
      <c r="F182" s="13">
        <v>188.55</v>
      </c>
      <c r="G182" s="11" t="s">
        <v>43</v>
      </c>
      <c r="H182" s="11">
        <v>8.0</v>
      </c>
      <c r="I182" s="11" t="s">
        <v>33</v>
      </c>
      <c r="J182" s="11">
        <v>60.0</v>
      </c>
      <c r="K182" s="14">
        <v>120.0</v>
      </c>
      <c r="L182" s="8">
        <v>68.55</v>
      </c>
      <c r="N182" s="11">
        <v>480.0</v>
      </c>
      <c r="O182" s="11">
        <v>2.11041366E8</v>
      </c>
    </row>
    <row r="183">
      <c r="A183" s="9">
        <v>45077.0</v>
      </c>
      <c r="B183" s="11" t="s">
        <v>149</v>
      </c>
      <c r="C183" s="11">
        <v>30.0</v>
      </c>
      <c r="D183" s="11" t="s">
        <v>42</v>
      </c>
      <c r="E183" s="11" t="s">
        <v>66</v>
      </c>
      <c r="F183" s="13">
        <v>27.9</v>
      </c>
      <c r="G183" s="11" t="s">
        <v>43</v>
      </c>
      <c r="H183" s="11">
        <v>1.0</v>
      </c>
      <c r="I183" s="11" t="s">
        <v>44</v>
      </c>
      <c r="J183" s="11">
        <v>60.0</v>
      </c>
      <c r="K183" s="14">
        <v>15.0</v>
      </c>
      <c r="L183" s="8">
        <v>12.9</v>
      </c>
      <c r="N183" s="11">
        <v>60.0</v>
      </c>
      <c r="O183" s="11">
        <v>2.11015171E8</v>
      </c>
    </row>
    <row r="184">
      <c r="A184" s="9">
        <v>45084.0</v>
      </c>
      <c r="B184" s="11" t="s">
        <v>150</v>
      </c>
      <c r="C184" s="11">
        <v>200.0</v>
      </c>
      <c r="D184" s="11" t="s">
        <v>42</v>
      </c>
      <c r="E184" s="11" t="s">
        <v>151</v>
      </c>
      <c r="F184" s="13">
        <v>200.0</v>
      </c>
      <c r="G184" s="11" t="s">
        <v>32</v>
      </c>
      <c r="H184" s="11">
        <v>12.0</v>
      </c>
      <c r="I184" s="11" t="s">
        <v>33</v>
      </c>
      <c r="J184" s="11">
        <v>75.0</v>
      </c>
      <c r="K184" s="14">
        <v>0.0</v>
      </c>
      <c r="L184" s="8">
        <v>200.0</v>
      </c>
      <c r="M184" s="11">
        <v>11.0</v>
      </c>
      <c r="N184" s="11">
        <v>900.0</v>
      </c>
      <c r="O184" s="11" t="s">
        <v>152</v>
      </c>
    </row>
    <row r="185">
      <c r="A185" s="9">
        <v>45084.0</v>
      </c>
      <c r="B185" s="11" t="s">
        <v>153</v>
      </c>
      <c r="C185" s="11">
        <v>300.25</v>
      </c>
      <c r="D185" s="11" t="s">
        <v>154</v>
      </c>
      <c r="E185" s="11" t="s">
        <v>66</v>
      </c>
      <c r="F185" s="13">
        <v>175.56</v>
      </c>
      <c r="G185" s="11" t="s">
        <v>32</v>
      </c>
      <c r="H185" s="11">
        <v>12.0</v>
      </c>
      <c r="I185" s="11" t="s">
        <v>33</v>
      </c>
      <c r="J185" s="11">
        <v>75.0</v>
      </c>
      <c r="K185" s="14">
        <v>0.0</v>
      </c>
      <c r="L185" s="8">
        <v>175.56</v>
      </c>
      <c r="M185" s="11">
        <v>11.0</v>
      </c>
      <c r="N185" s="11">
        <v>900.0</v>
      </c>
      <c r="O185" s="11">
        <v>2.1126471E8</v>
      </c>
    </row>
    <row r="186">
      <c r="A186" s="9">
        <v>45084.0</v>
      </c>
      <c r="B186" s="11" t="s">
        <v>63</v>
      </c>
      <c r="C186" s="11">
        <v>135.73</v>
      </c>
      <c r="D186" s="11" t="s">
        <v>30</v>
      </c>
      <c r="E186" s="11" t="s">
        <v>66</v>
      </c>
      <c r="F186" s="13">
        <v>125.93</v>
      </c>
      <c r="G186" s="11" t="s">
        <v>35</v>
      </c>
      <c r="H186" s="11">
        <v>8.0</v>
      </c>
      <c r="I186" s="11" t="s">
        <v>33</v>
      </c>
      <c r="J186" s="11">
        <v>60.0</v>
      </c>
      <c r="K186" s="14">
        <v>120.0</v>
      </c>
      <c r="L186" s="8">
        <v>5.93</v>
      </c>
      <c r="N186" s="11">
        <v>480.0</v>
      </c>
      <c r="O186" s="11">
        <v>2.11468883E8</v>
      </c>
    </row>
    <row r="187">
      <c r="A187" s="9">
        <v>45085.0</v>
      </c>
      <c r="B187" s="11" t="s">
        <v>149</v>
      </c>
      <c r="C187" s="11">
        <v>200.0</v>
      </c>
      <c r="D187" s="11" t="s">
        <v>42</v>
      </c>
      <c r="E187" s="11" t="s">
        <v>66</v>
      </c>
      <c r="F187" s="13">
        <v>188.55</v>
      </c>
      <c r="G187" s="11" t="s">
        <v>43</v>
      </c>
      <c r="H187" s="11">
        <v>8.0</v>
      </c>
      <c r="I187" s="11" t="s">
        <v>33</v>
      </c>
      <c r="J187" s="11">
        <v>60.0</v>
      </c>
      <c r="K187" s="14">
        <v>120.0</v>
      </c>
      <c r="L187" s="8">
        <v>68.55</v>
      </c>
      <c r="N187" s="11">
        <v>480.0</v>
      </c>
      <c r="O187" s="11">
        <v>2.11275007E8</v>
      </c>
    </row>
    <row r="188">
      <c r="A188" s="9">
        <v>45089.0</v>
      </c>
      <c r="B188" s="11" t="s">
        <v>102</v>
      </c>
      <c r="C188" s="11">
        <v>20.0</v>
      </c>
      <c r="D188" s="11" t="s">
        <v>42</v>
      </c>
      <c r="E188" s="11" t="s">
        <v>66</v>
      </c>
      <c r="F188" s="13">
        <v>18.45</v>
      </c>
      <c r="G188" s="11" t="s">
        <v>35</v>
      </c>
      <c r="H188" s="11">
        <v>1.0</v>
      </c>
      <c r="I188" s="11" t="s">
        <v>44</v>
      </c>
      <c r="J188" s="11">
        <v>60.0</v>
      </c>
      <c r="K188" s="14">
        <v>15.0</v>
      </c>
      <c r="L188" s="8">
        <v>3.45</v>
      </c>
      <c r="N188" s="11">
        <v>60.0</v>
      </c>
      <c r="O188" s="11">
        <v>2.11874142E8</v>
      </c>
    </row>
    <row r="189">
      <c r="A189" s="9">
        <v>45090.0</v>
      </c>
      <c r="B189" s="11" t="s">
        <v>46</v>
      </c>
      <c r="C189" s="11">
        <v>80.0</v>
      </c>
      <c r="D189" s="11" t="s">
        <v>42</v>
      </c>
      <c r="E189" s="11" t="s">
        <v>66</v>
      </c>
      <c r="F189" s="13">
        <v>75.15</v>
      </c>
      <c r="G189" s="11" t="s">
        <v>35</v>
      </c>
      <c r="H189" s="11">
        <v>4.0</v>
      </c>
      <c r="I189" s="11" t="s">
        <v>44</v>
      </c>
      <c r="J189" s="11">
        <v>60.0</v>
      </c>
      <c r="K189" s="14">
        <v>0.0</v>
      </c>
      <c r="L189" s="8">
        <v>75.15</v>
      </c>
      <c r="N189" s="11">
        <v>240.0</v>
      </c>
      <c r="O189" s="11">
        <v>2.11918057E8</v>
      </c>
    </row>
    <row r="190">
      <c r="A190" s="9">
        <v>45103.0</v>
      </c>
      <c r="B190" s="11" t="s">
        <v>110</v>
      </c>
      <c r="C190" s="11">
        <v>200.0</v>
      </c>
      <c r="D190" s="11" t="s">
        <v>42</v>
      </c>
      <c r="E190" s="11" t="s">
        <v>66</v>
      </c>
      <c r="F190" s="13">
        <v>188.55</v>
      </c>
      <c r="G190" s="11" t="s">
        <v>43</v>
      </c>
      <c r="H190" s="11">
        <v>8.0</v>
      </c>
      <c r="I190" s="11" t="s">
        <v>33</v>
      </c>
      <c r="J190" s="11">
        <v>60.0</v>
      </c>
      <c r="K190" s="14">
        <v>0.0</v>
      </c>
      <c r="L190" s="8">
        <v>188.55</v>
      </c>
      <c r="N190" s="11">
        <v>480.0</v>
      </c>
      <c r="O190" s="11">
        <v>2.12296915E8</v>
      </c>
    </row>
    <row r="191">
      <c r="A191" s="9">
        <v>45103.0</v>
      </c>
      <c r="B191" s="11" t="s">
        <v>155</v>
      </c>
      <c r="C191" s="11">
        <v>20.0</v>
      </c>
      <c r="D191" s="11" t="s">
        <v>42</v>
      </c>
      <c r="E191" s="11" t="s">
        <v>66</v>
      </c>
      <c r="F191" s="13">
        <v>18.45</v>
      </c>
      <c r="G191" s="11" t="s">
        <v>35</v>
      </c>
      <c r="H191" s="11">
        <v>1.0</v>
      </c>
      <c r="I191" s="11" t="s">
        <v>44</v>
      </c>
      <c r="J191" s="11">
        <v>60.0</v>
      </c>
      <c r="K191" s="14">
        <v>0.0</v>
      </c>
      <c r="L191" s="8">
        <v>18.45</v>
      </c>
      <c r="N191" s="11">
        <v>60.0</v>
      </c>
      <c r="O191" s="11">
        <v>2.12233385E8</v>
      </c>
    </row>
    <row r="192">
      <c r="A192" s="9">
        <v>45105.0</v>
      </c>
      <c r="B192" s="11" t="s">
        <v>156</v>
      </c>
      <c r="C192" s="11">
        <v>20.0</v>
      </c>
      <c r="D192" s="11" t="s">
        <v>42</v>
      </c>
      <c r="E192" s="11" t="s">
        <v>66</v>
      </c>
      <c r="F192" s="13">
        <v>18.45</v>
      </c>
      <c r="G192" s="11" t="s">
        <v>35</v>
      </c>
      <c r="H192" s="11">
        <v>1.0</v>
      </c>
      <c r="I192" s="11" t="s">
        <v>44</v>
      </c>
      <c r="J192" s="11">
        <v>60.0</v>
      </c>
      <c r="K192" s="14">
        <v>0.0</v>
      </c>
      <c r="L192" s="8">
        <v>18.45</v>
      </c>
      <c r="N192" s="11">
        <v>60.0</v>
      </c>
      <c r="O192" s="11">
        <v>2.12829398E8</v>
      </c>
    </row>
    <row r="193">
      <c r="A193" s="9">
        <v>45110.498611111114</v>
      </c>
      <c r="B193" s="11" t="s">
        <v>49</v>
      </c>
      <c r="C193" s="11">
        <v>145.0</v>
      </c>
      <c r="D193" s="11" t="s">
        <v>42</v>
      </c>
      <c r="E193" s="11" t="s">
        <v>66</v>
      </c>
      <c r="F193" s="13">
        <v>136.58</v>
      </c>
      <c r="G193" s="11" t="s">
        <v>35</v>
      </c>
      <c r="H193" s="11">
        <v>8.0</v>
      </c>
      <c r="I193" s="11" t="s">
        <v>33</v>
      </c>
      <c r="J193" s="11">
        <v>60.0</v>
      </c>
      <c r="K193" s="14">
        <v>0.0</v>
      </c>
      <c r="L193" s="8">
        <v>136.58</v>
      </c>
      <c r="N193" s="11">
        <v>480.0</v>
      </c>
      <c r="O193" s="11">
        <v>2.12779785E8</v>
      </c>
    </row>
    <row r="194">
      <c r="A194" s="9">
        <v>45114.925</v>
      </c>
      <c r="B194" s="11" t="s">
        <v>127</v>
      </c>
      <c r="C194" s="11">
        <v>200.0</v>
      </c>
      <c r="D194" s="11" t="s">
        <v>42</v>
      </c>
      <c r="E194" s="11" t="s">
        <v>66</v>
      </c>
      <c r="F194" s="13">
        <v>188.55</v>
      </c>
      <c r="G194" s="11" t="s">
        <v>43</v>
      </c>
      <c r="H194" s="11">
        <v>8.0</v>
      </c>
      <c r="I194" s="11" t="s">
        <v>33</v>
      </c>
      <c r="J194" s="11">
        <v>60.0</v>
      </c>
      <c r="K194" s="14">
        <v>120.0</v>
      </c>
      <c r="L194" s="8">
        <v>68.55</v>
      </c>
      <c r="N194" s="11">
        <v>480.0</v>
      </c>
      <c r="O194" s="11">
        <v>2.13452169E8</v>
      </c>
    </row>
    <row r="195">
      <c r="A195" s="9">
        <v>45117.86597222222</v>
      </c>
      <c r="B195" s="11" t="s">
        <v>157</v>
      </c>
      <c r="C195" s="11">
        <v>145.0</v>
      </c>
      <c r="D195" s="11" t="s">
        <v>42</v>
      </c>
      <c r="E195" s="11" t="s">
        <v>66</v>
      </c>
      <c r="F195" s="13">
        <v>136.58</v>
      </c>
      <c r="G195" s="11" t="s">
        <v>35</v>
      </c>
      <c r="H195" s="11">
        <v>8.0</v>
      </c>
      <c r="I195" s="11" t="s">
        <v>33</v>
      </c>
      <c r="J195" s="11">
        <v>60.0</v>
      </c>
      <c r="K195" s="14">
        <v>0.0</v>
      </c>
      <c r="L195" s="8">
        <v>136.58</v>
      </c>
      <c r="N195" s="11">
        <v>480.0</v>
      </c>
      <c r="O195" s="11">
        <v>2.13633219E8</v>
      </c>
    </row>
    <row r="196">
      <c r="A196" s="9">
        <v>45117.97222222222</v>
      </c>
      <c r="B196" s="11" t="s">
        <v>155</v>
      </c>
      <c r="C196" s="11">
        <v>200.0</v>
      </c>
      <c r="D196" s="11" t="s">
        <v>42</v>
      </c>
      <c r="E196" s="11" t="s">
        <v>66</v>
      </c>
      <c r="F196" s="13">
        <v>188.55</v>
      </c>
      <c r="G196" s="11" t="s">
        <v>43</v>
      </c>
      <c r="H196" s="11">
        <v>8.0</v>
      </c>
      <c r="I196" s="11" t="s">
        <v>33</v>
      </c>
      <c r="J196" s="11">
        <v>60.0</v>
      </c>
      <c r="K196" s="14">
        <v>0.0</v>
      </c>
      <c r="L196" s="8">
        <v>188.55</v>
      </c>
      <c r="N196" s="11">
        <v>480.0</v>
      </c>
      <c r="O196" s="11">
        <v>2.13334762E8</v>
      </c>
    </row>
    <row r="197">
      <c r="A197" s="9">
        <v>45120.509722222225</v>
      </c>
      <c r="B197" s="11" t="s">
        <v>141</v>
      </c>
      <c r="C197" s="11">
        <v>145.0</v>
      </c>
      <c r="D197" s="11" t="s">
        <v>42</v>
      </c>
      <c r="E197" s="11" t="s">
        <v>66</v>
      </c>
      <c r="F197" s="13">
        <v>136.58</v>
      </c>
      <c r="G197" s="11" t="s">
        <v>35</v>
      </c>
      <c r="H197" s="11">
        <v>8.0</v>
      </c>
      <c r="I197" s="11" t="s">
        <v>33</v>
      </c>
      <c r="J197" s="11">
        <v>60.0</v>
      </c>
      <c r="K197" s="14">
        <v>0.0</v>
      </c>
      <c r="L197" s="8">
        <v>136.58</v>
      </c>
      <c r="N197" s="11">
        <v>480.0</v>
      </c>
      <c r="O197" s="11">
        <v>2.13235671E8</v>
      </c>
    </row>
    <row r="198">
      <c r="A198" s="9">
        <v>45121.333333333336</v>
      </c>
      <c r="B198" s="11" t="s">
        <v>158</v>
      </c>
      <c r="C198" s="11">
        <v>200.0</v>
      </c>
      <c r="D198" s="11" t="s">
        <v>42</v>
      </c>
      <c r="E198" s="11" t="s">
        <v>66</v>
      </c>
      <c r="F198" s="13">
        <v>188.55</v>
      </c>
      <c r="G198" s="11" t="s">
        <v>43</v>
      </c>
      <c r="H198" s="11">
        <v>8.0</v>
      </c>
      <c r="I198" s="11" t="s">
        <v>33</v>
      </c>
      <c r="J198" s="11">
        <v>60.0</v>
      </c>
      <c r="K198" s="14">
        <v>0.0</v>
      </c>
      <c r="L198" s="8">
        <v>188.55</v>
      </c>
      <c r="N198" s="11">
        <v>480.0</v>
      </c>
      <c r="O198" s="11">
        <v>2.13657397E8</v>
      </c>
    </row>
    <row r="199">
      <c r="A199" s="9">
        <v>45121.995833333334</v>
      </c>
      <c r="B199" s="11" t="s">
        <v>100</v>
      </c>
      <c r="C199" s="11">
        <v>200.0</v>
      </c>
      <c r="D199" s="11" t="s">
        <v>42</v>
      </c>
      <c r="E199" s="11" t="s">
        <v>66</v>
      </c>
      <c r="F199" s="13">
        <v>188.55</v>
      </c>
      <c r="G199" s="11" t="s">
        <v>43</v>
      </c>
      <c r="H199" s="11">
        <v>8.0</v>
      </c>
      <c r="I199" s="11" t="s">
        <v>33</v>
      </c>
      <c r="J199" s="11">
        <v>60.0</v>
      </c>
      <c r="K199" s="14">
        <v>0.0</v>
      </c>
      <c r="L199" s="8">
        <v>188.55</v>
      </c>
      <c r="N199" s="11">
        <v>480.0</v>
      </c>
      <c r="O199" s="11">
        <v>2.13868574E8</v>
      </c>
    </row>
    <row r="200">
      <c r="A200" s="9">
        <v>45123.0</v>
      </c>
      <c r="B200" s="11" t="s">
        <v>159</v>
      </c>
      <c r="C200" s="11">
        <v>28.0</v>
      </c>
      <c r="D200" s="11" t="s">
        <v>30</v>
      </c>
      <c r="E200" s="11" t="s">
        <v>31</v>
      </c>
      <c r="F200" s="13">
        <v>31.43</v>
      </c>
      <c r="G200" s="11" t="s">
        <v>43</v>
      </c>
      <c r="H200" s="11">
        <v>1.0</v>
      </c>
      <c r="I200" s="11" t="s">
        <v>44</v>
      </c>
      <c r="J200" s="11">
        <v>60.0</v>
      </c>
      <c r="K200" s="14">
        <v>0.0</v>
      </c>
      <c r="L200" s="8">
        <v>31.43</v>
      </c>
      <c r="N200" s="11">
        <v>60.0</v>
      </c>
      <c r="O200" s="11">
        <v>7.45231653E8</v>
      </c>
    </row>
    <row r="201">
      <c r="A201" s="9">
        <v>45123.92222222222</v>
      </c>
      <c r="B201" s="11" t="s">
        <v>160</v>
      </c>
      <c r="C201" s="11">
        <v>30.0</v>
      </c>
      <c r="D201" s="11" t="s">
        <v>42</v>
      </c>
      <c r="E201" s="11" t="s">
        <v>66</v>
      </c>
      <c r="F201" s="13">
        <v>27.9</v>
      </c>
      <c r="G201" s="11" t="s">
        <v>43</v>
      </c>
      <c r="H201" s="11">
        <v>1.0</v>
      </c>
      <c r="I201" s="11" t="s">
        <v>44</v>
      </c>
      <c r="J201" s="11">
        <v>60.0</v>
      </c>
      <c r="K201" s="14">
        <v>0.0</v>
      </c>
      <c r="L201" s="8">
        <v>27.9</v>
      </c>
      <c r="N201" s="11">
        <v>60.0</v>
      </c>
      <c r="O201" s="11">
        <v>2.14003228E8</v>
      </c>
    </row>
    <row r="202">
      <c r="A202" s="9">
        <v>45124.11111111111</v>
      </c>
      <c r="B202" s="11" t="s">
        <v>102</v>
      </c>
      <c r="C202" s="11">
        <v>20.0</v>
      </c>
      <c r="D202" s="11" t="s">
        <v>42</v>
      </c>
      <c r="E202" s="11" t="s">
        <v>66</v>
      </c>
      <c r="F202" s="13">
        <v>18.45</v>
      </c>
      <c r="G202" s="11" t="s">
        <v>35</v>
      </c>
      <c r="H202" s="11">
        <v>1.0</v>
      </c>
      <c r="I202" s="11" t="s">
        <v>44</v>
      </c>
      <c r="J202" s="11">
        <v>60.0</v>
      </c>
      <c r="K202" s="14">
        <v>0.0</v>
      </c>
      <c r="L202" s="8">
        <v>18.45</v>
      </c>
      <c r="N202" s="11">
        <v>60.0</v>
      </c>
      <c r="O202" s="11">
        <v>2.13949923E8</v>
      </c>
    </row>
    <row r="203">
      <c r="A203" s="9">
        <v>45124.13263888889</v>
      </c>
      <c r="B203" s="11" t="s">
        <v>140</v>
      </c>
      <c r="C203" s="11">
        <v>200.0</v>
      </c>
      <c r="D203" s="11" t="s">
        <v>42</v>
      </c>
      <c r="E203" s="11" t="s">
        <v>66</v>
      </c>
      <c r="F203" s="13">
        <v>188.55</v>
      </c>
      <c r="G203" s="11" t="s">
        <v>43</v>
      </c>
      <c r="H203" s="11">
        <v>8.0</v>
      </c>
      <c r="I203" s="11" t="s">
        <v>33</v>
      </c>
      <c r="J203" s="11">
        <v>60.0</v>
      </c>
      <c r="K203" s="14">
        <v>0.0</v>
      </c>
      <c r="L203" s="8">
        <v>188.55</v>
      </c>
      <c r="N203" s="11">
        <v>480.0</v>
      </c>
      <c r="O203" s="11">
        <v>2.1402304E8</v>
      </c>
    </row>
    <row r="204">
      <c r="A204" s="9">
        <v>45125.0</v>
      </c>
      <c r="B204" s="11" t="s">
        <v>111</v>
      </c>
      <c r="C204" s="11">
        <v>162.0</v>
      </c>
      <c r="D204" s="11" t="s">
        <v>82</v>
      </c>
      <c r="E204" s="11" t="s">
        <v>31</v>
      </c>
      <c r="F204" s="13">
        <v>211.16</v>
      </c>
      <c r="G204" s="11" t="s">
        <v>43</v>
      </c>
      <c r="H204" s="11">
        <v>8.0</v>
      </c>
      <c r="I204" s="11" t="s">
        <v>33</v>
      </c>
      <c r="J204" s="11">
        <v>60.0</v>
      </c>
      <c r="K204" s="14">
        <v>120.0</v>
      </c>
      <c r="L204" s="8">
        <v>91.16</v>
      </c>
      <c r="N204" s="11">
        <v>480.0</v>
      </c>
      <c r="O204" s="11">
        <v>7.47276509E8</v>
      </c>
    </row>
    <row r="205">
      <c r="A205" s="9">
        <v>45129.72083333333</v>
      </c>
      <c r="B205" s="11" t="s">
        <v>161</v>
      </c>
      <c r="C205" s="11">
        <v>178.62</v>
      </c>
      <c r="D205" s="11" t="s">
        <v>30</v>
      </c>
      <c r="E205" s="11" t="s">
        <v>66</v>
      </c>
      <c r="F205" s="13">
        <v>139.47</v>
      </c>
      <c r="G205" s="11" t="s">
        <v>32</v>
      </c>
      <c r="H205" s="11">
        <v>12.0</v>
      </c>
      <c r="I205" s="11" t="s">
        <v>33</v>
      </c>
      <c r="J205" s="11">
        <v>75.0</v>
      </c>
      <c r="K205" s="14">
        <v>0.0</v>
      </c>
      <c r="L205" s="8">
        <v>139.47</v>
      </c>
      <c r="M205" s="11">
        <v>12.0</v>
      </c>
      <c r="N205" s="11">
        <v>900.0</v>
      </c>
      <c r="O205" s="11">
        <v>2.14245239E8</v>
      </c>
    </row>
    <row r="206">
      <c r="A206" s="9">
        <v>45130.0</v>
      </c>
      <c r="B206" s="11" t="s">
        <v>162</v>
      </c>
      <c r="C206" s="11">
        <v>160.0</v>
      </c>
      <c r="D206" s="11" t="s">
        <v>42</v>
      </c>
      <c r="E206" s="11" t="s">
        <v>163</v>
      </c>
      <c r="F206" s="13">
        <v>151.50306783208995</v>
      </c>
      <c r="G206" s="11" t="s">
        <v>32</v>
      </c>
      <c r="H206" s="11">
        <v>12.0</v>
      </c>
      <c r="I206" s="11" t="s">
        <v>33</v>
      </c>
      <c r="J206" s="11">
        <v>75.0</v>
      </c>
      <c r="K206" s="14">
        <v>0.0</v>
      </c>
      <c r="L206" s="8">
        <v>154.51</v>
      </c>
      <c r="M206" s="11">
        <v>12.0</v>
      </c>
      <c r="N206" s="11">
        <v>900.0</v>
      </c>
      <c r="O206" s="11" t="s">
        <v>164</v>
      </c>
    </row>
    <row r="207">
      <c r="A207" s="9">
        <v>45130.0</v>
      </c>
      <c r="B207" s="11" t="s">
        <v>165</v>
      </c>
      <c r="C207" s="11">
        <v>160.0</v>
      </c>
      <c r="D207" s="11" t="s">
        <v>42</v>
      </c>
      <c r="E207" s="11" t="s">
        <v>163</v>
      </c>
      <c r="F207" s="13">
        <v>151.50306783208995</v>
      </c>
      <c r="G207" s="11" t="s">
        <v>32</v>
      </c>
      <c r="H207" s="11">
        <v>12.0</v>
      </c>
      <c r="I207" s="11" t="s">
        <v>33</v>
      </c>
      <c r="J207" s="11">
        <v>75.0</v>
      </c>
      <c r="K207" s="14">
        <v>0.0</v>
      </c>
      <c r="L207" s="8">
        <v>154.51</v>
      </c>
      <c r="M207" s="11">
        <v>13.0</v>
      </c>
      <c r="N207" s="11">
        <v>900.0</v>
      </c>
      <c r="O207" s="11" t="s">
        <v>166</v>
      </c>
    </row>
    <row r="208">
      <c r="A208" s="9">
        <v>45131.60833333333</v>
      </c>
      <c r="B208" s="11" t="s">
        <v>167</v>
      </c>
      <c r="C208" s="11">
        <v>30.0</v>
      </c>
      <c r="D208" s="11" t="s">
        <v>42</v>
      </c>
      <c r="E208" s="11" t="s">
        <v>66</v>
      </c>
      <c r="F208" s="13">
        <v>27.9</v>
      </c>
      <c r="G208" s="11" t="s">
        <v>43</v>
      </c>
      <c r="H208" s="11">
        <v>1.0</v>
      </c>
      <c r="I208" s="11" t="s">
        <v>44</v>
      </c>
      <c r="J208" s="11">
        <v>60.0</v>
      </c>
      <c r="K208" s="14">
        <v>0.0</v>
      </c>
      <c r="L208" s="8">
        <v>27.9</v>
      </c>
      <c r="N208" s="11">
        <v>60.0</v>
      </c>
      <c r="O208" s="11">
        <v>2.14240837E8</v>
      </c>
    </row>
    <row r="209">
      <c r="A209" s="9">
        <v>45131.78888888889</v>
      </c>
      <c r="B209" s="11" t="s">
        <v>168</v>
      </c>
      <c r="C209" s="11">
        <v>200.0</v>
      </c>
      <c r="D209" s="11" t="s">
        <v>42</v>
      </c>
      <c r="E209" s="11" t="s">
        <v>66</v>
      </c>
      <c r="F209" s="13">
        <v>188.55</v>
      </c>
      <c r="G209" s="11" t="s">
        <v>43</v>
      </c>
      <c r="H209" s="11">
        <v>8.0</v>
      </c>
      <c r="I209" s="11" t="s">
        <v>33</v>
      </c>
      <c r="J209" s="11">
        <v>60.0</v>
      </c>
      <c r="K209" s="14">
        <v>0.0</v>
      </c>
      <c r="L209" s="8">
        <v>188.55</v>
      </c>
      <c r="N209" s="11">
        <v>480.0</v>
      </c>
      <c r="O209" s="11">
        <v>2.14524578E8</v>
      </c>
    </row>
    <row r="210">
      <c r="A210" s="9">
        <v>45133.0</v>
      </c>
      <c r="B210" s="11" t="s">
        <v>159</v>
      </c>
      <c r="C210" s="11">
        <v>27.09</v>
      </c>
      <c r="D210" s="11" t="s">
        <v>30</v>
      </c>
      <c r="E210" s="11" t="s">
        <v>31</v>
      </c>
      <c r="F210" s="13">
        <v>30.01</v>
      </c>
      <c r="G210" s="11" t="s">
        <v>43</v>
      </c>
      <c r="H210" s="11">
        <v>1.0</v>
      </c>
      <c r="I210" s="11" t="s">
        <v>44</v>
      </c>
      <c r="J210" s="11">
        <v>60.0</v>
      </c>
      <c r="K210" s="14">
        <v>0.0</v>
      </c>
      <c r="L210" s="8">
        <v>30.01</v>
      </c>
      <c r="N210" s="11">
        <v>60.0</v>
      </c>
      <c r="O210" s="11">
        <v>7.54462215E8</v>
      </c>
    </row>
    <row r="211">
      <c r="A211" s="9">
        <v>45135.4125</v>
      </c>
      <c r="B211" s="11" t="s">
        <v>169</v>
      </c>
      <c r="C211" s="11">
        <v>200.0</v>
      </c>
      <c r="D211" s="11" t="s">
        <v>42</v>
      </c>
      <c r="E211" s="11" t="s">
        <v>66</v>
      </c>
      <c r="F211" s="13">
        <v>188.55</v>
      </c>
      <c r="G211" s="11" t="s">
        <v>43</v>
      </c>
      <c r="H211" s="11">
        <v>8.0</v>
      </c>
      <c r="I211" s="11" t="s">
        <v>33</v>
      </c>
      <c r="J211" s="11">
        <v>60.0</v>
      </c>
      <c r="K211" s="14">
        <v>0.0</v>
      </c>
      <c r="L211" s="8">
        <v>188.55</v>
      </c>
      <c r="N211" s="11">
        <v>480.0</v>
      </c>
      <c r="O211" s="11">
        <v>2.14551078E8</v>
      </c>
    </row>
    <row r="212">
      <c r="A212" s="9">
        <v>45136.555555555555</v>
      </c>
      <c r="B212" s="11" t="s">
        <v>170</v>
      </c>
      <c r="C212" s="11">
        <v>30.0</v>
      </c>
      <c r="D212" s="11" t="s">
        <v>42</v>
      </c>
      <c r="E212" s="11" t="s">
        <v>66</v>
      </c>
      <c r="F212" s="13">
        <v>27.9</v>
      </c>
      <c r="G212" s="11" t="s">
        <v>43</v>
      </c>
      <c r="H212" s="11">
        <v>1.0</v>
      </c>
      <c r="I212" s="11" t="s">
        <v>44</v>
      </c>
      <c r="J212" s="11">
        <v>60.0</v>
      </c>
      <c r="K212" s="14">
        <v>0.0</v>
      </c>
      <c r="L212" s="8">
        <v>27.9</v>
      </c>
      <c r="N212" s="11">
        <v>60.0</v>
      </c>
      <c r="O212" s="11">
        <v>2.15095652E8</v>
      </c>
    </row>
    <row r="213">
      <c r="A213" s="9">
        <v>45139.0</v>
      </c>
      <c r="B213" s="11" t="s">
        <v>171</v>
      </c>
      <c r="C213" s="11">
        <v>160.0</v>
      </c>
      <c r="D213" s="11" t="s">
        <v>42</v>
      </c>
      <c r="E213" s="11" t="s">
        <v>163</v>
      </c>
      <c r="F213" s="13">
        <v>151.7224002793388</v>
      </c>
      <c r="G213" s="11" t="s">
        <v>32</v>
      </c>
      <c r="H213" s="11">
        <v>12.0</v>
      </c>
      <c r="I213" s="11" t="s">
        <v>33</v>
      </c>
      <c r="J213" s="11">
        <v>75.0</v>
      </c>
      <c r="K213" s="14">
        <v>0.0</v>
      </c>
      <c r="L213" s="8">
        <v>154.51</v>
      </c>
      <c r="M213" s="11">
        <v>12.0</v>
      </c>
      <c r="N213" s="11">
        <v>900.0</v>
      </c>
      <c r="O213" s="11" t="s">
        <v>172</v>
      </c>
    </row>
    <row r="214">
      <c r="A214" s="9">
        <v>45139.0</v>
      </c>
      <c r="B214" s="11" t="s">
        <v>173</v>
      </c>
      <c r="C214" s="11">
        <v>160.0</v>
      </c>
      <c r="D214" s="11" t="s">
        <v>42</v>
      </c>
      <c r="E214" s="11" t="s">
        <v>163</v>
      </c>
      <c r="F214" s="13">
        <v>151.7224002793388</v>
      </c>
      <c r="G214" s="11" t="s">
        <v>32</v>
      </c>
      <c r="H214" s="11">
        <v>12.0</v>
      </c>
      <c r="I214" s="11" t="s">
        <v>33</v>
      </c>
      <c r="J214" s="11">
        <v>75.0</v>
      </c>
      <c r="K214" s="14">
        <v>0.0</v>
      </c>
      <c r="L214" s="8">
        <v>154.51</v>
      </c>
      <c r="M214" s="11">
        <v>13.0</v>
      </c>
      <c r="N214" s="11">
        <v>900.0</v>
      </c>
      <c r="O214" s="11" t="s">
        <v>174</v>
      </c>
    </row>
    <row r="215">
      <c r="A215" s="9">
        <v>45139.2125</v>
      </c>
      <c r="B215" s="11" t="s">
        <v>78</v>
      </c>
      <c r="C215" s="11">
        <v>160.0</v>
      </c>
      <c r="D215" s="11" t="s">
        <v>42</v>
      </c>
      <c r="E215" s="11" t="s">
        <v>66</v>
      </c>
      <c r="F215" s="13">
        <v>150.75</v>
      </c>
      <c r="G215" s="11" t="s">
        <v>32</v>
      </c>
      <c r="H215" s="11">
        <v>12.0</v>
      </c>
      <c r="I215" s="11" t="s">
        <v>33</v>
      </c>
      <c r="J215" s="11">
        <v>75.0</v>
      </c>
      <c r="K215" s="14">
        <v>0.0</v>
      </c>
      <c r="L215" s="8">
        <v>150.75</v>
      </c>
      <c r="M215" s="11">
        <v>12.0</v>
      </c>
      <c r="N215" s="11">
        <v>900.0</v>
      </c>
      <c r="O215" s="11">
        <v>2.14650167E8</v>
      </c>
    </row>
    <row r="216">
      <c r="A216" s="9">
        <v>45140.14722222222</v>
      </c>
      <c r="B216" s="11" t="s">
        <v>34</v>
      </c>
      <c r="C216" s="11">
        <v>145.0</v>
      </c>
      <c r="D216" s="11" t="s">
        <v>42</v>
      </c>
      <c r="E216" s="11" t="s">
        <v>66</v>
      </c>
      <c r="F216" s="13">
        <v>136.58</v>
      </c>
      <c r="G216" s="11" t="s">
        <v>35</v>
      </c>
      <c r="H216" s="11">
        <v>8.0</v>
      </c>
      <c r="I216" s="11" t="s">
        <v>33</v>
      </c>
      <c r="J216" s="11">
        <v>60.0</v>
      </c>
      <c r="K216" s="14">
        <v>0.0</v>
      </c>
      <c r="L216" s="8">
        <v>136.58</v>
      </c>
      <c r="N216" s="11">
        <v>480.0</v>
      </c>
      <c r="O216" s="11">
        <v>2.14691743E8</v>
      </c>
    </row>
    <row r="217">
      <c r="A217" s="9">
        <v>45143.67013888889</v>
      </c>
      <c r="B217" s="11" t="s">
        <v>139</v>
      </c>
      <c r="C217" s="11">
        <v>200.0</v>
      </c>
      <c r="D217" s="11" t="s">
        <v>42</v>
      </c>
      <c r="E217" s="11" t="s">
        <v>66</v>
      </c>
      <c r="F217" s="13">
        <v>188.55</v>
      </c>
      <c r="G217" s="11" t="s">
        <v>43</v>
      </c>
      <c r="H217" s="11">
        <v>8.0</v>
      </c>
      <c r="I217" s="11" t="s">
        <v>33</v>
      </c>
      <c r="J217" s="11">
        <v>60.0</v>
      </c>
      <c r="K217" s="14">
        <v>0.0</v>
      </c>
      <c r="L217" s="8">
        <v>188.55</v>
      </c>
      <c r="N217" s="11">
        <v>480.0</v>
      </c>
      <c r="O217" s="11">
        <v>2.14983492E8</v>
      </c>
    </row>
    <row r="218">
      <c r="A218" s="9">
        <v>45143.75277777778</v>
      </c>
      <c r="B218" s="11" t="s">
        <v>175</v>
      </c>
      <c r="C218" s="11">
        <v>160.0</v>
      </c>
      <c r="D218" s="11" t="s">
        <v>42</v>
      </c>
      <c r="E218" s="11" t="s">
        <v>66</v>
      </c>
      <c r="F218" s="13">
        <v>150.75</v>
      </c>
      <c r="G218" s="11" t="s">
        <v>32</v>
      </c>
      <c r="H218" s="11">
        <v>12.0</v>
      </c>
      <c r="I218" s="11" t="s">
        <v>33</v>
      </c>
      <c r="J218" s="11">
        <v>75.0</v>
      </c>
      <c r="K218" s="14">
        <v>0.0</v>
      </c>
      <c r="L218" s="8">
        <v>150.75</v>
      </c>
      <c r="M218" s="11">
        <v>12.0</v>
      </c>
      <c r="N218" s="11">
        <v>900.0</v>
      </c>
      <c r="O218" s="11">
        <v>2.15134764E8</v>
      </c>
    </row>
    <row r="219">
      <c r="A219" s="9">
        <v>45145.467361111114</v>
      </c>
      <c r="B219" s="11" t="s">
        <v>167</v>
      </c>
      <c r="C219" s="11">
        <v>30.0</v>
      </c>
      <c r="D219" s="11" t="s">
        <v>42</v>
      </c>
      <c r="E219" s="11" t="s">
        <v>66</v>
      </c>
      <c r="F219" s="13">
        <v>27.9</v>
      </c>
      <c r="G219" s="11" t="s">
        <v>43</v>
      </c>
      <c r="H219" s="11">
        <v>1.0</v>
      </c>
      <c r="I219" s="11" t="s">
        <v>44</v>
      </c>
      <c r="J219" s="11">
        <v>60.0</v>
      </c>
      <c r="K219" s="14">
        <v>0.0</v>
      </c>
      <c r="L219" s="8">
        <v>27.9</v>
      </c>
      <c r="N219" s="11">
        <v>60.0</v>
      </c>
      <c r="O219" s="11">
        <v>2.15581653E8</v>
      </c>
    </row>
    <row r="220">
      <c r="A220" s="9">
        <v>45145.77777777778</v>
      </c>
      <c r="B220" s="11" t="s">
        <v>176</v>
      </c>
      <c r="C220" s="11">
        <v>200.0</v>
      </c>
      <c r="D220" s="11" t="s">
        <v>42</v>
      </c>
      <c r="E220" s="11" t="s">
        <v>66</v>
      </c>
      <c r="F220" s="13">
        <v>188.55</v>
      </c>
      <c r="G220" s="11" t="s">
        <v>43</v>
      </c>
      <c r="H220" s="11">
        <v>8.0</v>
      </c>
      <c r="I220" s="11" t="s">
        <v>33</v>
      </c>
      <c r="J220" s="11">
        <v>60.0</v>
      </c>
      <c r="K220" s="14">
        <v>0.0</v>
      </c>
      <c r="L220" s="8">
        <v>188.55</v>
      </c>
      <c r="N220" s="11">
        <v>480.0</v>
      </c>
      <c r="O220" s="11">
        <v>2.15193524E8</v>
      </c>
    </row>
    <row r="221">
      <c r="A221" s="9">
        <v>45145.87777777778</v>
      </c>
      <c r="B221" s="11" t="s">
        <v>69</v>
      </c>
      <c r="C221" s="11">
        <v>200.0</v>
      </c>
      <c r="D221" s="11" t="s">
        <v>42</v>
      </c>
      <c r="E221" s="11" t="s">
        <v>66</v>
      </c>
      <c r="F221" s="13">
        <v>188.55</v>
      </c>
      <c r="G221" s="11" t="s">
        <v>32</v>
      </c>
      <c r="H221" s="11">
        <v>12.0</v>
      </c>
      <c r="I221" s="11" t="s">
        <v>33</v>
      </c>
      <c r="J221" s="11">
        <v>75.0</v>
      </c>
      <c r="K221" s="14">
        <v>0.0</v>
      </c>
      <c r="L221" s="8">
        <v>188.55</v>
      </c>
      <c r="M221" s="11">
        <v>14.0</v>
      </c>
      <c r="N221" s="11">
        <v>900.0</v>
      </c>
      <c r="O221" s="11">
        <v>2.15395764E8</v>
      </c>
    </row>
    <row r="222">
      <c r="A222" s="9">
        <v>45145.899305555555</v>
      </c>
      <c r="B222" s="11" t="s">
        <v>145</v>
      </c>
      <c r="C222" s="11">
        <v>200.0</v>
      </c>
      <c r="D222" s="11" t="s">
        <v>42</v>
      </c>
      <c r="E222" s="11" t="s">
        <v>66</v>
      </c>
      <c r="F222" s="13">
        <v>188.55</v>
      </c>
      <c r="G222" s="11" t="s">
        <v>32</v>
      </c>
      <c r="H222" s="11">
        <v>12.0</v>
      </c>
      <c r="I222" s="11" t="s">
        <v>33</v>
      </c>
      <c r="J222" s="11">
        <v>75.0</v>
      </c>
      <c r="K222" s="14">
        <v>0.0</v>
      </c>
      <c r="L222" s="8">
        <v>188.55</v>
      </c>
      <c r="M222" s="11">
        <v>14.0</v>
      </c>
      <c r="N222" s="11">
        <v>900.0</v>
      </c>
      <c r="O222" s="11">
        <v>2.15399828E8</v>
      </c>
    </row>
    <row r="223">
      <c r="A223" s="9">
        <v>45146.46319444444</v>
      </c>
      <c r="B223" s="11" t="s">
        <v>170</v>
      </c>
      <c r="C223" s="11">
        <v>200.0</v>
      </c>
      <c r="D223" s="11" t="s">
        <v>42</v>
      </c>
      <c r="E223" s="11" t="s">
        <v>66</v>
      </c>
      <c r="F223" s="13">
        <v>188.55</v>
      </c>
      <c r="G223" s="11" t="s">
        <v>43</v>
      </c>
      <c r="H223" s="11">
        <v>8.0</v>
      </c>
      <c r="I223" s="11" t="s">
        <v>33</v>
      </c>
      <c r="J223" s="11">
        <v>60.0</v>
      </c>
      <c r="K223" s="14">
        <v>0.0</v>
      </c>
      <c r="L223" s="8">
        <v>188.55</v>
      </c>
      <c r="N223" s="11">
        <v>480.0</v>
      </c>
      <c r="O223" s="11">
        <v>2.15224204E8</v>
      </c>
    </row>
    <row r="224">
      <c r="A224" s="9">
        <v>45147.83472222222</v>
      </c>
      <c r="B224" s="11" t="s">
        <v>77</v>
      </c>
      <c r="C224" s="11">
        <v>200.0</v>
      </c>
      <c r="D224" s="11" t="s">
        <v>42</v>
      </c>
      <c r="E224" s="11" t="s">
        <v>66</v>
      </c>
      <c r="F224" s="13">
        <v>188.55</v>
      </c>
      <c r="G224" s="11" t="s">
        <v>43</v>
      </c>
      <c r="H224" s="11">
        <v>8.0</v>
      </c>
      <c r="I224" s="11" t="s">
        <v>33</v>
      </c>
      <c r="J224" s="11">
        <v>60.0</v>
      </c>
      <c r="K224" s="14">
        <v>0.0</v>
      </c>
      <c r="L224" s="8">
        <v>188.55</v>
      </c>
      <c r="N224" s="11">
        <v>480.0</v>
      </c>
      <c r="O224" s="11">
        <v>2.15515876E8</v>
      </c>
    </row>
    <row r="225">
      <c r="A225" s="9">
        <v>45148.0</v>
      </c>
      <c r="B225" s="11" t="s">
        <v>177</v>
      </c>
      <c r="C225" s="11">
        <v>200.0</v>
      </c>
      <c r="D225" s="11" t="s">
        <v>42</v>
      </c>
      <c r="E225" s="11" t="s">
        <v>163</v>
      </c>
      <c r="F225" s="4">
        <v>189.29310657123412</v>
      </c>
      <c r="G225" s="11" t="s">
        <v>43</v>
      </c>
      <c r="H225" s="11">
        <v>8.0</v>
      </c>
      <c r="I225" s="11" t="s">
        <v>33</v>
      </c>
      <c r="J225" s="11">
        <v>60.0</v>
      </c>
      <c r="K225" s="14">
        <v>0.0</v>
      </c>
      <c r="L225" s="8">
        <v>193.0</v>
      </c>
      <c r="N225" s="11">
        <v>480.0</v>
      </c>
      <c r="O225" s="11" t="s">
        <v>178</v>
      </c>
    </row>
    <row r="226">
      <c r="A226" s="9">
        <v>45148.572222222225</v>
      </c>
      <c r="B226" s="11" t="s">
        <v>179</v>
      </c>
      <c r="C226" s="11">
        <v>305.96</v>
      </c>
      <c r="D226" s="11" t="s">
        <v>154</v>
      </c>
      <c r="E226" s="11" t="s">
        <v>66</v>
      </c>
      <c r="F226" s="4">
        <v>139.4661</v>
      </c>
      <c r="G226" s="11" t="s">
        <v>32</v>
      </c>
      <c r="H226" s="11">
        <v>12.0</v>
      </c>
      <c r="I226" s="11" t="s">
        <v>33</v>
      </c>
      <c r="J226" s="11">
        <v>75.0</v>
      </c>
      <c r="K226" s="14">
        <v>0.0</v>
      </c>
      <c r="L226" s="8">
        <v>139.0</v>
      </c>
      <c r="M226" s="11">
        <v>13.0</v>
      </c>
      <c r="N226" s="11">
        <v>900.0</v>
      </c>
      <c r="O226" s="11">
        <v>2.15435724E8</v>
      </c>
    </row>
    <row r="227">
      <c r="A227" s="9">
        <v>45150.620833333334</v>
      </c>
      <c r="B227" s="11" t="s">
        <v>180</v>
      </c>
      <c r="C227" s="11">
        <v>30.0</v>
      </c>
      <c r="D227" s="11" t="s">
        <v>42</v>
      </c>
      <c r="E227" s="11" t="s">
        <v>66</v>
      </c>
      <c r="F227" s="13">
        <v>27.9</v>
      </c>
      <c r="G227" s="11" t="s">
        <v>43</v>
      </c>
      <c r="H227" s="11">
        <v>1.0</v>
      </c>
      <c r="I227" s="11" t="s">
        <v>44</v>
      </c>
      <c r="J227" s="11">
        <v>60.0</v>
      </c>
      <c r="K227" s="14">
        <v>0.0</v>
      </c>
      <c r="L227" s="8">
        <v>27.9</v>
      </c>
      <c r="N227" s="11">
        <v>60.0</v>
      </c>
      <c r="O227" s="11">
        <v>2.154377E8</v>
      </c>
    </row>
    <row r="228">
      <c r="A228" s="9">
        <v>45153.76388888889</v>
      </c>
      <c r="B228" s="11" t="s">
        <v>75</v>
      </c>
      <c r="C228" s="11">
        <v>145.0</v>
      </c>
      <c r="D228" s="11" t="s">
        <v>42</v>
      </c>
      <c r="E228" s="11" t="s">
        <v>66</v>
      </c>
      <c r="F228" s="13">
        <v>136.58</v>
      </c>
      <c r="G228" s="11" t="s">
        <v>35</v>
      </c>
      <c r="H228" s="11">
        <v>8.0</v>
      </c>
      <c r="I228" s="11" t="s">
        <v>33</v>
      </c>
      <c r="J228" s="11">
        <v>60.0</v>
      </c>
      <c r="K228" s="14">
        <v>0.0</v>
      </c>
      <c r="L228" s="8">
        <v>136.58</v>
      </c>
      <c r="N228" s="11">
        <v>480.0</v>
      </c>
      <c r="O228" s="11">
        <v>2.1578118E8</v>
      </c>
    </row>
    <row r="229">
      <c r="A229" s="9">
        <v>45154.50902777778</v>
      </c>
      <c r="B229" s="11" t="s">
        <v>167</v>
      </c>
      <c r="C229" s="11">
        <v>30.0</v>
      </c>
      <c r="D229" s="11" t="s">
        <v>42</v>
      </c>
      <c r="E229" s="11" t="s">
        <v>66</v>
      </c>
      <c r="F229" s="13">
        <v>27.9</v>
      </c>
      <c r="G229" s="11" t="s">
        <v>43</v>
      </c>
      <c r="H229" s="11">
        <v>1.0</v>
      </c>
      <c r="I229" s="11" t="s">
        <v>44</v>
      </c>
      <c r="J229" s="11">
        <v>60.0</v>
      </c>
      <c r="K229" s="14">
        <v>0.0</v>
      </c>
      <c r="L229" s="8">
        <v>27.9</v>
      </c>
      <c r="N229" s="11">
        <v>60.0</v>
      </c>
      <c r="O229" s="11">
        <v>2.15800458E8</v>
      </c>
    </row>
    <row r="230">
      <c r="A230" s="9">
        <v>45156.83472222222</v>
      </c>
      <c r="B230" s="11" t="s">
        <v>149</v>
      </c>
      <c r="C230" s="11">
        <v>200.0</v>
      </c>
      <c r="D230" s="11" t="s">
        <v>42</v>
      </c>
      <c r="E230" s="11" t="s">
        <v>66</v>
      </c>
      <c r="F230" s="13">
        <v>188.55</v>
      </c>
      <c r="G230" s="11" t="s">
        <v>43</v>
      </c>
      <c r="H230" s="11">
        <v>8.0</v>
      </c>
      <c r="I230" s="11" t="s">
        <v>33</v>
      </c>
      <c r="J230" s="11">
        <v>60.0</v>
      </c>
      <c r="K230" s="14">
        <v>0.0</v>
      </c>
      <c r="L230" s="8">
        <v>188.55</v>
      </c>
      <c r="N230" s="11">
        <v>480.0</v>
      </c>
      <c r="O230" s="11">
        <v>2.15706258E8</v>
      </c>
    </row>
    <row r="231">
      <c r="A231" s="9">
        <v>45160.11875</v>
      </c>
      <c r="B231" s="11" t="s">
        <v>167</v>
      </c>
      <c r="C231" s="11">
        <v>30.0</v>
      </c>
      <c r="D231" s="11" t="s">
        <v>42</v>
      </c>
      <c r="E231" s="11" t="s">
        <v>66</v>
      </c>
      <c r="F231" s="13">
        <v>27.9</v>
      </c>
      <c r="G231" s="11" t="s">
        <v>43</v>
      </c>
      <c r="H231" s="11">
        <v>1.0</v>
      </c>
      <c r="I231" s="11" t="s">
        <v>44</v>
      </c>
      <c r="J231" s="11">
        <v>60.0</v>
      </c>
      <c r="K231" s="14">
        <v>0.0</v>
      </c>
      <c r="L231" s="8">
        <v>27.9</v>
      </c>
      <c r="N231" s="11">
        <v>60.0</v>
      </c>
      <c r="O231" s="11">
        <v>2.16587301E8</v>
      </c>
    </row>
    <row r="232">
      <c r="A232" s="9">
        <v>45160.82430555556</v>
      </c>
      <c r="B232" s="11" t="s">
        <v>181</v>
      </c>
      <c r="C232" s="11">
        <v>200.0</v>
      </c>
      <c r="D232" s="11" t="s">
        <v>42</v>
      </c>
      <c r="E232" s="11" t="s">
        <v>66</v>
      </c>
      <c r="F232" s="13">
        <v>188.55</v>
      </c>
      <c r="G232" s="11" t="s">
        <v>43</v>
      </c>
      <c r="H232" s="11">
        <v>8.0</v>
      </c>
      <c r="I232" s="11" t="s">
        <v>33</v>
      </c>
      <c r="J232" s="11">
        <v>60.0</v>
      </c>
      <c r="K232" s="14">
        <v>0.0</v>
      </c>
      <c r="L232" s="8">
        <v>188.55</v>
      </c>
      <c r="N232" s="11">
        <v>480.0</v>
      </c>
      <c r="O232" s="11">
        <v>2.16374291E8</v>
      </c>
    </row>
    <row r="233">
      <c r="A233" s="9">
        <v>45162.79305555556</v>
      </c>
      <c r="B233" s="11" t="s">
        <v>156</v>
      </c>
      <c r="C233" s="11">
        <v>200.0</v>
      </c>
      <c r="D233" s="11" t="s">
        <v>42</v>
      </c>
      <c r="E233" s="11" t="s">
        <v>66</v>
      </c>
      <c r="F233" s="13">
        <v>188.55</v>
      </c>
      <c r="G233" s="11" t="s">
        <v>43</v>
      </c>
      <c r="H233" s="11">
        <v>8.0</v>
      </c>
      <c r="I233" s="11" t="s">
        <v>33</v>
      </c>
      <c r="J233" s="11">
        <v>60.0</v>
      </c>
      <c r="K233" s="14">
        <v>0.0</v>
      </c>
      <c r="L233" s="8">
        <v>188.55</v>
      </c>
      <c r="N233" s="11">
        <v>480.0</v>
      </c>
      <c r="O233" s="11">
        <v>2.16306725E8</v>
      </c>
    </row>
    <row r="234">
      <c r="A234" s="9">
        <v>45165.61875</v>
      </c>
      <c r="B234" s="11" t="s">
        <v>168</v>
      </c>
      <c r="C234" s="11">
        <v>200.0</v>
      </c>
      <c r="D234" s="11" t="s">
        <v>42</v>
      </c>
      <c r="E234" s="11" t="s">
        <v>66</v>
      </c>
      <c r="F234" s="13">
        <v>188.55</v>
      </c>
      <c r="G234" s="11" t="s">
        <v>43</v>
      </c>
      <c r="H234" s="11">
        <v>8.0</v>
      </c>
      <c r="I234" s="11" t="s">
        <v>33</v>
      </c>
      <c r="J234" s="11">
        <v>60.0</v>
      </c>
      <c r="K234" s="14">
        <v>0.0</v>
      </c>
      <c r="L234" s="8">
        <v>188.55</v>
      </c>
      <c r="N234" s="11">
        <v>480.0</v>
      </c>
      <c r="O234" s="11">
        <v>2.16470527E8</v>
      </c>
    </row>
    <row r="235">
      <c r="A235" s="9">
        <v>45165.876388888886</v>
      </c>
      <c r="B235" s="11" t="s">
        <v>182</v>
      </c>
      <c r="C235" s="11">
        <v>184.5</v>
      </c>
      <c r="D235" s="11" t="s">
        <v>30</v>
      </c>
      <c r="E235" s="11" t="s">
        <v>66</v>
      </c>
      <c r="F235" s="13">
        <v>175.56</v>
      </c>
      <c r="G235" s="11" t="s">
        <v>32</v>
      </c>
      <c r="H235" s="11">
        <v>12.0</v>
      </c>
      <c r="I235" s="11" t="s">
        <v>33</v>
      </c>
      <c r="J235" s="11">
        <v>75.0</v>
      </c>
      <c r="K235" s="14">
        <v>0.0</v>
      </c>
      <c r="L235" s="8">
        <v>175.56</v>
      </c>
      <c r="M235" s="11">
        <v>13.0</v>
      </c>
      <c r="N235" s="11">
        <v>900.0</v>
      </c>
      <c r="O235" s="11">
        <v>2.16281202E8</v>
      </c>
    </row>
    <row r="236">
      <c r="A236" s="9">
        <v>45165.93263888889</v>
      </c>
      <c r="B236" s="11" t="s">
        <v>183</v>
      </c>
      <c r="C236" s="11">
        <v>20.0</v>
      </c>
      <c r="D236" s="11" t="s">
        <v>42</v>
      </c>
      <c r="E236" s="11" t="s">
        <v>66</v>
      </c>
      <c r="F236" s="13">
        <v>18.45</v>
      </c>
      <c r="G236" s="11" t="s">
        <v>35</v>
      </c>
      <c r="H236" s="11">
        <v>1.0</v>
      </c>
      <c r="I236" s="11" t="s">
        <v>44</v>
      </c>
      <c r="J236" s="11">
        <v>60.0</v>
      </c>
      <c r="K236" s="14">
        <v>0.0</v>
      </c>
      <c r="L236" s="8">
        <v>18.45</v>
      </c>
      <c r="N236" s="11">
        <v>60.0</v>
      </c>
      <c r="O236" s="11">
        <v>2.16581606E8</v>
      </c>
    </row>
    <row r="237">
      <c r="A237" s="9">
        <v>45168.17291666667</v>
      </c>
      <c r="B237" s="11" t="s">
        <v>167</v>
      </c>
      <c r="C237" s="11">
        <v>200.0</v>
      </c>
      <c r="D237" s="11" t="s">
        <v>42</v>
      </c>
      <c r="E237" s="11" t="s">
        <v>66</v>
      </c>
      <c r="F237" s="13">
        <v>188.55</v>
      </c>
      <c r="G237" s="11" t="s">
        <v>43</v>
      </c>
      <c r="H237" s="11">
        <v>8.0</v>
      </c>
      <c r="I237" s="11" t="s">
        <v>33</v>
      </c>
      <c r="J237" s="11">
        <v>60.0</v>
      </c>
      <c r="K237" s="14">
        <v>0.0</v>
      </c>
      <c r="L237" s="8">
        <v>188.55</v>
      </c>
      <c r="N237" s="11">
        <v>480.0</v>
      </c>
      <c r="O237" s="11">
        <v>2.16854116E8</v>
      </c>
    </row>
    <row r="238">
      <c r="A238" s="9">
        <v>45173.73819444444</v>
      </c>
      <c r="B238" s="11" t="s">
        <v>155</v>
      </c>
      <c r="C238" s="11">
        <v>200.0</v>
      </c>
      <c r="D238" s="11" t="s">
        <v>42</v>
      </c>
      <c r="E238" s="11" t="s">
        <v>66</v>
      </c>
      <c r="F238" s="13">
        <v>188.55</v>
      </c>
      <c r="G238" s="11" t="s">
        <v>43</v>
      </c>
      <c r="H238" s="11">
        <v>8.0</v>
      </c>
      <c r="I238" s="11" t="s">
        <v>33</v>
      </c>
      <c r="J238" s="11">
        <v>60.0</v>
      </c>
      <c r="K238" s="14">
        <v>0.0</v>
      </c>
      <c r="L238" s="8">
        <v>188.55</v>
      </c>
      <c r="N238" s="11">
        <v>480.0</v>
      </c>
      <c r="O238" s="11">
        <v>2.16961096E8</v>
      </c>
    </row>
    <row r="239">
      <c r="A239" s="9">
        <v>45174.49444444444</v>
      </c>
      <c r="B239" s="11" t="s">
        <v>115</v>
      </c>
      <c r="C239" s="11">
        <v>200.0</v>
      </c>
      <c r="D239" s="11" t="s">
        <v>42</v>
      </c>
      <c r="E239" s="11" t="s">
        <v>66</v>
      </c>
      <c r="F239" s="13">
        <v>188.55</v>
      </c>
      <c r="G239" s="11" t="s">
        <v>43</v>
      </c>
      <c r="H239" s="11">
        <v>8.0</v>
      </c>
      <c r="I239" s="11" t="s">
        <v>33</v>
      </c>
      <c r="J239" s="11">
        <v>60.0</v>
      </c>
      <c r="K239" s="14">
        <v>0.0</v>
      </c>
      <c r="L239" s="8">
        <v>188.55</v>
      </c>
      <c r="N239" s="11">
        <v>480.0</v>
      </c>
      <c r="O239" s="11">
        <v>2.16718077E8</v>
      </c>
    </row>
    <row r="240">
      <c r="A240" s="9">
        <v>45175.00555555556</v>
      </c>
      <c r="B240" s="11" t="s">
        <v>49</v>
      </c>
      <c r="C240" s="11">
        <v>145.0</v>
      </c>
      <c r="D240" s="11" t="s">
        <v>42</v>
      </c>
      <c r="E240" s="11" t="s">
        <v>66</v>
      </c>
      <c r="F240" s="13">
        <v>136.58</v>
      </c>
      <c r="G240" s="11" t="s">
        <v>35</v>
      </c>
      <c r="H240" s="11">
        <v>8.0</v>
      </c>
      <c r="I240" s="11" t="s">
        <v>33</v>
      </c>
      <c r="J240" s="11">
        <v>60.0</v>
      </c>
      <c r="K240" s="14">
        <v>0.0</v>
      </c>
      <c r="L240" s="8">
        <v>136.58</v>
      </c>
      <c r="N240" s="11">
        <v>480.0</v>
      </c>
      <c r="O240" s="11">
        <v>2.16641849E8</v>
      </c>
    </row>
    <row r="241">
      <c r="A241" s="9">
        <v>45175.79513888889</v>
      </c>
      <c r="B241" s="11" t="s">
        <v>68</v>
      </c>
      <c r="C241" s="11">
        <v>200.0</v>
      </c>
      <c r="D241" s="11" t="s">
        <v>42</v>
      </c>
      <c r="E241" s="11" t="s">
        <v>66</v>
      </c>
      <c r="F241" s="13">
        <v>188.55</v>
      </c>
      <c r="G241" s="11" t="s">
        <v>32</v>
      </c>
      <c r="H241" s="11">
        <v>12.0</v>
      </c>
      <c r="I241" s="11" t="s">
        <v>33</v>
      </c>
      <c r="J241" s="11">
        <v>75.0</v>
      </c>
      <c r="K241" s="14">
        <v>0.0</v>
      </c>
      <c r="L241" s="8">
        <v>188.55</v>
      </c>
      <c r="M241" s="11">
        <v>14.0</v>
      </c>
      <c r="N241" s="11">
        <v>900.0</v>
      </c>
      <c r="O241" s="11">
        <v>2.16713673E8</v>
      </c>
    </row>
    <row r="242">
      <c r="A242" s="9">
        <v>45179.0</v>
      </c>
      <c r="B242" s="2" t="s">
        <v>81</v>
      </c>
      <c r="C242" s="8">
        <v>20.0</v>
      </c>
      <c r="D242" s="2" t="s">
        <v>146</v>
      </c>
      <c r="E242" s="2" t="s">
        <v>66</v>
      </c>
      <c r="F242" s="4">
        <v>18.45</v>
      </c>
      <c r="G242" s="11" t="s">
        <v>35</v>
      </c>
      <c r="H242" s="11">
        <v>1.0</v>
      </c>
      <c r="I242" s="11" t="s">
        <v>44</v>
      </c>
      <c r="J242" s="11">
        <v>60.0</v>
      </c>
      <c r="K242" s="14">
        <v>0.0</v>
      </c>
      <c r="L242" s="8">
        <v>18.0</v>
      </c>
      <c r="N242" s="11">
        <v>60.0</v>
      </c>
      <c r="O242" s="11">
        <v>2.17375184E8</v>
      </c>
    </row>
    <row r="243">
      <c r="A243" s="9">
        <v>45181.0</v>
      </c>
      <c r="B243" s="2" t="s">
        <v>169</v>
      </c>
      <c r="C243" s="8">
        <v>200.0</v>
      </c>
      <c r="D243" s="2" t="s">
        <v>146</v>
      </c>
      <c r="E243" s="2" t="s">
        <v>66</v>
      </c>
      <c r="F243" s="4">
        <v>188.55</v>
      </c>
      <c r="G243" s="11" t="s">
        <v>43</v>
      </c>
      <c r="H243" s="11">
        <v>8.0</v>
      </c>
      <c r="I243" s="11" t="s">
        <v>33</v>
      </c>
      <c r="J243" s="11">
        <v>60.0</v>
      </c>
      <c r="K243" s="14">
        <v>0.0</v>
      </c>
      <c r="L243" s="8">
        <v>189.0</v>
      </c>
      <c r="N243" s="11">
        <v>480.0</v>
      </c>
      <c r="O243" s="11">
        <v>2.17280524E8</v>
      </c>
    </row>
    <row r="244">
      <c r="A244" s="9">
        <v>45182.0</v>
      </c>
      <c r="B244" s="2" t="s">
        <v>184</v>
      </c>
      <c r="C244" s="8">
        <v>145.0</v>
      </c>
      <c r="D244" s="2" t="s">
        <v>146</v>
      </c>
      <c r="E244" s="2" t="s">
        <v>66</v>
      </c>
      <c r="F244" s="4">
        <v>136.57</v>
      </c>
      <c r="G244" s="11" t="s">
        <v>43</v>
      </c>
      <c r="H244" s="11">
        <v>8.0</v>
      </c>
      <c r="I244" s="11" t="s">
        <v>33</v>
      </c>
      <c r="J244" s="11">
        <v>60.0</v>
      </c>
      <c r="K244" s="14">
        <v>0.0</v>
      </c>
      <c r="L244" s="8">
        <v>137.0</v>
      </c>
      <c r="N244" s="11">
        <v>480.0</v>
      </c>
      <c r="O244" s="11">
        <v>2.17276948E8</v>
      </c>
    </row>
    <row r="245">
      <c r="A245" s="9">
        <v>45183.0</v>
      </c>
      <c r="B245" s="2" t="s">
        <v>148</v>
      </c>
      <c r="C245" s="8">
        <v>200.0</v>
      </c>
      <c r="D245" s="2" t="s">
        <v>146</v>
      </c>
      <c r="E245" s="2" t="s">
        <v>66</v>
      </c>
      <c r="F245" s="4">
        <v>188.55</v>
      </c>
      <c r="G245" s="11" t="s">
        <v>43</v>
      </c>
      <c r="H245" s="11">
        <v>8.0</v>
      </c>
      <c r="I245" s="11" t="s">
        <v>33</v>
      </c>
      <c r="J245" s="11">
        <v>60.0</v>
      </c>
      <c r="K245" s="14">
        <v>0.0</v>
      </c>
      <c r="L245" s="8">
        <v>189.0</v>
      </c>
      <c r="N245" s="11">
        <v>480.0</v>
      </c>
      <c r="O245" s="11">
        <v>2.17594346E8</v>
      </c>
    </row>
    <row r="246">
      <c r="A246" s="9">
        <v>45184.0</v>
      </c>
      <c r="B246" s="2" t="s">
        <v>95</v>
      </c>
      <c r="C246" s="8">
        <v>20.0</v>
      </c>
      <c r="D246" s="2" t="s">
        <v>146</v>
      </c>
      <c r="E246" s="2" t="s">
        <v>66</v>
      </c>
      <c r="F246" s="4">
        <v>18.45</v>
      </c>
      <c r="G246" s="11" t="s">
        <v>35</v>
      </c>
      <c r="H246" s="11">
        <v>1.0</v>
      </c>
      <c r="I246" s="11" t="s">
        <v>44</v>
      </c>
      <c r="J246" s="11">
        <v>60.0</v>
      </c>
      <c r="K246" s="14">
        <v>0.0</v>
      </c>
      <c r="L246" s="8">
        <v>18.0</v>
      </c>
      <c r="N246" s="11">
        <v>60.0</v>
      </c>
      <c r="O246" s="11">
        <v>2.17758536E8</v>
      </c>
    </row>
    <row r="247">
      <c r="A247" s="9">
        <v>45186.0</v>
      </c>
      <c r="B247" s="2" t="s">
        <v>185</v>
      </c>
      <c r="C247" s="8">
        <v>200.0</v>
      </c>
      <c r="D247" s="2" t="s">
        <v>146</v>
      </c>
      <c r="E247" s="2" t="s">
        <v>66</v>
      </c>
      <c r="F247" s="4">
        <v>188.55</v>
      </c>
      <c r="G247" s="11" t="s">
        <v>43</v>
      </c>
      <c r="H247" s="11">
        <v>8.0</v>
      </c>
      <c r="I247" s="11" t="s">
        <v>33</v>
      </c>
      <c r="J247" s="11">
        <v>60.0</v>
      </c>
      <c r="K247" s="14">
        <v>0.0</v>
      </c>
      <c r="L247" s="8">
        <v>189.0</v>
      </c>
      <c r="N247" s="11">
        <v>480.0</v>
      </c>
      <c r="O247" s="11">
        <v>2.17978611E8</v>
      </c>
    </row>
    <row r="248">
      <c r="A248" s="9">
        <v>45188.0</v>
      </c>
      <c r="B248" s="2" t="s">
        <v>186</v>
      </c>
      <c r="C248" s="8">
        <v>30.0</v>
      </c>
      <c r="D248" s="2" t="s">
        <v>146</v>
      </c>
      <c r="E248" s="2" t="s">
        <v>66</v>
      </c>
      <c r="F248" s="4">
        <v>27.9</v>
      </c>
      <c r="G248" s="11" t="s">
        <v>43</v>
      </c>
      <c r="H248" s="11">
        <v>1.0</v>
      </c>
      <c r="I248" s="11" t="s">
        <v>44</v>
      </c>
      <c r="J248" s="11">
        <v>60.0</v>
      </c>
      <c r="K248" s="14">
        <v>0.0</v>
      </c>
      <c r="L248" s="8">
        <v>28.0</v>
      </c>
      <c r="N248" s="11">
        <v>60.0</v>
      </c>
      <c r="O248" s="11">
        <v>2.17696614E8</v>
      </c>
    </row>
    <row r="249">
      <c r="A249" s="9">
        <v>45189.0</v>
      </c>
      <c r="B249" s="2" t="s">
        <v>113</v>
      </c>
      <c r="C249" s="8">
        <v>268.33</v>
      </c>
      <c r="D249" s="2" t="s">
        <v>187</v>
      </c>
      <c r="E249" s="2" t="s">
        <v>66</v>
      </c>
      <c r="F249" s="4">
        <v>175.5678054</v>
      </c>
      <c r="G249" s="11" t="s">
        <v>43</v>
      </c>
      <c r="H249" s="11">
        <v>8.0</v>
      </c>
      <c r="I249" s="11" t="s">
        <v>33</v>
      </c>
      <c r="J249" s="11">
        <v>60.0</v>
      </c>
      <c r="K249" s="14">
        <v>0.0</v>
      </c>
      <c r="L249" s="8">
        <v>176.0</v>
      </c>
      <c r="N249" s="11">
        <v>480.0</v>
      </c>
      <c r="O249" s="11">
        <v>2.18126364E8</v>
      </c>
    </row>
    <row r="250">
      <c r="A250" s="9">
        <v>45190.0</v>
      </c>
      <c r="B250" s="2" t="s">
        <v>177</v>
      </c>
      <c r="C250" s="8">
        <v>200.0</v>
      </c>
      <c r="D250" s="2" t="s">
        <v>146</v>
      </c>
      <c r="E250" s="2" t="s">
        <v>66</v>
      </c>
      <c r="F250" s="4">
        <v>188.55</v>
      </c>
      <c r="G250" s="11" t="s">
        <v>43</v>
      </c>
      <c r="H250" s="11">
        <v>8.0</v>
      </c>
      <c r="I250" s="11" t="s">
        <v>33</v>
      </c>
      <c r="J250" s="11">
        <v>60.0</v>
      </c>
      <c r="K250" s="14">
        <v>0.0</v>
      </c>
      <c r="L250" s="8">
        <v>189.0</v>
      </c>
      <c r="N250" s="11">
        <v>480.0</v>
      </c>
      <c r="O250" s="11">
        <v>2.17965171E8</v>
      </c>
    </row>
    <row r="251">
      <c r="A251" s="9">
        <v>45190.0</v>
      </c>
      <c r="B251" s="2" t="s">
        <v>95</v>
      </c>
      <c r="C251" s="8">
        <v>20.0</v>
      </c>
      <c r="D251" s="2" t="s">
        <v>146</v>
      </c>
      <c r="E251" s="2" t="s">
        <v>66</v>
      </c>
      <c r="F251" s="4">
        <v>18.45</v>
      </c>
      <c r="G251" s="11" t="s">
        <v>35</v>
      </c>
      <c r="H251" s="11">
        <v>1.0</v>
      </c>
      <c r="I251" s="11" t="s">
        <v>44</v>
      </c>
      <c r="J251" s="11">
        <v>60.0</v>
      </c>
      <c r="K251" s="14">
        <v>0.0</v>
      </c>
      <c r="L251" s="8">
        <v>18.0</v>
      </c>
      <c r="N251" s="11">
        <v>60.0</v>
      </c>
      <c r="O251" s="11">
        <v>2.18099277E8</v>
      </c>
    </row>
    <row r="252">
      <c r="A252" s="9">
        <v>45192.0</v>
      </c>
      <c r="B252" s="2" t="s">
        <v>116</v>
      </c>
      <c r="C252" s="8">
        <v>200.0</v>
      </c>
      <c r="D252" s="2" t="s">
        <v>146</v>
      </c>
      <c r="E252" s="2" t="s">
        <v>66</v>
      </c>
      <c r="F252" s="4">
        <v>188.55</v>
      </c>
      <c r="G252" s="11" t="s">
        <v>43</v>
      </c>
      <c r="H252" s="11">
        <v>8.0</v>
      </c>
      <c r="I252" s="11" t="s">
        <v>33</v>
      </c>
      <c r="J252" s="11">
        <v>60.0</v>
      </c>
      <c r="K252" s="14">
        <v>0.0</v>
      </c>
      <c r="L252" s="8">
        <v>189.0</v>
      </c>
      <c r="N252" s="11">
        <v>480.0</v>
      </c>
      <c r="O252" s="11">
        <v>2.18350408E8</v>
      </c>
    </row>
    <row r="253">
      <c r="A253" s="9">
        <v>45198.0</v>
      </c>
      <c r="B253" s="2" t="s">
        <v>186</v>
      </c>
      <c r="C253" s="8">
        <v>30.0</v>
      </c>
      <c r="D253" s="2" t="s">
        <v>146</v>
      </c>
      <c r="E253" s="2" t="s">
        <v>66</v>
      </c>
      <c r="F253" s="4">
        <v>27.9</v>
      </c>
      <c r="G253" s="11" t="s">
        <v>43</v>
      </c>
      <c r="H253" s="11">
        <v>1.0</v>
      </c>
      <c r="I253" s="11" t="s">
        <v>44</v>
      </c>
      <c r="J253" s="11">
        <v>60.0</v>
      </c>
      <c r="K253" s="14">
        <v>0.0</v>
      </c>
      <c r="L253" s="8">
        <v>28.0</v>
      </c>
      <c r="N253" s="11">
        <v>60.0</v>
      </c>
      <c r="O253" s="11">
        <v>2.18798506E8</v>
      </c>
    </row>
    <row r="254">
      <c r="A254" s="9">
        <v>45199.0</v>
      </c>
      <c r="B254" s="2" t="s">
        <v>91</v>
      </c>
      <c r="C254" s="8">
        <v>200.0</v>
      </c>
      <c r="D254" s="2" t="s">
        <v>146</v>
      </c>
      <c r="E254" s="2" t="s">
        <v>66</v>
      </c>
      <c r="F254" s="4">
        <v>188.55</v>
      </c>
      <c r="G254" s="11" t="s">
        <v>43</v>
      </c>
      <c r="H254" s="11">
        <v>8.0</v>
      </c>
      <c r="I254" s="11" t="s">
        <v>33</v>
      </c>
      <c r="J254" s="11">
        <v>60.0</v>
      </c>
      <c r="K254" s="14">
        <v>0.0</v>
      </c>
      <c r="L254" s="8">
        <v>189.0</v>
      </c>
      <c r="N254" s="11">
        <v>480.0</v>
      </c>
      <c r="O254" s="11">
        <v>2.19059929E8</v>
      </c>
    </row>
    <row r="255">
      <c r="A255" s="9">
        <v>45201.0</v>
      </c>
      <c r="B255" s="2" t="s">
        <v>111</v>
      </c>
      <c r="C255" s="8">
        <v>200.0</v>
      </c>
      <c r="D255" s="2" t="s">
        <v>42</v>
      </c>
      <c r="E255" s="2" t="s">
        <v>163</v>
      </c>
      <c r="F255" s="4">
        <v>190.8505018966821</v>
      </c>
      <c r="G255" s="11" t="s">
        <v>43</v>
      </c>
      <c r="H255" s="11">
        <v>8.0</v>
      </c>
      <c r="I255" s="11" t="s">
        <v>33</v>
      </c>
      <c r="J255" s="11">
        <v>60.0</v>
      </c>
      <c r="K255" s="14">
        <v>0.0</v>
      </c>
      <c r="L255" s="8">
        <v>195.0</v>
      </c>
      <c r="N255" s="11">
        <v>480.0</v>
      </c>
      <c r="O255" s="11" t="s">
        <v>188</v>
      </c>
    </row>
    <row r="256">
      <c r="A256" s="9">
        <v>45205.0</v>
      </c>
      <c r="B256" s="2" t="s">
        <v>186</v>
      </c>
      <c r="C256" s="8">
        <v>60.0</v>
      </c>
      <c r="D256" s="2" t="s">
        <v>146</v>
      </c>
      <c r="E256" s="2" t="s">
        <v>66</v>
      </c>
      <c r="F256" s="4">
        <v>56.25</v>
      </c>
      <c r="G256" s="11" t="s">
        <v>43</v>
      </c>
      <c r="H256" s="11">
        <v>2.0</v>
      </c>
      <c r="I256" s="11" t="s">
        <v>44</v>
      </c>
      <c r="J256" s="11">
        <v>60.0</v>
      </c>
      <c r="K256" s="14">
        <v>0.0</v>
      </c>
      <c r="L256" s="8">
        <v>56.0</v>
      </c>
      <c r="N256" s="11">
        <v>120.0</v>
      </c>
      <c r="O256" s="11">
        <v>2.19353272E8</v>
      </c>
    </row>
    <row r="257">
      <c r="A257" s="9">
        <v>45206.0</v>
      </c>
      <c r="B257" s="2" t="s">
        <v>104</v>
      </c>
      <c r="C257" s="8">
        <v>200.0</v>
      </c>
      <c r="D257" s="2" t="s">
        <v>42</v>
      </c>
      <c r="E257" s="2" t="s">
        <v>163</v>
      </c>
      <c r="F257" s="4">
        <v>189.51441904127512</v>
      </c>
      <c r="G257" s="11" t="s">
        <v>43</v>
      </c>
      <c r="H257" s="11">
        <v>8.0</v>
      </c>
      <c r="I257" s="11" t="s">
        <v>33</v>
      </c>
      <c r="J257" s="11">
        <v>60.0</v>
      </c>
      <c r="K257" s="14">
        <v>0.0</v>
      </c>
      <c r="L257" s="8">
        <v>193.0</v>
      </c>
      <c r="N257" s="11">
        <v>480.0</v>
      </c>
      <c r="O257" s="11" t="s">
        <v>189</v>
      </c>
    </row>
    <row r="258">
      <c r="A258" s="9">
        <v>45206.0</v>
      </c>
      <c r="B258" s="2" t="s">
        <v>95</v>
      </c>
      <c r="C258" s="8">
        <v>20.0</v>
      </c>
      <c r="D258" s="2" t="s">
        <v>146</v>
      </c>
      <c r="E258" s="2" t="s">
        <v>66</v>
      </c>
      <c r="F258" s="4">
        <v>18.45</v>
      </c>
      <c r="G258" s="11" t="s">
        <v>35</v>
      </c>
      <c r="H258" s="11">
        <v>1.0</v>
      </c>
      <c r="I258" s="11" t="s">
        <v>44</v>
      </c>
      <c r="J258" s="11">
        <v>60.0</v>
      </c>
      <c r="K258" s="14">
        <v>0.0</v>
      </c>
      <c r="L258" s="8">
        <v>18.0</v>
      </c>
      <c r="N258" s="11">
        <v>60.0</v>
      </c>
      <c r="O258" s="11">
        <v>2.19626142E8</v>
      </c>
    </row>
    <row r="259">
      <c r="A259" s="9">
        <v>45207.0</v>
      </c>
      <c r="B259" s="2" t="s">
        <v>176</v>
      </c>
      <c r="C259" s="8">
        <v>200.0</v>
      </c>
      <c r="D259" s="2" t="s">
        <v>42</v>
      </c>
      <c r="E259" s="2" t="s">
        <v>163</v>
      </c>
      <c r="F259" s="4">
        <v>189.37659029546117</v>
      </c>
      <c r="G259" s="11" t="s">
        <v>43</v>
      </c>
      <c r="H259" s="11">
        <v>8.0</v>
      </c>
      <c r="I259" s="11" t="s">
        <v>33</v>
      </c>
      <c r="J259" s="11">
        <v>60.0</v>
      </c>
      <c r="K259" s="14">
        <v>0.0</v>
      </c>
      <c r="L259" s="8">
        <v>193.0</v>
      </c>
      <c r="N259" s="11">
        <v>480.0</v>
      </c>
      <c r="O259" s="11" t="s">
        <v>190</v>
      </c>
    </row>
    <row r="260">
      <c r="A260" s="9">
        <v>45208.0</v>
      </c>
      <c r="B260" s="2" t="s">
        <v>100</v>
      </c>
      <c r="C260" s="8">
        <v>200.0</v>
      </c>
      <c r="D260" s="2" t="s">
        <v>42</v>
      </c>
      <c r="E260" s="2" t="s">
        <v>163</v>
      </c>
      <c r="F260" s="4">
        <v>190.07714258250658</v>
      </c>
      <c r="G260" s="11" t="s">
        <v>43</v>
      </c>
      <c r="H260" s="11">
        <v>8.0</v>
      </c>
      <c r="I260" s="11" t="s">
        <v>33</v>
      </c>
      <c r="J260" s="11">
        <v>60.0</v>
      </c>
      <c r="K260" s="14">
        <v>0.0</v>
      </c>
      <c r="L260" s="8">
        <v>193.0</v>
      </c>
      <c r="N260" s="11">
        <v>480.0</v>
      </c>
      <c r="O260" s="11" t="s">
        <v>191</v>
      </c>
    </row>
    <row r="261">
      <c r="A261" s="9">
        <v>45210.0</v>
      </c>
      <c r="B261" s="2" t="s">
        <v>95</v>
      </c>
      <c r="C261" s="8">
        <v>20.0</v>
      </c>
      <c r="D261" s="2" t="s">
        <v>146</v>
      </c>
      <c r="E261" s="2" t="s">
        <v>66</v>
      </c>
      <c r="F261" s="4">
        <v>18.45</v>
      </c>
      <c r="G261" s="11" t="s">
        <v>35</v>
      </c>
      <c r="H261" s="11">
        <v>1.0</v>
      </c>
      <c r="I261" s="11" t="s">
        <v>44</v>
      </c>
      <c r="J261" s="11">
        <v>60.0</v>
      </c>
      <c r="K261" s="14">
        <v>0.0</v>
      </c>
      <c r="L261" s="8">
        <v>18.0</v>
      </c>
      <c r="N261" s="11">
        <v>60.0</v>
      </c>
      <c r="O261" s="11">
        <v>2.19400077E8</v>
      </c>
    </row>
    <row r="262">
      <c r="A262" s="9">
        <v>45211.0</v>
      </c>
      <c r="B262" s="2" t="s">
        <v>127</v>
      </c>
      <c r="C262" s="8">
        <v>200.0</v>
      </c>
      <c r="D262" s="2" t="s">
        <v>42</v>
      </c>
      <c r="E262" s="2" t="s">
        <v>163</v>
      </c>
      <c r="F262" s="4">
        <v>193.2314801</v>
      </c>
      <c r="G262" s="11" t="s">
        <v>43</v>
      </c>
      <c r="H262" s="11">
        <v>8.0</v>
      </c>
      <c r="I262" s="11" t="s">
        <v>33</v>
      </c>
      <c r="J262" s="11">
        <v>60.0</v>
      </c>
      <c r="K262" s="14">
        <v>0.0</v>
      </c>
      <c r="L262" s="8">
        <v>193.0</v>
      </c>
      <c r="N262" s="11">
        <v>480.0</v>
      </c>
      <c r="O262" s="11" t="s">
        <v>192</v>
      </c>
    </row>
    <row r="263">
      <c r="A263" s="9">
        <v>45211.0</v>
      </c>
      <c r="B263" s="2" t="s">
        <v>120</v>
      </c>
      <c r="C263" s="8">
        <v>200.0</v>
      </c>
      <c r="D263" s="2" t="s">
        <v>42</v>
      </c>
      <c r="E263" s="2" t="s">
        <v>163</v>
      </c>
      <c r="F263" s="4">
        <v>189.377841990742</v>
      </c>
      <c r="G263" s="11" t="s">
        <v>32</v>
      </c>
      <c r="H263" s="11">
        <v>12.0</v>
      </c>
      <c r="I263" s="11" t="s">
        <v>33</v>
      </c>
      <c r="J263" s="11">
        <v>75.0</v>
      </c>
      <c r="K263" s="14">
        <v>0.0</v>
      </c>
      <c r="L263" s="8">
        <v>193.0</v>
      </c>
      <c r="N263" s="11">
        <v>900.0</v>
      </c>
      <c r="O263" s="11" t="s">
        <v>193</v>
      </c>
    </row>
    <row r="264">
      <c r="A264" s="9">
        <v>45214.0</v>
      </c>
      <c r="B264" s="2" t="s">
        <v>194</v>
      </c>
      <c r="C264" s="8">
        <v>90.0</v>
      </c>
      <c r="D264" s="2" t="s">
        <v>42</v>
      </c>
      <c r="E264" s="2" t="s">
        <v>163</v>
      </c>
      <c r="F264" s="4">
        <v>86.64423178284152</v>
      </c>
      <c r="G264" s="11" t="s">
        <v>43</v>
      </c>
      <c r="H264" s="11">
        <v>3.0</v>
      </c>
      <c r="I264" s="11" t="s">
        <v>44</v>
      </c>
      <c r="J264" s="11">
        <v>60.0</v>
      </c>
      <c r="K264" s="14">
        <v>0.0</v>
      </c>
      <c r="L264" s="8">
        <v>88.0</v>
      </c>
      <c r="N264" s="11">
        <v>180.0</v>
      </c>
      <c r="O264" s="11" t="s">
        <v>195</v>
      </c>
    </row>
    <row r="265">
      <c r="A265" s="9">
        <v>45216.0</v>
      </c>
      <c r="B265" s="2" t="s">
        <v>196</v>
      </c>
      <c r="C265" s="8">
        <v>200.0</v>
      </c>
      <c r="D265" s="2" t="s">
        <v>42</v>
      </c>
      <c r="E265" s="2" t="s">
        <v>163</v>
      </c>
      <c r="F265" s="4">
        <v>188.9960738356682</v>
      </c>
      <c r="G265" s="11" t="s">
        <v>43</v>
      </c>
      <c r="H265" s="11">
        <v>8.0</v>
      </c>
      <c r="I265" s="11" t="s">
        <v>33</v>
      </c>
      <c r="J265" s="11">
        <v>60.0</v>
      </c>
      <c r="K265" s="14">
        <v>0.0</v>
      </c>
      <c r="L265" s="8">
        <v>193.0</v>
      </c>
      <c r="N265" s="11">
        <v>480.0</v>
      </c>
      <c r="O265" s="11" t="s">
        <v>197</v>
      </c>
    </row>
    <row r="266">
      <c r="A266" s="9">
        <v>45218.0</v>
      </c>
      <c r="B266" s="2" t="s">
        <v>111</v>
      </c>
      <c r="C266" s="8">
        <v>200.0</v>
      </c>
      <c r="D266" s="2" t="s">
        <v>42</v>
      </c>
      <c r="E266" s="2" t="s">
        <v>163</v>
      </c>
      <c r="F266" s="4">
        <v>189.02940249713438</v>
      </c>
      <c r="G266" s="11" t="s">
        <v>43</v>
      </c>
      <c r="H266" s="11">
        <v>8.0</v>
      </c>
      <c r="I266" s="11" t="s">
        <v>33</v>
      </c>
      <c r="J266" s="11">
        <v>60.0</v>
      </c>
      <c r="K266" s="14">
        <v>0.0</v>
      </c>
      <c r="L266" s="8">
        <v>193.0</v>
      </c>
      <c r="N266" s="11">
        <v>480.0</v>
      </c>
      <c r="O266" s="11" t="s">
        <v>198</v>
      </c>
    </row>
    <row r="267">
      <c r="A267" s="9">
        <v>45218.0</v>
      </c>
      <c r="B267" s="2" t="s">
        <v>77</v>
      </c>
      <c r="C267" s="8">
        <v>210.0</v>
      </c>
      <c r="D267" s="2" t="s">
        <v>42</v>
      </c>
      <c r="E267" s="2" t="s">
        <v>163</v>
      </c>
      <c r="F267" s="4">
        <v>198.8513015140761</v>
      </c>
      <c r="G267" s="11" t="s">
        <v>43</v>
      </c>
      <c r="H267" s="11">
        <v>8.0</v>
      </c>
      <c r="I267" s="11" t="s">
        <v>33</v>
      </c>
      <c r="J267" s="11">
        <v>60.0</v>
      </c>
      <c r="K267" s="14">
        <v>0.0</v>
      </c>
      <c r="L267" s="8">
        <v>203.0</v>
      </c>
      <c r="N267" s="11">
        <v>480.0</v>
      </c>
      <c r="O267" s="11" t="s">
        <v>199</v>
      </c>
    </row>
    <row r="268">
      <c r="A268" s="9">
        <v>45218.0</v>
      </c>
      <c r="B268" s="2" t="s">
        <v>95</v>
      </c>
      <c r="C268" s="8">
        <v>20.0</v>
      </c>
      <c r="D268" s="2" t="s">
        <v>146</v>
      </c>
      <c r="E268" s="2" t="s">
        <v>66</v>
      </c>
      <c r="F268" s="4">
        <v>18.45</v>
      </c>
      <c r="G268" s="11" t="s">
        <v>35</v>
      </c>
      <c r="H268" s="11">
        <v>1.0</v>
      </c>
      <c r="I268" s="11" t="s">
        <v>44</v>
      </c>
      <c r="J268" s="11">
        <v>60.0</v>
      </c>
      <c r="K268" s="14">
        <v>0.0</v>
      </c>
      <c r="L268" s="8">
        <v>18.0</v>
      </c>
      <c r="N268" s="11">
        <v>60.0</v>
      </c>
      <c r="O268" s="11">
        <v>2.19641401E8</v>
      </c>
    </row>
    <row r="269">
      <c r="A269" s="9">
        <v>45219.0</v>
      </c>
      <c r="B269" s="2" t="s">
        <v>200</v>
      </c>
      <c r="C269" s="8">
        <v>30.0</v>
      </c>
      <c r="D269" s="2" t="s">
        <v>42</v>
      </c>
      <c r="E269" s="2" t="s">
        <v>163</v>
      </c>
      <c r="F269" s="4">
        <v>28.17060642769426</v>
      </c>
      <c r="G269" s="11" t="s">
        <v>43</v>
      </c>
      <c r="H269" s="11">
        <v>1.0</v>
      </c>
      <c r="I269" s="11" t="s">
        <v>44</v>
      </c>
      <c r="J269" s="11">
        <v>60.0</v>
      </c>
      <c r="K269" s="14">
        <v>0.0</v>
      </c>
      <c r="L269" s="8">
        <v>29.0</v>
      </c>
      <c r="N269" s="11">
        <v>60.0</v>
      </c>
      <c r="O269" s="11" t="s">
        <v>201</v>
      </c>
    </row>
    <row r="270">
      <c r="A270" s="9">
        <v>45220.0</v>
      </c>
      <c r="B270" s="2" t="s">
        <v>139</v>
      </c>
      <c r="C270" s="8">
        <v>200.0</v>
      </c>
      <c r="D270" s="2" t="s">
        <v>42</v>
      </c>
      <c r="E270" s="2" t="s">
        <v>163</v>
      </c>
      <c r="F270" s="4">
        <v>189.46065800551372</v>
      </c>
      <c r="G270" s="11" t="s">
        <v>43</v>
      </c>
      <c r="H270" s="11">
        <v>8.0</v>
      </c>
      <c r="I270" s="11" t="s">
        <v>33</v>
      </c>
      <c r="J270" s="11">
        <v>60.0</v>
      </c>
      <c r="K270" s="14">
        <v>0.0</v>
      </c>
      <c r="L270" s="8">
        <v>193.0</v>
      </c>
      <c r="N270" s="11">
        <v>480.0</v>
      </c>
      <c r="O270" s="11" t="s">
        <v>202</v>
      </c>
    </row>
    <row r="271">
      <c r="A271" s="9">
        <v>45222.0</v>
      </c>
      <c r="B271" s="2" t="s">
        <v>63</v>
      </c>
      <c r="C271" s="8">
        <v>145.0</v>
      </c>
      <c r="D271" s="2" t="s">
        <v>42</v>
      </c>
      <c r="E271" s="2" t="s">
        <v>66</v>
      </c>
      <c r="F271" s="4">
        <v>136.57</v>
      </c>
      <c r="G271" s="11" t="s">
        <v>35</v>
      </c>
      <c r="H271" s="11">
        <v>8.0</v>
      </c>
      <c r="I271" s="11" t="s">
        <v>33</v>
      </c>
      <c r="J271" s="11">
        <v>60.0</v>
      </c>
      <c r="K271" s="14">
        <v>0.0</v>
      </c>
      <c r="L271" s="8">
        <v>137.0</v>
      </c>
      <c r="N271" s="11">
        <v>480.0</v>
      </c>
      <c r="O271" s="11" t="s">
        <v>202</v>
      </c>
    </row>
    <row r="272">
      <c r="A272" s="9">
        <v>45224.0</v>
      </c>
      <c r="B272" s="2" t="s">
        <v>69</v>
      </c>
      <c r="C272" s="8">
        <v>200.0</v>
      </c>
      <c r="D272" s="2" t="s">
        <v>42</v>
      </c>
      <c r="E272" s="2" t="s">
        <v>163</v>
      </c>
      <c r="F272" s="4">
        <v>189.773431016836</v>
      </c>
      <c r="G272" s="11" t="s">
        <v>32</v>
      </c>
      <c r="H272" s="11">
        <v>12.0</v>
      </c>
      <c r="I272" s="11" t="s">
        <v>33</v>
      </c>
      <c r="J272" s="11">
        <v>75.0</v>
      </c>
      <c r="K272" s="14">
        <v>0.0</v>
      </c>
      <c r="L272" s="8">
        <v>193.0</v>
      </c>
      <c r="N272" s="11">
        <v>900.0</v>
      </c>
      <c r="O272" s="11" t="s">
        <v>203</v>
      </c>
    </row>
    <row r="273">
      <c r="A273" s="9">
        <v>45225.0</v>
      </c>
      <c r="B273" s="2" t="s">
        <v>147</v>
      </c>
      <c r="C273" s="8">
        <v>145.0</v>
      </c>
      <c r="D273" s="2" t="s">
        <v>42</v>
      </c>
      <c r="E273" s="2" t="s">
        <v>163</v>
      </c>
      <c r="F273" s="4">
        <v>137.61761493786457</v>
      </c>
      <c r="G273" s="11" t="s">
        <v>35</v>
      </c>
      <c r="H273" s="11">
        <v>8.0</v>
      </c>
      <c r="I273" s="11" t="s">
        <v>33</v>
      </c>
      <c r="J273" s="11">
        <v>60.0</v>
      </c>
      <c r="K273" s="14">
        <v>0.0</v>
      </c>
      <c r="L273" s="8">
        <v>140.0</v>
      </c>
      <c r="N273" s="11">
        <v>480.0</v>
      </c>
      <c r="O273" s="11" t="s">
        <v>204</v>
      </c>
    </row>
    <row r="274">
      <c r="A274" s="9">
        <v>45226.0</v>
      </c>
      <c r="B274" s="2" t="s">
        <v>205</v>
      </c>
      <c r="C274" s="8">
        <v>200.0</v>
      </c>
      <c r="D274" s="2" t="s">
        <v>42</v>
      </c>
      <c r="E274" s="2" t="s">
        <v>163</v>
      </c>
      <c r="F274" s="4">
        <v>189.38940624465172</v>
      </c>
      <c r="G274" s="11" t="s">
        <v>43</v>
      </c>
      <c r="H274" s="11">
        <v>8.0</v>
      </c>
      <c r="I274" s="11" t="s">
        <v>33</v>
      </c>
      <c r="J274" s="11">
        <v>60.0</v>
      </c>
      <c r="K274" s="14">
        <v>0.0</v>
      </c>
      <c r="L274" s="8">
        <v>193.0</v>
      </c>
      <c r="N274" s="11">
        <v>480.0</v>
      </c>
      <c r="O274" s="11" t="s">
        <v>206</v>
      </c>
    </row>
    <row r="275">
      <c r="A275" s="9">
        <v>45227.0</v>
      </c>
      <c r="B275" s="11" t="s">
        <v>186</v>
      </c>
      <c r="C275" s="11">
        <v>120.0</v>
      </c>
      <c r="D275" s="11" t="s">
        <v>42</v>
      </c>
      <c r="E275" s="11" t="s">
        <v>163</v>
      </c>
      <c r="F275" s="4">
        <v>113.63753713499787</v>
      </c>
      <c r="G275" s="11" t="s">
        <v>43</v>
      </c>
      <c r="H275" s="11">
        <v>4.0</v>
      </c>
      <c r="I275" s="11" t="s">
        <v>44</v>
      </c>
      <c r="J275" s="11">
        <v>60.0</v>
      </c>
      <c r="K275" s="14">
        <v>0.0</v>
      </c>
      <c r="L275" s="8">
        <v>116.0</v>
      </c>
      <c r="N275" s="11">
        <v>240.0</v>
      </c>
      <c r="O275" s="11" t="s">
        <v>207</v>
      </c>
    </row>
    <row r="276">
      <c r="A276" s="9">
        <v>45227.0</v>
      </c>
      <c r="B276" s="11" t="s">
        <v>208</v>
      </c>
      <c r="C276" s="11">
        <v>30.0</v>
      </c>
      <c r="D276" s="11" t="s">
        <v>42</v>
      </c>
      <c r="E276" s="11" t="s">
        <v>163</v>
      </c>
      <c r="F276" s="4">
        <v>28.21620792689378</v>
      </c>
      <c r="G276" s="11" t="s">
        <v>43</v>
      </c>
      <c r="H276" s="11">
        <v>1.0</v>
      </c>
      <c r="I276" s="11" t="s">
        <v>44</v>
      </c>
      <c r="J276" s="11">
        <v>60.0</v>
      </c>
      <c r="K276" s="14">
        <v>0.0</v>
      </c>
      <c r="L276" s="8">
        <v>29.0</v>
      </c>
      <c r="N276" s="11">
        <v>60.0</v>
      </c>
      <c r="O276" s="11" t="s">
        <v>209</v>
      </c>
    </row>
    <row r="277">
      <c r="A277" s="9">
        <v>45228.0</v>
      </c>
      <c r="B277" s="11" t="s">
        <v>106</v>
      </c>
      <c r="C277" s="11">
        <v>200.0</v>
      </c>
      <c r="D277" s="11" t="s">
        <v>42</v>
      </c>
      <c r="E277" s="11" t="s">
        <v>163</v>
      </c>
      <c r="F277" s="4">
        <v>191.04935664409646</v>
      </c>
      <c r="G277" s="11" t="s">
        <v>32</v>
      </c>
      <c r="H277" s="11">
        <v>12.0</v>
      </c>
      <c r="I277" s="11" t="s">
        <v>33</v>
      </c>
      <c r="J277" s="11">
        <v>75.0</v>
      </c>
      <c r="K277" s="14">
        <v>0.0</v>
      </c>
      <c r="L277" s="8">
        <v>195.0</v>
      </c>
      <c r="N277" s="11">
        <v>900.0</v>
      </c>
      <c r="O277" s="11" t="s">
        <v>210</v>
      </c>
    </row>
    <row r="278">
      <c r="A278" s="9">
        <v>45229.0</v>
      </c>
      <c r="B278" s="11" t="s">
        <v>68</v>
      </c>
      <c r="C278" s="11">
        <v>145.0</v>
      </c>
      <c r="D278" s="11" t="s">
        <v>42</v>
      </c>
      <c r="E278" s="11" t="s">
        <v>163</v>
      </c>
      <c r="F278" s="4">
        <v>136.9422960654872</v>
      </c>
      <c r="G278" s="11" t="s">
        <v>32</v>
      </c>
      <c r="H278" s="11">
        <v>8.0</v>
      </c>
      <c r="I278" s="11" t="s">
        <v>33</v>
      </c>
      <c r="J278" s="11">
        <v>75.0</v>
      </c>
      <c r="K278" s="14">
        <v>0.0</v>
      </c>
      <c r="L278" s="8">
        <v>140.0</v>
      </c>
      <c r="N278" s="11">
        <v>600.0</v>
      </c>
      <c r="O278" s="11" t="s">
        <v>211</v>
      </c>
    </row>
    <row r="279">
      <c r="A279" s="9">
        <v>45230.0</v>
      </c>
      <c r="B279" s="11" t="s">
        <v>116</v>
      </c>
      <c r="C279" s="11">
        <v>200.0</v>
      </c>
      <c r="D279" s="11" t="s">
        <v>42</v>
      </c>
      <c r="E279" s="11" t="s">
        <v>163</v>
      </c>
      <c r="F279" s="4">
        <v>190.86939457359406</v>
      </c>
      <c r="G279" s="11" t="s">
        <v>43</v>
      </c>
      <c r="H279" s="11">
        <v>8.0</v>
      </c>
      <c r="I279" s="11" t="s">
        <v>33</v>
      </c>
      <c r="J279" s="11">
        <v>60.0</v>
      </c>
      <c r="K279" s="14">
        <v>0.0</v>
      </c>
      <c r="L279" s="8">
        <v>195.0</v>
      </c>
      <c r="N279" s="11">
        <v>480.0</v>
      </c>
      <c r="O279" s="11" t="s">
        <v>212</v>
      </c>
    </row>
    <row r="280">
      <c r="A280" s="9">
        <v>45230.0</v>
      </c>
      <c r="B280" s="11" t="s">
        <v>208</v>
      </c>
      <c r="C280" s="11">
        <v>200.0</v>
      </c>
      <c r="D280" s="11" t="s">
        <v>42</v>
      </c>
      <c r="E280" s="11" t="s">
        <v>163</v>
      </c>
      <c r="F280" s="4">
        <v>188.65056832791967</v>
      </c>
      <c r="G280" s="11" t="s">
        <v>43</v>
      </c>
      <c r="H280" s="11">
        <v>8.0</v>
      </c>
      <c r="I280" s="11" t="s">
        <v>33</v>
      </c>
      <c r="J280" s="11">
        <v>60.0</v>
      </c>
      <c r="K280" s="14">
        <v>0.0</v>
      </c>
      <c r="L280" s="8">
        <v>193.0</v>
      </c>
      <c r="N280" s="11">
        <v>480.0</v>
      </c>
      <c r="O280" s="11" t="s">
        <v>213</v>
      </c>
    </row>
    <row r="281">
      <c r="A281" s="9">
        <v>45230.0</v>
      </c>
      <c r="B281" s="11" t="s">
        <v>72</v>
      </c>
      <c r="C281" s="11">
        <v>200.0</v>
      </c>
      <c r="D281" s="11" t="s">
        <v>42</v>
      </c>
      <c r="E281" s="11" t="s">
        <v>163</v>
      </c>
      <c r="F281" s="4">
        <v>188.65056832791967</v>
      </c>
      <c r="G281" s="11" t="s">
        <v>43</v>
      </c>
      <c r="H281" s="11">
        <v>8.0</v>
      </c>
      <c r="I281" s="11" t="s">
        <v>33</v>
      </c>
      <c r="J281" s="11">
        <v>60.0</v>
      </c>
      <c r="K281" s="14">
        <v>0.0</v>
      </c>
      <c r="L281" s="8">
        <v>193.0</v>
      </c>
      <c r="N281" s="11">
        <v>480.0</v>
      </c>
      <c r="O281" s="11" t="s">
        <v>214</v>
      </c>
    </row>
    <row r="282">
      <c r="A282" s="9">
        <v>45231.0</v>
      </c>
      <c r="B282" s="2" t="s">
        <v>90</v>
      </c>
      <c r="C282" s="8">
        <v>145.0</v>
      </c>
      <c r="D282" s="2" t="s">
        <v>42</v>
      </c>
      <c r="E282" s="2" t="s">
        <v>163</v>
      </c>
      <c r="F282" s="4">
        <v>137.6722539512938</v>
      </c>
      <c r="G282" s="2" t="s">
        <v>35</v>
      </c>
      <c r="H282" s="8">
        <v>8.0</v>
      </c>
      <c r="I282" s="2" t="s">
        <v>33</v>
      </c>
      <c r="J282" s="11">
        <v>60.0</v>
      </c>
      <c r="K282" s="14">
        <v>0.0</v>
      </c>
      <c r="L282" s="8">
        <v>140.0</v>
      </c>
      <c r="N282" s="11">
        <v>480.0</v>
      </c>
      <c r="O282" s="11" t="s">
        <v>215</v>
      </c>
    </row>
    <row r="283">
      <c r="A283" s="9">
        <v>45232.0</v>
      </c>
      <c r="B283" s="11" t="s">
        <v>167</v>
      </c>
      <c r="C283" s="8">
        <v>200.0</v>
      </c>
      <c r="D283" s="2" t="s">
        <v>42</v>
      </c>
      <c r="E283" s="2" t="s">
        <v>163</v>
      </c>
      <c r="F283" s="4">
        <v>189.96966072733045</v>
      </c>
      <c r="G283" s="2" t="s">
        <v>43</v>
      </c>
      <c r="H283" s="8">
        <v>8.0</v>
      </c>
      <c r="I283" s="2" t="s">
        <v>33</v>
      </c>
      <c r="J283" s="11">
        <v>60.0</v>
      </c>
      <c r="K283" s="14">
        <v>0.0</v>
      </c>
      <c r="L283" s="8">
        <v>195.0</v>
      </c>
      <c r="N283" s="11">
        <v>480.0</v>
      </c>
      <c r="O283" s="11" t="s">
        <v>216</v>
      </c>
    </row>
    <row r="284">
      <c r="A284" s="9">
        <v>45233.0</v>
      </c>
      <c r="B284" s="2" t="s">
        <v>145</v>
      </c>
      <c r="C284" s="8">
        <v>200.0</v>
      </c>
      <c r="D284" s="2" t="s">
        <v>42</v>
      </c>
      <c r="E284" s="2" t="s">
        <v>163</v>
      </c>
      <c r="F284" s="4">
        <v>188.87929840713602</v>
      </c>
      <c r="G284" s="2" t="s">
        <v>43</v>
      </c>
      <c r="H284" s="8">
        <v>8.0</v>
      </c>
      <c r="I284" s="2" t="s">
        <v>33</v>
      </c>
      <c r="J284" s="11">
        <v>60.0</v>
      </c>
      <c r="K284" s="14">
        <v>0.0</v>
      </c>
      <c r="L284" s="8">
        <v>193.0</v>
      </c>
      <c r="N284" s="11">
        <v>480.0</v>
      </c>
      <c r="O284" s="11" t="s">
        <v>217</v>
      </c>
    </row>
    <row r="285">
      <c r="A285" s="9">
        <v>45233.0</v>
      </c>
      <c r="B285" s="2" t="s">
        <v>218</v>
      </c>
      <c r="C285" s="8">
        <v>30.0</v>
      </c>
      <c r="D285" s="2" t="s">
        <v>42</v>
      </c>
      <c r="E285" s="2" t="s">
        <v>163</v>
      </c>
      <c r="F285" s="4">
        <v>28.102674684081983</v>
      </c>
      <c r="G285" s="2" t="s">
        <v>43</v>
      </c>
      <c r="H285" s="8">
        <v>1.0</v>
      </c>
      <c r="I285" s="2" t="s">
        <v>44</v>
      </c>
      <c r="J285" s="11">
        <v>60.0</v>
      </c>
      <c r="K285" s="14">
        <v>0.0</v>
      </c>
      <c r="L285" s="8">
        <v>29.0</v>
      </c>
      <c r="N285" s="11">
        <v>60.0</v>
      </c>
      <c r="O285" s="11" t="s">
        <v>219</v>
      </c>
    </row>
    <row r="286">
      <c r="A286" s="9">
        <v>45235.0</v>
      </c>
      <c r="B286" s="2" t="s">
        <v>175</v>
      </c>
      <c r="C286" s="8">
        <v>116.66</v>
      </c>
      <c r="D286" s="2" t="s">
        <v>42</v>
      </c>
      <c r="E286" s="2" t="s">
        <v>163</v>
      </c>
      <c r="F286" s="4">
        <v>110.42502555841925</v>
      </c>
      <c r="G286" s="2" t="s">
        <v>32</v>
      </c>
      <c r="H286" s="8">
        <v>12.0</v>
      </c>
      <c r="I286" s="2" t="s">
        <v>33</v>
      </c>
      <c r="J286" s="11">
        <v>75.0</v>
      </c>
      <c r="K286" s="14">
        <v>0.0</v>
      </c>
      <c r="L286" s="8">
        <v>113.0</v>
      </c>
      <c r="N286" s="11">
        <v>900.0</v>
      </c>
      <c r="O286" s="11" t="s">
        <v>220</v>
      </c>
    </row>
    <row r="287">
      <c r="A287" s="9">
        <v>45237.0</v>
      </c>
      <c r="B287" s="2" t="s">
        <v>100</v>
      </c>
      <c r="C287" s="8">
        <v>200.0</v>
      </c>
      <c r="D287" s="2" t="s">
        <v>42</v>
      </c>
      <c r="E287" s="2" t="s">
        <v>163</v>
      </c>
      <c r="F287" s="4">
        <v>190.18528382116435</v>
      </c>
      <c r="G287" s="2" t="s">
        <v>43</v>
      </c>
      <c r="H287" s="8">
        <v>8.0</v>
      </c>
      <c r="I287" s="2" t="s">
        <v>33</v>
      </c>
      <c r="J287" s="11">
        <v>60.0</v>
      </c>
      <c r="K287" s="14">
        <v>0.0</v>
      </c>
      <c r="L287" s="8">
        <v>193.0</v>
      </c>
      <c r="N287" s="11">
        <v>480.0</v>
      </c>
      <c r="O287" s="11" t="s">
        <v>221</v>
      </c>
    </row>
    <row r="288">
      <c r="A288" s="9">
        <v>45238.0</v>
      </c>
      <c r="B288" s="2" t="s">
        <v>218</v>
      </c>
      <c r="C288" s="8">
        <v>200.0</v>
      </c>
      <c r="D288" s="2" t="s">
        <v>42</v>
      </c>
      <c r="E288" s="2" t="s">
        <v>163</v>
      </c>
      <c r="F288" s="4">
        <v>189.71673531425148</v>
      </c>
      <c r="G288" s="2" t="s">
        <v>43</v>
      </c>
      <c r="H288" s="8">
        <v>8.0</v>
      </c>
      <c r="I288" s="2" t="s">
        <v>33</v>
      </c>
      <c r="J288" s="11">
        <v>60.0</v>
      </c>
      <c r="K288" s="14">
        <v>0.0</v>
      </c>
      <c r="L288" s="8">
        <v>193.0</v>
      </c>
      <c r="N288" s="11">
        <v>480.0</v>
      </c>
      <c r="O288" s="11" t="s">
        <v>222</v>
      </c>
    </row>
    <row r="289">
      <c r="A289" s="9">
        <v>45239.0</v>
      </c>
      <c r="B289" s="2" t="s">
        <v>179</v>
      </c>
      <c r="C289" s="8">
        <v>200.0</v>
      </c>
      <c r="D289" s="2" t="s">
        <v>42</v>
      </c>
      <c r="E289" s="2" t="s">
        <v>163</v>
      </c>
      <c r="F289" s="4">
        <v>189.3362297814003</v>
      </c>
      <c r="G289" s="2" t="s">
        <v>43</v>
      </c>
      <c r="H289" s="8">
        <v>8.0</v>
      </c>
      <c r="I289" s="2" t="s">
        <v>33</v>
      </c>
      <c r="J289" s="11">
        <v>60.0</v>
      </c>
      <c r="K289" s="14">
        <v>0.0</v>
      </c>
      <c r="L289" s="8">
        <v>193.0</v>
      </c>
      <c r="N289" s="11">
        <v>480.0</v>
      </c>
      <c r="O289" s="11" t="s">
        <v>223</v>
      </c>
    </row>
    <row r="290">
      <c r="A290" s="9">
        <v>45241.0</v>
      </c>
      <c r="B290" s="2" t="s">
        <v>95</v>
      </c>
      <c r="C290" s="8">
        <v>30.0</v>
      </c>
      <c r="D290" s="2" t="s">
        <v>42</v>
      </c>
      <c r="E290" s="2" t="s">
        <v>163</v>
      </c>
      <c r="F290" s="4">
        <v>28.270414316330903</v>
      </c>
      <c r="G290" s="2" t="s">
        <v>43</v>
      </c>
      <c r="H290" s="8">
        <v>1.0</v>
      </c>
      <c r="I290" s="2" t="s">
        <v>44</v>
      </c>
      <c r="J290" s="11">
        <v>60.0</v>
      </c>
      <c r="K290" s="14">
        <v>0.0</v>
      </c>
      <c r="L290" s="8">
        <v>29.0</v>
      </c>
      <c r="N290" s="11">
        <v>60.0</v>
      </c>
      <c r="O290" s="11" t="s">
        <v>224</v>
      </c>
    </row>
    <row r="291">
      <c r="A291" s="9">
        <v>45241.0</v>
      </c>
      <c r="B291" s="2" t="s">
        <v>225</v>
      </c>
      <c r="C291" s="8">
        <v>30.0</v>
      </c>
      <c r="D291" s="2" t="s">
        <v>42</v>
      </c>
      <c r="E291" s="2" t="s">
        <v>163</v>
      </c>
      <c r="F291" s="4">
        <v>28.25913467638234</v>
      </c>
      <c r="G291" s="2" t="s">
        <v>43</v>
      </c>
      <c r="H291" s="8">
        <v>1.0</v>
      </c>
      <c r="I291" s="2" t="s">
        <v>44</v>
      </c>
      <c r="J291" s="11">
        <v>60.0</v>
      </c>
      <c r="K291" s="14">
        <v>0.0</v>
      </c>
      <c r="L291" s="8">
        <v>29.0</v>
      </c>
      <c r="N291" s="11">
        <v>60.0</v>
      </c>
      <c r="O291" s="11" t="s">
        <v>226</v>
      </c>
    </row>
    <row r="292">
      <c r="A292" s="9">
        <v>45243.0</v>
      </c>
      <c r="B292" s="2" t="s">
        <v>108</v>
      </c>
      <c r="C292" s="8">
        <v>200.0</v>
      </c>
      <c r="D292" s="2" t="s">
        <v>42</v>
      </c>
      <c r="E292" s="2" t="s">
        <v>163</v>
      </c>
      <c r="F292" s="4">
        <v>189.4293941139998</v>
      </c>
      <c r="G292" s="2" t="s">
        <v>43</v>
      </c>
      <c r="H292" s="8">
        <v>8.0</v>
      </c>
      <c r="I292" s="2" t="s">
        <v>33</v>
      </c>
      <c r="J292" s="11">
        <v>60.0</v>
      </c>
      <c r="K292" s="14">
        <v>0.0</v>
      </c>
      <c r="L292" s="8">
        <v>193.0</v>
      </c>
      <c r="N292" s="11">
        <v>480.0</v>
      </c>
      <c r="O292" s="11" t="s">
        <v>227</v>
      </c>
    </row>
    <row r="293">
      <c r="A293" s="9">
        <v>45243.0</v>
      </c>
      <c r="B293" s="2" t="s">
        <v>194</v>
      </c>
      <c r="C293" s="8">
        <v>60.0</v>
      </c>
      <c r="D293" s="2" t="s">
        <v>42</v>
      </c>
      <c r="E293" s="2" t="s">
        <v>163</v>
      </c>
      <c r="F293" s="4">
        <v>57.66308006927221</v>
      </c>
      <c r="G293" s="2" t="s">
        <v>43</v>
      </c>
      <c r="H293" s="8">
        <v>2.0</v>
      </c>
      <c r="I293" s="2" t="s">
        <v>44</v>
      </c>
      <c r="J293" s="11">
        <v>60.0</v>
      </c>
      <c r="K293" s="14">
        <v>0.0</v>
      </c>
      <c r="L293" s="8">
        <v>59.0</v>
      </c>
      <c r="N293" s="11">
        <v>120.0</v>
      </c>
      <c r="O293" s="11" t="s">
        <v>228</v>
      </c>
    </row>
    <row r="294">
      <c r="A294" s="9">
        <v>45243.0</v>
      </c>
      <c r="B294" s="2" t="s">
        <v>229</v>
      </c>
      <c r="C294" s="8">
        <v>145.0</v>
      </c>
      <c r="D294" s="2" t="s">
        <v>42</v>
      </c>
      <c r="E294" s="2" t="s">
        <v>163</v>
      </c>
      <c r="F294" s="4">
        <v>137.23094601470964</v>
      </c>
      <c r="G294" s="2" t="s">
        <v>35</v>
      </c>
      <c r="H294" s="8">
        <v>8.0</v>
      </c>
      <c r="I294" s="2" t="s">
        <v>33</v>
      </c>
      <c r="J294" s="11">
        <v>60.0</v>
      </c>
      <c r="K294" s="14">
        <v>0.0</v>
      </c>
      <c r="L294" s="8">
        <v>140.0</v>
      </c>
      <c r="N294" s="11">
        <v>480.0</v>
      </c>
      <c r="O294" s="11" t="s">
        <v>230</v>
      </c>
    </row>
    <row r="295">
      <c r="A295" s="9">
        <v>45247.0</v>
      </c>
      <c r="B295" s="2" t="s">
        <v>95</v>
      </c>
      <c r="C295" s="8">
        <v>30.0</v>
      </c>
      <c r="D295" s="2" t="s">
        <v>42</v>
      </c>
      <c r="E295" s="2" t="s">
        <v>163</v>
      </c>
      <c r="F295" s="4">
        <v>28.14456932294267</v>
      </c>
      <c r="G295" s="2" t="s">
        <v>43</v>
      </c>
      <c r="H295" s="8">
        <v>1.0</v>
      </c>
      <c r="I295" s="2" t="s">
        <v>44</v>
      </c>
      <c r="J295" s="11">
        <v>60.0</v>
      </c>
      <c r="K295" s="14">
        <v>0.0</v>
      </c>
      <c r="L295" s="8">
        <v>29.0</v>
      </c>
      <c r="N295" s="11">
        <v>60.0</v>
      </c>
      <c r="O295" s="11" t="s">
        <v>231</v>
      </c>
    </row>
    <row r="296">
      <c r="A296" s="9">
        <v>45247.0</v>
      </c>
      <c r="B296" s="2" t="s">
        <v>196</v>
      </c>
      <c r="C296" s="8">
        <v>200.0</v>
      </c>
      <c r="D296" s="2" t="s">
        <v>42</v>
      </c>
      <c r="E296" s="2" t="s">
        <v>163</v>
      </c>
      <c r="F296" s="4">
        <v>189.16087409642475</v>
      </c>
      <c r="G296" s="2" t="s">
        <v>43</v>
      </c>
      <c r="H296" s="8">
        <v>8.0</v>
      </c>
      <c r="I296" s="2" t="s">
        <v>33</v>
      </c>
      <c r="J296" s="11">
        <v>60.0</v>
      </c>
      <c r="K296" s="14">
        <v>0.0</v>
      </c>
      <c r="L296" s="8">
        <v>193.0</v>
      </c>
      <c r="N296" s="11">
        <v>480.0</v>
      </c>
      <c r="O296" s="11" t="s">
        <v>232</v>
      </c>
    </row>
    <row r="297">
      <c r="A297" s="9">
        <v>45247.0</v>
      </c>
      <c r="B297" s="2" t="s">
        <v>225</v>
      </c>
      <c r="C297" s="8">
        <v>200.0</v>
      </c>
      <c r="D297" s="2" t="s">
        <v>42</v>
      </c>
      <c r="E297" s="2" t="s">
        <v>163</v>
      </c>
      <c r="F297" s="4">
        <v>189.16087409642475</v>
      </c>
      <c r="G297" s="2" t="s">
        <v>43</v>
      </c>
      <c r="H297" s="8">
        <v>8.0</v>
      </c>
      <c r="I297" s="2" t="s">
        <v>33</v>
      </c>
      <c r="J297" s="11">
        <v>60.0</v>
      </c>
      <c r="K297" s="14">
        <v>0.0</v>
      </c>
      <c r="L297" s="8">
        <v>193.0</v>
      </c>
      <c r="N297" s="11">
        <v>480.0</v>
      </c>
      <c r="O297" s="11" t="s">
        <v>233</v>
      </c>
    </row>
    <row r="298">
      <c r="A298" s="9">
        <v>45250.0</v>
      </c>
      <c r="B298" s="2" t="s">
        <v>148</v>
      </c>
      <c r="C298" s="8">
        <v>200.0</v>
      </c>
      <c r="D298" s="2" t="s">
        <v>42</v>
      </c>
      <c r="E298" s="2" t="s">
        <v>163</v>
      </c>
      <c r="F298" s="4">
        <v>189.08758076654595</v>
      </c>
      <c r="G298" s="2" t="s">
        <v>43</v>
      </c>
      <c r="H298" s="8">
        <v>8.0</v>
      </c>
      <c r="I298" s="2" t="s">
        <v>33</v>
      </c>
      <c r="J298" s="11">
        <v>60.0</v>
      </c>
      <c r="K298" s="14">
        <v>0.0</v>
      </c>
      <c r="L298" s="8">
        <v>193.0</v>
      </c>
      <c r="N298" s="11">
        <v>480.0</v>
      </c>
      <c r="O298" s="11" t="s">
        <v>234</v>
      </c>
    </row>
    <row r="299">
      <c r="A299" s="9">
        <v>45255.0</v>
      </c>
      <c r="B299" s="11" t="s">
        <v>235</v>
      </c>
      <c r="C299" s="11">
        <v>145.0</v>
      </c>
      <c r="D299" s="11" t="s">
        <v>42</v>
      </c>
      <c r="E299" s="11" t="s">
        <v>163</v>
      </c>
      <c r="F299" s="4">
        <v>137.330704978099</v>
      </c>
      <c r="G299" s="11" t="s">
        <v>35</v>
      </c>
      <c r="H299" s="11">
        <v>8.0</v>
      </c>
      <c r="I299" s="11" t="s">
        <v>33</v>
      </c>
      <c r="J299" s="11">
        <v>60.0</v>
      </c>
      <c r="K299" s="14">
        <v>0.0</v>
      </c>
      <c r="L299" s="8">
        <v>140.0</v>
      </c>
      <c r="N299" s="11">
        <v>480.0</v>
      </c>
      <c r="O299" s="11" t="s">
        <v>236</v>
      </c>
    </row>
    <row r="300">
      <c r="A300" s="9">
        <v>45255.0</v>
      </c>
      <c r="B300" s="11" t="s">
        <v>235</v>
      </c>
      <c r="C300" s="11">
        <v>30.0</v>
      </c>
      <c r="D300" s="11" t="s">
        <v>42</v>
      </c>
      <c r="E300" s="11" t="s">
        <v>163</v>
      </c>
      <c r="F300" s="4">
        <v>28.19755004544459</v>
      </c>
      <c r="G300" s="11" t="s">
        <v>43</v>
      </c>
      <c r="H300" s="11">
        <v>1.0</v>
      </c>
      <c r="I300" s="11" t="s">
        <v>44</v>
      </c>
      <c r="J300" s="11">
        <v>60.0</v>
      </c>
      <c r="K300" s="14">
        <v>0.0</v>
      </c>
      <c r="L300" s="8">
        <v>29.0</v>
      </c>
      <c r="N300" s="11">
        <v>60.0</v>
      </c>
      <c r="O300" s="11" t="s">
        <v>237</v>
      </c>
    </row>
    <row r="301">
      <c r="A301" s="9">
        <v>45255.0</v>
      </c>
      <c r="B301" s="11" t="s">
        <v>235</v>
      </c>
      <c r="C301" s="11">
        <v>30.0</v>
      </c>
      <c r="D301" s="11" t="s">
        <v>42</v>
      </c>
      <c r="E301" s="11" t="s">
        <v>163</v>
      </c>
      <c r="F301" s="4">
        <v>28.19755004544459</v>
      </c>
      <c r="G301" s="11" t="s">
        <v>43</v>
      </c>
      <c r="H301" s="11">
        <v>1.0</v>
      </c>
      <c r="I301" s="11" t="s">
        <v>44</v>
      </c>
      <c r="J301" s="11">
        <v>60.0</v>
      </c>
      <c r="K301" s="14">
        <v>0.0</v>
      </c>
      <c r="L301" s="8">
        <v>29.0</v>
      </c>
      <c r="N301" s="11">
        <v>60.0</v>
      </c>
      <c r="O301" s="11" t="s">
        <v>237</v>
      </c>
    </row>
    <row r="302">
      <c r="A302" s="9">
        <v>45256.0</v>
      </c>
      <c r="B302" s="11" t="s">
        <v>238</v>
      </c>
      <c r="C302" s="11">
        <v>200.0</v>
      </c>
      <c r="D302" s="11" t="s">
        <v>42</v>
      </c>
      <c r="E302" s="11" t="s">
        <v>163</v>
      </c>
      <c r="F302" s="4">
        <v>189.48786112023654</v>
      </c>
      <c r="G302" s="11" t="s">
        <v>43</v>
      </c>
      <c r="H302" s="11">
        <v>8.0</v>
      </c>
      <c r="I302" s="11" t="s">
        <v>33</v>
      </c>
      <c r="J302" s="11">
        <v>60.0</v>
      </c>
      <c r="K302" s="14">
        <v>0.0</v>
      </c>
      <c r="L302" s="8">
        <v>193.0</v>
      </c>
      <c r="N302" s="11">
        <v>480.0</v>
      </c>
      <c r="O302" s="11" t="s">
        <v>239</v>
      </c>
    </row>
    <row r="303">
      <c r="A303" s="9">
        <v>45257.0</v>
      </c>
      <c r="B303" s="11" t="s">
        <v>104</v>
      </c>
      <c r="C303" s="11">
        <v>180.0</v>
      </c>
      <c r="D303" s="11" t="s">
        <v>42</v>
      </c>
      <c r="E303" s="11" t="s">
        <v>163</v>
      </c>
      <c r="F303" s="4">
        <v>170.40878872697039</v>
      </c>
      <c r="G303" s="11" t="s">
        <v>43</v>
      </c>
      <c r="H303" s="11">
        <v>6.0</v>
      </c>
      <c r="I303" s="11" t="s">
        <v>44</v>
      </c>
      <c r="J303" s="11">
        <v>60.0</v>
      </c>
      <c r="K303" s="14">
        <v>0.0</v>
      </c>
      <c r="L303" s="8">
        <v>174.0</v>
      </c>
      <c r="N303" s="11">
        <v>360.0</v>
      </c>
      <c r="O303" s="11" t="s">
        <v>240</v>
      </c>
    </row>
    <row r="304">
      <c r="A304" s="9">
        <v>45258.0</v>
      </c>
      <c r="B304" s="11" t="s">
        <v>194</v>
      </c>
      <c r="C304" s="11">
        <v>30.0</v>
      </c>
      <c r="D304" s="11" t="s">
        <v>42</v>
      </c>
      <c r="E304" s="11" t="s">
        <v>163</v>
      </c>
      <c r="F304" s="4">
        <v>28.711033526201593</v>
      </c>
      <c r="G304" s="11" t="s">
        <v>43</v>
      </c>
      <c r="H304" s="11">
        <v>1.0</v>
      </c>
      <c r="I304" s="11" t="s">
        <v>44</v>
      </c>
      <c r="J304" s="11">
        <v>60.0</v>
      </c>
      <c r="K304" s="14">
        <v>0.0</v>
      </c>
      <c r="L304" s="8">
        <v>29.0</v>
      </c>
      <c r="N304" s="11">
        <v>60.0</v>
      </c>
      <c r="O304" s="11" t="s">
        <v>241</v>
      </c>
    </row>
    <row r="305">
      <c r="A305" s="9">
        <v>45258.0</v>
      </c>
      <c r="B305" s="11" t="s">
        <v>155</v>
      </c>
      <c r="C305" s="11">
        <v>200.0</v>
      </c>
      <c r="D305" s="11" t="s">
        <v>42</v>
      </c>
      <c r="E305" s="11" t="s">
        <v>163</v>
      </c>
      <c r="F305" s="4">
        <v>189.50419819405175</v>
      </c>
      <c r="G305" s="11" t="s">
        <v>43</v>
      </c>
      <c r="H305" s="11">
        <v>8.0</v>
      </c>
      <c r="I305" s="11" t="s">
        <v>33</v>
      </c>
      <c r="J305" s="11">
        <v>60.0</v>
      </c>
      <c r="K305" s="14">
        <v>0.0</v>
      </c>
      <c r="L305" s="8">
        <v>193.0</v>
      </c>
      <c r="N305" s="11">
        <v>480.0</v>
      </c>
      <c r="O305" s="11" t="s">
        <v>242</v>
      </c>
    </row>
    <row r="306">
      <c r="A306" s="9">
        <v>45259.0</v>
      </c>
      <c r="B306" s="11" t="s">
        <v>113</v>
      </c>
      <c r="C306" s="11">
        <v>200.0</v>
      </c>
      <c r="D306" s="11" t="s">
        <v>42</v>
      </c>
      <c r="E306" s="11" t="s">
        <v>163</v>
      </c>
      <c r="F306" s="4">
        <v>189.40160665639445</v>
      </c>
      <c r="G306" s="11" t="s">
        <v>43</v>
      </c>
      <c r="H306" s="11">
        <v>8.0</v>
      </c>
      <c r="I306" s="11" t="s">
        <v>33</v>
      </c>
      <c r="J306" s="11">
        <v>60.0</v>
      </c>
      <c r="K306" s="14">
        <v>0.0</v>
      </c>
      <c r="L306" s="8">
        <v>193.0</v>
      </c>
      <c r="N306" s="11">
        <v>480.0</v>
      </c>
      <c r="O306" s="11" t="s">
        <v>243</v>
      </c>
    </row>
    <row r="307">
      <c r="A307" s="9">
        <v>45262.15902777778</v>
      </c>
      <c r="B307" s="11" t="s">
        <v>244</v>
      </c>
      <c r="C307" s="11">
        <v>30.0</v>
      </c>
      <c r="D307" s="11" t="s">
        <v>42</v>
      </c>
      <c r="E307" s="11" t="s">
        <v>163</v>
      </c>
      <c r="F307" s="4">
        <v>28.39716823660714</v>
      </c>
      <c r="G307" s="11" t="s">
        <v>43</v>
      </c>
      <c r="H307" s="11">
        <v>1.0</v>
      </c>
      <c r="I307" s="11" t="s">
        <v>44</v>
      </c>
      <c r="J307" s="11">
        <v>60.0</v>
      </c>
      <c r="K307" s="14">
        <v>0.0</v>
      </c>
      <c r="L307" s="8">
        <v>29.0</v>
      </c>
      <c r="N307" s="11">
        <v>60.0</v>
      </c>
      <c r="O307" s="11" t="s">
        <v>245</v>
      </c>
    </row>
    <row r="308">
      <c r="A308" s="9">
        <v>45262.16180555556</v>
      </c>
      <c r="B308" s="11" t="s">
        <v>244</v>
      </c>
      <c r="C308" s="11">
        <v>200.0</v>
      </c>
      <c r="D308" s="11" t="s">
        <v>42</v>
      </c>
      <c r="E308" s="11" t="s">
        <v>163</v>
      </c>
      <c r="F308" s="4">
        <v>190.89673200783972</v>
      </c>
      <c r="G308" s="11" t="s">
        <v>43</v>
      </c>
      <c r="H308" s="11">
        <v>8.0</v>
      </c>
      <c r="I308" s="11" t="s">
        <v>33</v>
      </c>
      <c r="J308" s="11">
        <v>60.0</v>
      </c>
      <c r="K308" s="14">
        <v>0.0</v>
      </c>
      <c r="L308" s="8">
        <v>195.0</v>
      </c>
      <c r="N308" s="11">
        <v>480.0</v>
      </c>
      <c r="O308" s="11" t="s">
        <v>246</v>
      </c>
    </row>
    <row r="309">
      <c r="A309" s="9">
        <v>45264.68958333333</v>
      </c>
      <c r="B309" s="11" t="s">
        <v>247</v>
      </c>
      <c r="C309" s="11">
        <v>30.0</v>
      </c>
      <c r="D309" s="11" t="s">
        <v>42</v>
      </c>
      <c r="E309" s="11" t="s">
        <v>163</v>
      </c>
      <c r="F309" s="4">
        <v>28.600854861493445</v>
      </c>
      <c r="G309" s="11" t="s">
        <v>43</v>
      </c>
      <c r="H309" s="11">
        <v>1.0</v>
      </c>
      <c r="I309" s="11" t="s">
        <v>44</v>
      </c>
      <c r="J309" s="11">
        <v>60.0</v>
      </c>
      <c r="K309" s="14">
        <v>0.0</v>
      </c>
      <c r="L309" s="8">
        <v>29.0</v>
      </c>
      <c r="N309" s="11">
        <v>60.0</v>
      </c>
      <c r="O309" s="11" t="s">
        <v>248</v>
      </c>
    </row>
    <row r="310">
      <c r="A310" s="9">
        <v>45264.68958333333</v>
      </c>
      <c r="B310" s="11" t="s">
        <v>247</v>
      </c>
      <c r="C310" s="11">
        <v>30.0</v>
      </c>
      <c r="D310" s="11" t="s">
        <v>42</v>
      </c>
      <c r="E310" s="11" t="s">
        <v>163</v>
      </c>
      <c r="F310" s="4">
        <v>28.600854861493445</v>
      </c>
      <c r="G310" s="11" t="s">
        <v>43</v>
      </c>
      <c r="H310" s="11">
        <v>1.0</v>
      </c>
      <c r="I310" s="11" t="s">
        <v>44</v>
      </c>
      <c r="J310" s="11">
        <v>60.0</v>
      </c>
      <c r="K310" s="14">
        <v>0.0</v>
      </c>
      <c r="L310" s="8">
        <v>29.0</v>
      </c>
      <c r="N310" s="11">
        <v>60.0</v>
      </c>
      <c r="O310" s="11" t="s">
        <v>248</v>
      </c>
    </row>
    <row r="311">
      <c r="A311" s="9">
        <v>45265.20277777778</v>
      </c>
      <c r="B311" s="11" t="s">
        <v>249</v>
      </c>
      <c r="C311" s="11">
        <v>200.0</v>
      </c>
      <c r="D311" s="11" t="s">
        <v>42</v>
      </c>
      <c r="E311" s="11" t="s">
        <v>163</v>
      </c>
      <c r="F311" s="4">
        <v>188.59711036514943</v>
      </c>
      <c r="G311" s="11" t="s">
        <v>43</v>
      </c>
      <c r="H311" s="11">
        <v>8.0</v>
      </c>
      <c r="I311" s="11" t="s">
        <v>33</v>
      </c>
      <c r="J311" s="11">
        <v>60.0</v>
      </c>
      <c r="K311" s="14">
        <v>0.0</v>
      </c>
      <c r="L311" s="8">
        <v>193.0</v>
      </c>
      <c r="N311" s="11">
        <v>480.0</v>
      </c>
      <c r="O311" s="11" t="s">
        <v>250</v>
      </c>
    </row>
    <row r="312">
      <c r="A312" s="9">
        <v>45266.10972222222</v>
      </c>
      <c r="B312" s="11" t="s">
        <v>251</v>
      </c>
      <c r="C312" s="11">
        <v>20.0</v>
      </c>
      <c r="D312" s="11" t="s">
        <v>42</v>
      </c>
      <c r="E312" s="11" t="s">
        <v>163</v>
      </c>
      <c r="F312" s="4">
        <v>18.6479449538647</v>
      </c>
      <c r="G312" s="11" t="s">
        <v>35</v>
      </c>
      <c r="H312" s="11">
        <v>1.0</v>
      </c>
      <c r="I312" s="11" t="s">
        <v>44</v>
      </c>
      <c r="J312" s="11">
        <v>60.0</v>
      </c>
      <c r="K312" s="14">
        <v>0.0</v>
      </c>
      <c r="L312" s="8">
        <v>19.0</v>
      </c>
      <c r="N312" s="11">
        <v>60.0</v>
      </c>
      <c r="O312" s="11" t="s">
        <v>252</v>
      </c>
    </row>
    <row r="313">
      <c r="A313" s="9">
        <v>45266.18680555555</v>
      </c>
      <c r="B313" s="11" t="s">
        <v>253</v>
      </c>
      <c r="C313" s="11">
        <v>200.0</v>
      </c>
      <c r="D313" s="11" t="s">
        <v>42</v>
      </c>
      <c r="E313" s="11" t="s">
        <v>163</v>
      </c>
      <c r="F313" s="4">
        <v>192.29327868409433</v>
      </c>
      <c r="G313" s="11" t="s">
        <v>43</v>
      </c>
      <c r="H313" s="11">
        <v>8.0</v>
      </c>
      <c r="I313" s="11" t="s">
        <v>33</v>
      </c>
      <c r="J313" s="11">
        <v>60.0</v>
      </c>
      <c r="K313" s="14">
        <v>0.0</v>
      </c>
      <c r="L313" s="8">
        <v>197.0</v>
      </c>
      <c r="N313" s="11">
        <v>480.0</v>
      </c>
      <c r="O313" s="11" t="s">
        <v>254</v>
      </c>
    </row>
    <row r="314">
      <c r="A314" s="9">
        <v>45267.694444444445</v>
      </c>
      <c r="B314" s="11" t="s">
        <v>255</v>
      </c>
      <c r="C314" s="11">
        <v>200.0</v>
      </c>
      <c r="D314" s="11" t="s">
        <v>42</v>
      </c>
      <c r="E314" s="11" t="s">
        <v>163</v>
      </c>
      <c r="F314" s="4">
        <v>189.73662132743365</v>
      </c>
      <c r="G314" s="11" t="s">
        <v>43</v>
      </c>
      <c r="H314" s="11">
        <v>8.0</v>
      </c>
      <c r="I314" s="11" t="s">
        <v>33</v>
      </c>
      <c r="J314" s="11">
        <v>60.0</v>
      </c>
      <c r="K314" s="14">
        <v>0.0</v>
      </c>
      <c r="L314" s="8">
        <v>193.0</v>
      </c>
      <c r="N314" s="11">
        <v>480.0</v>
      </c>
      <c r="O314" s="11" t="s">
        <v>256</v>
      </c>
    </row>
    <row r="315">
      <c r="A315" s="9">
        <v>45269.64791666667</v>
      </c>
      <c r="B315" s="11" t="s">
        <v>100</v>
      </c>
      <c r="C315" s="11">
        <v>200.0</v>
      </c>
      <c r="D315" s="11" t="s">
        <v>42</v>
      </c>
      <c r="E315" s="11" t="s">
        <v>163</v>
      </c>
      <c r="F315" s="4">
        <v>189.50519985777396</v>
      </c>
      <c r="G315" s="11" t="s">
        <v>43</v>
      </c>
      <c r="H315" s="11">
        <v>8.0</v>
      </c>
      <c r="I315" s="11" t="s">
        <v>33</v>
      </c>
      <c r="J315" s="11">
        <v>60.0</v>
      </c>
      <c r="K315" s="14">
        <v>0.0</v>
      </c>
      <c r="L315" s="8">
        <v>193.0</v>
      </c>
      <c r="N315" s="11">
        <v>480.0</v>
      </c>
      <c r="O315" s="11" t="s">
        <v>257</v>
      </c>
    </row>
    <row r="316">
      <c r="A316" s="9">
        <v>45270.375</v>
      </c>
      <c r="B316" s="11" t="s">
        <v>258</v>
      </c>
      <c r="C316" s="11">
        <v>200.0</v>
      </c>
      <c r="D316" s="11" t="s">
        <v>42</v>
      </c>
      <c r="E316" s="11" t="s">
        <v>163</v>
      </c>
      <c r="F316" s="4">
        <v>189.391846385393</v>
      </c>
      <c r="G316" s="11" t="s">
        <v>43</v>
      </c>
      <c r="H316" s="11">
        <v>8.0</v>
      </c>
      <c r="I316" s="11" t="s">
        <v>33</v>
      </c>
      <c r="J316" s="11">
        <v>60.0</v>
      </c>
      <c r="K316" s="14">
        <v>0.0</v>
      </c>
      <c r="L316" s="8">
        <v>193.0</v>
      </c>
      <c r="N316" s="11">
        <v>480.0</v>
      </c>
      <c r="O316" s="11" t="s">
        <v>259</v>
      </c>
    </row>
    <row r="317">
      <c r="A317" s="9">
        <v>45270.552777777775</v>
      </c>
      <c r="B317" s="11" t="s">
        <v>111</v>
      </c>
      <c r="C317" s="11">
        <v>200.0</v>
      </c>
      <c r="D317" s="11" t="s">
        <v>42</v>
      </c>
      <c r="E317" s="11" t="s">
        <v>163</v>
      </c>
      <c r="F317" s="4">
        <v>189.391846385393</v>
      </c>
      <c r="G317" s="11" t="s">
        <v>43</v>
      </c>
      <c r="H317" s="11">
        <v>8.0</v>
      </c>
      <c r="I317" s="11" t="s">
        <v>33</v>
      </c>
      <c r="J317" s="11">
        <v>60.0</v>
      </c>
      <c r="K317" s="14">
        <v>0.0</v>
      </c>
      <c r="L317" s="8">
        <v>193.0</v>
      </c>
      <c r="N317" s="11">
        <v>480.0</v>
      </c>
      <c r="O317" s="11" t="s">
        <v>260</v>
      </c>
    </row>
    <row r="318">
      <c r="A318" s="9">
        <v>45270.60625</v>
      </c>
      <c r="B318" s="11" t="s">
        <v>95</v>
      </c>
      <c r="C318" s="11">
        <v>20.0</v>
      </c>
      <c r="D318" s="11" t="s">
        <v>42</v>
      </c>
      <c r="E318" s="11" t="s">
        <v>163</v>
      </c>
      <c r="F318" s="4">
        <v>18.700121834056436</v>
      </c>
      <c r="G318" s="11" t="s">
        <v>35</v>
      </c>
      <c r="H318" s="11">
        <v>1.0</v>
      </c>
      <c r="I318" s="11" t="s">
        <v>44</v>
      </c>
      <c r="J318" s="11">
        <v>60.0</v>
      </c>
      <c r="K318" s="14">
        <v>0.0</v>
      </c>
      <c r="L318" s="8">
        <v>19.0</v>
      </c>
      <c r="N318" s="11">
        <v>60.0</v>
      </c>
      <c r="O318" s="11" t="s">
        <v>261</v>
      </c>
    </row>
    <row r="319">
      <c r="A319" s="9">
        <v>45271.0</v>
      </c>
      <c r="B319" s="11" t="s">
        <v>262</v>
      </c>
      <c r="C319" s="11">
        <v>186.04</v>
      </c>
      <c r="D319" s="11" t="s">
        <v>30</v>
      </c>
      <c r="E319" s="11" t="s">
        <v>31</v>
      </c>
      <c r="F319" s="13">
        <v>200.28</v>
      </c>
      <c r="G319" s="11" t="s">
        <v>43</v>
      </c>
      <c r="H319" s="11">
        <v>8.0</v>
      </c>
      <c r="I319" s="11" t="s">
        <v>33</v>
      </c>
      <c r="J319" s="11">
        <v>60.0</v>
      </c>
      <c r="K319" s="14">
        <v>0.0</v>
      </c>
      <c r="L319" s="8">
        <v>200.28</v>
      </c>
      <c r="N319" s="11">
        <v>480.0</v>
      </c>
      <c r="O319" s="11">
        <v>8.96232412E8</v>
      </c>
    </row>
    <row r="320">
      <c r="A320" s="9">
        <v>45271.53958333333</v>
      </c>
      <c r="B320" s="11" t="s">
        <v>218</v>
      </c>
      <c r="C320" s="11">
        <v>200.0</v>
      </c>
      <c r="D320" s="11" t="s">
        <v>42</v>
      </c>
      <c r="E320" s="11" t="s">
        <v>163</v>
      </c>
      <c r="F320" s="4">
        <v>189.3300723664944</v>
      </c>
      <c r="G320" s="11" t="s">
        <v>43</v>
      </c>
      <c r="H320" s="11">
        <v>8.0</v>
      </c>
      <c r="I320" s="11" t="s">
        <v>33</v>
      </c>
      <c r="J320" s="11">
        <v>60.0</v>
      </c>
      <c r="K320" s="14">
        <v>0.0</v>
      </c>
      <c r="L320" s="8">
        <v>193.0</v>
      </c>
      <c r="N320" s="11">
        <v>480.0</v>
      </c>
      <c r="O320" s="11" t="s">
        <v>263</v>
      </c>
    </row>
    <row r="321">
      <c r="A321" s="9">
        <v>45272.6375</v>
      </c>
      <c r="B321" s="11" t="s">
        <v>251</v>
      </c>
      <c r="C321" s="11">
        <v>20.0</v>
      </c>
      <c r="D321" s="11" t="s">
        <v>42</v>
      </c>
      <c r="E321" s="11" t="s">
        <v>163</v>
      </c>
      <c r="F321" s="4">
        <v>18.69247692907434</v>
      </c>
      <c r="G321" s="11" t="s">
        <v>35</v>
      </c>
      <c r="H321" s="11">
        <v>1.0</v>
      </c>
      <c r="I321" s="11" t="s">
        <v>44</v>
      </c>
      <c r="J321" s="11">
        <v>60.0</v>
      </c>
      <c r="K321" s="14">
        <v>0.0</v>
      </c>
      <c r="L321" s="8">
        <v>19.0</v>
      </c>
      <c r="N321" s="11">
        <v>60.0</v>
      </c>
      <c r="O321" s="11" t="s">
        <v>264</v>
      </c>
    </row>
    <row r="322">
      <c r="A322" s="9">
        <v>45274.126388888886</v>
      </c>
      <c r="B322" s="11" t="s">
        <v>205</v>
      </c>
      <c r="C322" s="11">
        <v>200.0</v>
      </c>
      <c r="D322" s="11" t="s">
        <v>42</v>
      </c>
      <c r="E322" s="11" t="s">
        <v>163</v>
      </c>
      <c r="F322" s="4">
        <v>191.26701252830853</v>
      </c>
      <c r="G322" s="11" t="s">
        <v>43</v>
      </c>
      <c r="H322" s="11">
        <v>8.0</v>
      </c>
      <c r="I322" s="11" t="s">
        <v>33</v>
      </c>
      <c r="J322" s="11">
        <v>60.0</v>
      </c>
      <c r="K322" s="14">
        <v>0.0</v>
      </c>
      <c r="L322" s="8">
        <v>193.0</v>
      </c>
      <c r="N322" s="11">
        <v>480.0</v>
      </c>
      <c r="O322" s="11" t="s">
        <v>265</v>
      </c>
    </row>
    <row r="323">
      <c r="A323" s="9">
        <v>45279.96527777778</v>
      </c>
      <c r="B323" s="11" t="s">
        <v>266</v>
      </c>
      <c r="C323" s="11">
        <v>145.0</v>
      </c>
      <c r="D323" s="11" t="s">
        <v>42</v>
      </c>
      <c r="E323" s="11" t="s">
        <v>163</v>
      </c>
      <c r="F323" s="4">
        <v>138.80088578613314</v>
      </c>
      <c r="G323" s="11" t="s">
        <v>35</v>
      </c>
      <c r="H323" s="11">
        <v>8.0</v>
      </c>
      <c r="I323" s="11" t="s">
        <v>33</v>
      </c>
      <c r="J323" s="11">
        <v>60.0</v>
      </c>
      <c r="K323" s="14">
        <v>0.0</v>
      </c>
      <c r="L323" s="8">
        <v>141.0</v>
      </c>
      <c r="N323" s="11">
        <v>480.0</v>
      </c>
      <c r="O323" s="11" t="s">
        <v>267</v>
      </c>
    </row>
    <row r="324">
      <c r="A324" s="9">
        <v>45280.69652777778</v>
      </c>
      <c r="B324" s="11" t="s">
        <v>95</v>
      </c>
      <c r="C324" s="11">
        <v>20.0</v>
      </c>
      <c r="D324" s="11" t="s">
        <v>42</v>
      </c>
      <c r="E324" s="11" t="s">
        <v>163</v>
      </c>
      <c r="F324" s="4">
        <v>18.70620414798599</v>
      </c>
      <c r="G324" s="11" t="s">
        <v>35</v>
      </c>
      <c r="H324" s="11">
        <v>1.0</v>
      </c>
      <c r="I324" s="11" t="s">
        <v>44</v>
      </c>
      <c r="J324" s="11">
        <v>60.0</v>
      </c>
      <c r="K324" s="14">
        <v>0.0</v>
      </c>
      <c r="L324" s="8">
        <v>19.0</v>
      </c>
      <c r="N324" s="11">
        <v>60.0</v>
      </c>
      <c r="O324" s="11" t="s">
        <v>268</v>
      </c>
    </row>
    <row r="325">
      <c r="A325" s="9">
        <v>45280.73888888889</v>
      </c>
      <c r="B325" s="11" t="s">
        <v>68</v>
      </c>
      <c r="C325" s="11">
        <v>200.0</v>
      </c>
      <c r="D325" s="11" t="s">
        <v>42</v>
      </c>
      <c r="E325" s="11" t="s">
        <v>163</v>
      </c>
      <c r="F325" s="4">
        <v>189.5140664360771</v>
      </c>
      <c r="G325" s="11" t="s">
        <v>32</v>
      </c>
      <c r="H325" s="11">
        <v>12.0</v>
      </c>
      <c r="I325" s="11" t="s">
        <v>33</v>
      </c>
      <c r="J325" s="11">
        <v>60.0</v>
      </c>
      <c r="K325" s="14">
        <v>0.0</v>
      </c>
      <c r="L325" s="8">
        <v>193.0</v>
      </c>
      <c r="N325" s="11">
        <v>720.0</v>
      </c>
      <c r="O325" s="11" t="s">
        <v>269</v>
      </c>
    </row>
    <row r="326">
      <c r="A326" s="9">
        <v>45281.87986111111</v>
      </c>
      <c r="B326" s="11" t="s">
        <v>196</v>
      </c>
      <c r="C326" s="11">
        <v>200.0</v>
      </c>
      <c r="D326" s="11" t="s">
        <v>42</v>
      </c>
      <c r="E326" s="11" t="s">
        <v>163</v>
      </c>
      <c r="F326" s="4">
        <v>189.68038009971605</v>
      </c>
      <c r="G326" s="11" t="s">
        <v>43</v>
      </c>
      <c r="H326" s="11">
        <v>8.0</v>
      </c>
      <c r="I326" s="11" t="s">
        <v>33</v>
      </c>
      <c r="J326" s="11">
        <v>60.0</v>
      </c>
      <c r="K326" s="14">
        <v>0.0</v>
      </c>
      <c r="L326" s="8">
        <v>193.0</v>
      </c>
      <c r="N326" s="11">
        <v>480.0</v>
      </c>
      <c r="O326" s="11" t="s">
        <v>270</v>
      </c>
    </row>
    <row r="327">
      <c r="A327" s="9">
        <v>45282.82638888889</v>
      </c>
      <c r="B327" s="11" t="s">
        <v>251</v>
      </c>
      <c r="C327" s="11">
        <v>145.0</v>
      </c>
      <c r="D327" s="11" t="s">
        <v>42</v>
      </c>
      <c r="E327" s="11" t="s">
        <v>163</v>
      </c>
      <c r="F327" s="4">
        <v>137.2032555629066</v>
      </c>
      <c r="G327" s="11" t="s">
        <v>35</v>
      </c>
      <c r="H327" s="11">
        <v>8.0</v>
      </c>
      <c r="I327" s="11" t="s">
        <v>33</v>
      </c>
      <c r="J327" s="11">
        <v>60.0</v>
      </c>
      <c r="K327" s="14">
        <v>0.0</v>
      </c>
      <c r="L327" s="8">
        <v>140.0</v>
      </c>
      <c r="N327" s="11">
        <v>480.0</v>
      </c>
      <c r="O327" s="11" t="s">
        <v>271</v>
      </c>
    </row>
    <row r="328">
      <c r="A328" s="9">
        <v>45283.56875</v>
      </c>
      <c r="B328" s="11" t="s">
        <v>272</v>
      </c>
      <c r="C328" s="11">
        <v>200.0</v>
      </c>
      <c r="D328" s="11" t="s">
        <v>42</v>
      </c>
      <c r="E328" s="11" t="s">
        <v>163</v>
      </c>
      <c r="F328" s="4">
        <v>189.6241337666777</v>
      </c>
      <c r="G328" s="11" t="s">
        <v>43</v>
      </c>
      <c r="H328" s="11">
        <v>8.0</v>
      </c>
      <c r="I328" s="11" t="s">
        <v>33</v>
      </c>
      <c r="J328" s="11">
        <v>60.0</v>
      </c>
      <c r="K328" s="14">
        <v>0.0</v>
      </c>
      <c r="L328" s="8">
        <v>193.0</v>
      </c>
      <c r="N328" s="11">
        <v>480.0</v>
      </c>
      <c r="O328" s="11" t="s">
        <v>273</v>
      </c>
    </row>
    <row r="329">
      <c r="A329" s="9">
        <v>45290.90972222222</v>
      </c>
      <c r="B329" s="11" t="s">
        <v>132</v>
      </c>
      <c r="C329" s="11">
        <v>-145.0</v>
      </c>
      <c r="D329" s="11" t="s">
        <v>42</v>
      </c>
      <c r="E329" s="11" t="s">
        <v>66</v>
      </c>
      <c r="F329" s="13">
        <v>-145.0</v>
      </c>
      <c r="G329" s="11" t="s">
        <v>274</v>
      </c>
      <c r="H329" s="11">
        <v>8.0</v>
      </c>
      <c r="I329" s="11" t="s">
        <v>33</v>
      </c>
      <c r="J329" s="11">
        <v>60.0</v>
      </c>
      <c r="K329" s="14">
        <v>0.0</v>
      </c>
      <c r="L329" s="8">
        <v>-145.0</v>
      </c>
      <c r="N329" s="11">
        <v>480.0</v>
      </c>
      <c r="O329" s="11" t="s">
        <v>275</v>
      </c>
    </row>
    <row r="330">
      <c r="A330" s="9">
        <v>45293.0</v>
      </c>
      <c r="B330" s="11" t="s">
        <v>276</v>
      </c>
      <c r="C330" s="11">
        <v>16.0</v>
      </c>
      <c r="D330" s="11" t="s">
        <v>82</v>
      </c>
      <c r="E330" s="11" t="s">
        <v>31</v>
      </c>
      <c r="F330" s="13">
        <v>20.2</v>
      </c>
      <c r="G330" s="11" t="s">
        <v>35</v>
      </c>
      <c r="H330" s="11">
        <v>1.0</v>
      </c>
      <c r="I330" s="11" t="s">
        <v>44</v>
      </c>
      <c r="J330" s="11">
        <v>60.0</v>
      </c>
      <c r="K330" s="14">
        <v>0.0</v>
      </c>
      <c r="L330" s="8">
        <v>20.2</v>
      </c>
      <c r="N330" s="11">
        <f t="shared" ref="N330:N896" si="1">J330*H330</f>
        <v>60</v>
      </c>
      <c r="O330" s="11">
        <v>9.19251135E8</v>
      </c>
    </row>
    <row r="331">
      <c r="A331" s="9">
        <v>45294.674305555556</v>
      </c>
      <c r="B331" s="11" t="s">
        <v>277</v>
      </c>
      <c r="C331" s="11">
        <v>20.0</v>
      </c>
      <c r="D331" s="11" t="s">
        <v>42</v>
      </c>
      <c r="E331" s="11" t="s">
        <v>163</v>
      </c>
      <c r="F331" s="4">
        <v>18.708385900994426</v>
      </c>
      <c r="G331" s="11" t="s">
        <v>35</v>
      </c>
      <c r="H331" s="11">
        <v>1.0</v>
      </c>
      <c r="I331" s="11" t="s">
        <v>44</v>
      </c>
      <c r="J331" s="11">
        <v>60.0</v>
      </c>
      <c r="K331" s="14">
        <v>0.0</v>
      </c>
      <c r="L331" s="8">
        <v>19.0</v>
      </c>
      <c r="N331" s="11">
        <f t="shared" si="1"/>
        <v>60</v>
      </c>
      <c r="O331" s="11" t="s">
        <v>278</v>
      </c>
    </row>
    <row r="332">
      <c r="A332" s="9">
        <v>45294.759722222225</v>
      </c>
      <c r="B332" s="11" t="s">
        <v>279</v>
      </c>
      <c r="C332" s="11">
        <v>200.0</v>
      </c>
      <c r="D332" s="11" t="s">
        <v>42</v>
      </c>
      <c r="E332" s="11" t="s">
        <v>163</v>
      </c>
      <c r="F332" s="4">
        <v>189.47658684296798</v>
      </c>
      <c r="G332" s="11" t="s">
        <v>43</v>
      </c>
      <c r="H332" s="11">
        <v>8.0</v>
      </c>
      <c r="I332" s="11" t="s">
        <v>33</v>
      </c>
      <c r="J332" s="11">
        <v>60.0</v>
      </c>
      <c r="K332" s="14">
        <v>0.0</v>
      </c>
      <c r="L332" s="8">
        <v>193.0</v>
      </c>
      <c r="N332" s="11">
        <f t="shared" si="1"/>
        <v>480</v>
      </c>
      <c r="O332" s="11" t="s">
        <v>280</v>
      </c>
    </row>
    <row r="333">
      <c r="A333" s="9">
        <v>45295.135416666664</v>
      </c>
      <c r="B333" s="11" t="s">
        <v>281</v>
      </c>
      <c r="C333" s="11">
        <v>30.0</v>
      </c>
      <c r="D333" s="11" t="s">
        <v>42</v>
      </c>
      <c r="E333" s="11" t="s">
        <v>163</v>
      </c>
      <c r="F333" s="4">
        <v>28.233313769623187</v>
      </c>
      <c r="G333" s="11" t="s">
        <v>43</v>
      </c>
      <c r="H333" s="11">
        <v>1.0</v>
      </c>
      <c r="I333" s="11" t="s">
        <v>44</v>
      </c>
      <c r="J333" s="11">
        <v>60.0</v>
      </c>
      <c r="K333" s="14">
        <v>0.0</v>
      </c>
      <c r="L333" s="8">
        <v>29.0</v>
      </c>
      <c r="N333" s="11">
        <f t="shared" si="1"/>
        <v>60</v>
      </c>
      <c r="O333" s="11" t="s">
        <v>282</v>
      </c>
    </row>
    <row r="334">
      <c r="A334" s="9">
        <v>45295.603472222225</v>
      </c>
      <c r="B334" s="11" t="s">
        <v>283</v>
      </c>
      <c r="C334" s="11">
        <v>200.0</v>
      </c>
      <c r="D334" s="11" t="s">
        <v>42</v>
      </c>
      <c r="E334" s="11" t="s">
        <v>163</v>
      </c>
      <c r="F334" s="4">
        <v>189.34602439953582</v>
      </c>
      <c r="G334" s="11" t="s">
        <v>43</v>
      </c>
      <c r="H334" s="11">
        <v>8.0</v>
      </c>
      <c r="I334" s="11" t="s">
        <v>33</v>
      </c>
      <c r="J334" s="11">
        <v>60.0</v>
      </c>
      <c r="K334" s="14">
        <v>0.0</v>
      </c>
      <c r="L334" s="8">
        <v>193.0</v>
      </c>
      <c r="N334" s="11">
        <f t="shared" si="1"/>
        <v>480</v>
      </c>
      <c r="O334" s="11" t="s">
        <v>284</v>
      </c>
    </row>
    <row r="335">
      <c r="A335" s="9">
        <v>45295.68680555555</v>
      </c>
      <c r="B335" s="11" t="s">
        <v>285</v>
      </c>
      <c r="C335" s="11">
        <v>200.0</v>
      </c>
      <c r="D335" s="11" t="s">
        <v>42</v>
      </c>
      <c r="E335" s="11" t="s">
        <v>163</v>
      </c>
      <c r="F335" s="4">
        <v>189.34602439953582</v>
      </c>
      <c r="G335" s="11" t="s">
        <v>43</v>
      </c>
      <c r="H335" s="11">
        <v>8.0</v>
      </c>
      <c r="I335" s="11" t="s">
        <v>33</v>
      </c>
      <c r="J335" s="11">
        <v>60.0</v>
      </c>
      <c r="K335" s="14">
        <v>0.0</v>
      </c>
      <c r="L335" s="8">
        <v>193.0</v>
      </c>
      <c r="N335" s="11">
        <f t="shared" si="1"/>
        <v>480</v>
      </c>
      <c r="O335" s="11" t="s">
        <v>286</v>
      </c>
    </row>
    <row r="336">
      <c r="A336" s="9">
        <v>45295.70625</v>
      </c>
      <c r="B336" s="11" t="s">
        <v>77</v>
      </c>
      <c r="C336" s="11">
        <v>200.0</v>
      </c>
      <c r="D336" s="11" t="s">
        <v>42</v>
      </c>
      <c r="E336" s="11" t="s">
        <v>163</v>
      </c>
      <c r="F336" s="4">
        <v>189.34602439953582</v>
      </c>
      <c r="G336" s="11" t="s">
        <v>43</v>
      </c>
      <c r="H336" s="11">
        <v>8.0</v>
      </c>
      <c r="I336" s="11" t="s">
        <v>33</v>
      </c>
      <c r="J336" s="11">
        <v>60.0</v>
      </c>
      <c r="K336" s="14">
        <v>0.0</v>
      </c>
      <c r="L336" s="8">
        <v>193.0</v>
      </c>
      <c r="N336" s="11">
        <f t="shared" si="1"/>
        <v>480</v>
      </c>
      <c r="O336" s="11" t="s">
        <v>287</v>
      </c>
    </row>
    <row r="337">
      <c r="A337" s="9">
        <v>45296.40625</v>
      </c>
      <c r="B337" s="11" t="s">
        <v>167</v>
      </c>
      <c r="C337" s="11">
        <v>200.0</v>
      </c>
      <c r="D337" s="11" t="s">
        <v>42</v>
      </c>
      <c r="E337" s="11" t="s">
        <v>163</v>
      </c>
      <c r="F337" s="4">
        <v>191.00434349512435</v>
      </c>
      <c r="G337" s="11" t="s">
        <v>43</v>
      </c>
      <c r="H337" s="11">
        <v>8.0</v>
      </c>
      <c r="I337" s="11" t="s">
        <v>33</v>
      </c>
      <c r="J337" s="11">
        <v>60.0</v>
      </c>
      <c r="K337" s="14">
        <v>0.0</v>
      </c>
      <c r="L337" s="8">
        <v>195.0</v>
      </c>
      <c r="N337" s="11">
        <f t="shared" si="1"/>
        <v>480</v>
      </c>
      <c r="O337" s="11" t="s">
        <v>288</v>
      </c>
    </row>
    <row r="338">
      <c r="A338" s="9">
        <v>45296.44027777778</v>
      </c>
      <c r="B338" s="11" t="s">
        <v>289</v>
      </c>
      <c r="C338" s="11">
        <v>200.0</v>
      </c>
      <c r="D338" s="11" t="s">
        <v>42</v>
      </c>
      <c r="E338" s="11" t="s">
        <v>163</v>
      </c>
      <c r="F338" s="4">
        <v>189.536837484387</v>
      </c>
      <c r="G338" s="11" t="s">
        <v>43</v>
      </c>
      <c r="H338" s="11">
        <v>8.0</v>
      </c>
      <c r="I338" s="11" t="s">
        <v>33</v>
      </c>
      <c r="J338" s="11">
        <v>60.0</v>
      </c>
      <c r="K338" s="14">
        <v>0.0</v>
      </c>
      <c r="L338" s="8">
        <v>193.0</v>
      </c>
      <c r="N338" s="11">
        <f t="shared" si="1"/>
        <v>480</v>
      </c>
      <c r="O338" s="11" t="s">
        <v>290</v>
      </c>
    </row>
    <row r="339">
      <c r="A339" s="9">
        <v>45297.23055555556</v>
      </c>
      <c r="B339" s="11" t="s">
        <v>291</v>
      </c>
      <c r="C339" s="11">
        <v>30.0</v>
      </c>
      <c r="D339" s="11" t="s">
        <v>42</v>
      </c>
      <c r="E339" s="11" t="s">
        <v>163</v>
      </c>
      <c r="F339" s="4">
        <v>28.202026938314894</v>
      </c>
      <c r="G339" s="11" t="s">
        <v>43</v>
      </c>
      <c r="H339" s="11">
        <v>1.0</v>
      </c>
      <c r="I339" s="11" t="s">
        <v>44</v>
      </c>
      <c r="J339" s="11">
        <v>60.0</v>
      </c>
      <c r="K339" s="14">
        <v>0.0</v>
      </c>
      <c r="L339" s="8">
        <v>29.0</v>
      </c>
      <c r="N339" s="11">
        <f t="shared" si="1"/>
        <v>60</v>
      </c>
      <c r="O339" s="11" t="s">
        <v>292</v>
      </c>
    </row>
    <row r="340">
      <c r="A340" s="9">
        <v>45297.739583333336</v>
      </c>
      <c r="B340" s="11" t="s">
        <v>293</v>
      </c>
      <c r="C340" s="11">
        <v>20.0</v>
      </c>
      <c r="D340" s="11" t="s">
        <v>42</v>
      </c>
      <c r="E340" s="11" t="s">
        <v>163</v>
      </c>
      <c r="F340" s="4">
        <v>18.867140475293084</v>
      </c>
      <c r="G340" s="11" t="s">
        <v>35</v>
      </c>
      <c r="H340" s="11">
        <v>1.0</v>
      </c>
      <c r="I340" s="11" t="s">
        <v>44</v>
      </c>
      <c r="J340" s="11">
        <v>60.0</v>
      </c>
      <c r="K340" s="14">
        <v>0.0</v>
      </c>
      <c r="L340" s="8">
        <v>19.0</v>
      </c>
      <c r="N340" s="11">
        <f t="shared" si="1"/>
        <v>60</v>
      </c>
      <c r="O340" s="11" t="s">
        <v>294</v>
      </c>
    </row>
    <row r="341">
      <c r="A341" s="9">
        <v>45298.79861111111</v>
      </c>
      <c r="B341" s="11" t="s">
        <v>295</v>
      </c>
      <c r="C341" s="11">
        <v>200.0</v>
      </c>
      <c r="D341" s="11" t="s">
        <v>42</v>
      </c>
      <c r="E341" s="11" t="s">
        <v>163</v>
      </c>
      <c r="F341" s="4">
        <v>192.78050975938024</v>
      </c>
      <c r="G341" s="11" t="s">
        <v>43</v>
      </c>
      <c r="H341" s="11">
        <v>8.0</v>
      </c>
      <c r="I341" s="11" t="s">
        <v>33</v>
      </c>
      <c r="J341" s="11">
        <v>60.0</v>
      </c>
      <c r="K341" s="14">
        <v>0.0</v>
      </c>
      <c r="L341" s="8">
        <v>197.0</v>
      </c>
      <c r="N341" s="11">
        <f t="shared" si="1"/>
        <v>480</v>
      </c>
      <c r="O341" s="11" t="s">
        <v>296</v>
      </c>
    </row>
    <row r="342">
      <c r="A342" s="9">
        <v>45299.135416666664</v>
      </c>
      <c r="B342" s="11" t="s">
        <v>249</v>
      </c>
      <c r="C342" s="11">
        <v>200.0</v>
      </c>
      <c r="D342" s="11" t="s">
        <v>42</v>
      </c>
      <c r="E342" s="11" t="s">
        <v>163</v>
      </c>
      <c r="F342" s="4">
        <v>189.53044618333152</v>
      </c>
      <c r="G342" s="11" t="s">
        <v>43</v>
      </c>
      <c r="H342" s="11">
        <v>8.0</v>
      </c>
      <c r="I342" s="11" t="s">
        <v>33</v>
      </c>
      <c r="J342" s="11">
        <v>60.0</v>
      </c>
      <c r="K342" s="14">
        <v>0.0</v>
      </c>
      <c r="L342" s="8">
        <v>193.0</v>
      </c>
      <c r="N342" s="11">
        <f t="shared" si="1"/>
        <v>480</v>
      </c>
      <c r="O342" s="11" t="s">
        <v>297</v>
      </c>
    </row>
    <row r="343">
      <c r="A343" s="9">
        <v>45299.46666666667</v>
      </c>
      <c r="B343" s="11" t="s">
        <v>298</v>
      </c>
      <c r="C343" s="11">
        <v>30.0</v>
      </c>
      <c r="D343" s="11" t="s">
        <v>42</v>
      </c>
      <c r="E343" s="11" t="s">
        <v>163</v>
      </c>
      <c r="F343" s="4">
        <v>28.71539965885445</v>
      </c>
      <c r="G343" s="11" t="s">
        <v>43</v>
      </c>
      <c r="H343" s="11">
        <v>1.0</v>
      </c>
      <c r="I343" s="11" t="s">
        <v>44</v>
      </c>
      <c r="J343" s="11">
        <v>60.0</v>
      </c>
      <c r="K343" s="14">
        <v>0.0</v>
      </c>
      <c r="L343" s="8">
        <v>29.0</v>
      </c>
      <c r="N343" s="11">
        <f t="shared" si="1"/>
        <v>60</v>
      </c>
      <c r="O343" s="11" t="s">
        <v>299</v>
      </c>
    </row>
    <row r="344">
      <c r="A344" s="9">
        <v>45300.90069444444</v>
      </c>
      <c r="B344" s="11" t="s">
        <v>300</v>
      </c>
      <c r="C344" s="11">
        <v>200.0</v>
      </c>
      <c r="D344" s="11" t="s">
        <v>42</v>
      </c>
      <c r="E344" s="11" t="s">
        <v>163</v>
      </c>
      <c r="F344" s="4">
        <v>190.86920282712555</v>
      </c>
      <c r="G344" s="11" t="s">
        <v>32</v>
      </c>
      <c r="H344" s="11">
        <v>12.0</v>
      </c>
      <c r="I344" s="11" t="s">
        <v>33</v>
      </c>
      <c r="J344" s="11">
        <v>60.0</v>
      </c>
      <c r="K344" s="14">
        <v>0.0</v>
      </c>
      <c r="L344" s="8">
        <v>195.0</v>
      </c>
      <c r="N344" s="11">
        <f t="shared" si="1"/>
        <v>720</v>
      </c>
      <c r="O344" s="11" t="s">
        <v>301</v>
      </c>
    </row>
    <row r="345">
      <c r="A345" s="9">
        <v>45301.645833333336</v>
      </c>
      <c r="B345" s="11" t="s">
        <v>111</v>
      </c>
      <c r="C345" s="11">
        <v>200.0</v>
      </c>
      <c r="D345" s="11" t="s">
        <v>42</v>
      </c>
      <c r="E345" s="11" t="s">
        <v>163</v>
      </c>
      <c r="F345" s="4">
        <v>189.85938084618343</v>
      </c>
      <c r="G345" s="11" t="s">
        <v>43</v>
      </c>
      <c r="H345" s="11">
        <v>8.0</v>
      </c>
      <c r="I345" s="11" t="s">
        <v>33</v>
      </c>
      <c r="J345" s="11">
        <v>60.0</v>
      </c>
      <c r="K345" s="14">
        <v>0.0</v>
      </c>
      <c r="L345" s="8">
        <v>193.0</v>
      </c>
      <c r="N345" s="11">
        <f t="shared" si="1"/>
        <v>480</v>
      </c>
      <c r="O345" s="11" t="s">
        <v>302</v>
      </c>
    </row>
    <row r="346">
      <c r="A346" s="9">
        <v>45301.71527777778</v>
      </c>
      <c r="B346" s="11" t="s">
        <v>303</v>
      </c>
      <c r="C346" s="11">
        <v>200.0</v>
      </c>
      <c r="D346" s="11" t="s">
        <v>42</v>
      </c>
      <c r="E346" s="11" t="s">
        <v>163</v>
      </c>
      <c r="F346" s="4">
        <v>189.85938084618343</v>
      </c>
      <c r="G346" s="11" t="s">
        <v>32</v>
      </c>
      <c r="H346" s="11">
        <v>12.0</v>
      </c>
      <c r="I346" s="11" t="s">
        <v>33</v>
      </c>
      <c r="J346" s="11">
        <v>60.0</v>
      </c>
      <c r="K346" s="14">
        <v>0.0</v>
      </c>
      <c r="L346" s="8">
        <v>193.0</v>
      </c>
      <c r="N346" s="11">
        <f t="shared" si="1"/>
        <v>720</v>
      </c>
      <c r="O346" s="11" t="s">
        <v>304</v>
      </c>
    </row>
    <row r="347">
      <c r="A347" s="9">
        <v>45302.53333333333</v>
      </c>
      <c r="B347" s="11" t="s">
        <v>177</v>
      </c>
      <c r="C347" s="11">
        <v>200.0</v>
      </c>
      <c r="D347" s="11" t="s">
        <v>42</v>
      </c>
      <c r="E347" s="11" t="s">
        <v>163</v>
      </c>
      <c r="F347" s="4">
        <v>192.82630833617026</v>
      </c>
      <c r="G347" s="11" t="s">
        <v>43</v>
      </c>
      <c r="H347" s="11">
        <v>8.0</v>
      </c>
      <c r="I347" s="11" t="s">
        <v>33</v>
      </c>
      <c r="J347" s="11">
        <v>60.0</v>
      </c>
      <c r="K347" s="14">
        <v>0.0</v>
      </c>
      <c r="L347" s="8">
        <v>197.0</v>
      </c>
      <c r="N347" s="11">
        <f t="shared" si="1"/>
        <v>480</v>
      </c>
      <c r="O347" s="11" t="s">
        <v>305</v>
      </c>
    </row>
    <row r="348">
      <c r="A348" s="9">
        <v>45303.97638888889</v>
      </c>
      <c r="B348" s="11" t="s">
        <v>175</v>
      </c>
      <c r="C348" s="11">
        <v>145.0</v>
      </c>
      <c r="D348" s="11" t="s">
        <v>42</v>
      </c>
      <c r="E348" s="11" t="s">
        <v>163</v>
      </c>
      <c r="F348" s="4">
        <v>137.374914908453</v>
      </c>
      <c r="G348" s="11" t="s">
        <v>35</v>
      </c>
      <c r="H348" s="11">
        <v>8.0</v>
      </c>
      <c r="I348" s="11" t="s">
        <v>33</v>
      </c>
      <c r="J348" s="11">
        <v>60.0</v>
      </c>
      <c r="K348" s="14">
        <v>0.0</v>
      </c>
      <c r="L348" s="8">
        <v>140.0</v>
      </c>
      <c r="N348" s="11">
        <f t="shared" si="1"/>
        <v>480</v>
      </c>
      <c r="O348" s="11" t="s">
        <v>306</v>
      </c>
    </row>
    <row r="349">
      <c r="A349" s="9">
        <v>45304.0</v>
      </c>
      <c r="B349" s="11" t="s">
        <v>276</v>
      </c>
      <c r="C349" s="11">
        <v>24.0</v>
      </c>
      <c r="D349" s="11" t="s">
        <v>82</v>
      </c>
      <c r="E349" s="11" t="s">
        <v>31</v>
      </c>
      <c r="F349" s="13">
        <v>30.59</v>
      </c>
      <c r="G349" s="11" t="s">
        <v>43</v>
      </c>
      <c r="H349" s="11">
        <v>1.0</v>
      </c>
      <c r="I349" s="11" t="s">
        <v>44</v>
      </c>
      <c r="J349" s="11">
        <v>60.0</v>
      </c>
      <c r="K349" s="14">
        <v>0.0</v>
      </c>
      <c r="L349" s="8">
        <v>30.59</v>
      </c>
      <c r="N349" s="11">
        <f t="shared" si="1"/>
        <v>60</v>
      </c>
      <c r="O349" s="11">
        <v>9.31899941E8</v>
      </c>
    </row>
    <row r="350">
      <c r="A350" s="9">
        <v>45304.50347222222</v>
      </c>
      <c r="B350" s="11" t="s">
        <v>293</v>
      </c>
      <c r="C350" s="11">
        <v>200.0</v>
      </c>
      <c r="D350" s="11" t="s">
        <v>42</v>
      </c>
      <c r="E350" s="11" t="s">
        <v>163</v>
      </c>
      <c r="F350" s="4">
        <v>190.98762926214232</v>
      </c>
      <c r="G350" s="11" t="s">
        <v>43</v>
      </c>
      <c r="H350" s="11">
        <v>8.0</v>
      </c>
      <c r="I350" s="11" t="s">
        <v>33</v>
      </c>
      <c r="J350" s="11">
        <v>60.0</v>
      </c>
      <c r="K350" s="14">
        <v>0.0</v>
      </c>
      <c r="L350" s="8">
        <v>195.0</v>
      </c>
      <c r="N350" s="11">
        <f t="shared" si="1"/>
        <v>480</v>
      </c>
      <c r="O350" s="11" t="s">
        <v>307</v>
      </c>
    </row>
    <row r="351">
      <c r="A351" s="9">
        <v>45306.44652777778</v>
      </c>
      <c r="B351" s="11" t="s">
        <v>179</v>
      </c>
      <c r="C351" s="11">
        <v>200.0</v>
      </c>
      <c r="D351" s="11" t="s">
        <v>42</v>
      </c>
      <c r="E351" s="11" t="s">
        <v>163</v>
      </c>
      <c r="F351" s="4">
        <v>189.37132786011384</v>
      </c>
      <c r="G351" s="11" t="s">
        <v>32</v>
      </c>
      <c r="H351" s="11">
        <v>12.0</v>
      </c>
      <c r="I351" s="11" t="s">
        <v>33</v>
      </c>
      <c r="J351" s="11">
        <v>60.0</v>
      </c>
      <c r="K351" s="14">
        <v>0.0</v>
      </c>
      <c r="L351" s="8">
        <v>193.0</v>
      </c>
      <c r="N351" s="11">
        <f t="shared" si="1"/>
        <v>720</v>
      </c>
      <c r="O351" s="11" t="s">
        <v>308</v>
      </c>
    </row>
    <row r="352">
      <c r="A352" s="9">
        <v>45306.71527777778</v>
      </c>
      <c r="B352" s="11" t="s">
        <v>309</v>
      </c>
      <c r="C352" s="11">
        <v>30.0</v>
      </c>
      <c r="D352" s="11" t="s">
        <v>42</v>
      </c>
      <c r="E352" s="11" t="s">
        <v>163</v>
      </c>
      <c r="F352" s="4">
        <v>28.393122332968478</v>
      </c>
      <c r="G352" s="11" t="s">
        <v>43</v>
      </c>
      <c r="H352" s="11">
        <v>1.0</v>
      </c>
      <c r="I352" s="11" t="s">
        <v>44</v>
      </c>
      <c r="J352" s="11">
        <v>60.0</v>
      </c>
      <c r="K352" s="14">
        <v>0.0</v>
      </c>
      <c r="L352" s="8">
        <v>29.0</v>
      </c>
      <c r="N352" s="11">
        <f t="shared" si="1"/>
        <v>60</v>
      </c>
      <c r="O352" s="11" t="s">
        <v>310</v>
      </c>
    </row>
    <row r="353">
      <c r="A353" s="9">
        <v>45307.149305555555</v>
      </c>
      <c r="B353" s="11" t="s">
        <v>311</v>
      </c>
      <c r="C353" s="11">
        <v>200.0</v>
      </c>
      <c r="D353" s="11" t="s">
        <v>42</v>
      </c>
      <c r="E353" s="11" t="s">
        <v>163</v>
      </c>
      <c r="F353" s="4">
        <v>189.66069699963012</v>
      </c>
      <c r="G353" s="11" t="s">
        <v>43</v>
      </c>
      <c r="H353" s="11">
        <v>8.0</v>
      </c>
      <c r="I353" s="11" t="s">
        <v>33</v>
      </c>
      <c r="J353" s="11">
        <v>60.0</v>
      </c>
      <c r="K353" s="14">
        <v>0.0</v>
      </c>
      <c r="L353" s="8">
        <v>195.0</v>
      </c>
      <c r="N353" s="11">
        <f t="shared" si="1"/>
        <v>480</v>
      </c>
      <c r="O353" s="11" t="s">
        <v>312</v>
      </c>
    </row>
    <row r="354">
      <c r="A354" s="9">
        <v>45308.15277777778</v>
      </c>
      <c r="B354" s="11" t="s">
        <v>291</v>
      </c>
      <c r="C354" s="11">
        <v>30.0</v>
      </c>
      <c r="D354" s="11" t="s">
        <v>42</v>
      </c>
      <c r="E354" s="11" t="s">
        <v>163</v>
      </c>
      <c r="F354" s="4">
        <v>28.194205694131483</v>
      </c>
      <c r="G354" s="11" t="s">
        <v>43</v>
      </c>
      <c r="H354" s="11">
        <v>1.0</v>
      </c>
      <c r="I354" s="11" t="s">
        <v>44</v>
      </c>
      <c r="J354" s="11">
        <v>60.0</v>
      </c>
      <c r="K354" s="14">
        <v>0.0</v>
      </c>
      <c r="L354" s="8">
        <v>29.0</v>
      </c>
      <c r="N354" s="11">
        <f t="shared" si="1"/>
        <v>60</v>
      </c>
      <c r="O354" s="11" t="s">
        <v>313</v>
      </c>
    </row>
    <row r="355">
      <c r="A355" s="9">
        <v>45308.544444444444</v>
      </c>
      <c r="B355" s="11" t="s">
        <v>95</v>
      </c>
      <c r="C355" s="11">
        <v>20.0</v>
      </c>
      <c r="D355" s="11" t="s">
        <v>42</v>
      </c>
      <c r="E355" s="11" t="s">
        <v>163</v>
      </c>
      <c r="F355" s="4">
        <v>18.70178014129737</v>
      </c>
      <c r="G355" s="11" t="s">
        <v>35</v>
      </c>
      <c r="H355" s="11">
        <v>1.0</v>
      </c>
      <c r="I355" s="11" t="s">
        <v>44</v>
      </c>
      <c r="J355" s="11">
        <v>60.0</v>
      </c>
      <c r="K355" s="14">
        <v>0.0</v>
      </c>
      <c r="L355" s="8">
        <v>19.0</v>
      </c>
      <c r="N355" s="11">
        <f t="shared" si="1"/>
        <v>60</v>
      </c>
      <c r="O355" s="11" t="s">
        <v>314</v>
      </c>
    </row>
    <row r="356">
      <c r="A356" s="9">
        <v>45308.625</v>
      </c>
      <c r="B356" s="11" t="s">
        <v>298</v>
      </c>
      <c r="C356" s="11">
        <v>200.0</v>
      </c>
      <c r="D356" s="11" t="s">
        <v>42</v>
      </c>
      <c r="E356" s="11" t="s">
        <v>163</v>
      </c>
      <c r="F356" s="4">
        <v>192.93958718308787</v>
      </c>
      <c r="G356" s="11" t="s">
        <v>43</v>
      </c>
      <c r="H356" s="11">
        <v>8.0</v>
      </c>
      <c r="I356" s="11" t="s">
        <v>33</v>
      </c>
      <c r="J356" s="11">
        <v>60.0</v>
      </c>
      <c r="K356" s="14">
        <v>0.0</v>
      </c>
      <c r="L356" s="8">
        <v>197.0</v>
      </c>
      <c r="N356" s="11">
        <f t="shared" si="1"/>
        <v>480</v>
      </c>
      <c r="O356" s="11" t="s">
        <v>315</v>
      </c>
    </row>
    <row r="357">
      <c r="A357" s="9">
        <v>45309.6125</v>
      </c>
      <c r="B357" s="11" t="s">
        <v>90</v>
      </c>
      <c r="C357" s="11">
        <v>145.0</v>
      </c>
      <c r="D357" s="11" t="s">
        <v>42</v>
      </c>
      <c r="E357" s="11" t="s">
        <v>163</v>
      </c>
      <c r="F357" s="4">
        <v>137.07766588626944</v>
      </c>
      <c r="G357" s="11" t="s">
        <v>35</v>
      </c>
      <c r="H357" s="11">
        <v>8.0</v>
      </c>
      <c r="I357" s="11" t="s">
        <v>33</v>
      </c>
      <c r="J357" s="11">
        <v>60.0</v>
      </c>
      <c r="K357" s="14">
        <v>0.0</v>
      </c>
      <c r="L357" s="8">
        <v>140.0</v>
      </c>
      <c r="N357" s="11">
        <f t="shared" si="1"/>
        <v>480</v>
      </c>
      <c r="O357" s="11" t="s">
        <v>316</v>
      </c>
    </row>
    <row r="358">
      <c r="A358" s="9">
        <v>45309.748611111114</v>
      </c>
      <c r="B358" s="11" t="s">
        <v>100</v>
      </c>
      <c r="C358" s="11">
        <v>200.0</v>
      </c>
      <c r="D358" s="11" t="s">
        <v>42</v>
      </c>
      <c r="E358" s="11" t="s">
        <v>163</v>
      </c>
      <c r="F358" s="4">
        <v>189.17730258162078</v>
      </c>
      <c r="G358" s="11" t="s">
        <v>43</v>
      </c>
      <c r="H358" s="11">
        <v>8.0</v>
      </c>
      <c r="I358" s="11" t="s">
        <v>33</v>
      </c>
      <c r="J358" s="11">
        <v>60.0</v>
      </c>
      <c r="K358" s="14">
        <v>0.0</v>
      </c>
      <c r="L358" s="8">
        <v>193.0</v>
      </c>
      <c r="N358" s="11">
        <f t="shared" si="1"/>
        <v>480</v>
      </c>
      <c r="O358" s="11" t="s">
        <v>317</v>
      </c>
    </row>
    <row r="359">
      <c r="A359" s="9">
        <v>45311.0</v>
      </c>
      <c r="B359" s="11" t="s">
        <v>276</v>
      </c>
      <c r="C359" s="11">
        <v>158.0</v>
      </c>
      <c r="D359" s="11" t="s">
        <v>82</v>
      </c>
      <c r="E359" s="11" t="s">
        <v>31</v>
      </c>
      <c r="F359" s="13">
        <v>200.72</v>
      </c>
      <c r="G359" s="11" t="s">
        <v>43</v>
      </c>
      <c r="H359" s="11">
        <v>8.0</v>
      </c>
      <c r="I359" s="11" t="s">
        <v>33</v>
      </c>
      <c r="J359" s="11">
        <v>60.0</v>
      </c>
      <c r="K359" s="14">
        <v>0.0</v>
      </c>
      <c r="L359" s="8">
        <v>200.72</v>
      </c>
      <c r="N359" s="11">
        <f t="shared" si="1"/>
        <v>480</v>
      </c>
      <c r="O359" s="11">
        <v>9.38905088E8</v>
      </c>
    </row>
    <row r="360">
      <c r="A360" s="9">
        <v>45312.847916666666</v>
      </c>
      <c r="B360" s="11" t="s">
        <v>318</v>
      </c>
      <c r="C360" s="11">
        <v>200.0</v>
      </c>
      <c r="D360" s="11" t="s">
        <v>42</v>
      </c>
      <c r="E360" s="11" t="s">
        <v>163</v>
      </c>
      <c r="F360" s="4">
        <v>189.23223320407809</v>
      </c>
      <c r="G360" s="11" t="s">
        <v>43</v>
      </c>
      <c r="H360" s="11">
        <v>8.0</v>
      </c>
      <c r="I360" s="11" t="s">
        <v>33</v>
      </c>
      <c r="J360" s="11">
        <v>60.0</v>
      </c>
      <c r="K360" s="14">
        <v>0.0</v>
      </c>
      <c r="L360" s="8">
        <v>193.0</v>
      </c>
      <c r="N360" s="11">
        <f t="shared" si="1"/>
        <v>480</v>
      </c>
      <c r="O360" s="11" t="s">
        <v>319</v>
      </c>
    </row>
    <row r="361">
      <c r="A361" s="9">
        <v>45313.26875</v>
      </c>
      <c r="B361" s="11" t="s">
        <v>320</v>
      </c>
      <c r="C361" s="11">
        <v>20.0</v>
      </c>
      <c r="D361" s="11" t="s">
        <v>42</v>
      </c>
      <c r="E361" s="11" t="s">
        <v>163</v>
      </c>
      <c r="F361" s="4">
        <v>18.670411908823848</v>
      </c>
      <c r="G361" s="11" t="s">
        <v>35</v>
      </c>
      <c r="H361" s="11">
        <v>1.0</v>
      </c>
      <c r="I361" s="11" t="s">
        <v>44</v>
      </c>
      <c r="J361" s="11">
        <v>60.0</v>
      </c>
      <c r="K361" s="14">
        <v>0.0</v>
      </c>
      <c r="L361" s="8">
        <v>19.0</v>
      </c>
      <c r="N361" s="11">
        <f t="shared" si="1"/>
        <v>60</v>
      </c>
      <c r="O361" s="11" t="s">
        <v>321</v>
      </c>
    </row>
    <row r="362">
      <c r="A362" s="9">
        <v>45315.5375</v>
      </c>
      <c r="B362" s="11" t="s">
        <v>322</v>
      </c>
      <c r="C362" s="11">
        <v>145.0</v>
      </c>
      <c r="D362" s="11" t="s">
        <v>42</v>
      </c>
      <c r="E362" s="11" t="s">
        <v>163</v>
      </c>
      <c r="F362" s="4">
        <v>137.07757136576822</v>
      </c>
      <c r="G362" s="11" t="s">
        <v>35</v>
      </c>
      <c r="H362" s="11">
        <v>8.0</v>
      </c>
      <c r="I362" s="11" t="s">
        <v>33</v>
      </c>
      <c r="J362" s="11">
        <v>60.0</v>
      </c>
      <c r="K362" s="14">
        <v>0.0</v>
      </c>
      <c r="L362" s="8">
        <v>140.0</v>
      </c>
      <c r="N362" s="11">
        <f t="shared" si="1"/>
        <v>480</v>
      </c>
      <c r="O362" s="11" t="s">
        <v>323</v>
      </c>
    </row>
    <row r="363">
      <c r="A363" s="9">
        <v>45315.75486111111</v>
      </c>
      <c r="B363" s="11" t="s">
        <v>235</v>
      </c>
      <c r="C363" s="11">
        <v>145.0</v>
      </c>
      <c r="D363" s="11" t="s">
        <v>42</v>
      </c>
      <c r="E363" s="11" t="s">
        <v>163</v>
      </c>
      <c r="F363" s="4">
        <v>137.07757136576822</v>
      </c>
      <c r="G363" s="11" t="s">
        <v>35</v>
      </c>
      <c r="H363" s="11">
        <v>8.0</v>
      </c>
      <c r="I363" s="11" t="s">
        <v>33</v>
      </c>
      <c r="J363" s="11">
        <v>60.0</v>
      </c>
      <c r="K363" s="14">
        <v>0.0</v>
      </c>
      <c r="L363" s="8">
        <v>140.0</v>
      </c>
      <c r="N363" s="11">
        <f t="shared" si="1"/>
        <v>480</v>
      </c>
      <c r="O363" s="11" t="s">
        <v>324</v>
      </c>
    </row>
    <row r="364">
      <c r="A364" s="9">
        <v>45317.58194444444</v>
      </c>
      <c r="B364" s="11" t="s">
        <v>196</v>
      </c>
      <c r="C364" s="11">
        <v>200.0</v>
      </c>
      <c r="D364" s="11" t="s">
        <v>42</v>
      </c>
      <c r="E364" s="11" t="s">
        <v>163</v>
      </c>
      <c r="F364" s="4">
        <v>189.18996641568887</v>
      </c>
      <c r="G364" s="11" t="s">
        <v>43</v>
      </c>
      <c r="H364" s="11">
        <v>8.0</v>
      </c>
      <c r="I364" s="11" t="s">
        <v>33</v>
      </c>
      <c r="J364" s="11">
        <v>60.0</v>
      </c>
      <c r="K364" s="14">
        <v>0.0</v>
      </c>
      <c r="L364" s="8">
        <v>193.0</v>
      </c>
      <c r="N364" s="11">
        <f t="shared" si="1"/>
        <v>480</v>
      </c>
      <c r="O364" s="11" t="s">
        <v>325</v>
      </c>
    </row>
    <row r="365">
      <c r="A365" s="9">
        <v>45320.084027777775</v>
      </c>
      <c r="B365" s="11" t="s">
        <v>326</v>
      </c>
      <c r="C365" s="11">
        <v>20.0</v>
      </c>
      <c r="D365" s="11" t="s">
        <v>42</v>
      </c>
      <c r="E365" s="11" t="s">
        <v>163</v>
      </c>
      <c r="F365" s="4">
        <v>18.678672683698455</v>
      </c>
      <c r="G365" s="11" t="s">
        <v>35</v>
      </c>
      <c r="H365" s="11">
        <v>1.0</v>
      </c>
      <c r="I365" s="11" t="s">
        <v>44</v>
      </c>
      <c r="J365" s="11">
        <v>60.0</v>
      </c>
      <c r="K365" s="14">
        <v>0.0</v>
      </c>
      <c r="L365" s="8">
        <v>19.0</v>
      </c>
      <c r="N365" s="11">
        <f t="shared" si="1"/>
        <v>60</v>
      </c>
      <c r="O365" s="11" t="s">
        <v>327</v>
      </c>
    </row>
    <row r="366">
      <c r="A366" s="9">
        <v>45320.99444444444</v>
      </c>
      <c r="B366" s="11" t="s">
        <v>320</v>
      </c>
      <c r="C366" s="11">
        <v>200.0</v>
      </c>
      <c r="D366" s="11" t="s">
        <v>42</v>
      </c>
      <c r="E366" s="11" t="s">
        <v>163</v>
      </c>
      <c r="F366" s="4">
        <v>189.42992014994906</v>
      </c>
      <c r="G366" s="11" t="s">
        <v>43</v>
      </c>
      <c r="H366" s="11">
        <v>8.0</v>
      </c>
      <c r="I366" s="11" t="s">
        <v>33</v>
      </c>
      <c r="J366" s="11">
        <v>60.0</v>
      </c>
      <c r="K366" s="14">
        <v>0.0</v>
      </c>
      <c r="L366" s="8">
        <v>193.0</v>
      </c>
      <c r="N366" s="11">
        <f t="shared" si="1"/>
        <v>480</v>
      </c>
      <c r="O366" s="11" t="s">
        <v>328</v>
      </c>
    </row>
    <row r="367">
      <c r="A367" s="9">
        <v>45321.69375</v>
      </c>
      <c r="B367" s="11" t="s">
        <v>329</v>
      </c>
      <c r="C367" s="11">
        <v>850.0</v>
      </c>
      <c r="D367" s="11" t="s">
        <v>42</v>
      </c>
      <c r="E367" s="11" t="s">
        <v>163</v>
      </c>
      <c r="F367" s="4">
        <v>805.7192401194942</v>
      </c>
      <c r="G367" s="11" t="s">
        <v>43</v>
      </c>
      <c r="H367" s="11">
        <v>40.0</v>
      </c>
      <c r="I367" s="11" t="s">
        <v>33</v>
      </c>
      <c r="J367" s="11">
        <v>60.0</v>
      </c>
      <c r="K367" s="14">
        <v>0.0</v>
      </c>
      <c r="L367" s="8">
        <v>822.0</v>
      </c>
      <c r="N367" s="11">
        <f t="shared" si="1"/>
        <v>2400</v>
      </c>
      <c r="O367" s="11" t="s">
        <v>330</v>
      </c>
    </row>
    <row r="368">
      <c r="A368" s="9">
        <v>45321.94583333333</v>
      </c>
      <c r="B368" s="11" t="s">
        <v>331</v>
      </c>
      <c r="C368" s="11">
        <v>30.0</v>
      </c>
      <c r="D368" s="11" t="s">
        <v>42</v>
      </c>
      <c r="E368" s="11" t="s">
        <v>163</v>
      </c>
      <c r="F368" s="4">
        <v>28.691674068118232</v>
      </c>
      <c r="G368" s="11" t="s">
        <v>43</v>
      </c>
      <c r="H368" s="11">
        <v>1.0</v>
      </c>
      <c r="I368" s="11" t="s">
        <v>44</v>
      </c>
      <c r="J368" s="11">
        <v>60.0</v>
      </c>
      <c r="K368" s="14">
        <v>0.0</v>
      </c>
      <c r="L368" s="8">
        <v>29.0</v>
      </c>
      <c r="N368" s="11">
        <f t="shared" si="1"/>
        <v>60</v>
      </c>
      <c r="O368" s="11" t="s">
        <v>332</v>
      </c>
    </row>
    <row r="369">
      <c r="A369" s="9">
        <v>45322.62986111111</v>
      </c>
      <c r="B369" s="11" t="s">
        <v>255</v>
      </c>
      <c r="C369" s="11">
        <v>850.0</v>
      </c>
      <c r="D369" s="11" t="s">
        <v>42</v>
      </c>
      <c r="E369" s="11" t="s">
        <v>163</v>
      </c>
      <c r="F369" s="4">
        <v>802.9360502403872</v>
      </c>
      <c r="G369" s="11" t="s">
        <v>43</v>
      </c>
      <c r="H369" s="11">
        <v>40.0</v>
      </c>
      <c r="I369" s="11" t="s">
        <v>33</v>
      </c>
      <c r="J369" s="11">
        <v>60.0</v>
      </c>
      <c r="K369" s="14">
        <v>0.0</v>
      </c>
      <c r="L369" s="8">
        <v>822.0</v>
      </c>
      <c r="N369" s="11">
        <f t="shared" si="1"/>
        <v>2400</v>
      </c>
      <c r="O369" s="11" t="s">
        <v>333</v>
      </c>
    </row>
    <row r="370">
      <c r="A370" s="9">
        <v>45324.58888888889</v>
      </c>
      <c r="B370" s="11" t="s">
        <v>334</v>
      </c>
      <c r="C370" s="11">
        <v>200.0</v>
      </c>
      <c r="D370" s="11" t="s">
        <v>42</v>
      </c>
      <c r="E370" s="11" t="s">
        <v>163</v>
      </c>
      <c r="F370" s="4">
        <v>188.71529172070905</v>
      </c>
      <c r="G370" s="11" t="s">
        <v>43</v>
      </c>
      <c r="H370" s="11">
        <v>8.0</v>
      </c>
      <c r="I370" s="11" t="s">
        <v>33</v>
      </c>
      <c r="J370" s="11">
        <v>60.0</v>
      </c>
      <c r="K370" s="14">
        <v>0.0</v>
      </c>
      <c r="L370" s="8">
        <v>822.0</v>
      </c>
      <c r="N370" s="11">
        <f t="shared" si="1"/>
        <v>480</v>
      </c>
      <c r="O370" s="11" t="s">
        <v>335</v>
      </c>
    </row>
    <row r="371">
      <c r="A371" s="9">
        <v>45324.87152777778</v>
      </c>
      <c r="B371" s="11" t="s">
        <v>336</v>
      </c>
      <c r="C371" s="11">
        <v>200.0</v>
      </c>
      <c r="D371" s="11" t="s">
        <v>42</v>
      </c>
      <c r="E371" s="11" t="s">
        <v>163</v>
      </c>
      <c r="F371" s="4">
        <v>188.71529172070905</v>
      </c>
      <c r="G371" s="11" t="s">
        <v>43</v>
      </c>
      <c r="H371" s="11">
        <v>8.0</v>
      </c>
      <c r="I371" s="11" t="s">
        <v>33</v>
      </c>
      <c r="J371" s="11">
        <v>60.0</v>
      </c>
      <c r="K371" s="14">
        <v>0.0</v>
      </c>
      <c r="L371" s="8">
        <v>822.0</v>
      </c>
      <c r="N371" s="11">
        <f t="shared" si="1"/>
        <v>480</v>
      </c>
      <c r="O371" s="11" t="s">
        <v>337</v>
      </c>
    </row>
    <row r="372">
      <c r="A372" s="9">
        <v>45327.654861111114</v>
      </c>
      <c r="B372" s="11" t="s">
        <v>338</v>
      </c>
      <c r="C372" s="11">
        <v>200.0</v>
      </c>
      <c r="D372" s="11" t="s">
        <v>42</v>
      </c>
      <c r="E372" s="11" t="s">
        <v>163</v>
      </c>
      <c r="F372" s="4">
        <v>189.72266288912283</v>
      </c>
      <c r="G372" s="11" t="s">
        <v>43</v>
      </c>
      <c r="H372" s="11">
        <v>8.0</v>
      </c>
      <c r="I372" s="11" t="s">
        <v>33</v>
      </c>
      <c r="J372" s="11">
        <v>60.0</v>
      </c>
      <c r="K372" s="14">
        <v>0.0</v>
      </c>
      <c r="L372" s="8">
        <v>822.0</v>
      </c>
      <c r="N372" s="11">
        <f t="shared" si="1"/>
        <v>480</v>
      </c>
      <c r="O372" s="11" t="s">
        <v>339</v>
      </c>
    </row>
    <row r="373">
      <c r="A373" s="9">
        <v>45327.80347222222</v>
      </c>
      <c r="B373" s="11" t="s">
        <v>340</v>
      </c>
      <c r="C373" s="11">
        <v>200.0</v>
      </c>
      <c r="D373" s="11" t="s">
        <v>42</v>
      </c>
      <c r="E373" s="11" t="s">
        <v>163</v>
      </c>
      <c r="F373" s="4">
        <v>189.72266288912283</v>
      </c>
      <c r="G373" s="11" t="s">
        <v>43</v>
      </c>
      <c r="H373" s="11">
        <v>8.0</v>
      </c>
      <c r="I373" s="11" t="s">
        <v>33</v>
      </c>
      <c r="J373" s="11">
        <v>60.0</v>
      </c>
      <c r="K373" s="14">
        <v>0.0</v>
      </c>
      <c r="L373" s="8">
        <v>822.0</v>
      </c>
      <c r="N373" s="11">
        <f t="shared" si="1"/>
        <v>480</v>
      </c>
      <c r="O373" s="11" t="s">
        <v>341</v>
      </c>
    </row>
    <row r="374">
      <c r="A374" s="9">
        <v>45328.342361111114</v>
      </c>
      <c r="B374" s="11" t="s">
        <v>342</v>
      </c>
      <c r="C374" s="11">
        <v>30.0</v>
      </c>
      <c r="D374" s="11" t="s">
        <v>42</v>
      </c>
      <c r="E374" s="11" t="s">
        <v>163</v>
      </c>
      <c r="F374" s="4">
        <v>28.32288566172911</v>
      </c>
      <c r="G374" s="11" t="s">
        <v>43</v>
      </c>
      <c r="H374" s="11">
        <v>1.0</v>
      </c>
      <c r="I374" s="11" t="s">
        <v>44</v>
      </c>
      <c r="J374" s="11">
        <v>60.0</v>
      </c>
      <c r="K374" s="14">
        <v>0.0</v>
      </c>
      <c r="L374" s="8">
        <v>822.0</v>
      </c>
      <c r="N374" s="11">
        <f t="shared" si="1"/>
        <v>60</v>
      </c>
      <c r="O374" s="11" t="s">
        <v>343</v>
      </c>
    </row>
    <row r="375">
      <c r="A375" s="9">
        <v>45328.575694444444</v>
      </c>
      <c r="B375" s="11" t="s">
        <v>344</v>
      </c>
      <c r="C375" s="11">
        <v>145.0</v>
      </c>
      <c r="D375" s="11" t="s">
        <v>42</v>
      </c>
      <c r="E375" s="11" t="s">
        <v>163</v>
      </c>
      <c r="F375" s="4">
        <v>137.87868670732885</v>
      </c>
      <c r="G375" s="11" t="s">
        <v>35</v>
      </c>
      <c r="H375" s="11">
        <v>8.0</v>
      </c>
      <c r="I375" s="11" t="s">
        <v>33</v>
      </c>
      <c r="J375" s="11">
        <v>60.0</v>
      </c>
      <c r="K375" s="14">
        <v>0.0</v>
      </c>
      <c r="L375" s="8">
        <v>822.0</v>
      </c>
      <c r="N375" s="11">
        <f t="shared" si="1"/>
        <v>480</v>
      </c>
      <c r="O375" s="11" t="s">
        <v>345</v>
      </c>
    </row>
    <row r="376">
      <c r="A376" s="9">
        <v>45328.98819444444</v>
      </c>
      <c r="B376" s="11" t="s">
        <v>346</v>
      </c>
      <c r="C376" s="11">
        <v>200.0</v>
      </c>
      <c r="D376" s="11" t="s">
        <v>42</v>
      </c>
      <c r="E376" s="11" t="s">
        <v>163</v>
      </c>
      <c r="F376" s="4">
        <v>190.01724478006906</v>
      </c>
      <c r="G376" s="11" t="s">
        <v>43</v>
      </c>
      <c r="H376" s="11">
        <v>8.0</v>
      </c>
      <c r="I376" s="11" t="s">
        <v>33</v>
      </c>
      <c r="J376" s="11">
        <v>60.0</v>
      </c>
      <c r="K376" s="14">
        <v>0.0</v>
      </c>
      <c r="L376" s="8">
        <v>822.0</v>
      </c>
      <c r="N376" s="11">
        <f t="shared" si="1"/>
        <v>480</v>
      </c>
      <c r="O376" s="11" t="s">
        <v>347</v>
      </c>
    </row>
    <row r="377">
      <c r="A377" s="9">
        <v>45329.37569444445</v>
      </c>
      <c r="B377" s="11" t="s">
        <v>342</v>
      </c>
      <c r="C377" s="11">
        <v>200.0</v>
      </c>
      <c r="D377" s="11" t="s">
        <v>42</v>
      </c>
      <c r="E377" s="11" t="s">
        <v>163</v>
      </c>
      <c r="F377" s="4">
        <v>190.27906430965183</v>
      </c>
      <c r="G377" s="11" t="s">
        <v>43</v>
      </c>
      <c r="H377" s="11">
        <v>8.0</v>
      </c>
      <c r="I377" s="11" t="s">
        <v>33</v>
      </c>
      <c r="J377" s="11">
        <v>60.0</v>
      </c>
      <c r="K377" s="14">
        <v>0.0</v>
      </c>
      <c r="L377" s="8">
        <v>822.0</v>
      </c>
      <c r="N377" s="11">
        <f t="shared" si="1"/>
        <v>480</v>
      </c>
      <c r="O377" s="11" t="s">
        <v>348</v>
      </c>
    </row>
    <row r="378">
      <c r="A378" s="9">
        <v>45330.63333333333</v>
      </c>
      <c r="B378" s="11" t="s">
        <v>349</v>
      </c>
      <c r="C378" s="11">
        <v>200.0</v>
      </c>
      <c r="D378" s="11" t="s">
        <v>42</v>
      </c>
      <c r="E378" s="11" t="s">
        <v>163</v>
      </c>
      <c r="F378" s="4">
        <v>193.33728792516277</v>
      </c>
      <c r="G378" s="11" t="s">
        <v>43</v>
      </c>
      <c r="H378" s="11">
        <v>8.0</v>
      </c>
      <c r="I378" s="11" t="s">
        <v>33</v>
      </c>
      <c r="J378" s="11">
        <v>60.0</v>
      </c>
      <c r="K378" s="14">
        <v>0.0</v>
      </c>
      <c r="L378" s="8">
        <v>822.0</v>
      </c>
      <c r="N378" s="11">
        <f t="shared" si="1"/>
        <v>480</v>
      </c>
      <c r="O378" s="11" t="s">
        <v>350</v>
      </c>
    </row>
    <row r="379">
      <c r="A379" s="9">
        <v>45334.44027777778</v>
      </c>
      <c r="B379" s="11" t="s">
        <v>351</v>
      </c>
      <c r="C379" s="11">
        <v>30.0</v>
      </c>
      <c r="D379" s="11" t="s">
        <v>42</v>
      </c>
      <c r="E379" s="11" t="s">
        <v>163</v>
      </c>
      <c r="F379" s="4">
        <v>28.761518652174384</v>
      </c>
      <c r="G379" s="11" t="s">
        <v>43</v>
      </c>
      <c r="H379" s="11">
        <v>1.0</v>
      </c>
      <c r="I379" s="11" t="s">
        <v>44</v>
      </c>
      <c r="J379" s="11">
        <v>60.0</v>
      </c>
      <c r="K379" s="14">
        <v>0.0</v>
      </c>
      <c r="L379" s="8">
        <v>822.0</v>
      </c>
      <c r="N379" s="11">
        <f t="shared" si="1"/>
        <v>60</v>
      </c>
      <c r="O379" s="11" t="s">
        <v>352</v>
      </c>
    </row>
    <row r="380">
      <c r="A380" s="9">
        <v>45335.38055555556</v>
      </c>
      <c r="B380" s="11" t="s">
        <v>353</v>
      </c>
      <c r="C380" s="11">
        <v>320.0</v>
      </c>
      <c r="D380" s="11" t="s">
        <v>42</v>
      </c>
      <c r="E380" s="11" t="s">
        <v>163</v>
      </c>
      <c r="F380" s="4">
        <v>302.40448705290214</v>
      </c>
      <c r="G380" s="11" t="s">
        <v>43</v>
      </c>
      <c r="H380" s="11">
        <v>8.0</v>
      </c>
      <c r="I380" s="11" t="s">
        <v>33</v>
      </c>
      <c r="J380" s="11">
        <v>60.0</v>
      </c>
      <c r="K380" s="14">
        <v>0.0</v>
      </c>
      <c r="L380" s="8">
        <v>822.0</v>
      </c>
      <c r="N380" s="11">
        <f t="shared" si="1"/>
        <v>480</v>
      </c>
      <c r="O380" s="11" t="s">
        <v>354</v>
      </c>
    </row>
    <row r="381">
      <c r="A381" s="9">
        <v>45335.43541666667</v>
      </c>
      <c r="B381" s="11" t="s">
        <v>355</v>
      </c>
      <c r="C381" s="11">
        <v>200.0</v>
      </c>
      <c r="D381" s="11" t="s">
        <v>42</v>
      </c>
      <c r="E381" s="11" t="s">
        <v>163</v>
      </c>
      <c r="F381" s="4">
        <v>188.9159590704648</v>
      </c>
      <c r="G381" s="11" t="s">
        <v>43</v>
      </c>
      <c r="H381" s="11">
        <v>8.0</v>
      </c>
      <c r="I381" s="11" t="s">
        <v>33</v>
      </c>
      <c r="J381" s="11">
        <v>60.0</v>
      </c>
      <c r="K381" s="14">
        <v>0.0</v>
      </c>
      <c r="L381" s="8">
        <v>822.0</v>
      </c>
      <c r="N381" s="11">
        <f t="shared" si="1"/>
        <v>480</v>
      </c>
      <c r="O381" s="11" t="s">
        <v>356</v>
      </c>
    </row>
    <row r="382">
      <c r="A382" s="9">
        <v>45336.7375</v>
      </c>
      <c r="B382" s="11" t="s">
        <v>357</v>
      </c>
      <c r="C382" s="11">
        <v>145.0</v>
      </c>
      <c r="D382" s="11" t="s">
        <v>42</v>
      </c>
      <c r="E382" s="11" t="s">
        <v>163</v>
      </c>
      <c r="F382" s="4">
        <v>138.596566914937</v>
      </c>
      <c r="G382" s="11" t="s">
        <v>35</v>
      </c>
      <c r="H382" s="11">
        <v>8.0</v>
      </c>
      <c r="I382" s="11" t="s">
        <v>33</v>
      </c>
      <c r="J382" s="11">
        <v>60.0</v>
      </c>
      <c r="K382" s="14">
        <v>0.0</v>
      </c>
      <c r="L382" s="8">
        <v>822.0</v>
      </c>
      <c r="N382" s="11">
        <f t="shared" si="1"/>
        <v>480</v>
      </c>
      <c r="O382" s="11" t="s">
        <v>358</v>
      </c>
    </row>
    <row r="383">
      <c r="A383" s="9">
        <v>45338.58194444444</v>
      </c>
      <c r="B383" s="11" t="s">
        <v>359</v>
      </c>
      <c r="C383" s="11">
        <v>10.0</v>
      </c>
      <c r="D383" s="11" t="s">
        <v>42</v>
      </c>
      <c r="E383" s="11" t="s">
        <v>163</v>
      </c>
      <c r="F383" s="17">
        <v>9.270015037188745</v>
      </c>
      <c r="G383" s="18" t="s">
        <v>360</v>
      </c>
      <c r="H383" s="11">
        <v>1.0</v>
      </c>
      <c r="I383" s="11" t="s">
        <v>44</v>
      </c>
      <c r="J383" s="11">
        <v>60.0</v>
      </c>
      <c r="K383" s="14">
        <v>0.0</v>
      </c>
      <c r="L383" s="8">
        <v>822.0</v>
      </c>
      <c r="N383" s="11">
        <f t="shared" si="1"/>
        <v>60</v>
      </c>
      <c r="O383" s="11" t="s">
        <v>361</v>
      </c>
    </row>
    <row r="384">
      <c r="A384" s="9">
        <v>45341.0</v>
      </c>
      <c r="B384" s="11" t="s">
        <v>262</v>
      </c>
      <c r="C384" s="11">
        <v>186.04</v>
      </c>
      <c r="D384" s="11" t="s">
        <v>30</v>
      </c>
      <c r="E384" s="11" t="s">
        <v>31</v>
      </c>
      <c r="F384" s="13">
        <v>200.28</v>
      </c>
      <c r="G384" s="11" t="s">
        <v>43</v>
      </c>
      <c r="H384" s="11">
        <v>8.0</v>
      </c>
      <c r="I384" s="11" t="s">
        <v>33</v>
      </c>
      <c r="J384" s="11">
        <v>60.0</v>
      </c>
      <c r="K384" s="14">
        <v>0.0</v>
      </c>
      <c r="L384" s="8">
        <v>200.28</v>
      </c>
      <c r="N384" s="11">
        <f t="shared" si="1"/>
        <v>480</v>
      </c>
      <c r="O384" s="11">
        <v>9.71034839E8</v>
      </c>
    </row>
    <row r="385">
      <c r="A385" s="9">
        <v>45341.36597222222</v>
      </c>
      <c r="B385" s="11" t="s">
        <v>362</v>
      </c>
      <c r="C385" s="11">
        <v>20.0</v>
      </c>
      <c r="D385" s="11" t="s">
        <v>42</v>
      </c>
      <c r="E385" s="11" t="s">
        <v>163</v>
      </c>
      <c r="F385" s="4">
        <v>18.762612301193915</v>
      </c>
      <c r="G385" s="11" t="s">
        <v>35</v>
      </c>
      <c r="H385" s="11">
        <v>1.0</v>
      </c>
      <c r="I385" s="11" t="s">
        <v>44</v>
      </c>
      <c r="J385" s="11">
        <v>60.0</v>
      </c>
      <c r="K385" s="14">
        <v>0.0</v>
      </c>
      <c r="L385" s="8">
        <v>822.0</v>
      </c>
      <c r="N385" s="11">
        <f t="shared" si="1"/>
        <v>60</v>
      </c>
      <c r="O385" s="11" t="s">
        <v>363</v>
      </c>
    </row>
    <row r="386">
      <c r="A386" s="9">
        <v>45341.888194444444</v>
      </c>
      <c r="B386" s="11" t="s">
        <v>364</v>
      </c>
      <c r="C386" s="11">
        <v>200.0</v>
      </c>
      <c r="D386" s="11" t="s">
        <v>42</v>
      </c>
      <c r="E386" s="11" t="s">
        <v>163</v>
      </c>
      <c r="F386" s="4">
        <v>191.2200267229861</v>
      </c>
      <c r="G386" s="11" t="s">
        <v>43</v>
      </c>
      <c r="H386" s="11">
        <v>8.0</v>
      </c>
      <c r="I386" s="11" t="s">
        <v>33</v>
      </c>
      <c r="J386" s="11">
        <v>60.0</v>
      </c>
      <c r="K386" s="14">
        <v>0.0</v>
      </c>
      <c r="L386" s="8">
        <v>822.0</v>
      </c>
      <c r="N386" s="11">
        <f t="shared" si="1"/>
        <v>480</v>
      </c>
      <c r="O386" s="11" t="s">
        <v>365</v>
      </c>
    </row>
    <row r="387">
      <c r="A387" s="9">
        <v>45341.99722222222</v>
      </c>
      <c r="B387" s="11" t="s">
        <v>366</v>
      </c>
      <c r="C387" s="11">
        <v>145.0</v>
      </c>
      <c r="D387" s="11" t="s">
        <v>42</v>
      </c>
      <c r="E387" s="11" t="s">
        <v>163</v>
      </c>
      <c r="F387" s="4">
        <v>137.624242845136</v>
      </c>
      <c r="G387" s="11" t="s">
        <v>35</v>
      </c>
      <c r="H387" s="11">
        <v>8.0</v>
      </c>
      <c r="I387" s="11" t="s">
        <v>33</v>
      </c>
      <c r="J387" s="11">
        <v>60.0</v>
      </c>
      <c r="K387" s="14">
        <v>0.0</v>
      </c>
      <c r="L387" s="8">
        <v>822.0</v>
      </c>
      <c r="N387" s="11">
        <f t="shared" si="1"/>
        <v>480</v>
      </c>
      <c r="O387" s="11" t="s">
        <v>367</v>
      </c>
    </row>
    <row r="388">
      <c r="A388" s="9">
        <v>45344.69027777778</v>
      </c>
      <c r="B388" s="11" t="s">
        <v>368</v>
      </c>
      <c r="C388" s="11">
        <v>200.0</v>
      </c>
      <c r="D388" s="11" t="s">
        <v>42</v>
      </c>
      <c r="E388" s="11" t="s">
        <v>163</v>
      </c>
      <c r="F388" s="4">
        <v>190.25743132733592</v>
      </c>
      <c r="G388" s="11" t="s">
        <v>43</v>
      </c>
      <c r="H388" s="11">
        <v>8.0</v>
      </c>
      <c r="I388" s="11" t="s">
        <v>33</v>
      </c>
      <c r="J388" s="11">
        <v>60.0</v>
      </c>
      <c r="K388" s="14">
        <v>0.0</v>
      </c>
      <c r="L388" s="8">
        <v>822.0</v>
      </c>
      <c r="N388" s="11">
        <f t="shared" si="1"/>
        <v>480</v>
      </c>
      <c r="O388" s="11" t="s">
        <v>369</v>
      </c>
    </row>
    <row r="389">
      <c r="A389" s="9">
        <v>45345.64722222222</v>
      </c>
      <c r="B389" s="11" t="s">
        <v>370</v>
      </c>
      <c r="C389" s="11">
        <v>200.0</v>
      </c>
      <c r="D389" s="11" t="s">
        <v>42</v>
      </c>
      <c r="E389" s="11" t="s">
        <v>163</v>
      </c>
      <c r="F389" s="4">
        <v>190.16737499187346</v>
      </c>
      <c r="G389" s="11" t="s">
        <v>43</v>
      </c>
      <c r="H389" s="11">
        <v>8.0</v>
      </c>
      <c r="I389" s="11" t="s">
        <v>33</v>
      </c>
      <c r="J389" s="11">
        <v>60.0</v>
      </c>
      <c r="K389" s="14">
        <v>0.0</v>
      </c>
      <c r="L389" s="8">
        <v>822.0</v>
      </c>
      <c r="N389" s="11">
        <f t="shared" si="1"/>
        <v>480</v>
      </c>
      <c r="O389" s="11" t="s">
        <v>371</v>
      </c>
    </row>
    <row r="390">
      <c r="A390" s="9">
        <v>45346.754166666666</v>
      </c>
      <c r="B390" s="11" t="s">
        <v>372</v>
      </c>
      <c r="C390" s="11">
        <v>200.0</v>
      </c>
      <c r="D390" s="11" t="s">
        <v>42</v>
      </c>
      <c r="E390" s="11" t="s">
        <v>163</v>
      </c>
      <c r="F390" s="4">
        <v>189.75874659400546</v>
      </c>
      <c r="G390" s="11" t="s">
        <v>43</v>
      </c>
      <c r="H390" s="11">
        <v>8.0</v>
      </c>
      <c r="J390" s="19">
        <f t="shared" ref="J390:J896" si="2">if(G390="Group",75,60)</f>
        <v>60</v>
      </c>
      <c r="N390" s="11">
        <f t="shared" si="1"/>
        <v>480</v>
      </c>
      <c r="O390" s="11" t="s">
        <v>373</v>
      </c>
    </row>
    <row r="391">
      <c r="A391" s="9">
        <v>45347.834027777775</v>
      </c>
      <c r="B391" s="11" t="s">
        <v>374</v>
      </c>
      <c r="C391" s="11">
        <v>200.0</v>
      </c>
      <c r="D391" s="11" t="s">
        <v>42</v>
      </c>
      <c r="E391" s="11" t="s">
        <v>163</v>
      </c>
      <c r="F391" s="4">
        <v>189.79527629427795</v>
      </c>
      <c r="G391" s="11" t="s">
        <v>43</v>
      </c>
      <c r="H391" s="11">
        <v>8.0</v>
      </c>
      <c r="J391" s="19">
        <f t="shared" si="2"/>
        <v>60</v>
      </c>
      <c r="N391" s="11">
        <f t="shared" si="1"/>
        <v>480</v>
      </c>
      <c r="O391" s="11" t="s">
        <v>375</v>
      </c>
    </row>
    <row r="392">
      <c r="A392" s="9">
        <v>45349.56805555556</v>
      </c>
      <c r="B392" s="11" t="s">
        <v>376</v>
      </c>
      <c r="C392" s="11">
        <v>200.0</v>
      </c>
      <c r="D392" s="11" t="s">
        <v>42</v>
      </c>
      <c r="E392" s="11" t="s">
        <v>163</v>
      </c>
      <c r="F392" s="4">
        <v>189.71699836512263</v>
      </c>
      <c r="G392" s="11" t="s">
        <v>43</v>
      </c>
      <c r="H392" s="11">
        <v>8.0</v>
      </c>
      <c r="J392" s="19">
        <f t="shared" si="2"/>
        <v>60</v>
      </c>
      <c r="N392" s="11">
        <f t="shared" si="1"/>
        <v>480</v>
      </c>
      <c r="O392" s="11" t="s">
        <v>377</v>
      </c>
    </row>
    <row r="393">
      <c r="A393" s="9">
        <v>45353.65416666667</v>
      </c>
      <c r="B393" s="11" t="s">
        <v>351</v>
      </c>
      <c r="C393" s="11">
        <v>30.0</v>
      </c>
      <c r="D393" s="11" t="s">
        <v>42</v>
      </c>
      <c r="E393" s="11" t="s">
        <v>163</v>
      </c>
      <c r="F393" s="4">
        <v>28.22800068119891</v>
      </c>
      <c r="G393" s="11" t="s">
        <v>43</v>
      </c>
      <c r="H393" s="11">
        <v>1.0</v>
      </c>
      <c r="J393" s="19">
        <f t="shared" si="2"/>
        <v>60</v>
      </c>
      <c r="N393" s="11">
        <f t="shared" si="1"/>
        <v>60</v>
      </c>
      <c r="O393" s="11" t="s">
        <v>378</v>
      </c>
    </row>
    <row r="394">
      <c r="A394" s="9">
        <v>45356.3125</v>
      </c>
      <c r="B394" s="11" t="s">
        <v>362</v>
      </c>
      <c r="C394" s="11">
        <v>200.0</v>
      </c>
      <c r="D394" s="11" t="s">
        <v>42</v>
      </c>
      <c r="E394" s="11" t="s">
        <v>163</v>
      </c>
      <c r="F394" s="4">
        <v>189.75248435967302</v>
      </c>
      <c r="G394" s="11" t="s">
        <v>43</v>
      </c>
      <c r="H394" s="11">
        <v>8.0</v>
      </c>
      <c r="J394" s="19">
        <f t="shared" si="2"/>
        <v>60</v>
      </c>
      <c r="N394" s="11">
        <f t="shared" si="1"/>
        <v>480</v>
      </c>
      <c r="O394" s="11" t="s">
        <v>379</v>
      </c>
    </row>
    <row r="395">
      <c r="A395" s="9">
        <v>45356.455555555556</v>
      </c>
      <c r="B395" s="11" t="s">
        <v>380</v>
      </c>
      <c r="C395" s="11">
        <v>850.0</v>
      </c>
      <c r="D395" s="11" t="s">
        <v>42</v>
      </c>
      <c r="E395" s="11" t="s">
        <v>163</v>
      </c>
      <c r="F395" s="4">
        <v>807.3793833787465</v>
      </c>
      <c r="G395" s="11" t="s">
        <v>43</v>
      </c>
      <c r="H395" s="11">
        <v>40.0</v>
      </c>
      <c r="J395" s="19">
        <f t="shared" si="2"/>
        <v>60</v>
      </c>
      <c r="N395" s="11">
        <f t="shared" si="1"/>
        <v>2400</v>
      </c>
      <c r="O395" s="11" t="s">
        <v>381</v>
      </c>
    </row>
    <row r="396">
      <c r="A396" s="9">
        <v>45356.592361111114</v>
      </c>
      <c r="B396" s="11" t="s">
        <v>382</v>
      </c>
      <c r="C396" s="11">
        <v>200.0</v>
      </c>
      <c r="D396" s="11" t="s">
        <v>42</v>
      </c>
      <c r="E396" s="11" t="s">
        <v>163</v>
      </c>
      <c r="F396" s="4">
        <v>189.7550936239782</v>
      </c>
      <c r="G396" s="11" t="s">
        <v>32</v>
      </c>
      <c r="H396" s="11">
        <v>12.0</v>
      </c>
      <c r="J396" s="19">
        <f t="shared" si="2"/>
        <v>75</v>
      </c>
      <c r="N396" s="11">
        <f t="shared" si="1"/>
        <v>900</v>
      </c>
      <c r="O396" s="11" t="s">
        <v>383</v>
      </c>
    </row>
    <row r="397">
      <c r="A397" s="9">
        <v>45357.86666666667</v>
      </c>
      <c r="B397" s="11" t="s">
        <v>384</v>
      </c>
      <c r="C397" s="11">
        <v>200.0</v>
      </c>
      <c r="D397" s="11" t="s">
        <v>42</v>
      </c>
      <c r="E397" s="11" t="s">
        <v>163</v>
      </c>
      <c r="F397" s="4">
        <v>189.7561373297003</v>
      </c>
      <c r="G397" s="11" t="s">
        <v>43</v>
      </c>
      <c r="H397" s="11">
        <v>8.0</v>
      </c>
      <c r="J397" s="19">
        <f t="shared" si="2"/>
        <v>60</v>
      </c>
      <c r="N397" s="11">
        <f t="shared" si="1"/>
        <v>480</v>
      </c>
      <c r="O397" s="11" t="s">
        <v>385</v>
      </c>
    </row>
    <row r="398">
      <c r="A398" s="9">
        <v>45358.274305555555</v>
      </c>
      <c r="B398" s="11" t="s">
        <v>340</v>
      </c>
      <c r="C398" s="11">
        <v>200.0</v>
      </c>
      <c r="D398" s="11" t="s">
        <v>42</v>
      </c>
      <c r="E398" s="11" t="s">
        <v>163</v>
      </c>
      <c r="F398" s="4">
        <v>189.75352806539513</v>
      </c>
      <c r="G398" s="11" t="s">
        <v>43</v>
      </c>
      <c r="H398" s="11">
        <v>8.0</v>
      </c>
      <c r="J398" s="19">
        <f t="shared" si="2"/>
        <v>60</v>
      </c>
      <c r="N398" s="11">
        <f t="shared" si="1"/>
        <v>480</v>
      </c>
      <c r="O398" s="11" t="s">
        <v>386</v>
      </c>
    </row>
    <row r="399">
      <c r="A399" s="9">
        <v>45358.78333333333</v>
      </c>
      <c r="B399" s="11" t="s">
        <v>387</v>
      </c>
      <c r="C399" s="11">
        <v>200.0</v>
      </c>
      <c r="D399" s="11" t="s">
        <v>42</v>
      </c>
      <c r="E399" s="11" t="s">
        <v>163</v>
      </c>
      <c r="F399" s="4">
        <v>189.75352806539513</v>
      </c>
      <c r="G399" s="11" t="s">
        <v>32</v>
      </c>
      <c r="H399" s="11">
        <v>12.0</v>
      </c>
      <c r="J399" s="19">
        <f t="shared" si="2"/>
        <v>75</v>
      </c>
      <c r="N399" s="11">
        <f t="shared" si="1"/>
        <v>900</v>
      </c>
      <c r="O399" s="11" t="s">
        <v>388</v>
      </c>
    </row>
    <row r="400">
      <c r="A400" s="9">
        <v>45358.84305555555</v>
      </c>
      <c r="B400" s="11" t="s">
        <v>389</v>
      </c>
      <c r="C400" s="11">
        <v>200.0</v>
      </c>
      <c r="D400" s="11" t="s">
        <v>42</v>
      </c>
      <c r="E400" s="11" t="s">
        <v>163</v>
      </c>
      <c r="F400" s="4">
        <v>189.79266702997276</v>
      </c>
      <c r="G400" s="11" t="s">
        <v>43</v>
      </c>
      <c r="H400" s="11">
        <v>8.0</v>
      </c>
      <c r="J400" s="19">
        <f t="shared" si="2"/>
        <v>60</v>
      </c>
      <c r="N400" s="11">
        <f t="shared" si="1"/>
        <v>480</v>
      </c>
      <c r="O400" s="11" t="s">
        <v>390</v>
      </c>
    </row>
    <row r="401">
      <c r="A401" s="9">
        <v>45364.595138888886</v>
      </c>
      <c r="B401" s="11" t="s">
        <v>391</v>
      </c>
      <c r="C401" s="11">
        <v>200.0</v>
      </c>
      <c r="D401" s="11" t="s">
        <v>42</v>
      </c>
      <c r="E401" s="11" t="s">
        <v>163</v>
      </c>
      <c r="F401" s="4">
        <v>189.71699836512263</v>
      </c>
      <c r="G401" s="11" t="s">
        <v>43</v>
      </c>
      <c r="H401" s="11">
        <v>8.0</v>
      </c>
      <c r="J401" s="19">
        <f t="shared" si="2"/>
        <v>60</v>
      </c>
      <c r="N401" s="11">
        <f t="shared" si="1"/>
        <v>480</v>
      </c>
      <c r="O401" s="11" t="s">
        <v>392</v>
      </c>
    </row>
    <row r="402">
      <c r="A402" s="9">
        <v>45365.0</v>
      </c>
      <c r="B402" s="11" t="s">
        <v>276</v>
      </c>
      <c r="C402" s="11">
        <v>158.0</v>
      </c>
      <c r="D402" s="11" t="s">
        <v>82</v>
      </c>
      <c r="E402" s="11" t="s">
        <v>31</v>
      </c>
      <c r="F402" s="13">
        <v>53.61307901907357</v>
      </c>
      <c r="G402" s="11" t="s">
        <v>43</v>
      </c>
      <c r="H402" s="11">
        <v>8.0</v>
      </c>
      <c r="I402" s="11" t="s">
        <v>33</v>
      </c>
      <c r="J402" s="19">
        <f t="shared" si="2"/>
        <v>60</v>
      </c>
      <c r="K402" s="14">
        <v>0.0</v>
      </c>
      <c r="L402" s="8">
        <v>200.28</v>
      </c>
      <c r="N402" s="11">
        <f t="shared" si="1"/>
        <v>480</v>
      </c>
      <c r="O402" s="11">
        <v>9.99108622E8</v>
      </c>
    </row>
    <row r="403">
      <c r="A403" s="9">
        <v>45365.32152777778</v>
      </c>
      <c r="B403" s="11" t="s">
        <v>393</v>
      </c>
      <c r="C403" s="11">
        <v>200.0</v>
      </c>
      <c r="D403" s="11" t="s">
        <v>42</v>
      </c>
      <c r="E403" s="11" t="s">
        <v>163</v>
      </c>
      <c r="F403" s="4">
        <v>191.85473427792917</v>
      </c>
      <c r="G403" s="11" t="s">
        <v>43</v>
      </c>
      <c r="H403" s="11">
        <v>8.0</v>
      </c>
      <c r="J403" s="19">
        <f t="shared" si="2"/>
        <v>60</v>
      </c>
      <c r="N403" s="11">
        <f t="shared" si="1"/>
        <v>480</v>
      </c>
      <c r="O403" s="11" t="s">
        <v>394</v>
      </c>
    </row>
    <row r="404">
      <c r="A404" s="9">
        <v>45365.368055555555</v>
      </c>
      <c r="B404" s="11" t="s">
        <v>395</v>
      </c>
      <c r="C404" s="11">
        <v>20.0</v>
      </c>
      <c r="D404" s="11" t="s">
        <v>42</v>
      </c>
      <c r="E404" s="11" t="s">
        <v>163</v>
      </c>
      <c r="F404" s="4">
        <v>18.715923760217983</v>
      </c>
      <c r="G404" s="11" t="s">
        <v>35</v>
      </c>
      <c r="H404" s="11">
        <v>1.0</v>
      </c>
      <c r="J404" s="19">
        <f t="shared" si="2"/>
        <v>60</v>
      </c>
      <c r="N404" s="11">
        <f t="shared" si="1"/>
        <v>60</v>
      </c>
      <c r="O404" s="11" t="s">
        <v>396</v>
      </c>
    </row>
    <row r="405">
      <c r="A405" s="9">
        <v>45366.57013888889</v>
      </c>
      <c r="B405" s="11" t="s">
        <v>397</v>
      </c>
      <c r="C405" s="11">
        <v>850.0</v>
      </c>
      <c r="D405" s="11" t="s">
        <v>42</v>
      </c>
      <c r="E405" s="11" t="s">
        <v>163</v>
      </c>
      <c r="F405" s="4">
        <v>807.4171307901906</v>
      </c>
      <c r="G405" s="11" t="s">
        <v>43</v>
      </c>
      <c r="H405" s="11">
        <v>40.0</v>
      </c>
      <c r="J405" s="19">
        <f t="shared" si="2"/>
        <v>60</v>
      </c>
      <c r="N405" s="11">
        <f t="shared" si="1"/>
        <v>2400</v>
      </c>
      <c r="O405" s="11" t="s">
        <v>398</v>
      </c>
    </row>
    <row r="406">
      <c r="A406" s="9">
        <v>45367.56458333333</v>
      </c>
      <c r="B406" s="11" t="s">
        <v>399</v>
      </c>
      <c r="C406" s="11">
        <v>200.0</v>
      </c>
      <c r="D406" s="11" t="s">
        <v>42</v>
      </c>
      <c r="E406" s="11" t="s">
        <v>163</v>
      </c>
      <c r="F406" s="4">
        <v>189.73056653950957</v>
      </c>
      <c r="G406" s="11" t="s">
        <v>43</v>
      </c>
      <c r="H406" s="11">
        <v>8.0</v>
      </c>
      <c r="J406" s="19">
        <f t="shared" si="2"/>
        <v>60</v>
      </c>
      <c r="N406" s="11">
        <f t="shared" si="1"/>
        <v>480</v>
      </c>
      <c r="O406" s="11" t="s">
        <v>400</v>
      </c>
    </row>
    <row r="407">
      <c r="A407" s="9">
        <v>45368.654861111114</v>
      </c>
      <c r="B407" s="11" t="s">
        <v>401</v>
      </c>
      <c r="C407" s="11">
        <v>200.0</v>
      </c>
      <c r="D407" s="11" t="s">
        <v>42</v>
      </c>
      <c r="E407" s="11" t="s">
        <v>163</v>
      </c>
      <c r="F407" s="4">
        <v>189.74935324250686</v>
      </c>
      <c r="G407" s="11" t="s">
        <v>32</v>
      </c>
      <c r="H407" s="11">
        <v>12.0</v>
      </c>
      <c r="J407" s="19">
        <f t="shared" si="2"/>
        <v>75</v>
      </c>
      <c r="N407" s="11">
        <f t="shared" si="1"/>
        <v>900</v>
      </c>
      <c r="O407" s="11" t="s">
        <v>402</v>
      </c>
    </row>
    <row r="408">
      <c r="A408" s="9">
        <v>45371.501388888886</v>
      </c>
      <c r="B408" s="11" t="s">
        <v>403</v>
      </c>
      <c r="C408" s="11">
        <v>200.0</v>
      </c>
      <c r="D408" s="11" t="s">
        <v>42</v>
      </c>
      <c r="E408" s="11" t="s">
        <v>163</v>
      </c>
      <c r="F408" s="4">
        <v>189.73317580381473</v>
      </c>
      <c r="G408" s="11" t="s">
        <v>43</v>
      </c>
      <c r="H408" s="11">
        <v>8.0</v>
      </c>
      <c r="J408" s="19">
        <f t="shared" si="2"/>
        <v>60</v>
      </c>
      <c r="N408" s="11">
        <f t="shared" si="1"/>
        <v>480</v>
      </c>
      <c r="O408" s="11" t="s">
        <v>404</v>
      </c>
    </row>
    <row r="409">
      <c r="A409" s="9">
        <v>45372.82777777778</v>
      </c>
      <c r="B409" s="11" t="s">
        <v>338</v>
      </c>
      <c r="C409" s="11">
        <v>200.0</v>
      </c>
      <c r="D409" s="11" t="s">
        <v>42</v>
      </c>
      <c r="E409" s="11" t="s">
        <v>163</v>
      </c>
      <c r="F409" s="4">
        <v>189.69090572207085</v>
      </c>
      <c r="G409" s="11" t="s">
        <v>43</v>
      </c>
      <c r="H409" s="11">
        <v>8.0</v>
      </c>
      <c r="J409" s="19">
        <f t="shared" si="2"/>
        <v>60</v>
      </c>
      <c r="N409" s="11">
        <f t="shared" si="1"/>
        <v>480</v>
      </c>
      <c r="O409" s="11" t="s">
        <v>405</v>
      </c>
    </row>
    <row r="410">
      <c r="A410" s="9">
        <v>45373.71319444444</v>
      </c>
      <c r="B410" s="11" t="s">
        <v>406</v>
      </c>
      <c r="C410" s="11">
        <v>850.0</v>
      </c>
      <c r="D410" s="11" t="s">
        <v>42</v>
      </c>
      <c r="E410" s="11" t="s">
        <v>163</v>
      </c>
      <c r="F410" s="4">
        <v>807.317211171662</v>
      </c>
      <c r="G410" s="11" t="s">
        <v>43</v>
      </c>
      <c r="H410" s="11">
        <v>40.0</v>
      </c>
      <c r="J410" s="19">
        <f t="shared" si="2"/>
        <v>60</v>
      </c>
      <c r="N410" s="11">
        <f t="shared" si="1"/>
        <v>2400</v>
      </c>
      <c r="O410" s="11" t="s">
        <v>407</v>
      </c>
    </row>
    <row r="411">
      <c r="A411" s="9">
        <v>45374.69097222222</v>
      </c>
      <c r="B411" s="11" t="s">
        <v>374</v>
      </c>
      <c r="C411" s="11">
        <v>200.0</v>
      </c>
      <c r="D411" s="11" t="s">
        <v>42</v>
      </c>
      <c r="E411" s="11" t="s">
        <v>163</v>
      </c>
      <c r="F411" s="4">
        <v>189.72534801089918</v>
      </c>
      <c r="G411" s="11" t="s">
        <v>43</v>
      </c>
      <c r="H411" s="11">
        <v>8.0</v>
      </c>
      <c r="J411" s="19">
        <f t="shared" si="2"/>
        <v>60</v>
      </c>
      <c r="N411" s="11">
        <f t="shared" si="1"/>
        <v>480</v>
      </c>
      <c r="O411" s="11" t="s">
        <v>408</v>
      </c>
    </row>
    <row r="412">
      <c r="A412" s="9">
        <v>45376.00625</v>
      </c>
      <c r="B412" s="11" t="s">
        <v>409</v>
      </c>
      <c r="C412" s="11">
        <v>200.0</v>
      </c>
      <c r="D412" s="11" t="s">
        <v>42</v>
      </c>
      <c r="E412" s="11" t="s">
        <v>163</v>
      </c>
      <c r="F412" s="4">
        <v>189.72430430517713</v>
      </c>
      <c r="G412" s="11" t="s">
        <v>43</v>
      </c>
      <c r="H412" s="11">
        <v>8.0</v>
      </c>
      <c r="J412" s="19">
        <f t="shared" si="2"/>
        <v>60</v>
      </c>
      <c r="N412" s="11">
        <f t="shared" si="1"/>
        <v>480</v>
      </c>
      <c r="O412" s="11" t="s">
        <v>410</v>
      </c>
    </row>
    <row r="413">
      <c r="A413" s="9">
        <v>45376.74097222222</v>
      </c>
      <c r="B413" s="11" t="s">
        <v>411</v>
      </c>
      <c r="C413" s="11">
        <v>200.0</v>
      </c>
      <c r="D413" s="11" t="s">
        <v>42</v>
      </c>
      <c r="E413" s="11" t="s">
        <v>163</v>
      </c>
      <c r="F413" s="4">
        <v>189.73787247956403</v>
      </c>
      <c r="G413" s="11" t="s">
        <v>43</v>
      </c>
      <c r="H413" s="11">
        <v>8.0</v>
      </c>
      <c r="J413" s="19">
        <f t="shared" si="2"/>
        <v>60</v>
      </c>
      <c r="N413" s="11">
        <f t="shared" si="1"/>
        <v>480</v>
      </c>
      <c r="O413" s="11" t="s">
        <v>412</v>
      </c>
    </row>
    <row r="414">
      <c r="A414" s="9">
        <v>45378.822222222225</v>
      </c>
      <c r="B414" s="11" t="s">
        <v>90</v>
      </c>
      <c r="C414" s="11">
        <v>145.0</v>
      </c>
      <c r="D414" s="11" t="s">
        <v>42</v>
      </c>
      <c r="E414" s="11" t="s">
        <v>163</v>
      </c>
      <c r="F414" s="4">
        <v>137.47682997275206</v>
      </c>
      <c r="G414" s="11" t="s">
        <v>35</v>
      </c>
      <c r="H414" s="11">
        <v>8.0</v>
      </c>
      <c r="J414" s="19">
        <f t="shared" si="2"/>
        <v>60</v>
      </c>
      <c r="N414" s="11">
        <f t="shared" si="1"/>
        <v>480</v>
      </c>
      <c r="O414" s="11" t="s">
        <v>413</v>
      </c>
    </row>
    <row r="415">
      <c r="A415" s="9">
        <v>45383.660416666666</v>
      </c>
      <c r="B415" s="11" t="s">
        <v>414</v>
      </c>
      <c r="C415" s="11">
        <v>850.0</v>
      </c>
      <c r="D415" s="11" t="s">
        <v>42</v>
      </c>
      <c r="E415" s="11" t="s">
        <v>163</v>
      </c>
      <c r="F415" s="4">
        <v>807.3216520435968</v>
      </c>
      <c r="G415" s="11" t="s">
        <v>43</v>
      </c>
      <c r="H415" s="11">
        <v>40.0</v>
      </c>
      <c r="J415" s="19">
        <f t="shared" si="2"/>
        <v>60</v>
      </c>
      <c r="N415" s="11">
        <f t="shared" si="1"/>
        <v>2400</v>
      </c>
      <c r="O415" s="11" t="s">
        <v>415</v>
      </c>
    </row>
    <row r="416">
      <c r="A416" s="9">
        <v>45383.67083333333</v>
      </c>
      <c r="B416" s="11" t="s">
        <v>351</v>
      </c>
      <c r="C416" s="11">
        <v>30.0</v>
      </c>
      <c r="D416" s="11" t="s">
        <v>42</v>
      </c>
      <c r="E416" s="11" t="s">
        <v>163</v>
      </c>
      <c r="F416" s="4">
        <v>28.22505076294278</v>
      </c>
      <c r="G416" s="11" t="s">
        <v>43</v>
      </c>
      <c r="H416" s="11">
        <v>1.0</v>
      </c>
      <c r="J416" s="19">
        <f t="shared" si="2"/>
        <v>60</v>
      </c>
      <c r="N416" s="11">
        <f t="shared" si="1"/>
        <v>60</v>
      </c>
      <c r="O416" s="11" t="s">
        <v>416</v>
      </c>
    </row>
    <row r="417">
      <c r="A417" s="9">
        <v>45384.725</v>
      </c>
      <c r="B417" s="11" t="s">
        <v>417</v>
      </c>
      <c r="C417" s="11">
        <v>145.0</v>
      </c>
      <c r="D417" s="11" t="s">
        <v>42</v>
      </c>
      <c r="E417" s="11" t="s">
        <v>163</v>
      </c>
      <c r="F417" s="4">
        <v>137.47531749318802</v>
      </c>
      <c r="G417" s="11" t="s">
        <v>35</v>
      </c>
      <c r="H417" s="11">
        <v>8.0</v>
      </c>
      <c r="J417" s="19">
        <f t="shared" si="2"/>
        <v>60</v>
      </c>
      <c r="N417" s="11">
        <f t="shared" si="1"/>
        <v>480</v>
      </c>
      <c r="O417" s="11" t="s">
        <v>418</v>
      </c>
    </row>
    <row r="418">
      <c r="A418" s="9">
        <v>45385.46805555555</v>
      </c>
      <c r="B418" s="11" t="s">
        <v>419</v>
      </c>
      <c r="C418" s="11">
        <v>200.0</v>
      </c>
      <c r="D418" s="11" t="s">
        <v>42</v>
      </c>
      <c r="E418" s="11" t="s">
        <v>163</v>
      </c>
      <c r="F418" s="4">
        <v>189.73526321525887</v>
      </c>
      <c r="G418" s="11" t="s">
        <v>43</v>
      </c>
      <c r="H418" s="11">
        <v>8.0</v>
      </c>
      <c r="J418" s="19">
        <f t="shared" si="2"/>
        <v>60</v>
      </c>
      <c r="N418" s="11">
        <f t="shared" si="1"/>
        <v>480</v>
      </c>
      <c r="O418" s="11" t="s">
        <v>420</v>
      </c>
    </row>
    <row r="419">
      <c r="A419" s="9">
        <v>45385.96111111111</v>
      </c>
      <c r="B419" s="11" t="s">
        <v>346</v>
      </c>
      <c r="C419" s="11">
        <v>200.0</v>
      </c>
      <c r="D419" s="11" t="s">
        <v>42</v>
      </c>
      <c r="E419" s="11" t="s">
        <v>163</v>
      </c>
      <c r="F419" s="4">
        <v>189.73474136239784</v>
      </c>
      <c r="G419" s="11" t="s">
        <v>43</v>
      </c>
      <c r="H419" s="11">
        <v>8.0</v>
      </c>
      <c r="J419" s="19">
        <f t="shared" si="2"/>
        <v>60</v>
      </c>
      <c r="N419" s="11">
        <f t="shared" si="1"/>
        <v>480</v>
      </c>
      <c r="O419" s="11" t="s">
        <v>421</v>
      </c>
    </row>
    <row r="420">
      <c r="A420" s="9">
        <v>45386.61944444444</v>
      </c>
      <c r="B420" s="11" t="s">
        <v>422</v>
      </c>
      <c r="C420" s="11">
        <v>20.0</v>
      </c>
      <c r="D420" s="11" t="s">
        <v>42</v>
      </c>
      <c r="E420" s="11" t="s">
        <v>163</v>
      </c>
      <c r="F420" s="4">
        <v>18.716541416893733</v>
      </c>
      <c r="G420" s="11" t="s">
        <v>35</v>
      </c>
      <c r="H420" s="11">
        <v>1.0</v>
      </c>
      <c r="J420" s="19">
        <f t="shared" si="2"/>
        <v>60</v>
      </c>
      <c r="N420" s="11">
        <f t="shared" si="1"/>
        <v>60</v>
      </c>
      <c r="O420" s="11" t="s">
        <v>423</v>
      </c>
    </row>
    <row r="421">
      <c r="A421" s="9">
        <v>45388.63055555556</v>
      </c>
      <c r="B421" s="11" t="s">
        <v>424</v>
      </c>
      <c r="C421" s="11">
        <v>200.0</v>
      </c>
      <c r="D421" s="11" t="s">
        <v>42</v>
      </c>
      <c r="E421" s="11" t="s">
        <v>163</v>
      </c>
      <c r="F421" s="4">
        <v>189.72639171662124</v>
      </c>
      <c r="G421" s="11" t="s">
        <v>43</v>
      </c>
      <c r="H421" s="11">
        <v>8.0</v>
      </c>
      <c r="J421" s="19">
        <f t="shared" si="2"/>
        <v>60</v>
      </c>
      <c r="N421" s="11">
        <f t="shared" si="1"/>
        <v>480</v>
      </c>
      <c r="O421" s="11" t="s">
        <v>425</v>
      </c>
    </row>
    <row r="422">
      <c r="A422" s="9">
        <v>45388.69236111111</v>
      </c>
      <c r="B422" s="11" t="s">
        <v>353</v>
      </c>
      <c r="C422" s="11">
        <v>320.0</v>
      </c>
      <c r="D422" s="11" t="s">
        <v>42</v>
      </c>
      <c r="E422" s="11" t="s">
        <v>163</v>
      </c>
      <c r="F422" s="4">
        <v>303.482725528914</v>
      </c>
      <c r="G422" s="11" t="s">
        <v>43</v>
      </c>
      <c r="H422" s="11">
        <v>8.0</v>
      </c>
      <c r="J422" s="19">
        <f t="shared" si="2"/>
        <v>60</v>
      </c>
      <c r="N422" s="11">
        <f t="shared" si="1"/>
        <v>480</v>
      </c>
      <c r="O422" s="11" t="s">
        <v>426</v>
      </c>
    </row>
    <row r="423">
      <c r="A423" s="9">
        <v>45388.91111111111</v>
      </c>
      <c r="B423" s="11" t="s">
        <v>427</v>
      </c>
      <c r="C423" s="11">
        <v>200.0</v>
      </c>
      <c r="D423" s="11" t="s">
        <v>42</v>
      </c>
      <c r="E423" s="11" t="s">
        <v>163</v>
      </c>
      <c r="F423" s="4">
        <v>189.72639171662124</v>
      </c>
      <c r="G423" s="11" t="s">
        <v>43</v>
      </c>
      <c r="H423" s="11">
        <v>8.0</v>
      </c>
      <c r="J423" s="19">
        <f t="shared" si="2"/>
        <v>60</v>
      </c>
      <c r="N423" s="11">
        <f t="shared" si="1"/>
        <v>480</v>
      </c>
      <c r="O423" s="11" t="s">
        <v>428</v>
      </c>
    </row>
    <row r="424">
      <c r="A424" s="9">
        <v>45389.37222222222</v>
      </c>
      <c r="B424" s="11" t="s">
        <v>395</v>
      </c>
      <c r="C424" s="11">
        <v>20.0</v>
      </c>
      <c r="D424" s="11" t="s">
        <v>42</v>
      </c>
      <c r="E424" s="11" t="s">
        <v>163</v>
      </c>
      <c r="F424" s="4">
        <v>18.71510021798365</v>
      </c>
      <c r="G424" s="11" t="s">
        <v>35</v>
      </c>
      <c r="H424" s="11">
        <v>1.0</v>
      </c>
      <c r="J424" s="19">
        <f t="shared" si="2"/>
        <v>60</v>
      </c>
      <c r="N424" s="11">
        <f t="shared" si="1"/>
        <v>60</v>
      </c>
      <c r="O424" s="11" t="s">
        <v>429</v>
      </c>
    </row>
    <row r="425">
      <c r="A425" s="9">
        <v>45390.92291666667</v>
      </c>
      <c r="B425" s="11" t="s">
        <v>430</v>
      </c>
      <c r="C425" s="11">
        <v>200.0</v>
      </c>
      <c r="D425" s="11" t="s">
        <v>42</v>
      </c>
      <c r="E425" s="11" t="s">
        <v>163</v>
      </c>
      <c r="F425" s="4">
        <v>189.7300446866485</v>
      </c>
      <c r="G425" s="11" t="s">
        <v>43</v>
      </c>
      <c r="H425" s="11">
        <v>8.0</v>
      </c>
      <c r="J425" s="19">
        <f t="shared" si="2"/>
        <v>60</v>
      </c>
      <c r="N425" s="11">
        <f t="shared" si="1"/>
        <v>480</v>
      </c>
      <c r="O425" s="11" t="s">
        <v>431</v>
      </c>
    </row>
    <row r="426">
      <c r="A426" s="9">
        <v>45390.93472222222</v>
      </c>
      <c r="B426" s="11" t="s">
        <v>432</v>
      </c>
      <c r="C426" s="11">
        <v>200.0</v>
      </c>
      <c r="D426" s="11" t="s">
        <v>42</v>
      </c>
      <c r="E426" s="11" t="s">
        <v>163</v>
      </c>
      <c r="F426" s="4">
        <v>189.7300446866485</v>
      </c>
      <c r="G426" s="11" t="s">
        <v>43</v>
      </c>
      <c r="H426" s="11">
        <v>8.0</v>
      </c>
      <c r="J426" s="19">
        <f t="shared" si="2"/>
        <v>60</v>
      </c>
      <c r="N426" s="11">
        <f t="shared" si="1"/>
        <v>480</v>
      </c>
      <c r="O426" s="11" t="s">
        <v>433</v>
      </c>
    </row>
    <row r="427">
      <c r="A427" s="9">
        <v>45391.18680555555</v>
      </c>
      <c r="B427" s="11" t="s">
        <v>434</v>
      </c>
      <c r="C427" s="11">
        <v>200.0</v>
      </c>
      <c r="D427" s="11" t="s">
        <v>42</v>
      </c>
      <c r="E427" s="11" t="s">
        <v>163</v>
      </c>
      <c r="F427" s="4">
        <v>189.7300446866485</v>
      </c>
      <c r="G427" s="11" t="s">
        <v>43</v>
      </c>
      <c r="H427" s="11">
        <v>8.0</v>
      </c>
      <c r="J427" s="19">
        <f t="shared" si="2"/>
        <v>60</v>
      </c>
      <c r="N427" s="11">
        <f t="shared" si="1"/>
        <v>480</v>
      </c>
      <c r="O427" s="11" t="s">
        <v>435</v>
      </c>
    </row>
    <row r="428">
      <c r="A428" s="9">
        <v>45393.680555555555</v>
      </c>
      <c r="B428" s="11" t="s">
        <v>351</v>
      </c>
      <c r="C428" s="11">
        <v>30.0</v>
      </c>
      <c r="D428" s="11" t="s">
        <v>42</v>
      </c>
      <c r="E428" s="11" t="s">
        <v>163</v>
      </c>
      <c r="F428" s="4">
        <v>28.213126103542233</v>
      </c>
      <c r="G428" s="11" t="s">
        <v>43</v>
      </c>
      <c r="H428" s="11">
        <v>1.0</v>
      </c>
      <c r="J428" s="19">
        <f t="shared" si="2"/>
        <v>60</v>
      </c>
      <c r="N428" s="11">
        <f t="shared" si="1"/>
        <v>60</v>
      </c>
      <c r="O428" s="11" t="s">
        <v>436</v>
      </c>
    </row>
    <row r="429">
      <c r="A429" s="9">
        <v>45394.43541666667</v>
      </c>
      <c r="B429" s="11" t="s">
        <v>437</v>
      </c>
      <c r="C429" s="11">
        <v>200.0</v>
      </c>
      <c r="D429" s="11" t="s">
        <v>42</v>
      </c>
      <c r="E429" s="11" t="s">
        <v>163</v>
      </c>
      <c r="F429" s="4">
        <v>189.72221689373296</v>
      </c>
      <c r="G429" s="11" t="s">
        <v>43</v>
      </c>
      <c r="H429" s="11">
        <v>8.0</v>
      </c>
      <c r="J429" s="19">
        <f t="shared" si="2"/>
        <v>60</v>
      </c>
      <c r="N429" s="11">
        <f t="shared" si="1"/>
        <v>480</v>
      </c>
      <c r="O429" s="11" t="s">
        <v>438</v>
      </c>
    </row>
    <row r="430">
      <c r="A430" s="9">
        <v>45397.584027777775</v>
      </c>
      <c r="B430" s="11" t="s">
        <v>439</v>
      </c>
      <c r="C430" s="11">
        <v>30.0</v>
      </c>
      <c r="D430" s="11" t="s">
        <v>42</v>
      </c>
      <c r="E430" s="11" t="s">
        <v>163</v>
      </c>
      <c r="F430" s="4">
        <v>28.214290136239782</v>
      </c>
      <c r="G430" s="11" t="s">
        <v>43</v>
      </c>
      <c r="H430" s="11">
        <v>1.0</v>
      </c>
      <c r="J430" s="19">
        <f t="shared" si="2"/>
        <v>60</v>
      </c>
      <c r="N430" s="11">
        <f t="shared" si="1"/>
        <v>60</v>
      </c>
      <c r="O430" s="11" t="s">
        <v>440</v>
      </c>
    </row>
    <row r="431">
      <c r="A431" s="9">
        <v>45398.59305555555</v>
      </c>
      <c r="B431" s="11" t="s">
        <v>441</v>
      </c>
      <c r="C431" s="11">
        <v>200.0</v>
      </c>
      <c r="D431" s="11" t="s">
        <v>42</v>
      </c>
      <c r="E431" s="11" t="s">
        <v>163</v>
      </c>
      <c r="F431" s="4">
        <v>189.75039694822888</v>
      </c>
      <c r="G431" s="11" t="s">
        <v>43</v>
      </c>
      <c r="H431" s="11">
        <v>8.0</v>
      </c>
      <c r="J431" s="19">
        <f t="shared" si="2"/>
        <v>60</v>
      </c>
      <c r="N431" s="11">
        <f t="shared" si="1"/>
        <v>480</v>
      </c>
      <c r="O431" s="11" t="s">
        <v>442</v>
      </c>
    </row>
    <row r="432">
      <c r="A432" s="9">
        <v>45398.63680555556</v>
      </c>
      <c r="B432" s="11" t="s">
        <v>384</v>
      </c>
      <c r="C432" s="11">
        <v>200.0</v>
      </c>
      <c r="D432" s="11" t="s">
        <v>42</v>
      </c>
      <c r="E432" s="11" t="s">
        <v>163</v>
      </c>
      <c r="F432" s="4">
        <v>189.73317580381473</v>
      </c>
      <c r="G432" s="11" t="s">
        <v>43</v>
      </c>
      <c r="H432" s="11">
        <v>8.0</v>
      </c>
      <c r="J432" s="19">
        <f t="shared" si="2"/>
        <v>60</v>
      </c>
      <c r="N432" s="11">
        <f t="shared" si="1"/>
        <v>480</v>
      </c>
      <c r="O432" s="11" t="s">
        <v>443</v>
      </c>
    </row>
    <row r="433">
      <c r="A433" s="9">
        <v>45399.26597222222</v>
      </c>
      <c r="B433" s="11" t="s">
        <v>444</v>
      </c>
      <c r="C433" s="11">
        <v>200.0</v>
      </c>
      <c r="D433" s="11" t="s">
        <v>42</v>
      </c>
      <c r="E433" s="11" t="s">
        <v>163</v>
      </c>
      <c r="F433" s="4">
        <v>189.73056653950957</v>
      </c>
      <c r="G433" s="11" t="s">
        <v>43</v>
      </c>
      <c r="H433" s="11">
        <v>8.0</v>
      </c>
      <c r="J433" s="19">
        <f t="shared" si="2"/>
        <v>60</v>
      </c>
      <c r="N433" s="11">
        <f t="shared" si="1"/>
        <v>480</v>
      </c>
      <c r="O433" s="11" t="s">
        <v>445</v>
      </c>
    </row>
    <row r="434">
      <c r="A434" s="9">
        <v>45401.67013888889</v>
      </c>
      <c r="B434" s="11" t="s">
        <v>370</v>
      </c>
      <c r="C434" s="11">
        <v>200.0</v>
      </c>
      <c r="D434" s="11" t="s">
        <v>42</v>
      </c>
      <c r="E434" s="11" t="s">
        <v>163</v>
      </c>
      <c r="F434" s="4">
        <v>189.7582247411444</v>
      </c>
      <c r="G434" s="11" t="s">
        <v>43</v>
      </c>
      <c r="H434" s="11">
        <v>8.0</v>
      </c>
      <c r="J434" s="19">
        <f t="shared" si="2"/>
        <v>60</v>
      </c>
      <c r="N434" s="11">
        <f t="shared" si="1"/>
        <v>480</v>
      </c>
      <c r="O434" s="11" t="s">
        <v>446</v>
      </c>
    </row>
    <row r="435">
      <c r="A435" s="9">
        <v>45403.02291666667</v>
      </c>
      <c r="B435" s="11" t="s">
        <v>447</v>
      </c>
      <c r="C435" s="11">
        <v>320.0</v>
      </c>
      <c r="D435" s="11" t="s">
        <v>42</v>
      </c>
      <c r="E435" s="11" t="s">
        <v>163</v>
      </c>
      <c r="F435" s="4">
        <v>303.7068126702997</v>
      </c>
      <c r="G435" s="11" t="s">
        <v>43</v>
      </c>
      <c r="H435" s="11">
        <v>8.0</v>
      </c>
      <c r="J435" s="19">
        <f t="shared" si="2"/>
        <v>60</v>
      </c>
      <c r="N435" s="11">
        <f t="shared" si="1"/>
        <v>480</v>
      </c>
      <c r="O435" s="11" t="s">
        <v>448</v>
      </c>
    </row>
    <row r="436">
      <c r="A436" s="9">
        <v>45405.0</v>
      </c>
      <c r="B436" s="11" t="s">
        <v>262</v>
      </c>
      <c r="C436" s="11">
        <v>188.0</v>
      </c>
      <c r="D436" s="11" t="s">
        <v>30</v>
      </c>
      <c r="E436" s="11" t="s">
        <v>31</v>
      </c>
      <c r="F436" s="13">
        <v>200.0</v>
      </c>
      <c r="G436" s="11" t="s">
        <v>43</v>
      </c>
      <c r="H436" s="11">
        <v>8.0</v>
      </c>
      <c r="I436" s="11" t="s">
        <v>33</v>
      </c>
      <c r="J436" s="19">
        <f t="shared" si="2"/>
        <v>60</v>
      </c>
      <c r="K436" s="14">
        <v>0.0</v>
      </c>
      <c r="L436" s="8">
        <v>200.28</v>
      </c>
      <c r="N436" s="11">
        <f t="shared" si="1"/>
        <v>480</v>
      </c>
      <c r="O436" s="11">
        <v>1.044415685E9</v>
      </c>
    </row>
    <row r="437">
      <c r="A437" s="9">
        <v>45405.22430555556</v>
      </c>
      <c r="B437" s="11" t="s">
        <v>366</v>
      </c>
      <c r="C437" s="11">
        <v>145.0</v>
      </c>
      <c r="D437" s="11" t="s">
        <v>42</v>
      </c>
      <c r="E437" s="11" t="s">
        <v>163</v>
      </c>
      <c r="F437" s="4">
        <v>137.5112388828338</v>
      </c>
      <c r="G437" s="11" t="s">
        <v>35</v>
      </c>
      <c r="H437" s="11">
        <v>8.0</v>
      </c>
      <c r="J437" s="19">
        <f t="shared" si="2"/>
        <v>60</v>
      </c>
      <c r="N437" s="11">
        <f t="shared" si="1"/>
        <v>480</v>
      </c>
      <c r="O437" s="11" t="s">
        <v>449</v>
      </c>
    </row>
    <row r="438">
      <c r="A438" s="9">
        <v>45406.37430555555</v>
      </c>
      <c r="B438" s="11" t="s">
        <v>450</v>
      </c>
      <c r="C438" s="11">
        <v>20.0</v>
      </c>
      <c r="D438" s="11" t="s">
        <v>42</v>
      </c>
      <c r="E438" s="11" t="s">
        <v>163</v>
      </c>
      <c r="F438" s="4">
        <v>18.713967847411443</v>
      </c>
      <c r="G438" s="11" t="s">
        <v>35</v>
      </c>
      <c r="H438" s="11">
        <v>1.0</v>
      </c>
      <c r="J438" s="19">
        <f t="shared" si="2"/>
        <v>60</v>
      </c>
      <c r="N438" s="11">
        <f t="shared" si="1"/>
        <v>60</v>
      </c>
      <c r="O438" s="11" t="s">
        <v>451</v>
      </c>
    </row>
    <row r="439">
      <c r="A439" s="9">
        <v>45406.62708333333</v>
      </c>
      <c r="B439" s="11" t="s">
        <v>452</v>
      </c>
      <c r="C439" s="11">
        <v>30.0</v>
      </c>
      <c r="D439" s="11" t="s">
        <v>42</v>
      </c>
      <c r="E439" s="11" t="s">
        <v>163</v>
      </c>
      <c r="F439" s="4">
        <v>28.21460054495913</v>
      </c>
      <c r="G439" s="11" t="s">
        <v>43</v>
      </c>
      <c r="H439" s="11">
        <v>1.0</v>
      </c>
      <c r="J439" s="19">
        <f t="shared" si="2"/>
        <v>60</v>
      </c>
      <c r="N439" s="11">
        <f t="shared" si="1"/>
        <v>60</v>
      </c>
      <c r="O439" s="11" t="s">
        <v>453</v>
      </c>
    </row>
    <row r="440">
      <c r="A440" s="9">
        <v>45406.790972222225</v>
      </c>
      <c r="B440" s="11" t="s">
        <v>334</v>
      </c>
      <c r="C440" s="11">
        <v>200.0</v>
      </c>
      <c r="D440" s="11" t="s">
        <v>42</v>
      </c>
      <c r="E440" s="11" t="s">
        <v>163</v>
      </c>
      <c r="F440" s="4">
        <v>189.73526321525887</v>
      </c>
      <c r="G440" s="11" t="s">
        <v>43</v>
      </c>
      <c r="H440" s="11">
        <v>8.0</v>
      </c>
      <c r="J440" s="19">
        <f t="shared" si="2"/>
        <v>60</v>
      </c>
      <c r="N440" s="11">
        <f t="shared" si="1"/>
        <v>480</v>
      </c>
      <c r="O440" s="11" t="s">
        <v>454</v>
      </c>
    </row>
    <row r="441">
      <c r="A441" s="9">
        <v>45408.60208333333</v>
      </c>
      <c r="B441" s="11" t="s">
        <v>455</v>
      </c>
      <c r="C441" s="11">
        <v>30.0</v>
      </c>
      <c r="D441" s="11" t="s">
        <v>42</v>
      </c>
      <c r="E441" s="11" t="s">
        <v>163</v>
      </c>
      <c r="F441" s="4">
        <v>28.227690163487736</v>
      </c>
      <c r="G441" s="11" t="s">
        <v>43</v>
      </c>
      <c r="H441" s="11">
        <v>1.0</v>
      </c>
      <c r="J441" s="19">
        <f t="shared" si="2"/>
        <v>60</v>
      </c>
      <c r="N441" s="11">
        <f t="shared" si="1"/>
        <v>60</v>
      </c>
      <c r="O441" s="11" t="s">
        <v>456</v>
      </c>
    </row>
    <row r="442">
      <c r="A442" s="9">
        <v>45408.60833333333</v>
      </c>
      <c r="B442" s="11" t="s">
        <v>374</v>
      </c>
      <c r="C442" s="11">
        <v>200.0</v>
      </c>
      <c r="D442" s="11" t="s">
        <v>42</v>
      </c>
      <c r="E442" s="11" t="s">
        <v>163</v>
      </c>
      <c r="F442" s="4">
        <v>189.75665918256135</v>
      </c>
      <c r="G442" s="11" t="s">
        <v>43</v>
      </c>
      <c r="H442" s="11">
        <v>8.0</v>
      </c>
      <c r="J442" s="19">
        <f t="shared" si="2"/>
        <v>60</v>
      </c>
      <c r="N442" s="11">
        <f t="shared" si="1"/>
        <v>480</v>
      </c>
      <c r="O442" s="11" t="s">
        <v>457</v>
      </c>
    </row>
    <row r="443">
      <c r="A443" s="9">
        <v>45409.45625</v>
      </c>
      <c r="B443" s="11" t="s">
        <v>458</v>
      </c>
      <c r="C443" s="11">
        <v>200.0</v>
      </c>
      <c r="D443" s="11" t="s">
        <v>42</v>
      </c>
      <c r="E443" s="11" t="s">
        <v>163</v>
      </c>
      <c r="F443" s="4">
        <v>189.79266702997276</v>
      </c>
      <c r="G443" s="11" t="s">
        <v>43</v>
      </c>
      <c r="H443" s="11">
        <v>8.0</v>
      </c>
      <c r="J443" s="19">
        <f t="shared" si="2"/>
        <v>60</v>
      </c>
      <c r="N443" s="11">
        <f t="shared" si="1"/>
        <v>480</v>
      </c>
      <c r="O443" s="11" t="s">
        <v>459</v>
      </c>
    </row>
    <row r="444">
      <c r="A444" s="9">
        <v>45411.48333333333</v>
      </c>
      <c r="B444" s="11" t="s">
        <v>460</v>
      </c>
      <c r="C444" s="11">
        <v>30.0</v>
      </c>
      <c r="D444" s="11" t="s">
        <v>42</v>
      </c>
      <c r="E444" s="11" t="s">
        <v>163</v>
      </c>
      <c r="F444" s="4">
        <v>28.216928610354223</v>
      </c>
      <c r="G444" s="11" t="s">
        <v>43</v>
      </c>
      <c r="H444" s="11">
        <v>1.0</v>
      </c>
      <c r="J444" s="19">
        <f t="shared" si="2"/>
        <v>60</v>
      </c>
      <c r="N444" s="11">
        <f t="shared" si="1"/>
        <v>60</v>
      </c>
      <c r="O444" s="11" t="s">
        <v>461</v>
      </c>
    </row>
    <row r="445">
      <c r="A445" s="9">
        <v>45419.28680555556</v>
      </c>
      <c r="B445" s="11" t="s">
        <v>462</v>
      </c>
      <c r="C445" s="11">
        <v>20.0</v>
      </c>
      <c r="D445" s="11" t="s">
        <v>42</v>
      </c>
      <c r="E445" s="11" t="s">
        <v>163</v>
      </c>
      <c r="F445" s="4">
        <v>18.716232588555858</v>
      </c>
      <c r="G445" s="11" t="s">
        <v>35</v>
      </c>
      <c r="H445" s="11">
        <v>1.0</v>
      </c>
      <c r="J445" s="19">
        <f t="shared" si="2"/>
        <v>60</v>
      </c>
      <c r="N445" s="11">
        <f t="shared" si="1"/>
        <v>60</v>
      </c>
      <c r="O445" s="11" t="s">
        <v>463</v>
      </c>
    </row>
    <row r="446">
      <c r="A446" s="9">
        <v>45419.45625</v>
      </c>
      <c r="B446" s="11" t="s">
        <v>357</v>
      </c>
      <c r="C446" s="11">
        <v>145.0</v>
      </c>
      <c r="D446" s="11" t="s">
        <v>42</v>
      </c>
      <c r="E446" s="11" t="s">
        <v>163</v>
      </c>
      <c r="F446" s="4">
        <v>137.51842316076295</v>
      </c>
      <c r="G446" s="11" t="s">
        <v>35</v>
      </c>
      <c r="H446" s="11">
        <v>8.0</v>
      </c>
      <c r="J446" s="19">
        <f t="shared" si="2"/>
        <v>60</v>
      </c>
      <c r="N446" s="11">
        <f t="shared" si="1"/>
        <v>480</v>
      </c>
      <c r="O446" s="11" t="s">
        <v>464</v>
      </c>
    </row>
    <row r="447">
      <c r="A447" s="9">
        <v>45420.259722222225</v>
      </c>
      <c r="B447" s="11" t="s">
        <v>465</v>
      </c>
      <c r="C447" s="11">
        <v>200.0</v>
      </c>
      <c r="D447" s="11" t="s">
        <v>42</v>
      </c>
      <c r="E447" s="11" t="s">
        <v>163</v>
      </c>
      <c r="F447" s="4">
        <v>189.74048174386922</v>
      </c>
      <c r="G447" s="11" t="s">
        <v>43</v>
      </c>
      <c r="H447" s="11">
        <v>8.0</v>
      </c>
      <c r="J447" s="19">
        <f t="shared" si="2"/>
        <v>60</v>
      </c>
      <c r="N447" s="11">
        <f t="shared" si="1"/>
        <v>480</v>
      </c>
      <c r="O447" s="11" t="s">
        <v>466</v>
      </c>
    </row>
    <row r="448">
      <c r="A448" s="9">
        <v>45420.47222222222</v>
      </c>
      <c r="B448" s="11" t="s">
        <v>452</v>
      </c>
      <c r="C448" s="11">
        <v>30.0</v>
      </c>
      <c r="D448" s="11" t="s">
        <v>42</v>
      </c>
      <c r="E448" s="11" t="s">
        <v>163</v>
      </c>
      <c r="F448" s="4">
        <v>28.22800068119891</v>
      </c>
      <c r="G448" s="11" t="s">
        <v>43</v>
      </c>
      <c r="H448" s="11">
        <v>1.0</v>
      </c>
      <c r="J448" s="19">
        <f t="shared" si="2"/>
        <v>60</v>
      </c>
      <c r="N448" s="11">
        <f t="shared" si="1"/>
        <v>60</v>
      </c>
      <c r="O448" s="11" t="s">
        <v>467</v>
      </c>
    </row>
    <row r="449">
      <c r="A449" s="9">
        <v>45420.63125</v>
      </c>
      <c r="B449" s="11" t="s">
        <v>468</v>
      </c>
      <c r="C449" s="11">
        <v>145.0</v>
      </c>
      <c r="D449" s="11" t="s">
        <v>42</v>
      </c>
      <c r="E449" s="11" t="s">
        <v>163</v>
      </c>
      <c r="F449" s="4">
        <v>137.4934672479564</v>
      </c>
      <c r="G449" s="11" t="s">
        <v>35</v>
      </c>
      <c r="H449" s="11">
        <v>8.0</v>
      </c>
      <c r="J449" s="19">
        <f t="shared" si="2"/>
        <v>60</v>
      </c>
      <c r="N449" s="11">
        <f t="shared" si="1"/>
        <v>480</v>
      </c>
      <c r="O449" s="11" t="s">
        <v>469</v>
      </c>
    </row>
    <row r="450">
      <c r="A450" s="9">
        <v>45421.40625</v>
      </c>
      <c r="B450" s="11" t="s">
        <v>455</v>
      </c>
      <c r="C450" s="11">
        <v>30.0</v>
      </c>
      <c r="D450" s="11" t="s">
        <v>42</v>
      </c>
      <c r="E450" s="11" t="s">
        <v>163</v>
      </c>
      <c r="F450" s="4">
        <v>28.227534904632154</v>
      </c>
      <c r="G450" s="11" t="s">
        <v>43</v>
      </c>
      <c r="H450" s="11">
        <v>1.0</v>
      </c>
      <c r="J450" s="19">
        <f t="shared" si="2"/>
        <v>60</v>
      </c>
      <c r="N450" s="11">
        <f t="shared" si="1"/>
        <v>60</v>
      </c>
      <c r="O450" s="11" t="s">
        <v>470</v>
      </c>
    </row>
    <row r="451">
      <c r="A451" s="9">
        <v>45422.29519675926</v>
      </c>
      <c r="B451" s="11" t="s">
        <v>471</v>
      </c>
      <c r="C451" s="11">
        <v>20.0</v>
      </c>
      <c r="D451" s="11" t="s">
        <v>42</v>
      </c>
      <c r="E451" s="11" t="s">
        <v>163</v>
      </c>
      <c r="F451" s="4">
        <v>18.716026702997276</v>
      </c>
      <c r="G451" s="11" t="s">
        <v>35</v>
      </c>
      <c r="H451" s="11">
        <v>1.0</v>
      </c>
      <c r="J451" s="19">
        <f t="shared" si="2"/>
        <v>60</v>
      </c>
      <c r="N451" s="11">
        <f t="shared" si="1"/>
        <v>60</v>
      </c>
      <c r="O451" s="11" t="s">
        <v>472</v>
      </c>
    </row>
    <row r="452">
      <c r="A452" s="9">
        <v>45422.68697916667</v>
      </c>
      <c r="B452" s="11" t="s">
        <v>473</v>
      </c>
      <c r="C452" s="11">
        <v>200.0</v>
      </c>
      <c r="D452" s="11" t="s">
        <v>42</v>
      </c>
      <c r="E452" s="11" t="s">
        <v>163</v>
      </c>
      <c r="F452" s="4">
        <v>189.76135585831062</v>
      </c>
      <c r="G452" s="11" t="s">
        <v>32</v>
      </c>
      <c r="H452" s="11">
        <v>12.0</v>
      </c>
      <c r="J452" s="19">
        <f t="shared" si="2"/>
        <v>75</v>
      </c>
      <c r="N452" s="11">
        <f t="shared" si="1"/>
        <v>900</v>
      </c>
      <c r="O452" s="11" t="s">
        <v>474</v>
      </c>
    </row>
    <row r="453">
      <c r="A453" s="9">
        <v>45422.97903935185</v>
      </c>
      <c r="B453" s="11" t="s">
        <v>475</v>
      </c>
      <c r="C453" s="11">
        <v>200.0</v>
      </c>
      <c r="D453" s="11" t="s">
        <v>42</v>
      </c>
      <c r="E453" s="11" t="s">
        <v>163</v>
      </c>
      <c r="F453" s="4">
        <v>189.73787247956403</v>
      </c>
      <c r="G453" s="11" t="s">
        <v>43</v>
      </c>
      <c r="H453" s="11">
        <v>8.0</v>
      </c>
      <c r="J453" s="19">
        <f t="shared" si="2"/>
        <v>60</v>
      </c>
      <c r="N453" s="11">
        <f t="shared" si="1"/>
        <v>480</v>
      </c>
      <c r="O453" s="11" t="s">
        <v>476</v>
      </c>
    </row>
    <row r="454">
      <c r="A454" s="9">
        <v>45424.45690972222</v>
      </c>
      <c r="B454" s="11" t="s">
        <v>460</v>
      </c>
      <c r="C454" s="11">
        <v>145.0</v>
      </c>
      <c r="D454" s="11" t="s">
        <v>42</v>
      </c>
      <c r="E454" s="11" t="s">
        <v>163</v>
      </c>
      <c r="F454" s="4">
        <v>137.49384536784743</v>
      </c>
      <c r="G454" s="11" t="s">
        <v>35</v>
      </c>
      <c r="H454" s="11">
        <v>8.0</v>
      </c>
      <c r="J454" s="19">
        <f t="shared" si="2"/>
        <v>60</v>
      </c>
      <c r="N454" s="11">
        <f t="shared" si="1"/>
        <v>480</v>
      </c>
      <c r="O454" s="11" t="s">
        <v>477</v>
      </c>
    </row>
    <row r="455">
      <c r="A455" s="9">
        <v>45426.526921296296</v>
      </c>
      <c r="B455" s="11" t="s">
        <v>452</v>
      </c>
      <c r="C455" s="11">
        <v>30.0</v>
      </c>
      <c r="D455" s="11" t="s">
        <v>42</v>
      </c>
      <c r="E455" s="11" t="s">
        <v>163</v>
      </c>
      <c r="F455" s="4">
        <v>28.227612534059947</v>
      </c>
      <c r="G455" s="11" t="s">
        <v>43</v>
      </c>
      <c r="H455" s="11">
        <v>1.0</v>
      </c>
      <c r="J455" s="19">
        <f t="shared" si="2"/>
        <v>60</v>
      </c>
      <c r="N455" s="11">
        <f t="shared" si="1"/>
        <v>60</v>
      </c>
      <c r="O455" s="11" t="s">
        <v>478</v>
      </c>
    </row>
    <row r="456">
      <c r="A456" s="9">
        <v>45427.204305555555</v>
      </c>
      <c r="B456" s="11" t="s">
        <v>387</v>
      </c>
      <c r="C456" s="11">
        <v>200.0</v>
      </c>
      <c r="D456" s="11" t="s">
        <v>42</v>
      </c>
      <c r="E456" s="11" t="s">
        <v>163</v>
      </c>
      <c r="F456" s="4">
        <v>189.72221689373296</v>
      </c>
      <c r="G456" s="11" t="s">
        <v>32</v>
      </c>
      <c r="H456" s="11">
        <v>12.0</v>
      </c>
      <c r="J456" s="19">
        <f t="shared" si="2"/>
        <v>75</v>
      </c>
      <c r="N456" s="11">
        <f t="shared" si="1"/>
        <v>900</v>
      </c>
      <c r="O456" s="11" t="s">
        <v>479</v>
      </c>
    </row>
    <row r="457">
      <c r="A457" s="9">
        <v>45428.33324074074</v>
      </c>
      <c r="B457" s="11" t="s">
        <v>395</v>
      </c>
      <c r="C457" s="11">
        <v>20.0</v>
      </c>
      <c r="D457" s="11" t="s">
        <v>42</v>
      </c>
      <c r="E457" s="11" t="s">
        <v>163</v>
      </c>
      <c r="F457" s="4">
        <v>18.71633553133515</v>
      </c>
      <c r="G457" s="11" t="s">
        <v>35</v>
      </c>
      <c r="H457" s="11">
        <v>1.0</v>
      </c>
      <c r="J457" s="19">
        <f t="shared" si="2"/>
        <v>60</v>
      </c>
      <c r="N457" s="11">
        <f t="shared" si="1"/>
        <v>60</v>
      </c>
      <c r="O457" s="11" t="s">
        <v>480</v>
      </c>
    </row>
    <row r="458">
      <c r="A458" s="9">
        <v>45428.62975694444</v>
      </c>
      <c r="B458" s="11" t="s">
        <v>481</v>
      </c>
      <c r="C458" s="11">
        <v>145.0</v>
      </c>
      <c r="D458" s="11" t="s">
        <v>42</v>
      </c>
      <c r="E458" s="11" t="s">
        <v>163</v>
      </c>
      <c r="F458" s="4">
        <v>137.49271100817438</v>
      </c>
      <c r="G458" s="11" t="s">
        <v>35</v>
      </c>
      <c r="H458" s="11">
        <v>8.0</v>
      </c>
      <c r="J458" s="19">
        <f t="shared" si="2"/>
        <v>60</v>
      </c>
      <c r="N458" s="11">
        <f t="shared" si="1"/>
        <v>480</v>
      </c>
      <c r="O458" s="11" t="s">
        <v>482</v>
      </c>
    </row>
    <row r="459">
      <c r="A459" s="9">
        <v>45428.79497685185</v>
      </c>
      <c r="B459" s="11" t="s">
        <v>483</v>
      </c>
      <c r="C459" s="11">
        <v>200.0</v>
      </c>
      <c r="D459" s="11" t="s">
        <v>42</v>
      </c>
      <c r="E459" s="11" t="s">
        <v>163</v>
      </c>
      <c r="F459" s="4">
        <v>189.75718103542235</v>
      </c>
      <c r="G459" s="11" t="s">
        <v>43</v>
      </c>
      <c r="H459" s="11">
        <v>8.0</v>
      </c>
      <c r="J459" s="19">
        <f t="shared" si="2"/>
        <v>60</v>
      </c>
      <c r="N459" s="11">
        <f t="shared" si="1"/>
        <v>480</v>
      </c>
      <c r="O459" s="11" t="s">
        <v>484</v>
      </c>
    </row>
    <row r="460">
      <c r="A460" s="9">
        <v>45430.359143518515</v>
      </c>
      <c r="B460" s="11" t="s">
        <v>452</v>
      </c>
      <c r="C460" s="11">
        <v>30.0</v>
      </c>
      <c r="D460" s="11" t="s">
        <v>42</v>
      </c>
      <c r="E460" s="11" t="s">
        <v>163</v>
      </c>
      <c r="F460" s="4">
        <v>28.22800068119891</v>
      </c>
      <c r="G460" s="11" t="s">
        <v>43</v>
      </c>
      <c r="H460" s="11">
        <v>1.0</v>
      </c>
      <c r="J460" s="19">
        <f t="shared" si="2"/>
        <v>60</v>
      </c>
      <c r="N460" s="11">
        <f t="shared" si="1"/>
        <v>60</v>
      </c>
      <c r="O460" s="11" t="s">
        <v>485</v>
      </c>
    </row>
    <row r="461">
      <c r="A461" s="9">
        <v>45430.66471064815</v>
      </c>
      <c r="B461" s="11" t="s">
        <v>368</v>
      </c>
      <c r="C461" s="11">
        <v>200.0</v>
      </c>
      <c r="D461" s="11" t="s">
        <v>42</v>
      </c>
      <c r="E461" s="11" t="s">
        <v>163</v>
      </c>
      <c r="F461" s="4">
        <v>189.76135585831062</v>
      </c>
      <c r="G461" s="11" t="s">
        <v>43</v>
      </c>
      <c r="H461" s="11">
        <v>8.0</v>
      </c>
      <c r="J461" s="19">
        <f t="shared" si="2"/>
        <v>60</v>
      </c>
      <c r="N461" s="11">
        <f t="shared" si="1"/>
        <v>480</v>
      </c>
      <c r="O461" s="11" t="s">
        <v>486</v>
      </c>
    </row>
    <row r="462">
      <c r="A462" s="9">
        <v>45431.80233796296</v>
      </c>
      <c r="B462" s="11" t="s">
        <v>364</v>
      </c>
      <c r="C462" s="11">
        <v>200.0</v>
      </c>
      <c r="D462" s="11" t="s">
        <v>42</v>
      </c>
      <c r="E462" s="11" t="s">
        <v>163</v>
      </c>
      <c r="F462" s="4">
        <v>189.75874659400546</v>
      </c>
      <c r="G462" s="11" t="s">
        <v>43</v>
      </c>
      <c r="H462" s="11">
        <v>8.0</v>
      </c>
      <c r="J462" s="19">
        <f t="shared" si="2"/>
        <v>60</v>
      </c>
      <c r="N462" s="11">
        <f t="shared" si="1"/>
        <v>480</v>
      </c>
      <c r="O462" s="11" t="s">
        <v>487</v>
      </c>
    </row>
    <row r="463">
      <c r="A463" s="9">
        <v>45433.34027777778</v>
      </c>
      <c r="B463" s="11" t="s">
        <v>488</v>
      </c>
      <c r="C463" s="11">
        <v>145.0</v>
      </c>
      <c r="D463" s="11" t="s">
        <v>42</v>
      </c>
      <c r="E463" s="11" t="s">
        <v>163</v>
      </c>
      <c r="F463" s="4">
        <v>137.4934672479564</v>
      </c>
      <c r="G463" s="11" t="s">
        <v>35</v>
      </c>
      <c r="H463" s="11">
        <v>8.0</v>
      </c>
      <c r="J463" s="19">
        <f t="shared" si="2"/>
        <v>60</v>
      </c>
      <c r="N463" s="11">
        <f t="shared" si="1"/>
        <v>480</v>
      </c>
      <c r="O463" s="11" t="s">
        <v>489</v>
      </c>
    </row>
    <row r="464">
      <c r="A464" s="9">
        <v>45433.64861111111</v>
      </c>
      <c r="B464" s="11" t="s">
        <v>338</v>
      </c>
      <c r="C464" s="11">
        <v>850.0</v>
      </c>
      <c r="D464" s="11" t="s">
        <v>42</v>
      </c>
      <c r="E464" s="11" t="s">
        <v>163</v>
      </c>
      <c r="F464" s="4">
        <v>807.397146866485</v>
      </c>
      <c r="G464" s="11" t="s">
        <v>43</v>
      </c>
      <c r="H464" s="11">
        <v>40.0</v>
      </c>
      <c r="J464" s="19">
        <f t="shared" si="2"/>
        <v>60</v>
      </c>
      <c r="N464" s="11">
        <f t="shared" si="1"/>
        <v>2400</v>
      </c>
      <c r="O464" s="11" t="s">
        <v>490</v>
      </c>
    </row>
    <row r="465">
      <c r="A465" s="9">
        <v>45435.4125</v>
      </c>
      <c r="B465" s="11" t="s">
        <v>491</v>
      </c>
      <c r="C465" s="11">
        <v>10.0</v>
      </c>
      <c r="D465" s="11" t="s">
        <v>42</v>
      </c>
      <c r="E465" s="11" t="s">
        <v>163</v>
      </c>
      <c r="F465" s="4">
        <v>9.216376021798366</v>
      </c>
      <c r="G465" s="11" t="s">
        <v>360</v>
      </c>
      <c r="H465" s="11">
        <v>1.0</v>
      </c>
      <c r="J465" s="19">
        <f t="shared" si="2"/>
        <v>60</v>
      </c>
      <c r="N465" s="11">
        <f t="shared" si="1"/>
        <v>60</v>
      </c>
      <c r="O465" s="11" t="s">
        <v>492</v>
      </c>
    </row>
    <row r="466">
      <c r="A466" s="9">
        <v>45436.635416666664</v>
      </c>
      <c r="B466" s="11" t="s">
        <v>468</v>
      </c>
      <c r="C466" s="11">
        <v>200.0</v>
      </c>
      <c r="D466" s="11" t="s">
        <v>42</v>
      </c>
      <c r="E466" s="11" t="s">
        <v>163</v>
      </c>
      <c r="F466" s="4">
        <v>189.79266702997276</v>
      </c>
      <c r="G466" s="11" t="s">
        <v>43</v>
      </c>
      <c r="H466" s="11">
        <v>8.0</v>
      </c>
      <c r="J466" s="19">
        <f t="shared" si="2"/>
        <v>60</v>
      </c>
      <c r="N466" s="11">
        <f t="shared" si="1"/>
        <v>480</v>
      </c>
      <c r="O466" s="11" t="s">
        <v>493</v>
      </c>
    </row>
    <row r="467">
      <c r="A467" s="9">
        <v>45437.618055555555</v>
      </c>
      <c r="B467" s="11" t="s">
        <v>399</v>
      </c>
      <c r="C467" s="11">
        <v>200.0</v>
      </c>
      <c r="D467" s="11" t="s">
        <v>42</v>
      </c>
      <c r="E467" s="11" t="s">
        <v>163</v>
      </c>
      <c r="F467" s="4">
        <v>189.76239956403273</v>
      </c>
      <c r="G467" s="11" t="s">
        <v>43</v>
      </c>
      <c r="H467" s="11">
        <v>8.0</v>
      </c>
      <c r="J467" s="19">
        <f t="shared" si="2"/>
        <v>60</v>
      </c>
      <c r="N467" s="11">
        <f t="shared" si="1"/>
        <v>480</v>
      </c>
      <c r="O467" s="11" t="s">
        <v>494</v>
      </c>
    </row>
    <row r="468">
      <c r="A468" s="9">
        <v>45439.751388888886</v>
      </c>
      <c r="B468" s="11" t="s">
        <v>374</v>
      </c>
      <c r="C468" s="11">
        <v>200.0</v>
      </c>
      <c r="D468" s="11" t="s">
        <v>42</v>
      </c>
      <c r="E468" s="11" t="s">
        <v>163</v>
      </c>
      <c r="F468" s="4">
        <v>189.76187771117165</v>
      </c>
      <c r="G468" s="11" t="s">
        <v>43</v>
      </c>
      <c r="H468" s="11">
        <v>8.0</v>
      </c>
      <c r="J468" s="19">
        <f t="shared" si="2"/>
        <v>60</v>
      </c>
      <c r="N468" s="11">
        <f t="shared" si="1"/>
        <v>480</v>
      </c>
      <c r="O468" s="11" t="s">
        <v>495</v>
      </c>
    </row>
    <row r="469">
      <c r="A469" s="9">
        <v>45440.71597222222</v>
      </c>
      <c r="B469" s="11" t="s">
        <v>496</v>
      </c>
      <c r="C469" s="11">
        <v>200.0</v>
      </c>
      <c r="D469" s="11" t="s">
        <v>42</v>
      </c>
      <c r="E469" s="11" t="s">
        <v>163</v>
      </c>
      <c r="F469" s="4">
        <v>189.75874659400546</v>
      </c>
      <c r="G469" s="11" t="s">
        <v>43</v>
      </c>
      <c r="H469" s="11">
        <v>8.0</v>
      </c>
      <c r="J469" s="19">
        <f t="shared" si="2"/>
        <v>60</v>
      </c>
      <c r="N469" s="11">
        <f t="shared" si="1"/>
        <v>480</v>
      </c>
      <c r="O469" s="11" t="s">
        <v>497</v>
      </c>
    </row>
    <row r="470">
      <c r="A470" s="9">
        <v>45441.48125</v>
      </c>
      <c r="B470" s="11" t="s">
        <v>393</v>
      </c>
      <c r="C470" s="11">
        <v>200.0</v>
      </c>
      <c r="D470" s="11" t="s">
        <v>42</v>
      </c>
      <c r="E470" s="11" t="s">
        <v>163</v>
      </c>
      <c r="F470" s="4">
        <v>191.8431276294278</v>
      </c>
      <c r="G470" s="11" t="s">
        <v>43</v>
      </c>
      <c r="H470" s="11">
        <v>8.0</v>
      </c>
      <c r="J470" s="19">
        <f t="shared" si="2"/>
        <v>60</v>
      </c>
      <c r="N470" s="11">
        <f t="shared" si="1"/>
        <v>480</v>
      </c>
      <c r="O470" s="11" t="s">
        <v>498</v>
      </c>
    </row>
    <row r="471">
      <c r="A471" s="9">
        <v>45441.638194444444</v>
      </c>
      <c r="B471" s="11" t="s">
        <v>384</v>
      </c>
      <c r="C471" s="11">
        <v>200.0</v>
      </c>
      <c r="D471" s="11" t="s">
        <v>42</v>
      </c>
      <c r="E471" s="11" t="s">
        <v>163</v>
      </c>
      <c r="F471" s="4">
        <v>189.76135585831062</v>
      </c>
      <c r="G471" s="11" t="s">
        <v>43</v>
      </c>
      <c r="H471" s="11">
        <v>8.0</v>
      </c>
      <c r="J471" s="19">
        <f t="shared" si="2"/>
        <v>60</v>
      </c>
      <c r="N471" s="11">
        <f t="shared" si="1"/>
        <v>480</v>
      </c>
      <c r="O471" s="11" t="s">
        <v>499</v>
      </c>
    </row>
    <row r="472">
      <c r="A472" s="9">
        <v>45443.444444444445</v>
      </c>
      <c r="B472" s="11" t="s">
        <v>491</v>
      </c>
      <c r="C472" s="11">
        <v>30.0</v>
      </c>
      <c r="D472" s="11" t="s">
        <v>42</v>
      </c>
      <c r="E472" s="11" t="s">
        <v>163</v>
      </c>
      <c r="F472" s="4">
        <v>28.227923051771114</v>
      </c>
      <c r="G472" s="11" t="s">
        <v>43</v>
      </c>
      <c r="H472" s="11">
        <v>1.0</v>
      </c>
      <c r="J472" s="19">
        <f t="shared" si="2"/>
        <v>60</v>
      </c>
      <c r="N472" s="11">
        <f t="shared" si="1"/>
        <v>60</v>
      </c>
      <c r="O472" s="11" t="s">
        <v>500</v>
      </c>
    </row>
    <row r="473">
      <c r="A473" s="9">
        <v>45443.52847222222</v>
      </c>
      <c r="B473" s="11" t="s">
        <v>389</v>
      </c>
      <c r="C473" s="11">
        <v>116.66</v>
      </c>
      <c r="D473" s="11" t="s">
        <v>42</v>
      </c>
      <c r="E473" s="11" t="s">
        <v>163</v>
      </c>
      <c r="F473" s="4">
        <v>110.5634936239782</v>
      </c>
      <c r="G473" s="11" t="s">
        <v>32</v>
      </c>
      <c r="H473" s="11">
        <v>12.0</v>
      </c>
      <c r="J473" s="19">
        <f t="shared" si="2"/>
        <v>75</v>
      </c>
      <c r="N473" s="11">
        <f t="shared" si="1"/>
        <v>900</v>
      </c>
      <c r="O473" s="11" t="s">
        <v>501</v>
      </c>
    </row>
    <row r="474">
      <c r="A474" s="9">
        <v>45447.5375</v>
      </c>
      <c r="B474" s="11" t="s">
        <v>491</v>
      </c>
      <c r="C474" s="11">
        <v>30.0</v>
      </c>
      <c r="D474" s="11" t="s">
        <v>42</v>
      </c>
      <c r="E474" s="11" t="s">
        <v>163</v>
      </c>
      <c r="F474" s="4">
        <v>28.218480653950955</v>
      </c>
      <c r="G474" s="11" t="s">
        <v>43</v>
      </c>
      <c r="H474" s="11">
        <v>1.0</v>
      </c>
      <c r="J474" s="19">
        <f t="shared" si="2"/>
        <v>60</v>
      </c>
      <c r="N474" s="11">
        <f t="shared" si="1"/>
        <v>60</v>
      </c>
      <c r="O474" s="11" t="s">
        <v>502</v>
      </c>
    </row>
    <row r="475">
      <c r="A475" s="9">
        <v>45448.44930555556</v>
      </c>
      <c r="B475" s="11" t="s">
        <v>395</v>
      </c>
      <c r="C475" s="11">
        <v>20.0</v>
      </c>
      <c r="D475" s="11" t="s">
        <v>42</v>
      </c>
      <c r="E475" s="11" t="s">
        <v>163</v>
      </c>
      <c r="F475" s="4">
        <v>18.716644359673026</v>
      </c>
      <c r="G475" s="11" t="s">
        <v>35</v>
      </c>
      <c r="H475" s="11">
        <v>1.0</v>
      </c>
      <c r="J475" s="19">
        <f t="shared" si="2"/>
        <v>60</v>
      </c>
      <c r="N475" s="11">
        <f t="shared" si="1"/>
        <v>60</v>
      </c>
      <c r="O475" s="11" t="s">
        <v>503</v>
      </c>
    </row>
    <row r="476">
      <c r="A476" s="9">
        <v>45448.56805555556</v>
      </c>
      <c r="B476" s="11" t="s">
        <v>452</v>
      </c>
      <c r="C476" s="11">
        <v>30.0</v>
      </c>
      <c r="D476" s="11" t="s">
        <v>42</v>
      </c>
      <c r="E476" s="11" t="s">
        <v>163</v>
      </c>
      <c r="F476" s="4">
        <v>28.22784542234332</v>
      </c>
      <c r="G476" s="11" t="s">
        <v>43</v>
      </c>
      <c r="H476" s="11">
        <v>1.0</v>
      </c>
      <c r="J476" s="19">
        <f t="shared" si="2"/>
        <v>60</v>
      </c>
      <c r="N476" s="11">
        <f t="shared" si="1"/>
        <v>60</v>
      </c>
      <c r="O476" s="11" t="s">
        <v>504</v>
      </c>
    </row>
    <row r="477">
      <c r="A477" s="9">
        <v>45450.263194444444</v>
      </c>
      <c r="B477" s="11" t="s">
        <v>362</v>
      </c>
      <c r="C477" s="11">
        <v>200.0</v>
      </c>
      <c r="D477" s="11" t="s">
        <v>42</v>
      </c>
      <c r="E477" s="11" t="s">
        <v>163</v>
      </c>
      <c r="F477" s="4">
        <v>189.76135585831062</v>
      </c>
      <c r="G477" s="11" t="s">
        <v>43</v>
      </c>
      <c r="H477" s="11">
        <v>8.0</v>
      </c>
      <c r="J477" s="19">
        <f t="shared" si="2"/>
        <v>60</v>
      </c>
      <c r="N477" s="11">
        <f t="shared" si="1"/>
        <v>480</v>
      </c>
      <c r="O477" s="11" t="s">
        <v>505</v>
      </c>
    </row>
    <row r="478">
      <c r="A478" s="9">
        <v>45450.586805555555</v>
      </c>
      <c r="B478" s="11" t="s">
        <v>462</v>
      </c>
      <c r="C478" s="11">
        <v>20.0</v>
      </c>
      <c r="D478" s="11" t="s">
        <v>42</v>
      </c>
      <c r="E478" s="11" t="s">
        <v>163</v>
      </c>
      <c r="F478" s="4">
        <v>18.716644359673026</v>
      </c>
      <c r="G478" s="11" t="s">
        <v>35</v>
      </c>
      <c r="H478" s="11">
        <v>1.0</v>
      </c>
      <c r="J478" s="19">
        <f t="shared" si="2"/>
        <v>60</v>
      </c>
      <c r="N478" s="11">
        <f t="shared" si="1"/>
        <v>60</v>
      </c>
      <c r="O478" s="11" t="s">
        <v>506</v>
      </c>
    </row>
    <row r="479">
      <c r="A479" s="9">
        <v>45453.62847222222</v>
      </c>
      <c r="B479" s="11" t="s">
        <v>475</v>
      </c>
      <c r="C479" s="11">
        <v>200.0</v>
      </c>
      <c r="D479" s="11" t="s">
        <v>42</v>
      </c>
      <c r="E479" s="11" t="s">
        <v>163</v>
      </c>
      <c r="F479" s="4">
        <v>189.74048174386922</v>
      </c>
      <c r="G479" s="11" t="s">
        <v>43</v>
      </c>
      <c r="H479" s="11">
        <v>8.0</v>
      </c>
      <c r="J479" s="19">
        <f t="shared" si="2"/>
        <v>60</v>
      </c>
      <c r="N479" s="11">
        <f t="shared" si="1"/>
        <v>480</v>
      </c>
      <c r="O479" s="11" t="s">
        <v>507</v>
      </c>
    </row>
    <row r="480">
      <c r="A480" s="9">
        <v>45453.64861111111</v>
      </c>
      <c r="B480" s="11" t="s">
        <v>452</v>
      </c>
      <c r="C480" s="11">
        <v>30.0</v>
      </c>
      <c r="D480" s="11" t="s">
        <v>42</v>
      </c>
      <c r="E480" s="11" t="s">
        <v>163</v>
      </c>
      <c r="F480" s="4">
        <v>28.225283651226157</v>
      </c>
      <c r="G480" s="11" t="s">
        <v>43</v>
      </c>
      <c r="H480" s="11">
        <v>1.0</v>
      </c>
      <c r="J480" s="19">
        <f t="shared" si="2"/>
        <v>60</v>
      </c>
      <c r="N480" s="11">
        <f t="shared" si="1"/>
        <v>60</v>
      </c>
      <c r="O480" s="11" t="s">
        <v>508</v>
      </c>
    </row>
    <row r="481">
      <c r="A481" s="9">
        <v>45454.384722222225</v>
      </c>
      <c r="B481" s="11" t="s">
        <v>491</v>
      </c>
      <c r="C481" s="11">
        <v>30.0</v>
      </c>
      <c r="D481" s="11" t="s">
        <v>42</v>
      </c>
      <c r="E481" s="11" t="s">
        <v>163</v>
      </c>
      <c r="F481" s="4">
        <v>28.218480653950955</v>
      </c>
      <c r="G481" s="11" t="s">
        <v>43</v>
      </c>
      <c r="H481" s="11">
        <v>1.0</v>
      </c>
      <c r="J481" s="19">
        <f t="shared" si="2"/>
        <v>60</v>
      </c>
      <c r="N481" s="11">
        <f t="shared" si="1"/>
        <v>60</v>
      </c>
      <c r="O481" s="11" t="s">
        <v>509</v>
      </c>
    </row>
    <row r="482">
      <c r="A482" s="9">
        <v>45457.14861111111</v>
      </c>
      <c r="B482" s="11" t="s">
        <v>510</v>
      </c>
      <c r="C482" s="11">
        <v>200.0</v>
      </c>
      <c r="D482" s="11" t="s">
        <v>42</v>
      </c>
      <c r="E482" s="11" t="s">
        <v>163</v>
      </c>
      <c r="F482" s="4">
        <v>189.7608340054496</v>
      </c>
      <c r="G482" s="11" t="s">
        <v>43</v>
      </c>
      <c r="H482" s="11">
        <v>8.0</v>
      </c>
      <c r="J482" s="19">
        <f t="shared" si="2"/>
        <v>60</v>
      </c>
      <c r="N482" s="11">
        <f t="shared" si="1"/>
        <v>480</v>
      </c>
      <c r="O482" s="11" t="s">
        <v>511</v>
      </c>
    </row>
    <row r="483">
      <c r="A483" s="9">
        <v>45457.79305555556</v>
      </c>
      <c r="B483" s="11" t="s">
        <v>434</v>
      </c>
      <c r="C483" s="11">
        <v>200.0</v>
      </c>
      <c r="D483" s="11" t="s">
        <v>42</v>
      </c>
      <c r="E483" s="11" t="s">
        <v>163</v>
      </c>
      <c r="F483" s="4">
        <v>189.77909885558586</v>
      </c>
      <c r="G483" s="11" t="s">
        <v>43</v>
      </c>
      <c r="H483" s="11">
        <v>8.0</v>
      </c>
      <c r="J483" s="19">
        <f t="shared" si="2"/>
        <v>60</v>
      </c>
      <c r="N483" s="11">
        <f t="shared" si="1"/>
        <v>480</v>
      </c>
      <c r="O483" s="11" t="s">
        <v>512</v>
      </c>
    </row>
    <row r="484">
      <c r="A484" s="9">
        <v>45459.60902777778</v>
      </c>
      <c r="B484" s="11" t="s">
        <v>462</v>
      </c>
      <c r="C484" s="11">
        <v>20.0</v>
      </c>
      <c r="D484" s="11" t="s">
        <v>42</v>
      </c>
      <c r="E484" s="11" t="s">
        <v>163</v>
      </c>
      <c r="F484" s="4">
        <v>18.7126810626703</v>
      </c>
      <c r="G484" s="11" t="s">
        <v>35</v>
      </c>
      <c r="H484" s="11">
        <v>1.0</v>
      </c>
      <c r="J484" s="19">
        <f t="shared" si="2"/>
        <v>60</v>
      </c>
      <c r="N484" s="11">
        <f t="shared" si="1"/>
        <v>60</v>
      </c>
      <c r="O484" s="11" t="s">
        <v>513</v>
      </c>
    </row>
    <row r="485">
      <c r="A485" s="9">
        <v>45462.222916666666</v>
      </c>
      <c r="B485" s="11" t="s">
        <v>452</v>
      </c>
      <c r="C485" s="11">
        <v>180.0</v>
      </c>
      <c r="D485" s="11" t="s">
        <v>42</v>
      </c>
      <c r="E485" s="11" t="s">
        <v>163</v>
      </c>
      <c r="F485" s="4">
        <v>170.7584165667575</v>
      </c>
      <c r="G485" s="11" t="s">
        <v>43</v>
      </c>
      <c r="H485" s="11">
        <v>1.0</v>
      </c>
      <c r="J485" s="19">
        <f t="shared" si="2"/>
        <v>60</v>
      </c>
      <c r="N485" s="11">
        <f t="shared" si="1"/>
        <v>60</v>
      </c>
      <c r="O485" s="11" t="s">
        <v>514</v>
      </c>
    </row>
    <row r="486">
      <c r="A486" s="9">
        <v>45463.2875</v>
      </c>
      <c r="B486" s="11" t="s">
        <v>353</v>
      </c>
      <c r="C486" s="11">
        <v>200.0</v>
      </c>
      <c r="D486" s="11" t="s">
        <v>42</v>
      </c>
      <c r="E486" s="11" t="s">
        <v>163</v>
      </c>
      <c r="F486" s="4">
        <v>189.7608340054496</v>
      </c>
      <c r="G486" s="11" t="s">
        <v>43</v>
      </c>
      <c r="H486" s="11">
        <v>8.0</v>
      </c>
      <c r="J486" s="19">
        <f t="shared" si="2"/>
        <v>60</v>
      </c>
      <c r="N486" s="11">
        <f t="shared" si="1"/>
        <v>480</v>
      </c>
      <c r="O486" s="11" t="s">
        <v>515</v>
      </c>
    </row>
    <row r="487">
      <c r="A487" s="9">
        <v>45464.51736111111</v>
      </c>
      <c r="B487" s="11" t="s">
        <v>417</v>
      </c>
      <c r="C487" s="11">
        <v>145.0</v>
      </c>
      <c r="D487" s="11" t="s">
        <v>42</v>
      </c>
      <c r="E487" s="11" t="s">
        <v>163</v>
      </c>
      <c r="F487" s="4">
        <v>137.49422348773842</v>
      </c>
      <c r="G487" s="11" t="s">
        <v>35</v>
      </c>
      <c r="H487" s="11">
        <v>8.0</v>
      </c>
      <c r="J487" s="19">
        <f t="shared" si="2"/>
        <v>60</v>
      </c>
      <c r="N487" s="11">
        <f t="shared" si="1"/>
        <v>480</v>
      </c>
      <c r="O487" s="11" t="s">
        <v>516</v>
      </c>
    </row>
    <row r="488">
      <c r="A488" s="9">
        <v>45465.149305555555</v>
      </c>
      <c r="B488" s="11" t="s">
        <v>432</v>
      </c>
      <c r="C488" s="11">
        <v>200.0</v>
      </c>
      <c r="D488" s="11" t="s">
        <v>42</v>
      </c>
      <c r="E488" s="11" t="s">
        <v>163</v>
      </c>
      <c r="F488" s="4">
        <v>189.76135585831062</v>
      </c>
      <c r="G488" s="11" t="s">
        <v>43</v>
      </c>
      <c r="H488" s="11">
        <v>8.0</v>
      </c>
      <c r="J488" s="19">
        <f t="shared" si="2"/>
        <v>60</v>
      </c>
      <c r="N488" s="11">
        <f t="shared" si="1"/>
        <v>480</v>
      </c>
      <c r="O488" s="11" t="s">
        <v>517</v>
      </c>
    </row>
    <row r="489">
      <c r="A489" s="9">
        <v>45465.15</v>
      </c>
      <c r="B489" s="11" t="s">
        <v>430</v>
      </c>
      <c r="C489" s="11">
        <v>200.0</v>
      </c>
      <c r="D489" s="11" t="s">
        <v>42</v>
      </c>
      <c r="E489" s="11" t="s">
        <v>163</v>
      </c>
      <c r="F489" s="4">
        <v>189.76135585831062</v>
      </c>
      <c r="G489" s="11" t="s">
        <v>43</v>
      </c>
      <c r="H489" s="11">
        <v>8.0</v>
      </c>
      <c r="J489" s="19">
        <f t="shared" si="2"/>
        <v>60</v>
      </c>
      <c r="N489" s="11">
        <f t="shared" si="1"/>
        <v>480</v>
      </c>
      <c r="O489" s="11" t="s">
        <v>518</v>
      </c>
    </row>
    <row r="490">
      <c r="A490" s="9">
        <v>45467.16180555556</v>
      </c>
      <c r="B490" s="11" t="s">
        <v>519</v>
      </c>
      <c r="C490" s="11">
        <v>145.0</v>
      </c>
      <c r="D490" s="11" t="s">
        <v>42</v>
      </c>
      <c r="E490" s="11" t="s">
        <v>163</v>
      </c>
      <c r="F490" s="4">
        <v>137.50859204359674</v>
      </c>
      <c r="G490" s="11" t="s">
        <v>35</v>
      </c>
      <c r="H490" s="11">
        <v>8.0</v>
      </c>
      <c r="J490" s="19">
        <f t="shared" si="2"/>
        <v>60</v>
      </c>
      <c r="N490" s="11">
        <f t="shared" si="1"/>
        <v>480</v>
      </c>
      <c r="O490" s="11" t="s">
        <v>520</v>
      </c>
    </row>
    <row r="491">
      <c r="A491" s="9">
        <v>45467.518055555556</v>
      </c>
      <c r="B491" s="11" t="s">
        <v>491</v>
      </c>
      <c r="C491" s="11">
        <v>30.0</v>
      </c>
      <c r="D491" s="11" t="s">
        <v>42</v>
      </c>
      <c r="E491" s="11" t="s">
        <v>163</v>
      </c>
      <c r="F491" s="4">
        <v>28.218480653950955</v>
      </c>
      <c r="G491" s="11" t="s">
        <v>43</v>
      </c>
      <c r="H491" s="11">
        <v>1.0</v>
      </c>
      <c r="J491" s="19">
        <f t="shared" si="2"/>
        <v>60</v>
      </c>
      <c r="N491" s="11">
        <f t="shared" si="1"/>
        <v>60</v>
      </c>
      <c r="O491" s="11" t="s">
        <v>521</v>
      </c>
    </row>
    <row r="492">
      <c r="A492" s="9">
        <v>45467.55347222222</v>
      </c>
      <c r="B492" s="11" t="s">
        <v>522</v>
      </c>
      <c r="C492" s="11">
        <v>145.0</v>
      </c>
      <c r="D492" s="11" t="s">
        <v>42</v>
      </c>
      <c r="E492" s="11" t="s">
        <v>163</v>
      </c>
      <c r="F492" s="4">
        <v>137.49573596730247</v>
      </c>
      <c r="G492" s="11" t="s">
        <v>35</v>
      </c>
      <c r="H492" s="11">
        <v>8.0</v>
      </c>
      <c r="J492" s="19">
        <f t="shared" si="2"/>
        <v>60</v>
      </c>
      <c r="N492" s="11">
        <f t="shared" si="1"/>
        <v>480</v>
      </c>
      <c r="O492" s="11" t="s">
        <v>523</v>
      </c>
    </row>
    <row r="493">
      <c r="A493" s="9">
        <v>45468.115277777775</v>
      </c>
      <c r="B493" s="11" t="s">
        <v>524</v>
      </c>
      <c r="C493" s="11">
        <v>145.0</v>
      </c>
      <c r="D493" s="11" t="s">
        <v>42</v>
      </c>
      <c r="E493" s="11" t="s">
        <v>163</v>
      </c>
      <c r="F493" s="4">
        <v>137.52220435967303</v>
      </c>
      <c r="G493" s="11" t="s">
        <v>35</v>
      </c>
      <c r="H493" s="11">
        <v>8.0</v>
      </c>
      <c r="J493" s="19">
        <f t="shared" si="2"/>
        <v>60</v>
      </c>
      <c r="N493" s="11">
        <f t="shared" si="1"/>
        <v>480</v>
      </c>
      <c r="O493" s="11" t="s">
        <v>525</v>
      </c>
    </row>
    <row r="494">
      <c r="A494" s="9">
        <v>45468.62986111111</v>
      </c>
      <c r="B494" s="11" t="s">
        <v>526</v>
      </c>
      <c r="C494" s="11">
        <v>30.0</v>
      </c>
      <c r="D494" s="11" t="s">
        <v>42</v>
      </c>
      <c r="E494" s="11" t="s">
        <v>163</v>
      </c>
      <c r="F494" s="4">
        <v>28.22776779291553</v>
      </c>
      <c r="G494" s="11" t="s">
        <v>43</v>
      </c>
      <c r="H494" s="11">
        <v>1.0</v>
      </c>
      <c r="J494" s="19">
        <f t="shared" si="2"/>
        <v>60</v>
      </c>
      <c r="N494" s="11">
        <f t="shared" si="1"/>
        <v>60</v>
      </c>
      <c r="O494" s="11" t="s">
        <v>527</v>
      </c>
    </row>
    <row r="495">
      <c r="A495" s="9">
        <v>45469.5875</v>
      </c>
      <c r="B495" s="11" t="s">
        <v>528</v>
      </c>
      <c r="C495" s="11">
        <v>200.0</v>
      </c>
      <c r="D495" s="11" t="s">
        <v>42</v>
      </c>
      <c r="E495" s="11" t="s">
        <v>163</v>
      </c>
      <c r="F495" s="4">
        <v>189.76292141689376</v>
      </c>
      <c r="G495" s="11" t="s">
        <v>43</v>
      </c>
      <c r="H495" s="11">
        <v>8.0</v>
      </c>
      <c r="J495" s="19">
        <f t="shared" si="2"/>
        <v>60</v>
      </c>
      <c r="N495" s="11">
        <f t="shared" si="1"/>
        <v>480</v>
      </c>
      <c r="O495" s="11" t="s">
        <v>529</v>
      </c>
    </row>
    <row r="496">
      <c r="A496" s="9">
        <v>45470.09861111111</v>
      </c>
      <c r="B496" s="11" t="s">
        <v>346</v>
      </c>
      <c r="C496" s="11">
        <v>145.0</v>
      </c>
      <c r="D496" s="11" t="s">
        <v>42</v>
      </c>
      <c r="E496" s="11" t="s">
        <v>163</v>
      </c>
      <c r="F496" s="4">
        <v>137.48061117166213</v>
      </c>
      <c r="G496" s="11" t="s">
        <v>35</v>
      </c>
      <c r="H496" s="11">
        <v>8.0</v>
      </c>
      <c r="J496" s="19">
        <f t="shared" si="2"/>
        <v>60</v>
      </c>
      <c r="N496" s="11">
        <f t="shared" si="1"/>
        <v>480</v>
      </c>
      <c r="O496" s="11" t="s">
        <v>530</v>
      </c>
    </row>
    <row r="497">
      <c r="A497" s="9">
        <v>45470.60138888889</v>
      </c>
      <c r="B497" s="11" t="s">
        <v>531</v>
      </c>
      <c r="C497" s="11">
        <v>200.0</v>
      </c>
      <c r="D497" s="11" t="s">
        <v>42</v>
      </c>
      <c r="E497" s="11" t="s">
        <v>163</v>
      </c>
      <c r="F497" s="4">
        <v>189.77909885558586</v>
      </c>
      <c r="G497" s="11" t="s">
        <v>43</v>
      </c>
      <c r="H497" s="11">
        <v>8.0</v>
      </c>
      <c r="J497" s="19">
        <f t="shared" si="2"/>
        <v>60</v>
      </c>
      <c r="N497" s="11">
        <f t="shared" si="1"/>
        <v>480</v>
      </c>
      <c r="O497" s="11" t="s">
        <v>532</v>
      </c>
    </row>
    <row r="498">
      <c r="A498" s="9">
        <v>45470.66875</v>
      </c>
      <c r="B498" s="11" t="s">
        <v>424</v>
      </c>
      <c r="C498" s="11">
        <v>200.0</v>
      </c>
      <c r="D498" s="11" t="s">
        <v>42</v>
      </c>
      <c r="E498" s="11" t="s">
        <v>163</v>
      </c>
      <c r="F498" s="4">
        <v>189.76135585831062</v>
      </c>
      <c r="G498" s="11" t="s">
        <v>43</v>
      </c>
      <c r="H498" s="11">
        <v>8.0</v>
      </c>
      <c r="J498" s="19">
        <f t="shared" si="2"/>
        <v>60</v>
      </c>
      <c r="N498" s="11">
        <f t="shared" si="1"/>
        <v>480</v>
      </c>
      <c r="O498" s="11" t="s">
        <v>533</v>
      </c>
    </row>
    <row r="499">
      <c r="A499" s="9">
        <v>45471.2125</v>
      </c>
      <c r="B499" s="11" t="s">
        <v>427</v>
      </c>
      <c r="C499" s="11">
        <v>200.0</v>
      </c>
      <c r="D499" s="11" t="s">
        <v>42</v>
      </c>
      <c r="E499" s="11" t="s">
        <v>163</v>
      </c>
      <c r="F499" s="4">
        <v>189.76135585831062</v>
      </c>
      <c r="G499" s="11" t="s">
        <v>43</v>
      </c>
      <c r="H499" s="11">
        <v>8.0</v>
      </c>
      <c r="J499" s="19">
        <f t="shared" si="2"/>
        <v>60</v>
      </c>
      <c r="N499" s="11">
        <f t="shared" si="1"/>
        <v>480</v>
      </c>
      <c r="O499" s="11" t="s">
        <v>534</v>
      </c>
    </row>
    <row r="500">
      <c r="A500" s="9">
        <v>45473.64027777778</v>
      </c>
      <c r="B500" s="11" t="s">
        <v>458</v>
      </c>
      <c r="C500" s="11">
        <v>200.0</v>
      </c>
      <c r="D500" s="11" t="s">
        <v>42</v>
      </c>
      <c r="E500" s="11" t="s">
        <v>163</v>
      </c>
      <c r="F500" s="4">
        <v>189.79788555858312</v>
      </c>
      <c r="G500" s="11" t="s">
        <v>43</v>
      </c>
      <c r="H500" s="11">
        <v>8.0</v>
      </c>
      <c r="J500" s="19">
        <f t="shared" si="2"/>
        <v>60</v>
      </c>
      <c r="N500" s="11">
        <f t="shared" si="1"/>
        <v>480</v>
      </c>
      <c r="O500" s="11" t="s">
        <v>535</v>
      </c>
    </row>
    <row r="501">
      <c r="A501" s="9">
        <v>45474.54615740741</v>
      </c>
      <c r="B501" s="19" t="s">
        <v>353</v>
      </c>
      <c r="C501" s="19">
        <v>120.0</v>
      </c>
      <c r="D501" s="19" t="s">
        <v>42</v>
      </c>
      <c r="E501" s="11" t="s">
        <v>163</v>
      </c>
      <c r="F501" s="4">
        <v>113.74552915531335</v>
      </c>
      <c r="G501" s="19" t="s">
        <v>43</v>
      </c>
      <c r="H501" s="19">
        <v>1.0</v>
      </c>
      <c r="J501" s="19">
        <f t="shared" si="2"/>
        <v>60</v>
      </c>
      <c r="N501" s="11">
        <f t="shared" si="1"/>
        <v>60</v>
      </c>
      <c r="O501" s="19" t="s">
        <v>536</v>
      </c>
    </row>
    <row r="502">
      <c r="A502" s="9">
        <v>45474.57802083333</v>
      </c>
      <c r="B502" s="19" t="s">
        <v>537</v>
      </c>
      <c r="C502" s="19">
        <v>200.0</v>
      </c>
      <c r="D502" s="19" t="s">
        <v>42</v>
      </c>
      <c r="E502" s="11" t="s">
        <v>163</v>
      </c>
      <c r="F502" s="4">
        <v>189.7608340054496</v>
      </c>
      <c r="G502" s="19" t="s">
        <v>43</v>
      </c>
      <c r="H502" s="19">
        <v>8.0</v>
      </c>
      <c r="J502" s="19">
        <f t="shared" si="2"/>
        <v>60</v>
      </c>
      <c r="N502" s="11">
        <f t="shared" si="1"/>
        <v>480</v>
      </c>
      <c r="O502" s="19" t="s">
        <v>538</v>
      </c>
    </row>
    <row r="503">
      <c r="A503" s="9">
        <v>45474.701527777775</v>
      </c>
      <c r="B503" s="19" t="s">
        <v>384</v>
      </c>
      <c r="C503" s="19">
        <v>200.0</v>
      </c>
      <c r="D503" s="19" t="s">
        <v>42</v>
      </c>
      <c r="E503" s="11" t="s">
        <v>163</v>
      </c>
      <c r="F503" s="4">
        <v>189.77909885558586</v>
      </c>
      <c r="G503" s="19" t="s">
        <v>43</v>
      </c>
      <c r="H503" s="19">
        <v>8.0</v>
      </c>
      <c r="J503" s="19">
        <f t="shared" si="2"/>
        <v>60</v>
      </c>
      <c r="N503" s="11">
        <f t="shared" si="1"/>
        <v>480</v>
      </c>
      <c r="O503" s="19" t="s">
        <v>539</v>
      </c>
    </row>
    <row r="504">
      <c r="A504" s="9">
        <v>45474.714849537035</v>
      </c>
      <c r="B504" s="19" t="s">
        <v>447</v>
      </c>
      <c r="C504" s="19">
        <v>145.0</v>
      </c>
      <c r="D504" s="19" t="s">
        <v>42</v>
      </c>
      <c r="E504" s="11" t="s">
        <v>163</v>
      </c>
      <c r="F504" s="4">
        <v>137.50859204359674</v>
      </c>
      <c r="G504" s="19" t="s">
        <v>35</v>
      </c>
      <c r="H504" s="19">
        <v>8.0</v>
      </c>
      <c r="J504" s="19">
        <f t="shared" si="2"/>
        <v>60</v>
      </c>
      <c r="N504" s="11">
        <f t="shared" si="1"/>
        <v>480</v>
      </c>
      <c r="O504" s="19" t="s">
        <v>540</v>
      </c>
    </row>
    <row r="505">
      <c r="A505" s="9">
        <v>45475.964270833334</v>
      </c>
      <c r="B505" s="19" t="s">
        <v>491</v>
      </c>
      <c r="C505" s="19">
        <v>30.0</v>
      </c>
      <c r="D505" s="19" t="s">
        <v>42</v>
      </c>
      <c r="E505" s="11" t="s">
        <v>163</v>
      </c>
      <c r="F505" s="4">
        <v>28.225283651226157</v>
      </c>
      <c r="G505" s="19" t="s">
        <v>43</v>
      </c>
      <c r="H505" s="19">
        <v>1.0</v>
      </c>
      <c r="J505" s="19">
        <f t="shared" si="2"/>
        <v>60</v>
      </c>
      <c r="N505" s="11">
        <f t="shared" si="1"/>
        <v>60</v>
      </c>
      <c r="O505" s="19" t="s">
        <v>541</v>
      </c>
    </row>
    <row r="506">
      <c r="A506" s="9">
        <v>45476.88707175926</v>
      </c>
      <c r="B506" s="19" t="s">
        <v>526</v>
      </c>
      <c r="C506" s="19">
        <v>420.0</v>
      </c>
      <c r="D506" s="19" t="s">
        <v>42</v>
      </c>
      <c r="E506" s="11" t="s">
        <v>163</v>
      </c>
      <c r="F506" s="4">
        <v>398.8117337329701</v>
      </c>
      <c r="G506" s="19" t="s">
        <v>542</v>
      </c>
      <c r="H506" s="19">
        <v>1.0</v>
      </c>
      <c r="J506" s="19">
        <f t="shared" si="2"/>
        <v>60</v>
      </c>
      <c r="N506" s="11">
        <f t="shared" si="1"/>
        <v>60</v>
      </c>
      <c r="O506" s="19" t="s">
        <v>543</v>
      </c>
    </row>
    <row r="507">
      <c r="A507" s="9">
        <v>45478.62693287037</v>
      </c>
      <c r="B507" s="19" t="s">
        <v>411</v>
      </c>
      <c r="C507" s="19">
        <v>200.0</v>
      </c>
      <c r="D507" s="19" t="s">
        <v>42</v>
      </c>
      <c r="E507" s="11" t="s">
        <v>163</v>
      </c>
      <c r="F507" s="4">
        <v>189.76135585831062</v>
      </c>
      <c r="G507" s="19" t="s">
        <v>43</v>
      </c>
      <c r="H507" s="19">
        <v>8.0</v>
      </c>
      <c r="J507" s="19">
        <f t="shared" si="2"/>
        <v>60</v>
      </c>
      <c r="N507" s="11">
        <f t="shared" si="1"/>
        <v>480</v>
      </c>
      <c r="O507" s="19" t="s">
        <v>544</v>
      </c>
    </row>
    <row r="508">
      <c r="A508" s="9">
        <v>45480.18035879629</v>
      </c>
      <c r="B508" s="19" t="s">
        <v>370</v>
      </c>
      <c r="C508" s="19">
        <v>200.0</v>
      </c>
      <c r="D508" s="19" t="s">
        <v>42</v>
      </c>
      <c r="E508" s="11" t="s">
        <v>163</v>
      </c>
      <c r="F508" s="4">
        <v>189.79788555858312</v>
      </c>
      <c r="G508" s="19" t="s">
        <v>43</v>
      </c>
      <c r="H508" s="19">
        <v>8.0</v>
      </c>
      <c r="J508" s="19">
        <f t="shared" si="2"/>
        <v>60</v>
      </c>
      <c r="N508" s="11">
        <f t="shared" si="1"/>
        <v>480</v>
      </c>
      <c r="O508" s="19" t="s">
        <v>545</v>
      </c>
    </row>
    <row r="509">
      <c r="A509" s="9">
        <v>45482.594201388885</v>
      </c>
      <c r="B509" s="19" t="s">
        <v>334</v>
      </c>
      <c r="C509" s="19">
        <v>200.0</v>
      </c>
      <c r="D509" s="19" t="s">
        <v>42</v>
      </c>
      <c r="E509" s="11" t="s">
        <v>163</v>
      </c>
      <c r="F509" s="4">
        <v>189.77909885558586</v>
      </c>
      <c r="G509" s="19" t="s">
        <v>43</v>
      </c>
      <c r="H509" s="19">
        <v>8.0</v>
      </c>
      <c r="J509" s="19">
        <f t="shared" si="2"/>
        <v>60</v>
      </c>
      <c r="N509" s="11">
        <f t="shared" si="1"/>
        <v>480</v>
      </c>
      <c r="O509" s="19" t="s">
        <v>546</v>
      </c>
    </row>
    <row r="510">
      <c r="A510" s="9">
        <v>45482.87814814815</v>
      </c>
      <c r="B510" s="19" t="s">
        <v>419</v>
      </c>
      <c r="C510" s="19">
        <v>30.0</v>
      </c>
      <c r="D510" s="19" t="s">
        <v>42</v>
      </c>
      <c r="E510" s="11" t="s">
        <v>163</v>
      </c>
      <c r="F510" s="4">
        <v>28.23102822888283</v>
      </c>
      <c r="G510" s="19" t="s">
        <v>43</v>
      </c>
      <c r="H510" s="19">
        <v>1.0</v>
      </c>
      <c r="J510" s="19">
        <f t="shared" si="2"/>
        <v>60</v>
      </c>
      <c r="N510" s="11">
        <f t="shared" si="1"/>
        <v>60</v>
      </c>
      <c r="O510" s="19" t="s">
        <v>547</v>
      </c>
    </row>
    <row r="511">
      <c r="A511" s="9">
        <v>45483.36145833333</v>
      </c>
      <c r="B511" s="19" t="s">
        <v>548</v>
      </c>
      <c r="C511" s="19">
        <v>30.0</v>
      </c>
      <c r="D511" s="19" t="s">
        <v>42</v>
      </c>
      <c r="E511" s="11" t="s">
        <v>163</v>
      </c>
      <c r="F511" s="4">
        <v>28.225283651226157</v>
      </c>
      <c r="G511" s="19" t="s">
        <v>43</v>
      </c>
      <c r="H511" s="19">
        <v>1.0</v>
      </c>
      <c r="J511" s="19">
        <f t="shared" si="2"/>
        <v>60</v>
      </c>
      <c r="N511" s="11">
        <f t="shared" si="1"/>
        <v>60</v>
      </c>
      <c r="O511" s="19" t="s">
        <v>549</v>
      </c>
    </row>
    <row r="512">
      <c r="A512" s="9">
        <v>45483.50739583333</v>
      </c>
      <c r="B512" s="19" t="s">
        <v>419</v>
      </c>
      <c r="C512" s="19">
        <v>30.0</v>
      </c>
      <c r="D512" s="19" t="s">
        <v>42</v>
      </c>
      <c r="E512" s="11" t="s">
        <v>163</v>
      </c>
      <c r="F512" s="4">
        <v>28.22800068119891</v>
      </c>
      <c r="G512" s="19" t="s">
        <v>43</v>
      </c>
      <c r="H512" s="19">
        <v>1.0</v>
      </c>
      <c r="J512" s="19">
        <f t="shared" si="2"/>
        <v>60</v>
      </c>
      <c r="N512" s="11">
        <f t="shared" si="1"/>
        <v>60</v>
      </c>
      <c r="O512" s="19" t="s">
        <v>550</v>
      </c>
    </row>
    <row r="513">
      <c r="A513" s="9">
        <v>45485.507106481484</v>
      </c>
      <c r="B513" s="19" t="s">
        <v>551</v>
      </c>
      <c r="C513" s="19">
        <v>200.0</v>
      </c>
      <c r="D513" s="19" t="s">
        <v>42</v>
      </c>
      <c r="E513" s="11" t="s">
        <v>163</v>
      </c>
      <c r="F513" s="4">
        <v>189.7582247411444</v>
      </c>
      <c r="G513" s="19" t="s">
        <v>43</v>
      </c>
      <c r="H513" s="19">
        <v>8.0</v>
      </c>
      <c r="J513" s="19">
        <f t="shared" si="2"/>
        <v>60</v>
      </c>
      <c r="N513" s="11">
        <f t="shared" si="1"/>
        <v>480</v>
      </c>
      <c r="O513" s="19" t="s">
        <v>552</v>
      </c>
    </row>
    <row r="514">
      <c r="A514" s="9">
        <v>45488.20884259259</v>
      </c>
      <c r="B514" s="19" t="s">
        <v>475</v>
      </c>
      <c r="C514" s="19">
        <v>200.0</v>
      </c>
      <c r="D514" s="19" t="s">
        <v>42</v>
      </c>
      <c r="E514" s="11" t="s">
        <v>163</v>
      </c>
      <c r="F514" s="4">
        <v>189.75718103542235</v>
      </c>
      <c r="G514" s="19" t="s">
        <v>43</v>
      </c>
      <c r="H514" s="19">
        <v>8.0</v>
      </c>
      <c r="J514" s="19">
        <f t="shared" si="2"/>
        <v>60</v>
      </c>
      <c r="N514" s="11">
        <f t="shared" si="1"/>
        <v>480</v>
      </c>
      <c r="O514" s="19" t="s">
        <v>553</v>
      </c>
    </row>
    <row r="515">
      <c r="A515" s="9">
        <v>45488.70931712963</v>
      </c>
      <c r="B515" s="19" t="s">
        <v>468</v>
      </c>
      <c r="C515" s="19">
        <v>200.0</v>
      </c>
      <c r="D515" s="19" t="s">
        <v>42</v>
      </c>
      <c r="E515" s="11" t="s">
        <v>163</v>
      </c>
      <c r="F515" s="4">
        <v>189.77909885558586</v>
      </c>
      <c r="G515" s="19" t="s">
        <v>43</v>
      </c>
      <c r="H515" s="19">
        <v>8.0</v>
      </c>
      <c r="J515" s="19">
        <f t="shared" si="2"/>
        <v>60</v>
      </c>
      <c r="N515" s="11">
        <f t="shared" si="1"/>
        <v>480</v>
      </c>
      <c r="O515" s="19" t="s">
        <v>554</v>
      </c>
    </row>
    <row r="516">
      <c r="A516" s="9">
        <v>45490.39423611111</v>
      </c>
      <c r="B516" s="19" t="s">
        <v>555</v>
      </c>
      <c r="C516" s="19">
        <v>200.0</v>
      </c>
      <c r="D516" s="19" t="s">
        <v>42</v>
      </c>
      <c r="E516" s="11" t="s">
        <v>163</v>
      </c>
      <c r="F516" s="4">
        <v>189.7430910081744</v>
      </c>
      <c r="G516" s="19" t="s">
        <v>43</v>
      </c>
      <c r="H516" s="19">
        <v>8.0</v>
      </c>
      <c r="J516" s="19">
        <f t="shared" si="2"/>
        <v>60</v>
      </c>
      <c r="N516" s="11">
        <f t="shared" si="1"/>
        <v>480</v>
      </c>
      <c r="O516" s="19" t="s">
        <v>556</v>
      </c>
    </row>
    <row r="517">
      <c r="A517" s="9">
        <v>45490.42019675926</v>
      </c>
      <c r="B517" s="19" t="s">
        <v>491</v>
      </c>
      <c r="C517" s="19">
        <v>30.0</v>
      </c>
      <c r="D517" s="19" t="s">
        <v>42</v>
      </c>
      <c r="E517" s="11" t="s">
        <v>163</v>
      </c>
      <c r="F517" s="4">
        <v>28.228311198910077</v>
      </c>
      <c r="G517" s="19" t="s">
        <v>43</v>
      </c>
      <c r="H517" s="19">
        <v>1.0</v>
      </c>
      <c r="J517" s="19">
        <f t="shared" si="2"/>
        <v>60</v>
      </c>
      <c r="N517" s="11">
        <f t="shared" si="1"/>
        <v>60</v>
      </c>
      <c r="O517" s="19" t="s">
        <v>557</v>
      </c>
    </row>
    <row r="518">
      <c r="A518" s="9">
        <v>45491.70177083334</v>
      </c>
      <c r="B518" s="19" t="s">
        <v>395</v>
      </c>
      <c r="C518" s="19">
        <v>20.0</v>
      </c>
      <c r="D518" s="19" t="s">
        <v>42</v>
      </c>
      <c r="E518" s="11" t="s">
        <v>163</v>
      </c>
      <c r="F518" s="4">
        <v>18.71829144414169</v>
      </c>
      <c r="G518" s="19" t="s">
        <v>35</v>
      </c>
      <c r="H518" s="19">
        <v>1.0</v>
      </c>
      <c r="J518" s="19">
        <f t="shared" si="2"/>
        <v>60</v>
      </c>
      <c r="N518" s="11">
        <f t="shared" si="1"/>
        <v>60</v>
      </c>
      <c r="O518" s="19" t="s">
        <v>558</v>
      </c>
    </row>
    <row r="519">
      <c r="A519" s="9">
        <v>45492.66079861111</v>
      </c>
      <c r="B519" s="19" t="s">
        <v>462</v>
      </c>
      <c r="C519" s="19">
        <v>20.0</v>
      </c>
      <c r="D519" s="19" t="s">
        <v>42</v>
      </c>
      <c r="E519" s="11" t="s">
        <v>163</v>
      </c>
      <c r="F519" s="4">
        <v>18.72014441416894</v>
      </c>
      <c r="G519" s="19" t="s">
        <v>35</v>
      </c>
      <c r="H519" s="19">
        <v>1.0</v>
      </c>
      <c r="J519" s="19">
        <f t="shared" si="2"/>
        <v>60</v>
      </c>
      <c r="N519" s="11">
        <f t="shared" si="1"/>
        <v>60</v>
      </c>
      <c r="O519" s="19" t="s">
        <v>559</v>
      </c>
    </row>
    <row r="520">
      <c r="A520" s="9">
        <v>45495.03858796296</v>
      </c>
      <c r="B520" s="19" t="s">
        <v>359</v>
      </c>
      <c r="C520" s="19">
        <v>200.0</v>
      </c>
      <c r="D520" s="19" t="s">
        <v>42</v>
      </c>
      <c r="E520" s="11" t="s">
        <v>163</v>
      </c>
      <c r="F520" s="4">
        <v>189.77909885558586</v>
      </c>
      <c r="G520" s="19" t="s">
        <v>43</v>
      </c>
      <c r="H520" s="19">
        <v>8.0</v>
      </c>
      <c r="J520" s="19">
        <f t="shared" si="2"/>
        <v>60</v>
      </c>
      <c r="N520" s="11">
        <f t="shared" si="1"/>
        <v>480</v>
      </c>
      <c r="O520" s="19" t="s">
        <v>560</v>
      </c>
    </row>
    <row r="521">
      <c r="A521" s="9">
        <v>45497.454930555556</v>
      </c>
      <c r="B521" s="19" t="s">
        <v>491</v>
      </c>
      <c r="C521" s="19">
        <v>30.0</v>
      </c>
      <c r="D521" s="19" t="s">
        <v>42</v>
      </c>
      <c r="E521" s="11" t="s">
        <v>163</v>
      </c>
      <c r="F521" s="4">
        <v>28.22784542234332</v>
      </c>
      <c r="G521" s="19" t="s">
        <v>43</v>
      </c>
      <c r="H521" s="19">
        <v>1.0</v>
      </c>
      <c r="J521" s="19">
        <f t="shared" si="2"/>
        <v>60</v>
      </c>
      <c r="N521" s="11">
        <f t="shared" si="1"/>
        <v>60</v>
      </c>
      <c r="O521" s="19" t="s">
        <v>561</v>
      </c>
    </row>
    <row r="522">
      <c r="A522" s="9">
        <v>45497.71166666667</v>
      </c>
      <c r="B522" s="19" t="s">
        <v>562</v>
      </c>
      <c r="C522" s="19">
        <v>183.33</v>
      </c>
      <c r="D522" s="19" t="s">
        <v>42</v>
      </c>
      <c r="E522" s="11" t="s">
        <v>163</v>
      </c>
      <c r="F522" s="4">
        <v>173.91579359673025</v>
      </c>
      <c r="G522" s="19" t="s">
        <v>32</v>
      </c>
      <c r="H522" s="19">
        <v>12.0</v>
      </c>
      <c r="J522" s="19">
        <f t="shared" si="2"/>
        <v>75</v>
      </c>
      <c r="N522" s="11">
        <f t="shared" si="1"/>
        <v>900</v>
      </c>
      <c r="O522" s="19" t="s">
        <v>563</v>
      </c>
    </row>
    <row r="523">
      <c r="A523" s="9">
        <v>45497.716157407405</v>
      </c>
      <c r="B523" s="19" t="s">
        <v>562</v>
      </c>
      <c r="C523" s="19">
        <v>200.0</v>
      </c>
      <c r="D523" s="19" t="s">
        <v>42</v>
      </c>
      <c r="E523" s="11" t="s">
        <v>163</v>
      </c>
      <c r="F523" s="4">
        <v>189.75874659400546</v>
      </c>
      <c r="G523" s="19" t="s">
        <v>43</v>
      </c>
      <c r="H523" s="19">
        <v>8.0</v>
      </c>
      <c r="J523" s="19">
        <f t="shared" si="2"/>
        <v>60</v>
      </c>
      <c r="N523" s="11">
        <f t="shared" si="1"/>
        <v>480</v>
      </c>
      <c r="O523" s="19" t="s">
        <v>564</v>
      </c>
    </row>
    <row r="524">
      <c r="A524" s="9">
        <v>45497.90324074074</v>
      </c>
      <c r="B524" s="19" t="s">
        <v>382</v>
      </c>
      <c r="C524" s="19">
        <v>200.0</v>
      </c>
      <c r="D524" s="19" t="s">
        <v>42</v>
      </c>
      <c r="E524" s="11" t="s">
        <v>163</v>
      </c>
      <c r="F524" s="4">
        <v>189.74048174386922</v>
      </c>
      <c r="G524" s="19" t="s">
        <v>32</v>
      </c>
      <c r="H524" s="19">
        <v>12.0</v>
      </c>
      <c r="J524" s="19">
        <f t="shared" si="2"/>
        <v>75</v>
      </c>
      <c r="N524" s="11">
        <f t="shared" si="1"/>
        <v>900</v>
      </c>
      <c r="O524" s="19" t="s">
        <v>565</v>
      </c>
    </row>
    <row r="525">
      <c r="A525" s="9">
        <v>45505.65418981481</v>
      </c>
      <c r="B525" s="11" t="s">
        <v>566</v>
      </c>
      <c r="C525" s="11">
        <v>120.0</v>
      </c>
      <c r="D525" s="11" t="s">
        <v>42</v>
      </c>
      <c r="E525" s="11" t="s">
        <v>163</v>
      </c>
      <c r="F525" s="4">
        <v>113.76773841961854</v>
      </c>
      <c r="G525" s="11" t="s">
        <v>43</v>
      </c>
      <c r="H525" s="11">
        <v>1.0</v>
      </c>
      <c r="J525" s="19">
        <f t="shared" si="2"/>
        <v>60</v>
      </c>
      <c r="N525" s="11">
        <f t="shared" si="1"/>
        <v>60</v>
      </c>
      <c r="O525" s="11" t="s">
        <v>567</v>
      </c>
    </row>
    <row r="526">
      <c r="A526" s="9">
        <v>45506.61628472222</v>
      </c>
      <c r="B526" s="11" t="s">
        <v>568</v>
      </c>
      <c r="C526" s="11">
        <v>200.0</v>
      </c>
      <c r="D526" s="11" t="s">
        <v>42</v>
      </c>
      <c r="E526" s="11" t="s">
        <v>163</v>
      </c>
      <c r="F526" s="4">
        <v>189.77909885558586</v>
      </c>
      <c r="G526" s="11" t="s">
        <v>43</v>
      </c>
      <c r="H526" s="11">
        <v>8.0</v>
      </c>
      <c r="J526" s="19">
        <f t="shared" si="2"/>
        <v>60</v>
      </c>
      <c r="N526" s="11">
        <f t="shared" si="1"/>
        <v>480</v>
      </c>
      <c r="O526" s="11" t="s">
        <v>569</v>
      </c>
    </row>
    <row r="527">
      <c r="A527" s="9">
        <v>45507.54960648148</v>
      </c>
      <c r="B527" s="11" t="s">
        <v>399</v>
      </c>
      <c r="C527" s="11">
        <v>200.0</v>
      </c>
      <c r="D527" s="11" t="s">
        <v>42</v>
      </c>
      <c r="E527" s="11" t="s">
        <v>163</v>
      </c>
      <c r="F527" s="4">
        <v>189.75874659400546</v>
      </c>
      <c r="G527" s="11" t="s">
        <v>43</v>
      </c>
      <c r="H527" s="11">
        <v>8.0</v>
      </c>
      <c r="J527" s="19">
        <f t="shared" si="2"/>
        <v>60</v>
      </c>
      <c r="N527" s="11">
        <f t="shared" si="1"/>
        <v>480</v>
      </c>
      <c r="O527" s="11" t="s">
        <v>570</v>
      </c>
    </row>
    <row r="528">
      <c r="A528" s="9">
        <v>45509.76304398148</v>
      </c>
      <c r="B528" s="11" t="s">
        <v>571</v>
      </c>
      <c r="C528" s="11">
        <v>200.0</v>
      </c>
      <c r="D528" s="11" t="s">
        <v>42</v>
      </c>
      <c r="E528" s="11" t="s">
        <v>163</v>
      </c>
      <c r="F528" s="4">
        <v>189.76135585831062</v>
      </c>
      <c r="G528" s="11" t="s">
        <v>43</v>
      </c>
      <c r="H528" s="11">
        <v>8.0</v>
      </c>
      <c r="J528" s="19">
        <f t="shared" si="2"/>
        <v>60</v>
      </c>
      <c r="N528" s="11">
        <f t="shared" si="1"/>
        <v>480</v>
      </c>
      <c r="O528" s="11" t="s">
        <v>572</v>
      </c>
    </row>
    <row r="529">
      <c r="A529" s="9">
        <v>45510.51667824074</v>
      </c>
      <c r="B529" s="11" t="s">
        <v>419</v>
      </c>
      <c r="C529" s="11">
        <v>20.0</v>
      </c>
      <c r="D529" s="11" t="s">
        <v>42</v>
      </c>
      <c r="E529" s="11" t="s">
        <v>163</v>
      </c>
      <c r="F529" s="4">
        <v>18.716438474114444</v>
      </c>
      <c r="G529" s="11" t="s">
        <v>35</v>
      </c>
      <c r="H529" s="11">
        <v>1.0</v>
      </c>
      <c r="J529" s="19">
        <f t="shared" si="2"/>
        <v>60</v>
      </c>
      <c r="N529" s="11">
        <f t="shared" si="1"/>
        <v>60</v>
      </c>
      <c r="O529" s="11" t="s">
        <v>573</v>
      </c>
    </row>
    <row r="530">
      <c r="A530" s="9">
        <v>45510.9509837963</v>
      </c>
      <c r="B530" s="11" t="s">
        <v>387</v>
      </c>
      <c r="C530" s="11">
        <v>83.26</v>
      </c>
      <c r="D530" s="11" t="s">
        <v>42</v>
      </c>
      <c r="E530" s="11" t="s">
        <v>163</v>
      </c>
      <c r="F530" s="4">
        <v>78.8283514986376</v>
      </c>
      <c r="G530" s="11" t="s">
        <v>32</v>
      </c>
      <c r="H530" s="11">
        <v>12.0</v>
      </c>
      <c r="J530" s="19">
        <f t="shared" si="2"/>
        <v>75</v>
      </c>
      <c r="N530" s="11">
        <f t="shared" si="1"/>
        <v>900</v>
      </c>
      <c r="O530" s="11" t="s">
        <v>574</v>
      </c>
    </row>
    <row r="531">
      <c r="A531" s="9">
        <v>45514.769791666666</v>
      </c>
      <c r="B531" s="11" t="s">
        <v>575</v>
      </c>
      <c r="C531" s="11">
        <v>20.0</v>
      </c>
      <c r="D531" s="11" t="s">
        <v>42</v>
      </c>
      <c r="E531" s="11" t="s">
        <v>163</v>
      </c>
      <c r="F531" s="4">
        <v>18.92070980926431</v>
      </c>
      <c r="G531" s="11" t="s">
        <v>35</v>
      </c>
      <c r="H531" s="11">
        <v>1.0</v>
      </c>
      <c r="J531" s="19">
        <f t="shared" si="2"/>
        <v>60</v>
      </c>
      <c r="N531" s="11">
        <f t="shared" si="1"/>
        <v>60</v>
      </c>
      <c r="O531" s="11" t="s">
        <v>576</v>
      </c>
    </row>
    <row r="532">
      <c r="A532" s="9">
        <v>45515.771678240744</v>
      </c>
      <c r="B532" s="11" t="s">
        <v>368</v>
      </c>
      <c r="C532" s="11">
        <v>200.0</v>
      </c>
      <c r="D532" s="11" t="s">
        <v>42</v>
      </c>
      <c r="E532" s="11" t="s">
        <v>163</v>
      </c>
      <c r="F532" s="4">
        <v>189.77909885558586</v>
      </c>
      <c r="G532" s="11" t="s">
        <v>43</v>
      </c>
      <c r="H532" s="11">
        <v>8.0</v>
      </c>
      <c r="J532" s="19">
        <f t="shared" si="2"/>
        <v>60</v>
      </c>
      <c r="N532" s="11">
        <f t="shared" si="1"/>
        <v>480</v>
      </c>
      <c r="O532" s="11" t="s">
        <v>577</v>
      </c>
    </row>
    <row r="533">
      <c r="A533" s="9">
        <v>45517.43837962963</v>
      </c>
      <c r="B533" s="11" t="s">
        <v>419</v>
      </c>
      <c r="C533" s="11">
        <v>20.0</v>
      </c>
      <c r="D533" s="11" t="s">
        <v>42</v>
      </c>
      <c r="E533" s="11" t="s">
        <v>163</v>
      </c>
      <c r="F533" s="4">
        <v>18.71633553133515</v>
      </c>
      <c r="G533" s="11" t="s">
        <v>35</v>
      </c>
      <c r="H533" s="11">
        <v>1.0</v>
      </c>
      <c r="J533" s="19">
        <f t="shared" si="2"/>
        <v>60</v>
      </c>
      <c r="N533" s="11">
        <f t="shared" si="1"/>
        <v>60</v>
      </c>
      <c r="O533" s="11" t="s">
        <v>578</v>
      </c>
    </row>
    <row r="534">
      <c r="A534" s="9">
        <v>45519.49790509259</v>
      </c>
      <c r="B534" s="11" t="s">
        <v>579</v>
      </c>
      <c r="C534" s="11">
        <v>850.0</v>
      </c>
      <c r="D534" s="11" t="s">
        <v>42</v>
      </c>
      <c r="E534" s="11" t="s">
        <v>163</v>
      </c>
      <c r="F534" s="4">
        <v>807.3993673024522</v>
      </c>
      <c r="G534" s="11" t="s">
        <v>43</v>
      </c>
      <c r="H534" s="11">
        <v>40.0</v>
      </c>
      <c r="J534" s="19">
        <f t="shared" si="2"/>
        <v>60</v>
      </c>
      <c r="N534" s="11">
        <f t="shared" si="1"/>
        <v>2400</v>
      </c>
      <c r="O534" s="11" t="s">
        <v>580</v>
      </c>
    </row>
    <row r="535">
      <c r="A535" s="9">
        <v>45520.668344907404</v>
      </c>
      <c r="B535" s="11" t="s">
        <v>551</v>
      </c>
      <c r="C535" s="11">
        <v>200.0</v>
      </c>
      <c r="D535" s="11" t="s">
        <v>42</v>
      </c>
      <c r="E535" s="11" t="s">
        <v>163</v>
      </c>
      <c r="F535" s="4">
        <v>189.75718103542235</v>
      </c>
      <c r="G535" s="11" t="s">
        <v>43</v>
      </c>
      <c r="H535" s="11">
        <v>8.0</v>
      </c>
      <c r="J535" s="19">
        <f t="shared" si="2"/>
        <v>60</v>
      </c>
      <c r="N535" s="11">
        <f t="shared" si="1"/>
        <v>480</v>
      </c>
      <c r="O535" s="11" t="s">
        <v>581</v>
      </c>
    </row>
    <row r="536">
      <c r="A536" s="9">
        <v>45522.568506944444</v>
      </c>
      <c r="B536" s="11" t="s">
        <v>575</v>
      </c>
      <c r="C536" s="11">
        <v>145.0</v>
      </c>
      <c r="D536" s="11" t="s">
        <v>42</v>
      </c>
      <c r="E536" s="11" t="s">
        <v>163</v>
      </c>
      <c r="F536" s="4">
        <v>139.00977520435967</v>
      </c>
      <c r="G536" s="11" t="s">
        <v>35</v>
      </c>
      <c r="H536" s="11">
        <v>8.0</v>
      </c>
      <c r="J536" s="19">
        <f t="shared" si="2"/>
        <v>60</v>
      </c>
      <c r="N536" s="11">
        <f t="shared" si="1"/>
        <v>480</v>
      </c>
      <c r="O536" s="11" t="s">
        <v>582</v>
      </c>
    </row>
    <row r="537">
      <c r="A537" s="9">
        <v>45527.054236111115</v>
      </c>
      <c r="B537" s="11" t="s">
        <v>475</v>
      </c>
      <c r="C537" s="11">
        <v>200.0</v>
      </c>
      <c r="D537" s="11" t="s">
        <v>42</v>
      </c>
      <c r="E537" s="11" t="s">
        <v>163</v>
      </c>
      <c r="F537" s="4">
        <v>189.75665918256135</v>
      </c>
      <c r="G537" s="11" t="s">
        <v>43</v>
      </c>
      <c r="H537" s="11">
        <v>8.0</v>
      </c>
      <c r="J537" s="19">
        <f t="shared" si="2"/>
        <v>60</v>
      </c>
      <c r="N537" s="11">
        <f t="shared" si="1"/>
        <v>480</v>
      </c>
      <c r="O537" s="11" t="s">
        <v>583</v>
      </c>
    </row>
    <row r="538">
      <c r="A538" s="9">
        <v>45528.47730324074</v>
      </c>
      <c r="B538" s="11" t="s">
        <v>584</v>
      </c>
      <c r="C538" s="11">
        <v>20.0</v>
      </c>
      <c r="D538" s="11" t="s">
        <v>42</v>
      </c>
      <c r="E538" s="11" t="s">
        <v>163</v>
      </c>
      <c r="F538" s="4">
        <v>18.719578228882835</v>
      </c>
      <c r="G538" s="11" t="s">
        <v>35</v>
      </c>
      <c r="H538" s="11">
        <v>1.0</v>
      </c>
      <c r="J538" s="19">
        <f t="shared" si="2"/>
        <v>60</v>
      </c>
      <c r="N538" s="11">
        <f t="shared" si="1"/>
        <v>60</v>
      </c>
      <c r="O538" s="11" t="s">
        <v>585</v>
      </c>
    </row>
    <row r="539">
      <c r="A539" s="9">
        <v>45528.59591435185</v>
      </c>
      <c r="B539" s="11" t="s">
        <v>586</v>
      </c>
      <c r="C539" s="11">
        <v>850.0</v>
      </c>
      <c r="D539" s="11" t="s">
        <v>42</v>
      </c>
      <c r="E539" s="11" t="s">
        <v>163</v>
      </c>
      <c r="F539" s="4">
        <v>807.558046294278</v>
      </c>
      <c r="G539" s="11" t="s">
        <v>43</v>
      </c>
      <c r="H539" s="11">
        <v>40.0</v>
      </c>
      <c r="J539" s="19">
        <f t="shared" si="2"/>
        <v>60</v>
      </c>
      <c r="N539" s="11">
        <f t="shared" si="1"/>
        <v>2400</v>
      </c>
      <c r="O539" s="11" t="s">
        <v>587</v>
      </c>
    </row>
    <row r="540">
      <c r="A540" s="9">
        <v>45529.76511574074</v>
      </c>
      <c r="B540" s="11" t="s">
        <v>357</v>
      </c>
      <c r="C540" s="11">
        <v>145.0</v>
      </c>
      <c r="D540" s="11" t="s">
        <v>42</v>
      </c>
      <c r="E540" s="11" t="s">
        <v>163</v>
      </c>
      <c r="F540" s="4">
        <v>137.4919547683924</v>
      </c>
      <c r="G540" s="11" t="s">
        <v>35</v>
      </c>
      <c r="H540" s="11">
        <v>8.0</v>
      </c>
      <c r="J540" s="19">
        <f t="shared" si="2"/>
        <v>60</v>
      </c>
      <c r="N540" s="11">
        <f t="shared" si="1"/>
        <v>480</v>
      </c>
      <c r="O540" s="11" t="s">
        <v>588</v>
      </c>
    </row>
    <row r="541">
      <c r="A541" s="9">
        <v>45530.170694444445</v>
      </c>
      <c r="B541" s="11" t="s">
        <v>393</v>
      </c>
      <c r="C541" s="11">
        <v>145.0</v>
      </c>
      <c r="D541" s="11" t="s">
        <v>42</v>
      </c>
      <c r="E541" s="11" t="s">
        <v>163</v>
      </c>
      <c r="F541" s="4">
        <v>137.4919547683924</v>
      </c>
      <c r="G541" s="11" t="s">
        <v>35</v>
      </c>
      <c r="H541" s="11">
        <v>8.0</v>
      </c>
      <c r="J541" s="19">
        <f t="shared" si="2"/>
        <v>60</v>
      </c>
      <c r="N541" s="11">
        <f t="shared" si="1"/>
        <v>480</v>
      </c>
      <c r="O541" s="11" t="s">
        <v>589</v>
      </c>
    </row>
    <row r="542">
      <c r="A542" s="9">
        <v>45530.175520833334</v>
      </c>
      <c r="B542" s="11" t="s">
        <v>432</v>
      </c>
      <c r="C542" s="11">
        <v>200.0</v>
      </c>
      <c r="D542" s="11" t="s">
        <v>42</v>
      </c>
      <c r="E542" s="11" t="s">
        <v>163</v>
      </c>
      <c r="F542" s="4">
        <v>189.7561373297003</v>
      </c>
      <c r="G542" s="11" t="s">
        <v>43</v>
      </c>
      <c r="H542" s="11">
        <v>8.0</v>
      </c>
      <c r="J542" s="19">
        <f t="shared" si="2"/>
        <v>60</v>
      </c>
      <c r="N542" s="11">
        <f t="shared" si="1"/>
        <v>480</v>
      </c>
      <c r="O542" s="11" t="s">
        <v>590</v>
      </c>
    </row>
    <row r="543">
      <c r="A543" s="9">
        <v>45531.56993055555</v>
      </c>
      <c r="B543" s="11" t="s">
        <v>591</v>
      </c>
      <c r="C543" s="11">
        <v>200.0</v>
      </c>
      <c r="D543" s="11" t="s">
        <v>42</v>
      </c>
      <c r="E543" s="11" t="s">
        <v>163</v>
      </c>
      <c r="F543" s="4">
        <v>189.75561547683924</v>
      </c>
      <c r="G543" s="11" t="s">
        <v>43</v>
      </c>
      <c r="H543" s="11">
        <v>8.0</v>
      </c>
      <c r="J543" s="19">
        <f t="shared" si="2"/>
        <v>60</v>
      </c>
      <c r="N543" s="11">
        <f t="shared" si="1"/>
        <v>480</v>
      </c>
      <c r="O543" s="11" t="s">
        <v>592</v>
      </c>
    </row>
    <row r="544">
      <c r="A544" s="9">
        <v>45531.60244212963</v>
      </c>
      <c r="B544" s="11" t="s">
        <v>389</v>
      </c>
      <c r="C544" s="11">
        <v>200.0</v>
      </c>
      <c r="D544" s="11" t="s">
        <v>42</v>
      </c>
      <c r="E544" s="11" t="s">
        <v>163</v>
      </c>
      <c r="F544" s="4">
        <v>189.75561547683924</v>
      </c>
      <c r="G544" s="11" t="s">
        <v>32</v>
      </c>
      <c r="H544" s="11">
        <v>12.0</v>
      </c>
      <c r="J544" s="19">
        <f t="shared" si="2"/>
        <v>75</v>
      </c>
      <c r="N544" s="11">
        <f t="shared" si="1"/>
        <v>900</v>
      </c>
      <c r="O544" s="11" t="s">
        <v>593</v>
      </c>
    </row>
    <row r="545">
      <c r="A545" s="9">
        <v>45534.106574074074</v>
      </c>
      <c r="B545" s="11" t="s">
        <v>468</v>
      </c>
      <c r="C545" s="11">
        <v>200.0</v>
      </c>
      <c r="D545" s="11" t="s">
        <v>42</v>
      </c>
      <c r="E545" s="11" t="s">
        <v>163</v>
      </c>
      <c r="F545" s="4">
        <v>189.75457177111718</v>
      </c>
      <c r="G545" s="11" t="s">
        <v>43</v>
      </c>
      <c r="H545" s="11">
        <v>8.0</v>
      </c>
      <c r="J545" s="19">
        <f t="shared" si="2"/>
        <v>60</v>
      </c>
      <c r="N545" s="11">
        <f t="shared" si="1"/>
        <v>480</v>
      </c>
      <c r="O545" s="11" t="s">
        <v>594</v>
      </c>
    </row>
    <row r="546">
      <c r="A546" s="9">
        <v>45534.334444444445</v>
      </c>
      <c r="B546" s="11" t="s">
        <v>595</v>
      </c>
      <c r="C546" s="11">
        <v>200.0</v>
      </c>
      <c r="D546" s="11" t="s">
        <v>42</v>
      </c>
      <c r="E546" s="11" t="s">
        <v>163</v>
      </c>
      <c r="F546" s="4">
        <v>189.75665918256135</v>
      </c>
      <c r="G546" s="11" t="s">
        <v>43</v>
      </c>
      <c r="H546" s="11">
        <v>8.0</v>
      </c>
      <c r="J546" s="19">
        <f t="shared" si="2"/>
        <v>60</v>
      </c>
      <c r="N546" s="11">
        <f t="shared" si="1"/>
        <v>480</v>
      </c>
      <c r="O546" s="11" t="s">
        <v>596</v>
      </c>
    </row>
    <row r="547">
      <c r="A547" s="9">
        <v>45534.50896990741</v>
      </c>
      <c r="B547" s="11" t="s">
        <v>346</v>
      </c>
      <c r="C547" s="11">
        <v>145.0</v>
      </c>
      <c r="D547" s="11" t="s">
        <v>42</v>
      </c>
      <c r="E547" s="11" t="s">
        <v>163</v>
      </c>
      <c r="F547" s="4">
        <v>137.49271100817438</v>
      </c>
      <c r="G547" s="11" t="s">
        <v>35</v>
      </c>
      <c r="H547" s="11">
        <v>8.0</v>
      </c>
      <c r="J547" s="19">
        <f t="shared" si="2"/>
        <v>60</v>
      </c>
      <c r="N547" s="11">
        <f t="shared" si="1"/>
        <v>480</v>
      </c>
      <c r="O547" s="11" t="s">
        <v>597</v>
      </c>
    </row>
    <row r="548">
      <c r="A548" s="9">
        <v>45534.58886574074</v>
      </c>
      <c r="B548" s="11" t="s">
        <v>462</v>
      </c>
      <c r="C548" s="11">
        <v>725.0</v>
      </c>
      <c r="D548" s="11" t="s">
        <v>42</v>
      </c>
      <c r="E548" s="11" t="s">
        <v>163</v>
      </c>
      <c r="F548" s="4">
        <v>688.543246866485</v>
      </c>
      <c r="G548" s="11" t="s">
        <v>542</v>
      </c>
      <c r="H548" s="11">
        <v>1.0</v>
      </c>
      <c r="J548" s="19">
        <f t="shared" si="2"/>
        <v>60</v>
      </c>
      <c r="N548" s="11">
        <f t="shared" si="1"/>
        <v>60</v>
      </c>
      <c r="O548" s="11" t="s">
        <v>598</v>
      </c>
    </row>
    <row r="549">
      <c r="A549" s="9">
        <v>45539.12144675926</v>
      </c>
      <c r="B549" s="11" t="s">
        <v>370</v>
      </c>
      <c r="C549" s="11">
        <v>200.0</v>
      </c>
      <c r="D549" s="11" t="s">
        <v>42</v>
      </c>
      <c r="E549" s="11" t="s">
        <v>163</v>
      </c>
      <c r="F549" s="4">
        <v>189.7582247411444</v>
      </c>
      <c r="G549" s="11" t="s">
        <v>43</v>
      </c>
      <c r="H549" s="11">
        <v>8.0</v>
      </c>
      <c r="J549" s="19">
        <f t="shared" si="2"/>
        <v>60</v>
      </c>
      <c r="N549" s="11">
        <f t="shared" si="1"/>
        <v>480</v>
      </c>
      <c r="O549" s="11" t="s">
        <v>599</v>
      </c>
    </row>
    <row r="550">
      <c r="A550" s="9">
        <v>45539.24270833333</v>
      </c>
      <c r="B550" s="11" t="s">
        <v>258</v>
      </c>
      <c r="C550" s="11">
        <v>200.0</v>
      </c>
      <c r="D550" s="11" t="s">
        <v>42</v>
      </c>
      <c r="E550" s="11" t="s">
        <v>163</v>
      </c>
      <c r="F550" s="4">
        <v>189.7582247411444</v>
      </c>
      <c r="G550" s="11" t="s">
        <v>43</v>
      </c>
      <c r="H550" s="11">
        <v>8.0</v>
      </c>
      <c r="J550" s="19">
        <f t="shared" si="2"/>
        <v>60</v>
      </c>
      <c r="N550" s="11">
        <f t="shared" si="1"/>
        <v>480</v>
      </c>
      <c r="O550" s="11" t="s">
        <v>600</v>
      </c>
    </row>
    <row r="551">
      <c r="A551" s="9">
        <v>45539.54959490741</v>
      </c>
      <c r="B551" s="11" t="s">
        <v>334</v>
      </c>
      <c r="C551" s="11">
        <v>200.0</v>
      </c>
      <c r="D551" s="11" t="s">
        <v>42</v>
      </c>
      <c r="E551" s="11" t="s">
        <v>163</v>
      </c>
      <c r="F551" s="4">
        <v>189.75561547683924</v>
      </c>
      <c r="G551" s="11" t="s">
        <v>43</v>
      </c>
      <c r="H551" s="11">
        <v>8.0</v>
      </c>
      <c r="J551" s="19">
        <f t="shared" si="2"/>
        <v>60</v>
      </c>
      <c r="N551" s="11">
        <f t="shared" si="1"/>
        <v>480</v>
      </c>
      <c r="O551" s="11" t="s">
        <v>601</v>
      </c>
    </row>
    <row r="552">
      <c r="A552" s="9">
        <v>45539.5825462963</v>
      </c>
      <c r="B552" s="11" t="s">
        <v>430</v>
      </c>
      <c r="C552" s="11">
        <v>200.0</v>
      </c>
      <c r="D552" s="11" t="s">
        <v>42</v>
      </c>
      <c r="E552" s="11" t="s">
        <v>163</v>
      </c>
      <c r="F552" s="4">
        <v>189.75561547683924</v>
      </c>
      <c r="G552" s="11" t="s">
        <v>43</v>
      </c>
      <c r="H552" s="11">
        <v>8.0</v>
      </c>
      <c r="J552" s="19">
        <f t="shared" si="2"/>
        <v>60</v>
      </c>
      <c r="N552" s="11">
        <f t="shared" si="1"/>
        <v>480</v>
      </c>
      <c r="O552" s="11" t="s">
        <v>602</v>
      </c>
    </row>
    <row r="553">
      <c r="A553" s="9">
        <v>45540.70923611111</v>
      </c>
      <c r="B553" s="11" t="s">
        <v>603</v>
      </c>
      <c r="C553" s="11">
        <v>145.0</v>
      </c>
      <c r="D553" s="11" t="s">
        <v>42</v>
      </c>
      <c r="E553" s="11" t="s">
        <v>163</v>
      </c>
      <c r="F553" s="4">
        <v>137.49384536784743</v>
      </c>
      <c r="G553" s="11" t="s">
        <v>35</v>
      </c>
      <c r="H553" s="11">
        <v>8.0</v>
      </c>
      <c r="J553" s="19">
        <f t="shared" si="2"/>
        <v>60</v>
      </c>
      <c r="N553" s="11">
        <f t="shared" si="1"/>
        <v>480</v>
      </c>
      <c r="O553" s="11" t="s">
        <v>604</v>
      </c>
    </row>
    <row r="554">
      <c r="A554" s="9">
        <v>45542.395891203705</v>
      </c>
      <c r="B554" s="11" t="s">
        <v>364</v>
      </c>
      <c r="C554" s="11">
        <v>200.0</v>
      </c>
      <c r="D554" s="11" t="s">
        <v>42</v>
      </c>
      <c r="E554" s="11" t="s">
        <v>163</v>
      </c>
      <c r="F554" s="4">
        <v>189.75874659400546</v>
      </c>
      <c r="G554" s="11" t="s">
        <v>43</v>
      </c>
      <c r="H554" s="11">
        <v>8.0</v>
      </c>
      <c r="J554" s="19">
        <f t="shared" si="2"/>
        <v>60</v>
      </c>
      <c r="N554" s="11">
        <f t="shared" si="1"/>
        <v>480</v>
      </c>
      <c r="O554" s="11" t="s">
        <v>605</v>
      </c>
    </row>
    <row r="555">
      <c r="A555" s="9">
        <v>45544.523194444446</v>
      </c>
      <c r="B555" s="11" t="s">
        <v>584</v>
      </c>
      <c r="C555" s="11">
        <v>20.0</v>
      </c>
      <c r="D555" s="11" t="s">
        <v>42</v>
      </c>
      <c r="E555" s="11" t="s">
        <v>163</v>
      </c>
      <c r="F555" s="4">
        <v>18.71829144414169</v>
      </c>
      <c r="G555" s="11" t="s">
        <v>35</v>
      </c>
      <c r="H555" s="11">
        <v>1.0</v>
      </c>
      <c r="J555" s="19">
        <f t="shared" si="2"/>
        <v>60</v>
      </c>
      <c r="N555" s="11">
        <f t="shared" si="1"/>
        <v>60</v>
      </c>
      <c r="O555" s="11" t="s">
        <v>606</v>
      </c>
    </row>
    <row r="556">
      <c r="A556" s="9">
        <v>45545.132893518516</v>
      </c>
      <c r="B556" s="11" t="s">
        <v>607</v>
      </c>
      <c r="C556" s="11">
        <v>200.0</v>
      </c>
      <c r="D556" s="11" t="s">
        <v>42</v>
      </c>
      <c r="E556" s="11" t="s">
        <v>163</v>
      </c>
      <c r="F556" s="4">
        <v>189.75770288828338</v>
      </c>
      <c r="G556" s="11" t="s">
        <v>43</v>
      </c>
      <c r="H556" s="11">
        <v>8.0</v>
      </c>
      <c r="J556" s="19">
        <f t="shared" si="2"/>
        <v>60</v>
      </c>
      <c r="N556" s="11">
        <f t="shared" si="1"/>
        <v>480</v>
      </c>
      <c r="O556" s="11" t="s">
        <v>608</v>
      </c>
    </row>
    <row r="557">
      <c r="A557" s="9">
        <v>45545.33373842593</v>
      </c>
      <c r="B557" s="11" t="s">
        <v>609</v>
      </c>
      <c r="C557" s="11">
        <v>30.0</v>
      </c>
      <c r="D557" s="11" t="s">
        <v>42</v>
      </c>
      <c r="E557" s="11" t="s">
        <v>163</v>
      </c>
      <c r="F557" s="4">
        <v>28.228078310626703</v>
      </c>
      <c r="G557" s="11" t="s">
        <v>43</v>
      </c>
      <c r="H557" s="11">
        <v>1.0</v>
      </c>
      <c r="J557" s="19">
        <f t="shared" si="2"/>
        <v>60</v>
      </c>
      <c r="N557" s="11">
        <f t="shared" si="1"/>
        <v>60</v>
      </c>
      <c r="O557" s="11" t="s">
        <v>610</v>
      </c>
    </row>
    <row r="558">
      <c r="A558" s="9">
        <v>45545.61369212963</v>
      </c>
      <c r="B558" s="11" t="s">
        <v>611</v>
      </c>
      <c r="C558" s="11">
        <v>20.0</v>
      </c>
      <c r="D558" s="11" t="s">
        <v>42</v>
      </c>
      <c r="E558" s="11" t="s">
        <v>163</v>
      </c>
      <c r="F558" s="4">
        <v>18.716284059945504</v>
      </c>
      <c r="G558" s="11" t="s">
        <v>35</v>
      </c>
      <c r="H558" s="11">
        <v>1.0</v>
      </c>
      <c r="J558" s="19">
        <f t="shared" si="2"/>
        <v>60</v>
      </c>
      <c r="N558" s="11">
        <f t="shared" si="1"/>
        <v>60</v>
      </c>
      <c r="O558" s="11" t="s">
        <v>612</v>
      </c>
    </row>
    <row r="559">
      <c r="A559" s="9">
        <v>45546.48459490741</v>
      </c>
      <c r="B559" s="11" t="s">
        <v>571</v>
      </c>
      <c r="C559" s="11">
        <v>850.0</v>
      </c>
      <c r="D559" s="11" t="s">
        <v>42</v>
      </c>
      <c r="E559" s="11" t="s">
        <v>163</v>
      </c>
      <c r="F559" s="4">
        <v>807.4082490463215</v>
      </c>
      <c r="G559" s="11" t="s">
        <v>43</v>
      </c>
      <c r="H559" s="11">
        <v>40.0</v>
      </c>
      <c r="J559" s="19">
        <f t="shared" si="2"/>
        <v>60</v>
      </c>
      <c r="N559" s="11">
        <f t="shared" si="1"/>
        <v>2400</v>
      </c>
      <c r="O559" s="11" t="s">
        <v>613</v>
      </c>
    </row>
    <row r="560">
      <c r="A560" s="9">
        <v>45546.61863425926</v>
      </c>
      <c r="B560" s="11" t="s">
        <v>452</v>
      </c>
      <c r="C560" s="11">
        <v>200.0</v>
      </c>
      <c r="D560" s="11" t="s">
        <v>42</v>
      </c>
      <c r="E560" s="11" t="s">
        <v>163</v>
      </c>
      <c r="F560" s="4">
        <v>189.77909885558586</v>
      </c>
      <c r="G560" s="11" t="s">
        <v>43</v>
      </c>
      <c r="H560" s="11">
        <v>8.0</v>
      </c>
      <c r="J560" s="19">
        <f t="shared" si="2"/>
        <v>60</v>
      </c>
      <c r="N560" s="11">
        <f t="shared" si="1"/>
        <v>480</v>
      </c>
      <c r="O560" s="11" t="s">
        <v>614</v>
      </c>
    </row>
    <row r="561">
      <c r="A561" s="9">
        <v>45546.67694444444</v>
      </c>
      <c r="B561" s="11" t="s">
        <v>528</v>
      </c>
      <c r="C561" s="11">
        <v>200.0</v>
      </c>
      <c r="D561" s="11" t="s">
        <v>42</v>
      </c>
      <c r="E561" s="11" t="s">
        <v>163</v>
      </c>
      <c r="F561" s="4">
        <v>189.74048174386922</v>
      </c>
      <c r="G561" s="11" t="s">
        <v>43</v>
      </c>
      <c r="H561" s="11">
        <v>8.0</v>
      </c>
      <c r="J561" s="19">
        <f t="shared" si="2"/>
        <v>60</v>
      </c>
      <c r="N561" s="11">
        <f t="shared" si="1"/>
        <v>480</v>
      </c>
      <c r="O561" s="11" t="s">
        <v>615</v>
      </c>
    </row>
    <row r="562">
      <c r="A562" s="9">
        <v>45546.77107638889</v>
      </c>
      <c r="B562" s="11" t="s">
        <v>616</v>
      </c>
      <c r="C562" s="11">
        <v>200.0</v>
      </c>
      <c r="D562" s="11" t="s">
        <v>42</v>
      </c>
      <c r="E562" s="11" t="s">
        <v>163</v>
      </c>
      <c r="F562" s="4">
        <v>189.75874659400546</v>
      </c>
      <c r="G562" s="11" t="s">
        <v>43</v>
      </c>
      <c r="H562" s="11">
        <v>8.0</v>
      </c>
      <c r="J562" s="19">
        <f t="shared" si="2"/>
        <v>60</v>
      </c>
      <c r="N562" s="11">
        <f t="shared" si="1"/>
        <v>480</v>
      </c>
      <c r="O562" s="11" t="s">
        <v>617</v>
      </c>
    </row>
    <row r="563">
      <c r="A563" s="9">
        <v>45547.72094907407</v>
      </c>
      <c r="B563" s="11" t="s">
        <v>447</v>
      </c>
      <c r="C563" s="11">
        <v>145.0</v>
      </c>
      <c r="D563" s="11" t="s">
        <v>42</v>
      </c>
      <c r="E563" s="11" t="s">
        <v>163</v>
      </c>
      <c r="F563" s="4">
        <v>137.49384536784743</v>
      </c>
      <c r="G563" s="11" t="s">
        <v>35</v>
      </c>
      <c r="H563" s="11">
        <v>8.0</v>
      </c>
      <c r="J563" s="19">
        <f t="shared" si="2"/>
        <v>60</v>
      </c>
      <c r="N563" s="11">
        <f t="shared" si="1"/>
        <v>480</v>
      </c>
      <c r="O563" s="11" t="s">
        <v>618</v>
      </c>
    </row>
    <row r="564">
      <c r="A564" s="9">
        <v>45548.68780092592</v>
      </c>
      <c r="B564" s="11" t="s">
        <v>427</v>
      </c>
      <c r="C564" s="11">
        <v>200.0</v>
      </c>
      <c r="D564" s="11" t="s">
        <v>42</v>
      </c>
      <c r="E564" s="11" t="s">
        <v>163</v>
      </c>
      <c r="F564" s="4">
        <v>189.75718103542235</v>
      </c>
      <c r="G564" s="11" t="s">
        <v>43</v>
      </c>
      <c r="H564" s="11">
        <v>8.0</v>
      </c>
      <c r="J564" s="19">
        <f t="shared" si="2"/>
        <v>60</v>
      </c>
      <c r="N564" s="11">
        <f t="shared" si="1"/>
        <v>480</v>
      </c>
      <c r="O564" s="11" t="s">
        <v>619</v>
      </c>
    </row>
    <row r="565">
      <c r="A565" s="9">
        <v>45549.11803240741</v>
      </c>
      <c r="B565" s="11" t="s">
        <v>434</v>
      </c>
      <c r="C565" s="11">
        <v>200.0</v>
      </c>
      <c r="D565" s="11" t="s">
        <v>42</v>
      </c>
      <c r="E565" s="11" t="s">
        <v>163</v>
      </c>
      <c r="F565" s="4">
        <v>189.75874659400546</v>
      </c>
      <c r="G565" s="11" t="s">
        <v>43</v>
      </c>
      <c r="H565" s="11">
        <v>8.0</v>
      </c>
      <c r="J565" s="19">
        <f t="shared" si="2"/>
        <v>60</v>
      </c>
      <c r="N565" s="11">
        <f t="shared" si="1"/>
        <v>480</v>
      </c>
      <c r="O565" s="11" t="s">
        <v>620</v>
      </c>
    </row>
    <row r="566">
      <c r="A566" s="9">
        <v>45551.79604166667</v>
      </c>
      <c r="B566" s="11" t="s">
        <v>491</v>
      </c>
      <c r="C566" s="11">
        <v>30.0</v>
      </c>
      <c r="D566" s="11" t="s">
        <v>42</v>
      </c>
      <c r="E566" s="11" t="s">
        <v>163</v>
      </c>
      <c r="F566" s="4">
        <v>28.22800068119891</v>
      </c>
      <c r="G566" s="11" t="s">
        <v>43</v>
      </c>
      <c r="H566" s="11">
        <v>1.0</v>
      </c>
      <c r="J566" s="19">
        <f t="shared" si="2"/>
        <v>60</v>
      </c>
      <c r="N566" s="11">
        <f t="shared" si="1"/>
        <v>60</v>
      </c>
      <c r="O566" s="11" t="s">
        <v>621</v>
      </c>
    </row>
    <row r="567">
      <c r="A567" s="9">
        <v>45554.590162037035</v>
      </c>
      <c r="B567" s="3" t="s">
        <v>584</v>
      </c>
      <c r="C567" s="5">
        <v>20.0</v>
      </c>
      <c r="D567" s="3" t="s">
        <v>42</v>
      </c>
      <c r="E567" s="11" t="s">
        <v>163</v>
      </c>
      <c r="F567" s="5">
        <v>18.72014441416894</v>
      </c>
      <c r="G567" s="3" t="s">
        <v>35</v>
      </c>
      <c r="H567" s="5">
        <v>1.0</v>
      </c>
      <c r="J567" s="19">
        <f t="shared" si="2"/>
        <v>60</v>
      </c>
      <c r="N567" s="11">
        <f t="shared" si="1"/>
        <v>60</v>
      </c>
      <c r="O567" s="3" t="s">
        <v>622</v>
      </c>
    </row>
    <row r="568">
      <c r="A568" s="9">
        <v>45554.69300925926</v>
      </c>
      <c r="B568" s="3" t="s">
        <v>623</v>
      </c>
      <c r="C568" s="5">
        <v>145.0</v>
      </c>
      <c r="D568" s="3" t="s">
        <v>42</v>
      </c>
      <c r="E568" s="11" t="s">
        <v>163</v>
      </c>
      <c r="F568" s="5">
        <v>137.50859204359674</v>
      </c>
      <c r="G568" s="3" t="s">
        <v>35</v>
      </c>
      <c r="H568" s="5">
        <v>8.0</v>
      </c>
      <c r="J568" s="19">
        <f t="shared" si="2"/>
        <v>60</v>
      </c>
      <c r="N568" s="11">
        <f t="shared" si="1"/>
        <v>480</v>
      </c>
      <c r="O568" s="3" t="s">
        <v>624</v>
      </c>
    </row>
    <row r="569">
      <c r="A569" s="9">
        <v>45556.78923611111</v>
      </c>
      <c r="B569" s="3" t="s">
        <v>475</v>
      </c>
      <c r="C569" s="5">
        <v>200.0</v>
      </c>
      <c r="D569" s="3" t="s">
        <v>42</v>
      </c>
      <c r="E569" s="11" t="s">
        <v>163</v>
      </c>
      <c r="F569" s="5">
        <v>189.75770288828338</v>
      </c>
      <c r="G569" s="3" t="s">
        <v>43</v>
      </c>
      <c r="H569" s="5">
        <v>8.0</v>
      </c>
      <c r="J569" s="19">
        <f t="shared" si="2"/>
        <v>60</v>
      </c>
      <c r="N569" s="11">
        <f t="shared" si="1"/>
        <v>480</v>
      </c>
      <c r="O569" s="3" t="s">
        <v>625</v>
      </c>
    </row>
    <row r="570">
      <c r="A570" s="9">
        <v>45558.37079861111</v>
      </c>
      <c r="B570" s="3" t="s">
        <v>611</v>
      </c>
      <c r="C570" s="5">
        <v>200.0</v>
      </c>
      <c r="D570" s="3" t="s">
        <v>42</v>
      </c>
      <c r="E570" s="11" t="s">
        <v>163</v>
      </c>
      <c r="F570" s="5">
        <v>189.72221689373296</v>
      </c>
      <c r="G570" s="3" t="s">
        <v>43</v>
      </c>
      <c r="H570" s="5">
        <v>8.0</v>
      </c>
      <c r="J570" s="19">
        <f t="shared" si="2"/>
        <v>60</v>
      </c>
      <c r="N570" s="11">
        <f t="shared" si="1"/>
        <v>480</v>
      </c>
      <c r="O570" s="3" t="s">
        <v>626</v>
      </c>
    </row>
    <row r="571">
      <c r="A571" s="9">
        <v>45560.11900462963</v>
      </c>
      <c r="B571" s="11" t="s">
        <v>562</v>
      </c>
      <c r="C571" s="11">
        <v>200.0</v>
      </c>
      <c r="D571" s="11" t="s">
        <v>42</v>
      </c>
      <c r="E571" s="11" t="s">
        <v>163</v>
      </c>
      <c r="F571" s="4">
        <v>189.75874659400546</v>
      </c>
      <c r="G571" s="11" t="s">
        <v>32</v>
      </c>
      <c r="H571" s="11">
        <v>12.0</v>
      </c>
      <c r="J571" s="19">
        <f t="shared" si="2"/>
        <v>75</v>
      </c>
      <c r="N571" s="11">
        <f t="shared" si="1"/>
        <v>900</v>
      </c>
      <c r="O571" s="11" t="s">
        <v>627</v>
      </c>
    </row>
    <row r="572">
      <c r="A572" s="9">
        <v>45561.76662037037</v>
      </c>
      <c r="B572" s="11" t="s">
        <v>628</v>
      </c>
      <c r="C572" s="11">
        <v>145.0</v>
      </c>
      <c r="D572" s="11" t="s">
        <v>42</v>
      </c>
      <c r="E572" s="11" t="s">
        <v>163</v>
      </c>
      <c r="F572" s="4">
        <v>137.49384536784743</v>
      </c>
      <c r="G572" s="11" t="s">
        <v>35</v>
      </c>
      <c r="H572" s="11">
        <v>8.0</v>
      </c>
      <c r="J572" s="19">
        <f t="shared" si="2"/>
        <v>60</v>
      </c>
      <c r="N572" s="11">
        <f t="shared" si="1"/>
        <v>480</v>
      </c>
      <c r="O572" s="11" t="s">
        <v>629</v>
      </c>
    </row>
    <row r="573">
      <c r="A573" s="9">
        <v>45565.13010416667</v>
      </c>
      <c r="B573" s="11" t="s">
        <v>630</v>
      </c>
      <c r="C573" s="11">
        <v>145.0</v>
      </c>
      <c r="D573" s="11" t="s">
        <v>42</v>
      </c>
      <c r="E573" s="11" t="s">
        <v>163</v>
      </c>
      <c r="F573" s="4">
        <v>137.50859204359674</v>
      </c>
      <c r="G573" s="11" t="s">
        <v>35</v>
      </c>
      <c r="H573" s="11">
        <v>8.0</v>
      </c>
      <c r="J573" s="19">
        <f t="shared" si="2"/>
        <v>60</v>
      </c>
      <c r="N573" s="11">
        <f t="shared" si="1"/>
        <v>480</v>
      </c>
      <c r="O573" s="11" t="s">
        <v>631</v>
      </c>
    </row>
    <row r="574">
      <c r="A574" s="9">
        <v>45565.48872685185</v>
      </c>
      <c r="B574" s="11" t="s">
        <v>632</v>
      </c>
      <c r="C574" s="11">
        <v>200.0</v>
      </c>
      <c r="D574" s="11" t="s">
        <v>42</v>
      </c>
      <c r="E574" s="11" t="s">
        <v>163</v>
      </c>
      <c r="F574" s="4">
        <v>189.75874659400546</v>
      </c>
      <c r="G574" s="11" t="s">
        <v>43</v>
      </c>
      <c r="H574" s="11">
        <v>8.0</v>
      </c>
      <c r="J574" s="19">
        <f t="shared" si="2"/>
        <v>60</v>
      </c>
      <c r="N574" s="11">
        <f t="shared" si="1"/>
        <v>480</v>
      </c>
      <c r="O574" s="11" t="s">
        <v>633</v>
      </c>
    </row>
    <row r="575">
      <c r="A575" s="9">
        <v>45565.937418981484</v>
      </c>
      <c r="B575" s="11" t="s">
        <v>510</v>
      </c>
      <c r="C575" s="11">
        <v>200.0</v>
      </c>
      <c r="D575" s="11" t="s">
        <v>42</v>
      </c>
      <c r="E575" s="11" t="s">
        <v>163</v>
      </c>
      <c r="F575" s="4">
        <v>189.76135585831062</v>
      </c>
      <c r="G575" s="11" t="s">
        <v>43</v>
      </c>
      <c r="H575" s="11">
        <v>8.0</v>
      </c>
      <c r="J575" s="19">
        <f t="shared" si="2"/>
        <v>60</v>
      </c>
      <c r="N575" s="11">
        <f t="shared" si="1"/>
        <v>480</v>
      </c>
      <c r="O575" s="11" t="s">
        <v>634</v>
      </c>
    </row>
    <row r="576">
      <c r="A576" s="9">
        <v>45566.706712962965</v>
      </c>
      <c r="B576" s="11" t="s">
        <v>399</v>
      </c>
      <c r="C576" s="11">
        <v>200.0</v>
      </c>
      <c r="D576" s="11" t="s">
        <v>42</v>
      </c>
      <c r="E576" s="11" t="s">
        <v>163</v>
      </c>
      <c r="F576" s="4">
        <v>189.76239956403273</v>
      </c>
      <c r="G576" s="11" t="s">
        <v>43</v>
      </c>
      <c r="H576" s="11">
        <v>8.0</v>
      </c>
      <c r="J576" s="19">
        <f t="shared" si="2"/>
        <v>60</v>
      </c>
      <c r="N576" s="11">
        <f t="shared" si="1"/>
        <v>480</v>
      </c>
      <c r="O576" s="11" t="s">
        <v>635</v>
      </c>
    </row>
    <row r="577">
      <c r="A577" s="9">
        <v>45566.7166087963</v>
      </c>
      <c r="B577" s="11" t="s">
        <v>389</v>
      </c>
      <c r="C577" s="11">
        <v>145.0</v>
      </c>
      <c r="D577" s="11" t="s">
        <v>42</v>
      </c>
      <c r="E577" s="11" t="s">
        <v>163</v>
      </c>
      <c r="F577" s="4">
        <v>137.49573596730247</v>
      </c>
      <c r="G577" s="11" t="s">
        <v>35</v>
      </c>
      <c r="H577" s="11">
        <v>8.0</v>
      </c>
      <c r="J577" s="19">
        <f t="shared" si="2"/>
        <v>60</v>
      </c>
      <c r="N577" s="11">
        <f t="shared" si="1"/>
        <v>480</v>
      </c>
      <c r="O577" s="11" t="s">
        <v>636</v>
      </c>
    </row>
    <row r="578">
      <c r="A578" s="9">
        <v>45567.22075231482</v>
      </c>
      <c r="B578" s="11" t="s">
        <v>491</v>
      </c>
      <c r="C578" s="11">
        <v>30.0</v>
      </c>
      <c r="D578" s="11" t="s">
        <v>42</v>
      </c>
      <c r="E578" s="11" t="s">
        <v>163</v>
      </c>
      <c r="F578" s="4">
        <v>28.218480653950955</v>
      </c>
      <c r="G578" s="11" t="s">
        <v>43</v>
      </c>
      <c r="H578" s="11">
        <v>1.0</v>
      </c>
      <c r="J578" s="19">
        <f t="shared" si="2"/>
        <v>60</v>
      </c>
      <c r="N578" s="11">
        <f t="shared" si="1"/>
        <v>60</v>
      </c>
      <c r="O578" s="11" t="s">
        <v>637</v>
      </c>
    </row>
    <row r="579">
      <c r="A579" s="9">
        <v>45567.985081018516</v>
      </c>
      <c r="B579" s="3" t="s">
        <v>419</v>
      </c>
      <c r="C579" s="5">
        <v>200.0</v>
      </c>
      <c r="D579" s="3" t="s">
        <v>42</v>
      </c>
      <c r="E579" s="3" t="s">
        <v>163</v>
      </c>
      <c r="F579" s="5">
        <v>189.76135585831062</v>
      </c>
      <c r="G579" s="3" t="s">
        <v>43</v>
      </c>
      <c r="H579" s="5">
        <v>8.0</v>
      </c>
      <c r="I579" s="3" t="s">
        <v>638</v>
      </c>
      <c r="J579" s="19">
        <f t="shared" si="2"/>
        <v>60</v>
      </c>
      <c r="M579" s="5"/>
      <c r="N579" s="11">
        <f t="shared" si="1"/>
        <v>480</v>
      </c>
      <c r="O579" s="3" t="s">
        <v>639</v>
      </c>
    </row>
    <row r="580">
      <c r="A580" s="9">
        <v>45568.820069444446</v>
      </c>
      <c r="B580" s="3" t="s">
        <v>382</v>
      </c>
      <c r="C580" s="5">
        <v>145.0</v>
      </c>
      <c r="D580" s="3" t="s">
        <v>42</v>
      </c>
      <c r="E580" s="3" t="s">
        <v>163</v>
      </c>
      <c r="F580" s="5">
        <v>137.4964922070845</v>
      </c>
      <c r="G580" s="3" t="s">
        <v>35</v>
      </c>
      <c r="H580" s="5">
        <v>8.0</v>
      </c>
      <c r="I580" s="3" t="s">
        <v>638</v>
      </c>
      <c r="J580" s="19">
        <f t="shared" si="2"/>
        <v>60</v>
      </c>
      <c r="M580" s="5"/>
      <c r="N580" s="11">
        <f t="shared" si="1"/>
        <v>480</v>
      </c>
      <c r="O580" s="3" t="s">
        <v>640</v>
      </c>
    </row>
    <row r="581">
      <c r="A581" s="9">
        <v>45569.55601851852</v>
      </c>
      <c r="B581" s="3" t="s">
        <v>641</v>
      </c>
      <c r="C581" s="5">
        <v>30.0</v>
      </c>
      <c r="D581" s="3" t="s">
        <v>42</v>
      </c>
      <c r="E581" s="3" t="s">
        <v>163</v>
      </c>
      <c r="F581" s="5">
        <v>28.218713460490466</v>
      </c>
      <c r="G581" s="3" t="s">
        <v>43</v>
      </c>
      <c r="H581" s="5">
        <v>1.0</v>
      </c>
      <c r="I581" s="3" t="s">
        <v>642</v>
      </c>
      <c r="J581" s="19">
        <f t="shared" si="2"/>
        <v>60</v>
      </c>
      <c r="M581" s="5"/>
      <c r="N581" s="11">
        <f t="shared" si="1"/>
        <v>60</v>
      </c>
      <c r="O581" s="3" t="s">
        <v>643</v>
      </c>
    </row>
    <row r="582">
      <c r="A582" s="9">
        <v>45573.53853009259</v>
      </c>
      <c r="B582" s="3" t="s">
        <v>491</v>
      </c>
      <c r="C582" s="5">
        <v>30.0</v>
      </c>
      <c r="D582" s="3" t="s">
        <v>42</v>
      </c>
      <c r="E582" s="3" t="s">
        <v>163</v>
      </c>
      <c r="F582" s="5">
        <v>28.2187910626703</v>
      </c>
      <c r="G582" s="3" t="s">
        <v>43</v>
      </c>
      <c r="H582" s="5">
        <v>1.0</v>
      </c>
      <c r="I582" s="3" t="s">
        <v>642</v>
      </c>
      <c r="J582" s="19">
        <f t="shared" si="2"/>
        <v>60</v>
      </c>
      <c r="M582" s="5"/>
      <c r="N582" s="11">
        <f t="shared" si="1"/>
        <v>60</v>
      </c>
      <c r="O582" s="3" t="s">
        <v>644</v>
      </c>
    </row>
    <row r="583">
      <c r="A583" s="9">
        <v>45574.39908564815</v>
      </c>
      <c r="B583" s="3" t="s">
        <v>645</v>
      </c>
      <c r="C583" s="5">
        <v>30.0</v>
      </c>
      <c r="D583" s="3" t="s">
        <v>42</v>
      </c>
      <c r="E583" s="3" t="s">
        <v>163</v>
      </c>
      <c r="F583" s="5">
        <v>28.2187910626703</v>
      </c>
      <c r="G583" s="3" t="s">
        <v>43</v>
      </c>
      <c r="H583" s="5">
        <v>1.0</v>
      </c>
      <c r="I583" s="3" t="s">
        <v>642</v>
      </c>
      <c r="J583" s="19">
        <f t="shared" si="2"/>
        <v>60</v>
      </c>
      <c r="M583" s="5"/>
      <c r="N583" s="11">
        <f t="shared" si="1"/>
        <v>60</v>
      </c>
      <c r="O583" s="3" t="s">
        <v>646</v>
      </c>
    </row>
    <row r="584">
      <c r="A584" s="9">
        <v>45575.715636574074</v>
      </c>
      <c r="B584" s="3" t="s">
        <v>641</v>
      </c>
      <c r="C584" s="5">
        <v>850.0</v>
      </c>
      <c r="D584" s="3" t="s">
        <v>42</v>
      </c>
      <c r="E584" s="3" t="s">
        <v>163</v>
      </c>
      <c r="F584" s="5">
        <v>807.4171307901906</v>
      </c>
      <c r="G584" s="3" t="s">
        <v>43</v>
      </c>
      <c r="H584" s="5">
        <v>40.0</v>
      </c>
      <c r="I584" s="3" t="s">
        <v>638</v>
      </c>
      <c r="J584" s="19">
        <f t="shared" si="2"/>
        <v>60</v>
      </c>
      <c r="M584" s="5"/>
      <c r="N584" s="11">
        <f t="shared" si="1"/>
        <v>2400</v>
      </c>
      <c r="O584" s="3" t="s">
        <v>647</v>
      </c>
    </row>
    <row r="585">
      <c r="A585" s="9">
        <v>45577.8034837963</v>
      </c>
      <c r="B585" s="3" t="s">
        <v>568</v>
      </c>
      <c r="C585" s="5">
        <v>200.0</v>
      </c>
      <c r="D585" s="3" t="s">
        <v>146</v>
      </c>
      <c r="E585" s="3" t="s">
        <v>163</v>
      </c>
      <c r="F585" s="5">
        <v>189.74048174386922</v>
      </c>
      <c r="G585" s="3" t="s">
        <v>43</v>
      </c>
      <c r="H585" s="5">
        <v>8.0</v>
      </c>
      <c r="I585" s="3" t="s">
        <v>638</v>
      </c>
      <c r="J585" s="19">
        <f t="shared" si="2"/>
        <v>60</v>
      </c>
      <c r="M585" s="5"/>
      <c r="N585" s="11">
        <f t="shared" si="1"/>
        <v>480</v>
      </c>
      <c r="O585" s="3" t="s">
        <v>648</v>
      </c>
    </row>
    <row r="586">
      <c r="A586" s="9">
        <v>45578.784097222226</v>
      </c>
      <c r="B586" s="3" t="s">
        <v>522</v>
      </c>
      <c r="C586" s="5">
        <v>145.0</v>
      </c>
      <c r="D586" s="3" t="s">
        <v>146</v>
      </c>
      <c r="E586" s="3" t="s">
        <v>163</v>
      </c>
      <c r="F586" s="5">
        <v>137.49384536784743</v>
      </c>
      <c r="G586" s="3" t="s">
        <v>35</v>
      </c>
      <c r="H586" s="5">
        <v>8.0</v>
      </c>
      <c r="I586" s="3" t="s">
        <v>638</v>
      </c>
      <c r="J586" s="19">
        <f t="shared" si="2"/>
        <v>60</v>
      </c>
      <c r="M586" s="5"/>
      <c r="N586" s="11">
        <f t="shared" si="1"/>
        <v>480</v>
      </c>
      <c r="O586" s="3" t="s">
        <v>649</v>
      </c>
    </row>
    <row r="587">
      <c r="A587" s="9">
        <v>45580.416284722225</v>
      </c>
      <c r="B587" s="3" t="s">
        <v>491</v>
      </c>
      <c r="C587" s="5">
        <v>30.0</v>
      </c>
      <c r="D587" s="3" t="s">
        <v>146</v>
      </c>
      <c r="E587" s="3" t="s">
        <v>163</v>
      </c>
      <c r="F587" s="5">
        <v>28.218868664850138</v>
      </c>
      <c r="G587" s="3" t="s">
        <v>43</v>
      </c>
      <c r="H587" s="5">
        <v>1.0</v>
      </c>
      <c r="I587" s="3" t="s">
        <v>642</v>
      </c>
      <c r="J587" s="19">
        <f t="shared" si="2"/>
        <v>60</v>
      </c>
      <c r="M587" s="5"/>
      <c r="N587" s="11">
        <f t="shared" si="1"/>
        <v>60</v>
      </c>
      <c r="O587" s="3" t="s">
        <v>650</v>
      </c>
    </row>
    <row r="588">
      <c r="A588" s="9">
        <v>45580.49612268519</v>
      </c>
      <c r="B588" s="3" t="s">
        <v>584</v>
      </c>
      <c r="C588" s="5">
        <v>20.0</v>
      </c>
      <c r="D588" s="3" t="s">
        <v>146</v>
      </c>
      <c r="E588" s="3" t="s">
        <v>163</v>
      </c>
      <c r="F588" s="5">
        <v>18.716489945504087</v>
      </c>
      <c r="G588" s="3" t="s">
        <v>35</v>
      </c>
      <c r="H588" s="5">
        <v>1.0</v>
      </c>
      <c r="I588" s="3" t="s">
        <v>642</v>
      </c>
      <c r="J588" s="19">
        <f t="shared" si="2"/>
        <v>60</v>
      </c>
      <c r="M588" s="5"/>
      <c r="N588" s="11">
        <f t="shared" si="1"/>
        <v>60</v>
      </c>
      <c r="O588" s="3" t="s">
        <v>651</v>
      </c>
    </row>
    <row r="589">
      <c r="A589" s="9">
        <v>45582.19547453704</v>
      </c>
      <c r="B589" s="3" t="s">
        <v>475</v>
      </c>
      <c r="C589" s="5">
        <v>200.0</v>
      </c>
      <c r="D589" s="3" t="s">
        <v>146</v>
      </c>
      <c r="E589" s="3" t="s">
        <v>163</v>
      </c>
      <c r="F589" s="5">
        <v>189.76031215258857</v>
      </c>
      <c r="G589" s="3" t="s">
        <v>43</v>
      </c>
      <c r="H589" s="5">
        <v>8.0</v>
      </c>
      <c r="I589" s="3" t="s">
        <v>638</v>
      </c>
      <c r="J589" s="19">
        <f t="shared" si="2"/>
        <v>60</v>
      </c>
      <c r="M589" s="5"/>
      <c r="N589" s="11">
        <f t="shared" si="1"/>
        <v>480</v>
      </c>
      <c r="O589" s="3" t="s">
        <v>652</v>
      </c>
      <c r="P589" s="3"/>
    </row>
    <row r="590">
      <c r="A590" s="9">
        <v>45583.63136574074</v>
      </c>
      <c r="B590" s="3" t="s">
        <v>90</v>
      </c>
      <c r="C590" s="5">
        <v>145.0</v>
      </c>
      <c r="D590" s="3" t="s">
        <v>146</v>
      </c>
      <c r="E590" s="3" t="s">
        <v>163</v>
      </c>
      <c r="F590" s="5">
        <v>137.49384536784743</v>
      </c>
      <c r="G590" s="3" t="s">
        <v>35</v>
      </c>
      <c r="H590" s="5">
        <v>8.0</v>
      </c>
      <c r="I590" s="3" t="s">
        <v>638</v>
      </c>
      <c r="J590" s="19">
        <f t="shared" si="2"/>
        <v>60</v>
      </c>
      <c r="M590" s="5"/>
      <c r="N590" s="11">
        <f t="shared" si="1"/>
        <v>480</v>
      </c>
      <c r="O590" s="3" t="s">
        <v>653</v>
      </c>
      <c r="P590" s="3"/>
    </row>
    <row r="591">
      <c r="A591" s="9">
        <v>45585.603414351855</v>
      </c>
      <c r="B591" s="3" t="s">
        <v>411</v>
      </c>
      <c r="C591" s="5">
        <v>200.0</v>
      </c>
      <c r="D591" s="3" t="s">
        <v>146</v>
      </c>
      <c r="E591" s="3" t="s">
        <v>163</v>
      </c>
      <c r="F591" s="5">
        <v>189.74048174386922</v>
      </c>
      <c r="G591" s="3" t="s">
        <v>43</v>
      </c>
      <c r="H591" s="5">
        <v>8.0</v>
      </c>
      <c r="I591" s="3" t="s">
        <v>638</v>
      </c>
      <c r="J591" s="19">
        <f t="shared" si="2"/>
        <v>60</v>
      </c>
      <c r="M591" s="5"/>
      <c r="N591" s="11">
        <f t="shared" si="1"/>
        <v>480</v>
      </c>
      <c r="O591" s="3" t="s">
        <v>654</v>
      </c>
      <c r="P591" s="3"/>
    </row>
    <row r="592">
      <c r="A592" s="9">
        <v>45585.7540625</v>
      </c>
      <c r="B592" s="3" t="s">
        <v>458</v>
      </c>
      <c r="C592" s="5">
        <v>200.0</v>
      </c>
      <c r="D592" s="3" t="s">
        <v>146</v>
      </c>
      <c r="E592" s="3" t="s">
        <v>163</v>
      </c>
      <c r="F592" s="5">
        <v>189.77909885558586</v>
      </c>
      <c r="G592" s="3" t="s">
        <v>43</v>
      </c>
      <c r="H592" s="5">
        <v>8.0</v>
      </c>
      <c r="I592" s="3" t="s">
        <v>638</v>
      </c>
      <c r="J592" s="19">
        <f t="shared" si="2"/>
        <v>60</v>
      </c>
      <c r="M592" s="5"/>
      <c r="N592" s="11">
        <f t="shared" si="1"/>
        <v>480</v>
      </c>
      <c r="O592" s="3" t="s">
        <v>655</v>
      </c>
      <c r="P592" s="3"/>
    </row>
    <row r="593">
      <c r="A593" s="9">
        <v>45585.98196759259</v>
      </c>
      <c r="B593" s="3" t="s">
        <v>656</v>
      </c>
      <c r="C593" s="5">
        <v>30.0</v>
      </c>
      <c r="D593" s="3" t="s">
        <v>146</v>
      </c>
      <c r="E593" s="3" t="s">
        <v>163</v>
      </c>
      <c r="F593" s="5">
        <v>28.222566621253403</v>
      </c>
      <c r="G593" s="3" t="s">
        <v>43</v>
      </c>
      <c r="H593" s="5">
        <v>1.0</v>
      </c>
      <c r="I593" s="3" t="s">
        <v>642</v>
      </c>
      <c r="J593" s="19">
        <f t="shared" si="2"/>
        <v>60</v>
      </c>
      <c r="M593" s="5"/>
      <c r="N593" s="11">
        <f t="shared" si="1"/>
        <v>60</v>
      </c>
      <c r="O593" s="3" t="s">
        <v>657</v>
      </c>
      <c r="P593" s="3"/>
    </row>
    <row r="594">
      <c r="A594" s="9">
        <v>45586.45210648148</v>
      </c>
      <c r="B594" s="3" t="s">
        <v>658</v>
      </c>
      <c r="C594" s="5">
        <v>200.0</v>
      </c>
      <c r="D594" s="3" t="s">
        <v>146</v>
      </c>
      <c r="E594" s="3" t="s">
        <v>163</v>
      </c>
      <c r="F594" s="5">
        <v>189.75979029972754</v>
      </c>
      <c r="G594" s="3" t="s">
        <v>43</v>
      </c>
      <c r="H594" s="5">
        <v>8.0</v>
      </c>
      <c r="I594" s="3" t="s">
        <v>638</v>
      </c>
      <c r="J594" s="19">
        <f t="shared" si="2"/>
        <v>60</v>
      </c>
      <c r="M594" s="5"/>
      <c r="N594" s="11">
        <f t="shared" si="1"/>
        <v>480</v>
      </c>
      <c r="O594" s="3" t="s">
        <v>659</v>
      </c>
      <c r="P594" s="3"/>
    </row>
    <row r="595">
      <c r="A595" s="9">
        <v>45587.163564814815</v>
      </c>
      <c r="B595" s="3" t="s">
        <v>432</v>
      </c>
      <c r="C595" s="5">
        <v>200.0</v>
      </c>
      <c r="D595" s="3" t="s">
        <v>146</v>
      </c>
      <c r="E595" s="3" t="s">
        <v>163</v>
      </c>
      <c r="F595" s="5">
        <v>189.72221689373296</v>
      </c>
      <c r="G595" s="3" t="s">
        <v>43</v>
      </c>
      <c r="H595" s="5">
        <v>8.0</v>
      </c>
      <c r="I595" s="3" t="s">
        <v>638</v>
      </c>
      <c r="J595" s="19">
        <f t="shared" si="2"/>
        <v>60</v>
      </c>
      <c r="M595" s="5"/>
      <c r="N595" s="11">
        <f t="shared" si="1"/>
        <v>480</v>
      </c>
      <c r="O595" s="3" t="s">
        <v>660</v>
      </c>
      <c r="P595" s="3"/>
    </row>
    <row r="596">
      <c r="A596" s="9">
        <v>45587.82726851852</v>
      </c>
      <c r="B596" s="3" t="s">
        <v>491</v>
      </c>
      <c r="C596" s="5">
        <v>30.0</v>
      </c>
      <c r="D596" s="3" t="s">
        <v>146</v>
      </c>
      <c r="E596" s="3" t="s">
        <v>163</v>
      </c>
      <c r="F596" s="5">
        <v>28.225283651226157</v>
      </c>
      <c r="G596" s="3" t="s">
        <v>43</v>
      </c>
      <c r="H596" s="5">
        <v>1.0</v>
      </c>
      <c r="I596" s="3" t="s">
        <v>642</v>
      </c>
      <c r="J596" s="19">
        <f t="shared" si="2"/>
        <v>60</v>
      </c>
      <c r="M596" s="5"/>
      <c r="N596" s="11">
        <f t="shared" si="1"/>
        <v>60</v>
      </c>
      <c r="O596" s="3" t="s">
        <v>661</v>
      </c>
      <c r="P596" s="3"/>
    </row>
    <row r="597">
      <c r="A597" s="9">
        <v>45588.13445601852</v>
      </c>
      <c r="B597" s="3" t="s">
        <v>656</v>
      </c>
      <c r="C597" s="5">
        <v>30.0</v>
      </c>
      <c r="D597" s="3" t="s">
        <v>146</v>
      </c>
      <c r="E597" s="3" t="s">
        <v>163</v>
      </c>
      <c r="F597" s="5">
        <v>28.21863585831063</v>
      </c>
      <c r="G597" s="3" t="s">
        <v>43</v>
      </c>
      <c r="H597" s="5">
        <v>1.0</v>
      </c>
      <c r="I597" s="3" t="s">
        <v>642</v>
      </c>
      <c r="J597" s="19">
        <f t="shared" si="2"/>
        <v>60</v>
      </c>
      <c r="M597" s="5"/>
      <c r="N597" s="11">
        <f t="shared" si="1"/>
        <v>60</v>
      </c>
      <c r="O597" s="3" t="s">
        <v>662</v>
      </c>
      <c r="P597" s="3"/>
    </row>
    <row r="598">
      <c r="A598" s="9">
        <v>45588.3512962963</v>
      </c>
      <c r="B598" s="3" t="s">
        <v>555</v>
      </c>
      <c r="C598" s="5">
        <v>200.0</v>
      </c>
      <c r="D598" s="3" t="s">
        <v>146</v>
      </c>
      <c r="E598" s="3" t="s">
        <v>163</v>
      </c>
      <c r="F598" s="5">
        <v>189.76135585831062</v>
      </c>
      <c r="G598" s="3" t="s">
        <v>43</v>
      </c>
      <c r="H598" s="5">
        <v>8.0</v>
      </c>
      <c r="I598" s="3" t="s">
        <v>638</v>
      </c>
      <c r="J598" s="19">
        <f t="shared" si="2"/>
        <v>60</v>
      </c>
      <c r="M598" s="5"/>
      <c r="N598" s="11">
        <f t="shared" si="1"/>
        <v>480</v>
      </c>
      <c r="O598" s="3" t="s">
        <v>663</v>
      </c>
      <c r="P598" s="3"/>
    </row>
    <row r="599">
      <c r="A599" s="9">
        <v>45590.32508101852</v>
      </c>
      <c r="B599" s="3" t="s">
        <v>391</v>
      </c>
      <c r="C599" s="5">
        <v>200.0</v>
      </c>
      <c r="D599" s="3" t="s">
        <v>146</v>
      </c>
      <c r="E599" s="3" t="s">
        <v>163</v>
      </c>
      <c r="F599" s="5">
        <v>189.74048174386922</v>
      </c>
      <c r="G599" s="3" t="s">
        <v>43</v>
      </c>
      <c r="H599" s="5">
        <v>8.0</v>
      </c>
      <c r="I599" s="3" t="s">
        <v>638</v>
      </c>
      <c r="J599" s="19">
        <f t="shared" si="2"/>
        <v>60</v>
      </c>
      <c r="M599" s="5"/>
      <c r="N599" s="11">
        <f t="shared" si="1"/>
        <v>480</v>
      </c>
      <c r="O599" s="3" t="s">
        <v>664</v>
      </c>
      <c r="P599" s="3"/>
    </row>
    <row r="600">
      <c r="A600" s="9">
        <v>45590.50224537037</v>
      </c>
      <c r="B600" s="3" t="s">
        <v>346</v>
      </c>
      <c r="C600" s="5">
        <v>145.0</v>
      </c>
      <c r="D600" s="3" t="s">
        <v>146</v>
      </c>
      <c r="E600" s="3" t="s">
        <v>163</v>
      </c>
      <c r="F600" s="5">
        <v>137.49497972752044</v>
      </c>
      <c r="G600" s="3" t="s">
        <v>35</v>
      </c>
      <c r="H600" s="5">
        <v>8.0</v>
      </c>
      <c r="I600" s="3" t="s">
        <v>638</v>
      </c>
      <c r="J600" s="19">
        <f t="shared" si="2"/>
        <v>60</v>
      </c>
      <c r="M600" s="5"/>
      <c r="N600" s="11">
        <f t="shared" si="1"/>
        <v>480</v>
      </c>
      <c r="O600" s="3" t="s">
        <v>665</v>
      </c>
      <c r="P600" s="3"/>
    </row>
    <row r="601">
      <c r="A601" s="9">
        <v>45592.3416087963</v>
      </c>
      <c r="B601" s="3" t="s">
        <v>666</v>
      </c>
      <c r="C601" s="5">
        <v>200.0</v>
      </c>
      <c r="D601" s="3" t="s">
        <v>146</v>
      </c>
      <c r="E601" s="3" t="s">
        <v>163</v>
      </c>
      <c r="F601" s="5">
        <v>189.75874659400546</v>
      </c>
      <c r="G601" s="3" t="s">
        <v>43</v>
      </c>
      <c r="H601" s="5">
        <v>8.0</v>
      </c>
      <c r="I601" s="3" t="s">
        <v>638</v>
      </c>
      <c r="J601" s="19">
        <f t="shared" si="2"/>
        <v>60</v>
      </c>
      <c r="M601" s="5"/>
      <c r="N601" s="11">
        <f t="shared" si="1"/>
        <v>480</v>
      </c>
      <c r="O601" s="3" t="s">
        <v>667</v>
      </c>
      <c r="P601" s="3"/>
    </row>
    <row r="602">
      <c r="A602" s="9">
        <v>45592.38704861111</v>
      </c>
      <c r="B602" s="3" t="s">
        <v>668</v>
      </c>
      <c r="C602" s="5">
        <v>20.0</v>
      </c>
      <c r="D602" s="3" t="s">
        <v>146</v>
      </c>
      <c r="E602" s="3" t="s">
        <v>163</v>
      </c>
      <c r="F602" s="5">
        <v>18.716284059945504</v>
      </c>
      <c r="G602" s="3" t="s">
        <v>35</v>
      </c>
      <c r="H602" s="5">
        <v>1.0</v>
      </c>
      <c r="I602" s="3" t="s">
        <v>642</v>
      </c>
      <c r="J602" s="19">
        <f t="shared" si="2"/>
        <v>60</v>
      </c>
      <c r="M602" s="5"/>
      <c r="N602" s="11">
        <f t="shared" si="1"/>
        <v>60</v>
      </c>
      <c r="O602" s="3" t="s">
        <v>669</v>
      </c>
      <c r="P602" s="3"/>
    </row>
    <row r="603">
      <c r="A603" s="9">
        <v>45593.41935185185</v>
      </c>
      <c r="B603" s="3" t="s">
        <v>656</v>
      </c>
      <c r="C603" s="5">
        <v>200.0</v>
      </c>
      <c r="D603" s="3" t="s">
        <v>146</v>
      </c>
      <c r="E603" s="3" t="s">
        <v>163</v>
      </c>
      <c r="F603" s="5">
        <v>189.7608340054496</v>
      </c>
      <c r="G603" s="3" t="s">
        <v>43</v>
      </c>
      <c r="H603" s="5">
        <v>8.0</v>
      </c>
      <c r="I603" s="3" t="s">
        <v>638</v>
      </c>
      <c r="J603" s="19">
        <f t="shared" si="2"/>
        <v>60</v>
      </c>
      <c r="M603" s="5"/>
      <c r="N603" s="11">
        <f t="shared" si="1"/>
        <v>480</v>
      </c>
      <c r="O603" s="3" t="s">
        <v>670</v>
      </c>
      <c r="P603" s="3"/>
    </row>
    <row r="604">
      <c r="A604" s="9">
        <v>45594.76662037037</v>
      </c>
      <c r="B604" s="3" t="s">
        <v>591</v>
      </c>
      <c r="C604" s="5">
        <v>850.0</v>
      </c>
      <c r="D604" s="3" t="s">
        <v>146</v>
      </c>
      <c r="E604" s="3" t="s">
        <v>163</v>
      </c>
      <c r="F604" s="5">
        <v>807.4171307901906</v>
      </c>
      <c r="G604" s="3" t="s">
        <v>43</v>
      </c>
      <c r="H604" s="5">
        <v>40.0</v>
      </c>
      <c r="I604" s="3" t="s">
        <v>638</v>
      </c>
      <c r="J604" s="19">
        <f t="shared" si="2"/>
        <v>60</v>
      </c>
      <c r="M604" s="5"/>
      <c r="N604" s="11">
        <f t="shared" si="1"/>
        <v>2400</v>
      </c>
      <c r="O604" s="3" t="s">
        <v>671</v>
      </c>
      <c r="P604" s="3"/>
    </row>
    <row r="605">
      <c r="A605" s="9">
        <v>45595.31364583333</v>
      </c>
      <c r="B605" s="3" t="s">
        <v>491</v>
      </c>
      <c r="C605" s="5">
        <v>30.0</v>
      </c>
      <c r="D605" s="3" t="s">
        <v>146</v>
      </c>
      <c r="E605" s="3" t="s">
        <v>163</v>
      </c>
      <c r="F605" s="5">
        <v>28.228078310626703</v>
      </c>
      <c r="G605" s="3" t="s">
        <v>43</v>
      </c>
      <c r="H605" s="5">
        <v>1.0</v>
      </c>
      <c r="I605" s="3" t="s">
        <v>642</v>
      </c>
      <c r="J605" s="19">
        <f t="shared" si="2"/>
        <v>60</v>
      </c>
      <c r="M605" s="5"/>
      <c r="N605" s="11">
        <f t="shared" si="1"/>
        <v>60</v>
      </c>
      <c r="O605" s="3" t="s">
        <v>672</v>
      </c>
      <c r="P605" s="3"/>
    </row>
    <row r="606">
      <c r="A606" s="9">
        <v>45595.613287037035</v>
      </c>
      <c r="B606" s="3" t="s">
        <v>334</v>
      </c>
      <c r="C606" s="5">
        <v>200.0</v>
      </c>
      <c r="D606" s="3" t="s">
        <v>146</v>
      </c>
      <c r="E606" s="3" t="s">
        <v>163</v>
      </c>
      <c r="F606" s="5">
        <v>189.79736370572206</v>
      </c>
      <c r="G606" s="3" t="s">
        <v>43</v>
      </c>
      <c r="H606" s="5">
        <v>8.0</v>
      </c>
      <c r="I606" s="3" t="s">
        <v>638</v>
      </c>
      <c r="J606" s="19">
        <f t="shared" si="2"/>
        <v>60</v>
      </c>
      <c r="M606" s="5"/>
      <c r="N606" s="11">
        <f t="shared" si="1"/>
        <v>480</v>
      </c>
      <c r="O606" s="3" t="s">
        <v>673</v>
      </c>
      <c r="P606" s="3"/>
    </row>
    <row r="607">
      <c r="A607" s="9">
        <v>45595.73185185185</v>
      </c>
      <c r="B607" s="3" t="s">
        <v>355</v>
      </c>
      <c r="C607" s="5">
        <v>200.0</v>
      </c>
      <c r="D607" s="3" t="s">
        <v>146</v>
      </c>
      <c r="E607" s="3" t="s">
        <v>163</v>
      </c>
      <c r="F607" s="5">
        <v>189.76239956403273</v>
      </c>
      <c r="G607" s="3" t="s">
        <v>43</v>
      </c>
      <c r="H607" s="5">
        <v>8.0</v>
      </c>
      <c r="I607" s="3" t="s">
        <v>638</v>
      </c>
      <c r="J607" s="19">
        <f t="shared" si="2"/>
        <v>60</v>
      </c>
      <c r="M607" s="5"/>
      <c r="N607" s="11">
        <f t="shared" si="1"/>
        <v>480</v>
      </c>
      <c r="O607" s="3" t="s">
        <v>674</v>
      </c>
      <c r="P607" s="3"/>
    </row>
    <row r="608">
      <c r="A608" s="9">
        <v>45596.610659722224</v>
      </c>
      <c r="B608" s="3" t="s">
        <v>675</v>
      </c>
      <c r="C608" s="5">
        <v>145.0</v>
      </c>
      <c r="D608" s="3" t="s">
        <v>146</v>
      </c>
      <c r="E608" s="3" t="s">
        <v>163</v>
      </c>
      <c r="F608" s="5">
        <v>139.02468446866484</v>
      </c>
      <c r="G608" s="3" t="s">
        <v>35</v>
      </c>
      <c r="H608" s="5">
        <v>8.0</v>
      </c>
      <c r="I608" s="3" t="s">
        <v>638</v>
      </c>
      <c r="J608" s="19">
        <f t="shared" si="2"/>
        <v>60</v>
      </c>
      <c r="M608" s="5"/>
      <c r="N608" s="11">
        <f t="shared" si="1"/>
        <v>480</v>
      </c>
      <c r="O608" s="3" t="s">
        <v>676</v>
      </c>
      <c r="P608" s="3"/>
    </row>
    <row r="609">
      <c r="A609" s="20">
        <v>45600.543541666666</v>
      </c>
      <c r="B609" s="3" t="s">
        <v>491</v>
      </c>
      <c r="C609" s="5">
        <v>200.0</v>
      </c>
      <c r="D609" s="3" t="s">
        <v>146</v>
      </c>
      <c r="E609" s="3" t="s">
        <v>163</v>
      </c>
      <c r="F609" s="5">
        <v>189.74</v>
      </c>
      <c r="G609" s="3" t="s">
        <v>43</v>
      </c>
      <c r="H609" s="5">
        <v>8.0</v>
      </c>
      <c r="I609" s="3" t="s">
        <v>638</v>
      </c>
      <c r="J609" s="19">
        <f t="shared" si="2"/>
        <v>60</v>
      </c>
      <c r="K609" s="5"/>
      <c r="L609" s="3"/>
      <c r="M609" s="5"/>
      <c r="N609" s="11">
        <f t="shared" si="1"/>
        <v>480</v>
      </c>
      <c r="O609" s="3" t="s">
        <v>677</v>
      </c>
      <c r="P609" s="3"/>
    </row>
    <row r="610">
      <c r="A610" s="20">
        <v>45600.600486111114</v>
      </c>
      <c r="B610" s="3" t="s">
        <v>595</v>
      </c>
      <c r="C610" s="5">
        <v>200.0</v>
      </c>
      <c r="D610" s="3" t="s">
        <v>146</v>
      </c>
      <c r="E610" s="3" t="s">
        <v>163</v>
      </c>
      <c r="F610" s="5">
        <v>189.78</v>
      </c>
      <c r="G610" s="3" t="s">
        <v>43</v>
      </c>
      <c r="H610" s="5">
        <v>8.0</v>
      </c>
      <c r="I610" s="3" t="s">
        <v>638</v>
      </c>
      <c r="J610" s="19">
        <f t="shared" si="2"/>
        <v>60</v>
      </c>
      <c r="K610" s="5"/>
      <c r="L610" s="3"/>
      <c r="M610" s="5"/>
      <c r="N610" s="11">
        <f t="shared" si="1"/>
        <v>480</v>
      </c>
      <c r="O610" s="3" t="s">
        <v>678</v>
      </c>
      <c r="P610" s="3"/>
    </row>
    <row r="611">
      <c r="A611" s="20">
        <v>45601.859976851854</v>
      </c>
      <c r="B611" s="19" t="s">
        <v>679</v>
      </c>
      <c r="C611" s="5">
        <v>145.0</v>
      </c>
      <c r="D611" s="3" t="s">
        <v>146</v>
      </c>
      <c r="E611" s="3" t="s">
        <v>163</v>
      </c>
      <c r="F611" s="5">
        <v>137.5</v>
      </c>
      <c r="G611" s="3" t="s">
        <v>35</v>
      </c>
      <c r="H611" s="5">
        <v>8.0</v>
      </c>
      <c r="I611" s="3" t="s">
        <v>638</v>
      </c>
      <c r="J611" s="19">
        <f t="shared" si="2"/>
        <v>60</v>
      </c>
      <c r="M611" s="5"/>
      <c r="N611" s="11">
        <f t="shared" si="1"/>
        <v>480</v>
      </c>
      <c r="O611" s="3" t="s">
        <v>680</v>
      </c>
      <c r="P611" s="3"/>
    </row>
    <row r="612">
      <c r="A612" s="20">
        <v>45602.301458333335</v>
      </c>
      <c r="B612" s="19" t="s">
        <v>417</v>
      </c>
      <c r="C612" s="5">
        <v>145.0</v>
      </c>
      <c r="D612" s="3" t="s">
        <v>146</v>
      </c>
      <c r="E612" s="3" t="s">
        <v>163</v>
      </c>
      <c r="F612" s="5">
        <v>137.5</v>
      </c>
      <c r="G612" s="3" t="s">
        <v>35</v>
      </c>
      <c r="H612" s="5">
        <v>8.0</v>
      </c>
      <c r="I612" s="3" t="s">
        <v>638</v>
      </c>
      <c r="J612" s="19">
        <f t="shared" si="2"/>
        <v>60</v>
      </c>
      <c r="M612" s="5"/>
      <c r="N612" s="11">
        <f t="shared" si="1"/>
        <v>480</v>
      </c>
      <c r="O612" s="3" t="s">
        <v>681</v>
      </c>
      <c r="P612" s="3"/>
    </row>
    <row r="613">
      <c r="A613" s="20">
        <v>45603.63177083333</v>
      </c>
      <c r="B613" s="19" t="s">
        <v>452</v>
      </c>
      <c r="C613" s="5">
        <v>180.0</v>
      </c>
      <c r="D613" s="3" t="s">
        <v>146</v>
      </c>
      <c r="E613" s="3" t="s">
        <v>163</v>
      </c>
      <c r="F613" s="5">
        <v>170.72</v>
      </c>
      <c r="G613" s="3" t="s">
        <v>43</v>
      </c>
      <c r="H613" s="5">
        <v>6.0</v>
      </c>
      <c r="I613" s="3" t="s">
        <v>642</v>
      </c>
      <c r="J613" s="19">
        <f t="shared" si="2"/>
        <v>60</v>
      </c>
      <c r="M613" s="5"/>
      <c r="N613" s="11">
        <f t="shared" si="1"/>
        <v>360</v>
      </c>
      <c r="O613" s="3" t="s">
        <v>682</v>
      </c>
      <c r="P613" s="3"/>
    </row>
    <row r="614">
      <c r="A614" s="20">
        <v>45605.77127314815</v>
      </c>
      <c r="B614" s="19" t="s">
        <v>528</v>
      </c>
      <c r="C614" s="5">
        <v>30.0</v>
      </c>
      <c r="D614" s="3" t="s">
        <v>146</v>
      </c>
      <c r="E614" s="3" t="s">
        <v>163</v>
      </c>
      <c r="F614" s="5">
        <v>28.22</v>
      </c>
      <c r="G614" s="3" t="s">
        <v>43</v>
      </c>
      <c r="H614" s="5">
        <v>1.0</v>
      </c>
      <c r="I614" s="3" t="s">
        <v>642</v>
      </c>
      <c r="J614" s="19">
        <f t="shared" si="2"/>
        <v>60</v>
      </c>
      <c r="M614" s="5"/>
      <c r="N614" s="11">
        <f t="shared" si="1"/>
        <v>60</v>
      </c>
      <c r="O614" s="3" t="s">
        <v>683</v>
      </c>
      <c r="P614" s="3"/>
    </row>
    <row r="615">
      <c r="A615" s="20">
        <v>45606.705092592594</v>
      </c>
      <c r="B615" s="19" t="s">
        <v>370</v>
      </c>
      <c r="C615" s="5">
        <v>200.0</v>
      </c>
      <c r="D615" s="3" t="s">
        <v>146</v>
      </c>
      <c r="E615" s="3" t="s">
        <v>163</v>
      </c>
      <c r="F615" s="5">
        <v>189.8</v>
      </c>
      <c r="G615" s="3" t="s">
        <v>43</v>
      </c>
      <c r="H615" s="5">
        <v>8.0</v>
      </c>
      <c r="I615" s="3" t="s">
        <v>638</v>
      </c>
      <c r="J615" s="19">
        <f t="shared" si="2"/>
        <v>60</v>
      </c>
      <c r="M615" s="5"/>
      <c r="N615" s="11">
        <f t="shared" si="1"/>
        <v>480</v>
      </c>
      <c r="O615" s="3" t="s">
        <v>684</v>
      </c>
      <c r="P615" s="3"/>
    </row>
    <row r="616">
      <c r="A616" s="20">
        <v>45607.692395833335</v>
      </c>
      <c r="B616" s="19" t="s">
        <v>685</v>
      </c>
      <c r="C616" s="5">
        <v>200.0</v>
      </c>
      <c r="D616" s="3" t="s">
        <v>146</v>
      </c>
      <c r="E616" s="3" t="s">
        <v>163</v>
      </c>
      <c r="F616" s="5">
        <v>189.76</v>
      </c>
      <c r="G616" s="3" t="s">
        <v>32</v>
      </c>
      <c r="H616" s="5">
        <v>12.0</v>
      </c>
      <c r="I616" s="3" t="s">
        <v>638</v>
      </c>
      <c r="J616" s="19">
        <f t="shared" si="2"/>
        <v>75</v>
      </c>
      <c r="M616" s="5"/>
      <c r="N616" s="11">
        <f t="shared" si="1"/>
        <v>900</v>
      </c>
      <c r="O616" s="3" t="s">
        <v>686</v>
      </c>
      <c r="P616" s="3"/>
    </row>
    <row r="617">
      <c r="A617" s="20">
        <v>45610.60024305555</v>
      </c>
      <c r="B617" s="19" t="s">
        <v>447</v>
      </c>
      <c r="C617" s="5">
        <v>145.0</v>
      </c>
      <c r="D617" s="3" t="s">
        <v>146</v>
      </c>
      <c r="E617" s="3" t="s">
        <v>163</v>
      </c>
      <c r="F617" s="5">
        <v>137.5</v>
      </c>
      <c r="G617" s="3" t="s">
        <v>35</v>
      </c>
      <c r="H617" s="5">
        <v>8.0</v>
      </c>
      <c r="I617" s="3" t="s">
        <v>638</v>
      </c>
      <c r="J617" s="19">
        <f t="shared" si="2"/>
        <v>60</v>
      </c>
      <c r="M617" s="5"/>
      <c r="N617" s="11">
        <f t="shared" si="1"/>
        <v>480</v>
      </c>
      <c r="O617" s="3" t="s">
        <v>687</v>
      </c>
      <c r="P617" s="3"/>
    </row>
    <row r="618">
      <c r="A618" s="20">
        <v>45612.72180555556</v>
      </c>
      <c r="B618" s="19" t="s">
        <v>688</v>
      </c>
      <c r="C618" s="5">
        <v>420.0</v>
      </c>
      <c r="D618" s="3" t="s">
        <v>146</v>
      </c>
      <c r="E618" s="3" t="s">
        <v>163</v>
      </c>
      <c r="F618" s="5">
        <v>403.17</v>
      </c>
      <c r="G618" s="3" t="s">
        <v>43</v>
      </c>
      <c r="H618" s="5">
        <v>8.0</v>
      </c>
      <c r="I618" s="3" t="s">
        <v>638</v>
      </c>
      <c r="J618" s="19">
        <f t="shared" si="2"/>
        <v>60</v>
      </c>
      <c r="M618" s="5"/>
      <c r="N618" s="11">
        <f t="shared" si="1"/>
        <v>480</v>
      </c>
      <c r="O618" s="3" t="s">
        <v>689</v>
      </c>
      <c r="P618" s="3"/>
    </row>
    <row r="619">
      <c r="A619" s="20">
        <v>45613.291342592594</v>
      </c>
      <c r="B619" s="19" t="s">
        <v>393</v>
      </c>
      <c r="C619" s="5">
        <v>145.0</v>
      </c>
      <c r="D619" s="3" t="s">
        <v>146</v>
      </c>
      <c r="E619" s="3" t="s">
        <v>163</v>
      </c>
      <c r="F619" s="5">
        <v>139.01</v>
      </c>
      <c r="G619" s="3" t="s">
        <v>35</v>
      </c>
      <c r="H619" s="5">
        <v>8.0</v>
      </c>
      <c r="I619" s="3" t="s">
        <v>638</v>
      </c>
      <c r="J619" s="19">
        <f t="shared" si="2"/>
        <v>60</v>
      </c>
      <c r="M619" s="5"/>
      <c r="N619" s="11">
        <f t="shared" si="1"/>
        <v>480</v>
      </c>
      <c r="O619" s="3" t="s">
        <v>690</v>
      </c>
      <c r="P619" s="3"/>
    </row>
    <row r="620">
      <c r="A620" s="20">
        <v>45613.320752314816</v>
      </c>
      <c r="B620" s="19" t="s">
        <v>668</v>
      </c>
      <c r="C620" s="5">
        <v>30.0</v>
      </c>
      <c r="D620" s="3" t="s">
        <v>146</v>
      </c>
      <c r="E620" s="3" t="s">
        <v>163</v>
      </c>
      <c r="F620" s="5">
        <v>28.22</v>
      </c>
      <c r="G620" s="3" t="s">
        <v>43</v>
      </c>
      <c r="H620" s="5">
        <v>1.0</v>
      </c>
      <c r="I620" s="3" t="s">
        <v>642</v>
      </c>
      <c r="J620" s="19">
        <f t="shared" si="2"/>
        <v>60</v>
      </c>
      <c r="M620" s="5"/>
      <c r="N620" s="11">
        <f t="shared" si="1"/>
        <v>60</v>
      </c>
      <c r="O620" s="3" t="s">
        <v>691</v>
      </c>
      <c r="P620" s="3"/>
    </row>
    <row r="621">
      <c r="A621" s="20">
        <v>45613.40043981482</v>
      </c>
      <c r="B621" s="19" t="s">
        <v>632</v>
      </c>
      <c r="C621" s="5">
        <v>200.0</v>
      </c>
      <c r="D621" s="3" t="s">
        <v>146</v>
      </c>
      <c r="E621" s="3" t="s">
        <v>163</v>
      </c>
      <c r="F621" s="5">
        <v>189.76</v>
      </c>
      <c r="G621" s="3" t="s">
        <v>43</v>
      </c>
      <c r="H621" s="5">
        <v>8.0</v>
      </c>
      <c r="I621" s="3" t="s">
        <v>638</v>
      </c>
      <c r="J621" s="19">
        <f t="shared" si="2"/>
        <v>60</v>
      </c>
      <c r="M621" s="5"/>
      <c r="N621" s="11">
        <f t="shared" si="1"/>
        <v>480</v>
      </c>
      <c r="O621" s="3" t="s">
        <v>692</v>
      </c>
      <c r="P621" s="3"/>
    </row>
    <row r="622">
      <c r="A622" s="20">
        <v>45614.274097222224</v>
      </c>
      <c r="B622" s="19" t="s">
        <v>607</v>
      </c>
      <c r="C622" s="5">
        <v>200.0</v>
      </c>
      <c r="D622" s="3" t="s">
        <v>146</v>
      </c>
      <c r="E622" s="3" t="s">
        <v>163</v>
      </c>
      <c r="F622" s="5">
        <v>189.76</v>
      </c>
      <c r="G622" s="3" t="s">
        <v>43</v>
      </c>
      <c r="H622" s="5">
        <v>8.0</v>
      </c>
      <c r="I622" s="3" t="s">
        <v>638</v>
      </c>
      <c r="J622" s="19">
        <f t="shared" si="2"/>
        <v>60</v>
      </c>
      <c r="M622" s="5"/>
      <c r="N622" s="11">
        <f t="shared" si="1"/>
        <v>480</v>
      </c>
      <c r="O622" s="3" t="s">
        <v>693</v>
      </c>
      <c r="P622" s="3"/>
    </row>
    <row r="623">
      <c r="A623" s="20">
        <v>45614.82336805556</v>
      </c>
      <c r="B623" s="19" t="s">
        <v>368</v>
      </c>
      <c r="C623" s="5">
        <v>200.0</v>
      </c>
      <c r="D623" s="3" t="s">
        <v>146</v>
      </c>
      <c r="E623" s="3" t="s">
        <v>163</v>
      </c>
      <c r="F623" s="5">
        <v>189.76</v>
      </c>
      <c r="G623" s="3" t="s">
        <v>43</v>
      </c>
      <c r="H623" s="5">
        <v>8.0</v>
      </c>
      <c r="I623" s="3" t="s">
        <v>638</v>
      </c>
      <c r="J623" s="19">
        <f t="shared" si="2"/>
        <v>60</v>
      </c>
      <c r="M623" s="5"/>
      <c r="N623" s="11">
        <f t="shared" si="1"/>
        <v>480</v>
      </c>
      <c r="O623" s="3" t="s">
        <v>694</v>
      </c>
      <c r="P623" s="3"/>
    </row>
    <row r="624">
      <c r="A624" s="20">
        <v>45614.930393518516</v>
      </c>
      <c r="B624" s="19" t="s">
        <v>584</v>
      </c>
      <c r="C624" s="5">
        <v>20.0</v>
      </c>
      <c r="D624" s="3" t="s">
        <v>146</v>
      </c>
      <c r="E624" s="3" t="s">
        <v>163</v>
      </c>
      <c r="F624" s="5">
        <v>18.72</v>
      </c>
      <c r="G624" s="3" t="s">
        <v>35</v>
      </c>
      <c r="H624" s="5">
        <v>1.0</v>
      </c>
      <c r="I624" s="3" t="s">
        <v>642</v>
      </c>
      <c r="J624" s="19">
        <f t="shared" si="2"/>
        <v>60</v>
      </c>
      <c r="M624" s="5"/>
      <c r="N624" s="11">
        <f t="shared" si="1"/>
        <v>60</v>
      </c>
      <c r="O624" s="3" t="s">
        <v>695</v>
      </c>
      <c r="P624" s="3"/>
    </row>
    <row r="625">
      <c r="A625" s="20">
        <v>45614.93074074074</v>
      </c>
      <c r="B625" s="19" t="s">
        <v>584</v>
      </c>
      <c r="C625" s="5">
        <v>20.0</v>
      </c>
      <c r="D625" s="3" t="s">
        <v>146</v>
      </c>
      <c r="E625" s="3" t="s">
        <v>163</v>
      </c>
      <c r="F625" s="5">
        <v>18.72</v>
      </c>
      <c r="G625" s="3" t="s">
        <v>35</v>
      </c>
      <c r="H625" s="5">
        <v>1.0</v>
      </c>
      <c r="I625" s="3" t="s">
        <v>642</v>
      </c>
      <c r="J625" s="19">
        <f t="shared" si="2"/>
        <v>60</v>
      </c>
      <c r="M625" s="5"/>
      <c r="N625" s="11">
        <f t="shared" si="1"/>
        <v>60</v>
      </c>
      <c r="O625" s="3" t="s">
        <v>696</v>
      </c>
      <c r="P625" s="3"/>
    </row>
    <row r="626">
      <c r="A626" s="20">
        <v>45615.47136574074</v>
      </c>
      <c r="B626" s="19" t="s">
        <v>697</v>
      </c>
      <c r="C626" s="5">
        <v>30.0</v>
      </c>
      <c r="D626" s="3" t="s">
        <v>146</v>
      </c>
      <c r="E626" s="3" t="s">
        <v>163</v>
      </c>
      <c r="F626" s="5">
        <v>28.22</v>
      </c>
      <c r="G626" s="3" t="s">
        <v>43</v>
      </c>
      <c r="H626" s="5">
        <v>1.0</v>
      </c>
      <c r="I626" s="3" t="s">
        <v>642</v>
      </c>
      <c r="J626" s="19">
        <f t="shared" si="2"/>
        <v>60</v>
      </c>
      <c r="M626" s="5"/>
      <c r="N626" s="11">
        <f t="shared" si="1"/>
        <v>60</v>
      </c>
      <c r="O626" s="3" t="s">
        <v>698</v>
      </c>
      <c r="P626" s="3"/>
    </row>
    <row r="627">
      <c r="A627" s="20">
        <v>45615.64833333333</v>
      </c>
      <c r="B627" s="19" t="s">
        <v>434</v>
      </c>
      <c r="C627" s="5">
        <v>200.0</v>
      </c>
      <c r="D627" s="3" t="s">
        <v>146</v>
      </c>
      <c r="E627" s="3" t="s">
        <v>163</v>
      </c>
      <c r="F627" s="5">
        <v>189.72</v>
      </c>
      <c r="G627" s="3" t="s">
        <v>43</v>
      </c>
      <c r="H627" s="5">
        <v>8.0</v>
      </c>
      <c r="I627" s="3" t="s">
        <v>638</v>
      </c>
      <c r="J627" s="19">
        <f t="shared" si="2"/>
        <v>60</v>
      </c>
      <c r="M627" s="5"/>
      <c r="N627" s="11">
        <f t="shared" si="1"/>
        <v>480</v>
      </c>
      <c r="O627" s="3" t="s">
        <v>699</v>
      </c>
      <c r="P627" s="3"/>
    </row>
    <row r="628">
      <c r="A628" s="20">
        <v>45617.60649305556</v>
      </c>
      <c r="B628" s="19" t="s">
        <v>551</v>
      </c>
      <c r="C628" s="5">
        <v>200.0</v>
      </c>
      <c r="D628" s="3" t="s">
        <v>146</v>
      </c>
      <c r="E628" s="3" t="s">
        <v>163</v>
      </c>
      <c r="F628" s="5">
        <v>189.72</v>
      </c>
      <c r="G628" s="3" t="s">
        <v>43</v>
      </c>
      <c r="H628" s="5">
        <v>8.0</v>
      </c>
      <c r="I628" s="3" t="s">
        <v>638</v>
      </c>
      <c r="J628" s="19">
        <f t="shared" si="2"/>
        <v>60</v>
      </c>
      <c r="M628" s="5"/>
      <c r="N628" s="11">
        <f t="shared" si="1"/>
        <v>480</v>
      </c>
      <c r="O628" s="3" t="s">
        <v>700</v>
      </c>
      <c r="P628" s="3"/>
    </row>
    <row r="629">
      <c r="A629" s="20">
        <v>45619.295798611114</v>
      </c>
      <c r="B629" s="19" t="s">
        <v>668</v>
      </c>
      <c r="C629" s="5">
        <v>200.0</v>
      </c>
      <c r="D629" s="3" t="s">
        <v>146</v>
      </c>
      <c r="E629" s="3" t="s">
        <v>163</v>
      </c>
      <c r="F629" s="5">
        <v>189.76</v>
      </c>
      <c r="G629" s="3" t="s">
        <v>43</v>
      </c>
      <c r="H629" s="5">
        <v>8.0</v>
      </c>
      <c r="I629" s="3" t="s">
        <v>638</v>
      </c>
      <c r="J629" s="19">
        <f t="shared" si="2"/>
        <v>60</v>
      </c>
      <c r="M629" s="5"/>
      <c r="N629" s="11">
        <f t="shared" si="1"/>
        <v>480</v>
      </c>
      <c r="O629" s="3" t="s">
        <v>701</v>
      </c>
      <c r="P629" s="3"/>
    </row>
    <row r="630">
      <c r="A630" s="20">
        <v>45620.46671296296</v>
      </c>
      <c r="B630" s="19" t="s">
        <v>623</v>
      </c>
      <c r="C630" s="5">
        <v>145.0</v>
      </c>
      <c r="D630" s="3" t="s">
        <v>146</v>
      </c>
      <c r="E630" s="3" t="s">
        <v>163</v>
      </c>
      <c r="F630" s="5">
        <v>137.5</v>
      </c>
      <c r="G630" s="3" t="s">
        <v>35</v>
      </c>
      <c r="H630" s="5">
        <v>8.0</v>
      </c>
      <c r="I630" s="3" t="s">
        <v>638</v>
      </c>
      <c r="J630" s="19">
        <f t="shared" si="2"/>
        <v>60</v>
      </c>
      <c r="M630" s="5"/>
      <c r="N630" s="11">
        <f t="shared" si="1"/>
        <v>480</v>
      </c>
      <c r="O630" s="3" t="s">
        <v>702</v>
      </c>
      <c r="P630" s="3"/>
    </row>
    <row r="631">
      <c r="A631" s="20">
        <v>45621.88209490741</v>
      </c>
      <c r="B631" s="19" t="s">
        <v>336</v>
      </c>
      <c r="C631" s="5">
        <v>200.0</v>
      </c>
      <c r="D631" s="3" t="s">
        <v>146</v>
      </c>
      <c r="E631" s="3" t="s">
        <v>163</v>
      </c>
      <c r="F631" s="5">
        <v>189.77</v>
      </c>
      <c r="G631" s="3" t="s">
        <v>43</v>
      </c>
      <c r="H631" s="5">
        <v>8.0</v>
      </c>
      <c r="I631" s="3" t="s">
        <v>638</v>
      </c>
      <c r="J631" s="19">
        <f t="shared" si="2"/>
        <v>60</v>
      </c>
      <c r="M631" s="5"/>
      <c r="N631" s="11">
        <f t="shared" si="1"/>
        <v>480</v>
      </c>
      <c r="O631" s="3" t="s">
        <v>703</v>
      </c>
      <c r="P631" s="3"/>
    </row>
    <row r="632">
      <c r="A632" s="20">
        <v>45625.76094907407</v>
      </c>
      <c r="B632" s="19" t="s">
        <v>475</v>
      </c>
      <c r="C632" s="5">
        <v>200.0</v>
      </c>
      <c r="D632" s="3" t="s">
        <v>146</v>
      </c>
      <c r="E632" s="3" t="s">
        <v>163</v>
      </c>
      <c r="F632" s="5">
        <v>189.76</v>
      </c>
      <c r="G632" s="3" t="s">
        <v>43</v>
      </c>
      <c r="H632" s="5">
        <v>8.0</v>
      </c>
      <c r="I632" s="3" t="s">
        <v>638</v>
      </c>
      <c r="J632" s="19">
        <f t="shared" si="2"/>
        <v>60</v>
      </c>
      <c r="M632" s="5"/>
      <c r="N632" s="11">
        <f t="shared" si="1"/>
        <v>480</v>
      </c>
      <c r="O632" s="3" t="s">
        <v>704</v>
      </c>
      <c r="P632" s="3"/>
    </row>
    <row r="633">
      <c r="A633" s="20">
        <v>45627.39230324074</v>
      </c>
      <c r="B633" s="19" t="s">
        <v>705</v>
      </c>
      <c r="C633" s="5">
        <v>200.0</v>
      </c>
      <c r="D633" s="3" t="s">
        <v>146</v>
      </c>
      <c r="E633" s="3" t="s">
        <v>163</v>
      </c>
      <c r="F633" s="5">
        <v>189.76</v>
      </c>
      <c r="G633" s="3" t="s">
        <v>43</v>
      </c>
      <c r="H633" s="5">
        <v>8.0</v>
      </c>
      <c r="I633" s="3" t="s">
        <v>638</v>
      </c>
      <c r="J633" s="19">
        <f t="shared" si="2"/>
        <v>60</v>
      </c>
      <c r="M633" s="5"/>
      <c r="N633" s="11">
        <f t="shared" si="1"/>
        <v>480</v>
      </c>
      <c r="O633" s="3" t="s">
        <v>706</v>
      </c>
      <c r="P633" s="3"/>
    </row>
    <row r="634">
      <c r="A634" s="20">
        <v>45627.72436342593</v>
      </c>
      <c r="B634" s="19" t="s">
        <v>427</v>
      </c>
      <c r="C634" s="5">
        <v>200.0</v>
      </c>
      <c r="D634" s="3" t="s">
        <v>146</v>
      </c>
      <c r="E634" s="3" t="s">
        <v>163</v>
      </c>
      <c r="F634" s="5">
        <v>189.76</v>
      </c>
      <c r="G634" s="3" t="s">
        <v>43</v>
      </c>
      <c r="H634" s="5">
        <v>8.0</v>
      </c>
      <c r="I634" s="3" t="s">
        <v>638</v>
      </c>
      <c r="J634" s="19">
        <f t="shared" si="2"/>
        <v>60</v>
      </c>
      <c r="M634" s="5"/>
      <c r="N634" s="11">
        <f t="shared" si="1"/>
        <v>480</v>
      </c>
      <c r="O634" s="3" t="s">
        <v>707</v>
      </c>
      <c r="P634" s="3"/>
    </row>
    <row r="635">
      <c r="A635" s="20">
        <v>45627.99798611111</v>
      </c>
      <c r="B635" s="19" t="s">
        <v>510</v>
      </c>
      <c r="C635" s="5">
        <v>200.0</v>
      </c>
      <c r="D635" s="3" t="s">
        <v>146</v>
      </c>
      <c r="E635" s="3" t="s">
        <v>163</v>
      </c>
      <c r="F635" s="5">
        <v>189.76</v>
      </c>
      <c r="G635" s="3" t="s">
        <v>43</v>
      </c>
      <c r="H635" s="5">
        <v>8.0</v>
      </c>
      <c r="I635" s="3" t="s">
        <v>638</v>
      </c>
      <c r="J635" s="19">
        <f t="shared" si="2"/>
        <v>60</v>
      </c>
      <c r="M635" s="5"/>
      <c r="N635" s="11">
        <f t="shared" si="1"/>
        <v>480</v>
      </c>
      <c r="O635" s="3" t="s">
        <v>708</v>
      </c>
      <c r="P635" s="3"/>
    </row>
    <row r="636">
      <c r="A636" s="20">
        <v>45628.7175</v>
      </c>
      <c r="B636" s="3" t="s">
        <v>584</v>
      </c>
      <c r="C636" s="5">
        <v>20.0</v>
      </c>
      <c r="D636" s="3" t="s">
        <v>146</v>
      </c>
      <c r="E636" s="3" t="s">
        <v>163</v>
      </c>
      <c r="F636" s="5">
        <v>18.71</v>
      </c>
      <c r="G636" s="3" t="s">
        <v>35</v>
      </c>
      <c r="H636" s="5">
        <v>1.0</v>
      </c>
      <c r="I636" s="3" t="s">
        <v>642</v>
      </c>
      <c r="J636" s="19">
        <f t="shared" si="2"/>
        <v>60</v>
      </c>
      <c r="K636" s="5"/>
      <c r="L636" s="3"/>
      <c r="M636" s="5"/>
      <c r="N636" s="11">
        <f t="shared" si="1"/>
        <v>60</v>
      </c>
      <c r="O636" s="3" t="s">
        <v>709</v>
      </c>
      <c r="P636" s="3"/>
    </row>
    <row r="637">
      <c r="A637" s="20">
        <v>45628.72466435185</v>
      </c>
      <c r="B637" s="3" t="s">
        <v>584</v>
      </c>
      <c r="C637" s="5">
        <v>20.0</v>
      </c>
      <c r="D637" s="3" t="s">
        <v>146</v>
      </c>
      <c r="E637" s="3" t="s">
        <v>163</v>
      </c>
      <c r="F637" s="5">
        <v>18.71</v>
      </c>
      <c r="G637" s="3" t="s">
        <v>35</v>
      </c>
      <c r="H637" s="5">
        <v>1.0</v>
      </c>
      <c r="I637" s="3" t="s">
        <v>642</v>
      </c>
      <c r="J637" s="19">
        <f t="shared" si="2"/>
        <v>60</v>
      </c>
      <c r="K637" s="5"/>
      <c r="L637" s="3"/>
      <c r="M637" s="5"/>
      <c r="N637" s="11">
        <f t="shared" si="1"/>
        <v>60</v>
      </c>
      <c r="O637" s="3" t="s">
        <v>710</v>
      </c>
      <c r="P637" s="3"/>
    </row>
    <row r="638">
      <c r="A638" s="20">
        <v>45628.72491898148</v>
      </c>
      <c r="B638" s="3" t="s">
        <v>584</v>
      </c>
      <c r="C638" s="5">
        <v>20.0</v>
      </c>
      <c r="D638" s="3" t="s">
        <v>146</v>
      </c>
      <c r="E638" s="3" t="s">
        <v>163</v>
      </c>
      <c r="F638" s="5">
        <v>18.71</v>
      </c>
      <c r="G638" s="3" t="s">
        <v>35</v>
      </c>
      <c r="H638" s="5">
        <v>1.0</v>
      </c>
      <c r="I638" s="3" t="s">
        <v>642</v>
      </c>
      <c r="J638" s="19">
        <f t="shared" si="2"/>
        <v>60</v>
      </c>
      <c r="K638" s="5"/>
      <c r="L638" s="3"/>
      <c r="M638" s="5"/>
      <c r="N638" s="11">
        <f t="shared" si="1"/>
        <v>60</v>
      </c>
      <c r="O638" s="3" t="s">
        <v>711</v>
      </c>
      <c r="P638" s="3"/>
    </row>
    <row r="639">
      <c r="A639" s="20">
        <v>45629.358506944445</v>
      </c>
      <c r="B639" s="3" t="s">
        <v>712</v>
      </c>
      <c r="C639" s="5">
        <v>200.0</v>
      </c>
      <c r="D639" s="3" t="s">
        <v>146</v>
      </c>
      <c r="E639" s="3" t="s">
        <v>163</v>
      </c>
      <c r="F639" s="5">
        <v>189.77</v>
      </c>
      <c r="G639" s="3" t="s">
        <v>43</v>
      </c>
      <c r="H639" s="5">
        <v>8.0</v>
      </c>
      <c r="I639" s="3" t="s">
        <v>638</v>
      </c>
      <c r="J639" s="19">
        <f t="shared" si="2"/>
        <v>60</v>
      </c>
      <c r="K639" s="5"/>
      <c r="L639" s="3"/>
      <c r="M639" s="5"/>
      <c r="N639" s="11">
        <f t="shared" si="1"/>
        <v>480</v>
      </c>
      <c r="O639" s="3" t="s">
        <v>713</v>
      </c>
      <c r="P639" s="3"/>
    </row>
    <row r="640">
      <c r="A640" s="20">
        <v>45630.6421875</v>
      </c>
      <c r="B640" s="3" t="s">
        <v>562</v>
      </c>
      <c r="C640" s="5">
        <v>200.0</v>
      </c>
      <c r="D640" s="3" t="s">
        <v>146</v>
      </c>
      <c r="E640" s="3" t="s">
        <v>163</v>
      </c>
      <c r="F640" s="5">
        <v>189.76</v>
      </c>
      <c r="G640" s="3" t="s">
        <v>32</v>
      </c>
      <c r="H640" s="5">
        <v>12.0</v>
      </c>
      <c r="I640" s="3" t="s">
        <v>638</v>
      </c>
      <c r="J640" s="19">
        <f t="shared" si="2"/>
        <v>75</v>
      </c>
      <c r="K640" s="5"/>
      <c r="L640" s="3"/>
      <c r="M640" s="5"/>
      <c r="N640" s="11">
        <f t="shared" si="1"/>
        <v>900</v>
      </c>
      <c r="O640" s="3" t="s">
        <v>714</v>
      </c>
      <c r="P640" s="3"/>
    </row>
    <row r="641">
      <c r="A641" s="20">
        <v>45630.93168981482</v>
      </c>
      <c r="B641" s="3" t="s">
        <v>430</v>
      </c>
      <c r="C641" s="5">
        <v>200.0</v>
      </c>
      <c r="D641" s="3" t="s">
        <v>146</v>
      </c>
      <c r="E641" s="3" t="s">
        <v>163</v>
      </c>
      <c r="F641" s="5">
        <v>189.76</v>
      </c>
      <c r="G641" s="3" t="s">
        <v>43</v>
      </c>
      <c r="H641" s="5">
        <v>8.0</v>
      </c>
      <c r="I641" s="3" t="s">
        <v>638</v>
      </c>
      <c r="J641" s="19">
        <f t="shared" si="2"/>
        <v>60</v>
      </c>
      <c r="K641" s="5"/>
      <c r="L641" s="3"/>
      <c r="M641" s="5"/>
      <c r="N641" s="11">
        <f t="shared" si="1"/>
        <v>480</v>
      </c>
      <c r="O641" s="3" t="s">
        <v>715</v>
      </c>
      <c r="P641" s="3"/>
    </row>
    <row r="642">
      <c r="A642" s="20">
        <v>45631.03538194444</v>
      </c>
      <c r="B642" s="3" t="s">
        <v>716</v>
      </c>
      <c r="C642" s="5">
        <v>200.0</v>
      </c>
      <c r="D642" s="3" t="s">
        <v>146</v>
      </c>
      <c r="E642" s="3" t="s">
        <v>163</v>
      </c>
      <c r="F642" s="5">
        <v>189.8</v>
      </c>
      <c r="G642" s="3" t="s">
        <v>43</v>
      </c>
      <c r="H642" s="5">
        <v>8.0</v>
      </c>
      <c r="I642" s="3" t="s">
        <v>638</v>
      </c>
      <c r="J642" s="19">
        <f t="shared" si="2"/>
        <v>60</v>
      </c>
      <c r="K642" s="5"/>
      <c r="L642" s="3"/>
      <c r="M642" s="5"/>
      <c r="N642" s="11">
        <f t="shared" si="1"/>
        <v>480</v>
      </c>
      <c r="O642" s="3" t="s">
        <v>717</v>
      </c>
      <c r="P642" s="3"/>
    </row>
    <row r="643">
      <c r="A643" s="20">
        <v>45631.72957175926</v>
      </c>
      <c r="B643" s="3" t="s">
        <v>685</v>
      </c>
      <c r="C643" s="5">
        <v>200.0</v>
      </c>
      <c r="D643" s="3" t="s">
        <v>146</v>
      </c>
      <c r="E643" s="3" t="s">
        <v>163</v>
      </c>
      <c r="F643" s="5">
        <v>189.76</v>
      </c>
      <c r="G643" s="3" t="s">
        <v>32</v>
      </c>
      <c r="H643" s="5">
        <v>12.0</v>
      </c>
      <c r="I643" s="3" t="s">
        <v>638</v>
      </c>
      <c r="J643" s="19">
        <f t="shared" si="2"/>
        <v>75</v>
      </c>
      <c r="K643" s="5"/>
      <c r="L643" s="3"/>
      <c r="M643" s="5"/>
      <c r="N643" s="11">
        <f t="shared" si="1"/>
        <v>900</v>
      </c>
      <c r="O643" s="3" t="s">
        <v>718</v>
      </c>
      <c r="P643" s="3"/>
    </row>
    <row r="644">
      <c r="A644" s="20">
        <v>45635.226631944446</v>
      </c>
      <c r="B644" s="3" t="s">
        <v>419</v>
      </c>
      <c r="C644" s="5">
        <v>30.0</v>
      </c>
      <c r="D644" s="3" t="s">
        <v>146</v>
      </c>
      <c r="E644" s="3" t="s">
        <v>163</v>
      </c>
      <c r="F644" s="5">
        <v>28.22</v>
      </c>
      <c r="G644" s="3" t="s">
        <v>43</v>
      </c>
      <c r="H644" s="5">
        <v>1.0</v>
      </c>
      <c r="I644" s="3" t="s">
        <v>642</v>
      </c>
      <c r="J644" s="19">
        <f t="shared" si="2"/>
        <v>60</v>
      </c>
      <c r="K644" s="5"/>
      <c r="L644" s="3"/>
      <c r="M644" s="5"/>
      <c r="N644" s="11">
        <f t="shared" si="1"/>
        <v>60</v>
      </c>
      <c r="O644" s="3" t="s">
        <v>719</v>
      </c>
      <c r="P644" s="3"/>
    </row>
    <row r="645">
      <c r="A645" s="20">
        <v>45635.22635416667</v>
      </c>
      <c r="B645" s="3" t="s">
        <v>419</v>
      </c>
      <c r="C645" s="5">
        <v>30.0</v>
      </c>
      <c r="D645" s="3" t="s">
        <v>146</v>
      </c>
      <c r="E645" s="3" t="s">
        <v>163</v>
      </c>
      <c r="F645" s="5">
        <v>28.22</v>
      </c>
      <c r="G645" s="3" t="s">
        <v>43</v>
      </c>
      <c r="H645" s="5">
        <v>1.0</v>
      </c>
      <c r="I645" s="3" t="s">
        <v>642</v>
      </c>
      <c r="J645" s="19">
        <f t="shared" si="2"/>
        <v>60</v>
      </c>
      <c r="K645" s="5"/>
      <c r="L645" s="3"/>
      <c r="M645" s="5"/>
      <c r="N645" s="11">
        <f t="shared" si="1"/>
        <v>60</v>
      </c>
      <c r="O645" s="3" t="s">
        <v>720</v>
      </c>
      <c r="P645" s="3"/>
    </row>
    <row r="646">
      <c r="A646" s="20">
        <v>45641.87642361111</v>
      </c>
      <c r="B646" s="3" t="s">
        <v>458</v>
      </c>
      <c r="C646" s="5">
        <v>200.0</v>
      </c>
      <c r="D646" s="3" t="s">
        <v>146</v>
      </c>
      <c r="E646" s="3" t="s">
        <v>163</v>
      </c>
      <c r="F646" s="5">
        <v>189.72</v>
      </c>
      <c r="G646" s="3" t="s">
        <v>43</v>
      </c>
      <c r="H646" s="5">
        <v>8.0</v>
      </c>
      <c r="I646" s="3" t="s">
        <v>638</v>
      </c>
      <c r="J646" s="19">
        <f t="shared" si="2"/>
        <v>60</v>
      </c>
      <c r="K646" s="5"/>
      <c r="L646" s="3"/>
      <c r="M646" s="5"/>
      <c r="N646" s="11">
        <f t="shared" si="1"/>
        <v>480</v>
      </c>
      <c r="O646" s="3" t="s">
        <v>721</v>
      </c>
      <c r="P646" s="3"/>
    </row>
    <row r="647">
      <c r="A647" s="20">
        <v>45641.97777777778</v>
      </c>
      <c r="B647" s="3" t="s">
        <v>411</v>
      </c>
      <c r="C647" s="5">
        <v>200.0</v>
      </c>
      <c r="D647" s="3" t="s">
        <v>146</v>
      </c>
      <c r="E647" s="3" t="s">
        <v>163</v>
      </c>
      <c r="F647" s="5">
        <v>189.8</v>
      </c>
      <c r="G647" s="3" t="s">
        <v>43</v>
      </c>
      <c r="H647" s="5">
        <v>8.0</v>
      </c>
      <c r="I647" s="3" t="s">
        <v>638</v>
      </c>
      <c r="J647" s="19">
        <f t="shared" si="2"/>
        <v>60</v>
      </c>
      <c r="K647" s="5"/>
      <c r="L647" s="3"/>
      <c r="M647" s="5"/>
      <c r="N647" s="11">
        <f t="shared" si="1"/>
        <v>480</v>
      </c>
      <c r="O647" s="3" t="s">
        <v>722</v>
      </c>
      <c r="P647" s="3"/>
    </row>
    <row r="648">
      <c r="A648" s="20">
        <v>45644.64230324074</v>
      </c>
      <c r="B648" s="3" t="s">
        <v>357</v>
      </c>
      <c r="C648" s="5">
        <v>145.0</v>
      </c>
      <c r="D648" s="3" t="s">
        <v>146</v>
      </c>
      <c r="E648" s="3" t="s">
        <v>163</v>
      </c>
      <c r="F648" s="5">
        <v>137.47</v>
      </c>
      <c r="G648" s="3" t="s">
        <v>35</v>
      </c>
      <c r="H648" s="5">
        <v>8.0</v>
      </c>
      <c r="I648" s="3" t="s">
        <v>638</v>
      </c>
      <c r="J648" s="19">
        <f t="shared" si="2"/>
        <v>60</v>
      </c>
      <c r="K648" s="5"/>
      <c r="L648" s="3"/>
      <c r="M648" s="5"/>
      <c r="N648" s="11">
        <f t="shared" si="1"/>
        <v>480</v>
      </c>
      <c r="O648" s="3" t="s">
        <v>723</v>
      </c>
      <c r="P648" s="3"/>
    </row>
    <row r="649">
      <c r="A649" s="20">
        <v>45646.15865740741</v>
      </c>
      <c r="B649" s="3" t="s">
        <v>724</v>
      </c>
      <c r="C649" s="5">
        <v>850.0</v>
      </c>
      <c r="D649" s="3" t="s">
        <v>146</v>
      </c>
      <c r="E649" s="3" t="s">
        <v>163</v>
      </c>
      <c r="F649" s="5">
        <v>807.41</v>
      </c>
      <c r="G649" s="3" t="s">
        <v>43</v>
      </c>
      <c r="H649" s="5">
        <v>40.0</v>
      </c>
      <c r="I649" s="3" t="s">
        <v>638</v>
      </c>
      <c r="J649" s="19">
        <f t="shared" si="2"/>
        <v>60</v>
      </c>
      <c r="K649" s="5"/>
      <c r="L649" s="3"/>
      <c r="M649" s="5"/>
      <c r="N649" s="11">
        <f t="shared" si="1"/>
        <v>2400</v>
      </c>
      <c r="O649" s="3" t="s">
        <v>725</v>
      </c>
      <c r="P649" s="3"/>
    </row>
    <row r="650">
      <c r="A650" s="20">
        <v>45646.43273148148</v>
      </c>
      <c r="B650" s="3" t="s">
        <v>90</v>
      </c>
      <c r="C650" s="5">
        <v>145.0</v>
      </c>
      <c r="D650" s="3" t="s">
        <v>146</v>
      </c>
      <c r="E650" s="3" t="s">
        <v>163</v>
      </c>
      <c r="F650" s="5">
        <v>137.5</v>
      </c>
      <c r="G650" s="3" t="s">
        <v>35</v>
      </c>
      <c r="H650" s="5">
        <v>8.0</v>
      </c>
      <c r="I650" s="3" t="s">
        <v>638</v>
      </c>
      <c r="J650" s="19">
        <f t="shared" si="2"/>
        <v>60</v>
      </c>
      <c r="K650" s="5"/>
      <c r="L650" s="3"/>
      <c r="M650" s="5"/>
      <c r="N650" s="11">
        <f t="shared" si="1"/>
        <v>480</v>
      </c>
      <c r="O650" s="3" t="s">
        <v>726</v>
      </c>
      <c r="P650" s="3"/>
    </row>
    <row r="651">
      <c r="A651" s="20">
        <v>45647.40943287037</v>
      </c>
      <c r="B651" s="3" t="s">
        <v>488</v>
      </c>
      <c r="C651" s="5">
        <v>145.0</v>
      </c>
      <c r="D651" s="3" t="s">
        <v>146</v>
      </c>
      <c r="E651" s="3" t="s">
        <v>163</v>
      </c>
      <c r="F651" s="5">
        <v>137.5</v>
      </c>
      <c r="G651" s="3" t="s">
        <v>35</v>
      </c>
      <c r="H651" s="5">
        <v>8.0</v>
      </c>
      <c r="I651" s="3" t="s">
        <v>638</v>
      </c>
      <c r="J651" s="19">
        <f t="shared" si="2"/>
        <v>60</v>
      </c>
      <c r="K651" s="5"/>
      <c r="L651" s="3"/>
      <c r="M651" s="5"/>
      <c r="N651" s="11">
        <f t="shared" si="1"/>
        <v>480</v>
      </c>
      <c r="O651" s="3" t="s">
        <v>727</v>
      </c>
      <c r="P651" s="3"/>
    </row>
    <row r="652">
      <c r="A652" s="20">
        <v>45650.54990740741</v>
      </c>
      <c r="B652" s="3" t="s">
        <v>419</v>
      </c>
      <c r="C652" s="5">
        <v>200.0</v>
      </c>
      <c r="D652" s="3" t="s">
        <v>146</v>
      </c>
      <c r="E652" s="3" t="s">
        <v>163</v>
      </c>
      <c r="F652" s="5">
        <v>189.76</v>
      </c>
      <c r="G652" s="3" t="s">
        <v>43</v>
      </c>
      <c r="H652" s="5">
        <v>8.0</v>
      </c>
      <c r="I652" s="3" t="s">
        <v>638</v>
      </c>
      <c r="J652" s="19">
        <f t="shared" si="2"/>
        <v>60</v>
      </c>
      <c r="K652" s="5"/>
      <c r="L652" s="3"/>
      <c r="M652" s="5"/>
      <c r="N652" s="11">
        <f t="shared" si="1"/>
        <v>480</v>
      </c>
      <c r="O652" s="3" t="s">
        <v>728</v>
      </c>
      <c r="P652" s="3"/>
    </row>
    <row r="653">
      <c r="A653" s="20">
        <v>45650.62965277778</v>
      </c>
      <c r="B653" s="3" t="s">
        <v>391</v>
      </c>
      <c r="C653" s="5">
        <v>200.0</v>
      </c>
      <c r="D653" s="3" t="s">
        <v>146</v>
      </c>
      <c r="E653" s="3" t="s">
        <v>163</v>
      </c>
      <c r="F653" s="5">
        <v>189.76</v>
      </c>
      <c r="G653" s="3" t="s">
        <v>43</v>
      </c>
      <c r="H653" s="5">
        <v>8.0</v>
      </c>
      <c r="I653" s="3" t="s">
        <v>638</v>
      </c>
      <c r="J653" s="19">
        <f t="shared" si="2"/>
        <v>60</v>
      </c>
      <c r="K653" s="5"/>
      <c r="L653" s="3"/>
      <c r="M653" s="5"/>
      <c r="N653" s="11">
        <f t="shared" si="1"/>
        <v>480</v>
      </c>
      <c r="O653" s="3" t="s">
        <v>729</v>
      </c>
      <c r="P653" s="3"/>
    </row>
    <row r="654">
      <c r="A654" s="20">
        <v>45650.70438657407</v>
      </c>
      <c r="B654" s="3" t="s">
        <v>730</v>
      </c>
      <c r="C654" s="5">
        <v>200.0</v>
      </c>
      <c r="D654" s="3" t="s">
        <v>146</v>
      </c>
      <c r="E654" s="3" t="s">
        <v>163</v>
      </c>
      <c r="F654" s="5">
        <v>189.76</v>
      </c>
      <c r="G654" s="3" t="s">
        <v>43</v>
      </c>
      <c r="H654" s="5">
        <v>8.0</v>
      </c>
      <c r="I654" s="3" t="s">
        <v>638</v>
      </c>
      <c r="J654" s="19">
        <f t="shared" si="2"/>
        <v>60</v>
      </c>
      <c r="K654" s="5"/>
      <c r="L654" s="3"/>
      <c r="M654" s="5"/>
      <c r="N654" s="11">
        <f t="shared" si="1"/>
        <v>480</v>
      </c>
      <c r="O654" s="3" t="s">
        <v>731</v>
      </c>
      <c r="P654" s="3"/>
    </row>
    <row r="655">
      <c r="A655" s="20">
        <v>45654.20332175926</v>
      </c>
      <c r="B655" s="3" t="s">
        <v>656</v>
      </c>
      <c r="C655" s="5">
        <v>30.0</v>
      </c>
      <c r="D655" s="3" t="s">
        <v>146</v>
      </c>
      <c r="E655" s="3" t="s">
        <v>163</v>
      </c>
      <c r="F655" s="5">
        <v>28.22</v>
      </c>
      <c r="G655" s="3" t="s">
        <v>43</v>
      </c>
      <c r="H655" s="5">
        <v>1.0</v>
      </c>
      <c r="I655" s="3" t="s">
        <v>642</v>
      </c>
      <c r="J655" s="19">
        <f t="shared" si="2"/>
        <v>60</v>
      </c>
      <c r="K655" s="5"/>
      <c r="L655" s="3"/>
      <c r="M655" s="5"/>
      <c r="N655" s="11">
        <f t="shared" si="1"/>
        <v>60</v>
      </c>
      <c r="O655" s="3" t="s">
        <v>732</v>
      </c>
      <c r="P655" s="3"/>
    </row>
    <row r="656">
      <c r="A656" s="20">
        <v>45654.20359953704</v>
      </c>
      <c r="B656" s="3" t="s">
        <v>656</v>
      </c>
      <c r="C656" s="5">
        <v>30.0</v>
      </c>
      <c r="D656" s="3" t="s">
        <v>146</v>
      </c>
      <c r="E656" s="3" t="s">
        <v>163</v>
      </c>
      <c r="F656" s="5">
        <v>28.22</v>
      </c>
      <c r="G656" s="3" t="s">
        <v>43</v>
      </c>
      <c r="H656" s="5">
        <v>1.0</v>
      </c>
      <c r="I656" s="3" t="s">
        <v>642</v>
      </c>
      <c r="J656" s="19">
        <f t="shared" si="2"/>
        <v>60</v>
      </c>
      <c r="K656" s="5"/>
      <c r="L656" s="3"/>
      <c r="M656" s="5"/>
      <c r="N656" s="11">
        <f t="shared" si="1"/>
        <v>60</v>
      </c>
      <c r="O656" s="3" t="s">
        <v>733</v>
      </c>
      <c r="P656" s="3"/>
    </row>
    <row r="657">
      <c r="A657" s="20">
        <v>45656.81177083333</v>
      </c>
      <c r="B657" s="3" t="s">
        <v>734</v>
      </c>
      <c r="C657" s="5">
        <v>200.0</v>
      </c>
      <c r="D657" s="3" t="s">
        <v>146</v>
      </c>
      <c r="E657" s="3" t="s">
        <v>163</v>
      </c>
      <c r="F657" s="5">
        <v>189.76</v>
      </c>
      <c r="G657" s="3" t="s">
        <v>43</v>
      </c>
      <c r="H657" s="5">
        <v>8.0</v>
      </c>
      <c r="I657" s="3" t="s">
        <v>638</v>
      </c>
      <c r="J657" s="19">
        <f t="shared" si="2"/>
        <v>60</v>
      </c>
      <c r="K657" s="5"/>
      <c r="L657" s="3"/>
      <c r="M657" s="5"/>
      <c r="N657" s="11">
        <f t="shared" si="1"/>
        <v>480</v>
      </c>
      <c r="O657" s="3" t="s">
        <v>735</v>
      </c>
      <c r="P657" s="3"/>
    </row>
    <row r="658">
      <c r="A658" s="20">
        <v>45656.81936342592</v>
      </c>
      <c r="B658" s="3" t="s">
        <v>452</v>
      </c>
      <c r="C658" s="5">
        <v>30.0</v>
      </c>
      <c r="D658" s="3" t="s">
        <v>146</v>
      </c>
      <c r="E658" s="3" t="s">
        <v>163</v>
      </c>
      <c r="F658" s="5">
        <v>28.22</v>
      </c>
      <c r="G658" s="3" t="s">
        <v>43</v>
      </c>
      <c r="H658" s="5">
        <v>1.0</v>
      </c>
      <c r="I658" s="3" t="s">
        <v>642</v>
      </c>
      <c r="J658" s="19">
        <f t="shared" si="2"/>
        <v>60</v>
      </c>
      <c r="K658" s="5"/>
      <c r="L658" s="3"/>
      <c r="M658" s="5"/>
      <c r="N658" s="11">
        <f t="shared" si="1"/>
        <v>60</v>
      </c>
      <c r="O658" s="3" t="s">
        <v>736</v>
      </c>
      <c r="P658" s="3"/>
    </row>
    <row r="659">
      <c r="A659" s="20">
        <v>45658.44385416667</v>
      </c>
      <c r="B659" s="3" t="s">
        <v>656</v>
      </c>
      <c r="C659" s="5">
        <v>200.0</v>
      </c>
      <c r="D659" s="3" t="s">
        <v>146</v>
      </c>
      <c r="E659" s="3" t="s">
        <v>163</v>
      </c>
      <c r="F659" s="5">
        <v>189.74</v>
      </c>
      <c r="G659" s="3" t="s">
        <v>43</v>
      </c>
      <c r="H659" s="5">
        <v>8.0</v>
      </c>
      <c r="I659" s="3" t="s">
        <v>638</v>
      </c>
      <c r="J659" s="19">
        <f t="shared" si="2"/>
        <v>60</v>
      </c>
      <c r="K659" s="5"/>
      <c r="L659" s="3"/>
      <c r="M659" s="5"/>
      <c r="N659" s="11">
        <f t="shared" si="1"/>
        <v>480</v>
      </c>
      <c r="O659" s="3" t="s">
        <v>737</v>
      </c>
      <c r="P659" s="3"/>
      <c r="Q659" s="3"/>
      <c r="R659" s="3" t="s">
        <v>737</v>
      </c>
    </row>
    <row r="660">
      <c r="A660" s="20">
        <v>45658.87184027778</v>
      </c>
      <c r="B660" s="3" t="s">
        <v>382</v>
      </c>
      <c r="C660" s="5">
        <v>230.0</v>
      </c>
      <c r="D660" s="3" t="s">
        <v>146</v>
      </c>
      <c r="E660" s="3" t="s">
        <v>163</v>
      </c>
      <c r="F660" s="5">
        <v>218.23</v>
      </c>
      <c r="G660" s="3" t="s">
        <v>43</v>
      </c>
      <c r="H660" s="5">
        <v>8.0</v>
      </c>
      <c r="I660" s="3" t="s">
        <v>638</v>
      </c>
      <c r="J660" s="19">
        <f t="shared" si="2"/>
        <v>60</v>
      </c>
      <c r="K660" s="5"/>
      <c r="L660" s="3"/>
      <c r="M660" s="5"/>
      <c r="N660" s="11">
        <f t="shared" si="1"/>
        <v>480</v>
      </c>
      <c r="O660" s="3" t="s">
        <v>738</v>
      </c>
      <c r="P660" s="3"/>
      <c r="Q660" s="3"/>
      <c r="R660" s="3" t="s">
        <v>738</v>
      </c>
    </row>
    <row r="661">
      <c r="A661" s="20">
        <v>45659.19451388889</v>
      </c>
      <c r="B661" s="3" t="s">
        <v>586</v>
      </c>
      <c r="C661" s="5">
        <v>975.0</v>
      </c>
      <c r="D661" s="3" t="s">
        <v>146</v>
      </c>
      <c r="E661" s="3" t="s">
        <v>163</v>
      </c>
      <c r="F661" s="5">
        <v>926.38</v>
      </c>
      <c r="G661" s="3" t="s">
        <v>43</v>
      </c>
      <c r="H661" s="5">
        <v>40.0</v>
      </c>
      <c r="I661" s="3" t="s">
        <v>638</v>
      </c>
      <c r="J661" s="19">
        <f t="shared" si="2"/>
        <v>60</v>
      </c>
      <c r="K661" s="5"/>
      <c r="L661" s="3"/>
      <c r="M661" s="5"/>
      <c r="N661" s="11">
        <f t="shared" si="1"/>
        <v>2400</v>
      </c>
      <c r="O661" s="3" t="s">
        <v>739</v>
      </c>
      <c r="P661" s="3"/>
      <c r="Q661" s="3"/>
      <c r="R661" s="3" t="s">
        <v>739</v>
      </c>
    </row>
    <row r="662">
      <c r="A662" s="20">
        <v>45659.90974537037</v>
      </c>
      <c r="B662" s="3" t="s">
        <v>346</v>
      </c>
      <c r="C662" s="5">
        <v>165.0</v>
      </c>
      <c r="D662" s="3" t="s">
        <v>146</v>
      </c>
      <c r="E662" s="3" t="s">
        <v>163</v>
      </c>
      <c r="F662" s="5">
        <v>156.47</v>
      </c>
      <c r="G662" s="3" t="s">
        <v>35</v>
      </c>
      <c r="H662" s="5">
        <v>8.0</v>
      </c>
      <c r="I662" s="3" t="s">
        <v>638</v>
      </c>
      <c r="J662" s="19">
        <f t="shared" si="2"/>
        <v>60</v>
      </c>
      <c r="K662" s="5"/>
      <c r="L662" s="3"/>
      <c r="M662" s="5"/>
      <c r="N662" s="11">
        <f t="shared" si="1"/>
        <v>480</v>
      </c>
      <c r="O662" s="3" t="s">
        <v>740</v>
      </c>
      <c r="P662" s="3"/>
      <c r="Q662" s="3"/>
      <c r="R662" s="3" t="s">
        <v>740</v>
      </c>
    </row>
    <row r="663">
      <c r="A663" s="20">
        <v>45661.691030092596</v>
      </c>
      <c r="B663" s="3" t="s">
        <v>355</v>
      </c>
      <c r="C663" s="5">
        <v>230.0</v>
      </c>
      <c r="D663" s="3" t="s">
        <v>146</v>
      </c>
      <c r="E663" s="3" t="s">
        <v>163</v>
      </c>
      <c r="F663" s="5">
        <v>218.27</v>
      </c>
      <c r="G663" s="3" t="s">
        <v>43</v>
      </c>
      <c r="H663" s="5">
        <v>8.0</v>
      </c>
      <c r="I663" s="3" t="s">
        <v>638</v>
      </c>
      <c r="J663" s="19">
        <f t="shared" si="2"/>
        <v>60</v>
      </c>
      <c r="K663" s="5"/>
      <c r="L663" s="3"/>
      <c r="M663" s="5"/>
      <c r="N663" s="11">
        <f t="shared" si="1"/>
        <v>480</v>
      </c>
      <c r="O663" s="3" t="s">
        <v>741</v>
      </c>
      <c r="P663" s="3"/>
      <c r="Q663" s="3"/>
      <c r="R663" s="3" t="s">
        <v>741</v>
      </c>
    </row>
    <row r="664">
      <c r="A664" s="20">
        <v>45661.73106481481</v>
      </c>
      <c r="B664" s="3" t="s">
        <v>370</v>
      </c>
      <c r="C664" s="5">
        <v>230.0</v>
      </c>
      <c r="D664" s="3" t="s">
        <v>146</v>
      </c>
      <c r="E664" s="3" t="s">
        <v>163</v>
      </c>
      <c r="F664" s="5">
        <v>218.27</v>
      </c>
      <c r="G664" s="3" t="s">
        <v>43</v>
      </c>
      <c r="H664" s="5">
        <v>8.0</v>
      </c>
      <c r="I664" s="3" t="s">
        <v>638</v>
      </c>
      <c r="J664" s="19">
        <f t="shared" si="2"/>
        <v>60</v>
      </c>
      <c r="K664" s="5"/>
      <c r="L664" s="3"/>
      <c r="M664" s="5"/>
      <c r="N664" s="11">
        <f t="shared" si="1"/>
        <v>480</v>
      </c>
      <c r="O664" s="3" t="s">
        <v>742</v>
      </c>
      <c r="P664" s="3"/>
      <c r="Q664" s="3"/>
      <c r="R664" s="3" t="s">
        <v>742</v>
      </c>
    </row>
    <row r="665">
      <c r="A665" s="20">
        <v>45662.474953703706</v>
      </c>
      <c r="B665" s="3" t="s">
        <v>743</v>
      </c>
      <c r="C665" s="5">
        <v>34.0</v>
      </c>
      <c r="D665" s="3" t="s">
        <v>146</v>
      </c>
      <c r="E665" s="3" t="s">
        <v>163</v>
      </c>
      <c r="F665" s="5">
        <v>32.02</v>
      </c>
      <c r="G665" s="3" t="s">
        <v>43</v>
      </c>
      <c r="H665" s="5">
        <v>1.0</v>
      </c>
      <c r="I665" s="3" t="s">
        <v>642</v>
      </c>
      <c r="J665" s="19">
        <f t="shared" si="2"/>
        <v>60</v>
      </c>
      <c r="K665" s="5"/>
      <c r="L665" s="3"/>
      <c r="M665" s="5"/>
      <c r="N665" s="11">
        <f t="shared" si="1"/>
        <v>60</v>
      </c>
      <c r="O665" s="3" t="s">
        <v>744</v>
      </c>
      <c r="P665" s="3"/>
      <c r="Q665" s="3"/>
      <c r="R665" s="3" t="s">
        <v>744</v>
      </c>
    </row>
    <row r="666">
      <c r="A666" s="20">
        <v>45664.46549768518</v>
      </c>
      <c r="B666" s="3" t="s">
        <v>745</v>
      </c>
      <c r="C666" s="5">
        <v>34.0</v>
      </c>
      <c r="D666" s="3" t="s">
        <v>146</v>
      </c>
      <c r="E666" s="3" t="s">
        <v>163</v>
      </c>
      <c r="F666" s="5">
        <v>32.03</v>
      </c>
      <c r="G666" s="3" t="s">
        <v>43</v>
      </c>
      <c r="H666" s="5">
        <v>1.0</v>
      </c>
      <c r="I666" s="3" t="s">
        <v>642</v>
      </c>
      <c r="J666" s="19">
        <f t="shared" si="2"/>
        <v>60</v>
      </c>
      <c r="K666" s="5"/>
      <c r="L666" s="3"/>
      <c r="M666" s="5"/>
      <c r="N666" s="11">
        <f t="shared" si="1"/>
        <v>60</v>
      </c>
      <c r="O666" s="3" t="s">
        <v>746</v>
      </c>
      <c r="P666" s="3"/>
      <c r="Q666" s="3"/>
      <c r="R666" s="3" t="s">
        <v>746</v>
      </c>
    </row>
    <row r="667">
      <c r="A667" s="20">
        <v>45664.92592592593</v>
      </c>
      <c r="B667" s="3" t="s">
        <v>586</v>
      </c>
      <c r="C667" s="5">
        <v>975.0</v>
      </c>
      <c r="D667" s="3" t="s">
        <v>146</v>
      </c>
      <c r="E667" s="3" t="s">
        <v>163</v>
      </c>
      <c r="F667" s="5">
        <v>926.01</v>
      </c>
      <c r="G667" s="3" t="s">
        <v>43</v>
      </c>
      <c r="H667" s="5">
        <v>40.0</v>
      </c>
      <c r="I667" s="3" t="s">
        <v>638</v>
      </c>
      <c r="J667" s="19">
        <f t="shared" si="2"/>
        <v>60</v>
      </c>
      <c r="K667" s="5"/>
      <c r="L667" s="3"/>
      <c r="M667" s="5"/>
      <c r="N667" s="11">
        <f t="shared" si="1"/>
        <v>2400</v>
      </c>
      <c r="O667" s="3" t="s">
        <v>747</v>
      </c>
      <c r="P667" s="3"/>
      <c r="Q667" s="3"/>
      <c r="R667" s="3" t="s">
        <v>747</v>
      </c>
    </row>
    <row r="668">
      <c r="A668" s="20">
        <v>45667.407997685186</v>
      </c>
      <c r="B668" s="3" t="s">
        <v>748</v>
      </c>
      <c r="C668" s="5">
        <v>230.0</v>
      </c>
      <c r="D668" s="3" t="s">
        <v>146</v>
      </c>
      <c r="E668" s="3" t="s">
        <v>163</v>
      </c>
      <c r="F668" s="5">
        <v>218.27</v>
      </c>
      <c r="G668" s="3" t="s">
        <v>43</v>
      </c>
      <c r="H668" s="5">
        <v>8.0</v>
      </c>
      <c r="I668" s="3" t="s">
        <v>638</v>
      </c>
      <c r="J668" s="19">
        <f t="shared" si="2"/>
        <v>60</v>
      </c>
      <c r="K668" s="5"/>
      <c r="L668" s="3"/>
      <c r="M668" s="5"/>
      <c r="N668" s="11">
        <f t="shared" si="1"/>
        <v>480</v>
      </c>
      <c r="O668" s="3" t="s">
        <v>749</v>
      </c>
      <c r="P668" s="3"/>
      <c r="Q668" s="3"/>
      <c r="R668" s="3" t="s">
        <v>749</v>
      </c>
    </row>
    <row r="669">
      <c r="A669" s="20">
        <v>45669.389652777776</v>
      </c>
      <c r="B669" s="3" t="s">
        <v>745</v>
      </c>
      <c r="C669" s="5">
        <v>34.0</v>
      </c>
      <c r="D669" s="3" t="s">
        <v>146</v>
      </c>
      <c r="E669" s="3" t="s">
        <v>163</v>
      </c>
      <c r="F669" s="5">
        <v>32.03</v>
      </c>
      <c r="G669" s="3" t="s">
        <v>43</v>
      </c>
      <c r="H669" s="5">
        <v>1.0</v>
      </c>
      <c r="I669" s="3" t="s">
        <v>642</v>
      </c>
      <c r="J669" s="19">
        <f t="shared" si="2"/>
        <v>60</v>
      </c>
      <c r="K669" s="5"/>
      <c r="L669" s="3"/>
      <c r="M669" s="5"/>
      <c r="N669" s="11">
        <f t="shared" si="1"/>
        <v>60</v>
      </c>
      <c r="O669" s="3" t="s">
        <v>750</v>
      </c>
      <c r="P669" s="3"/>
      <c r="Q669" s="3"/>
      <c r="R669" s="3" t="s">
        <v>750</v>
      </c>
    </row>
    <row r="670">
      <c r="A670" s="20">
        <v>45672.328622685185</v>
      </c>
      <c r="B670" s="3" t="s">
        <v>491</v>
      </c>
      <c r="C670" s="5">
        <v>34.0</v>
      </c>
      <c r="D670" s="3" t="s">
        <v>146</v>
      </c>
      <c r="E670" s="3" t="s">
        <v>163</v>
      </c>
      <c r="F670" s="5">
        <v>32.03</v>
      </c>
      <c r="G670" s="3" t="s">
        <v>43</v>
      </c>
      <c r="H670" s="5">
        <v>1.0</v>
      </c>
      <c r="I670" s="3" t="s">
        <v>642</v>
      </c>
      <c r="J670" s="19">
        <f t="shared" si="2"/>
        <v>60</v>
      </c>
      <c r="K670" s="5"/>
      <c r="L670" s="3"/>
      <c r="M670" s="5"/>
      <c r="N670" s="11">
        <f t="shared" si="1"/>
        <v>60</v>
      </c>
      <c r="O670" s="3" t="s">
        <v>751</v>
      </c>
      <c r="P670" s="3"/>
      <c r="Q670" s="3"/>
      <c r="R670" s="3" t="s">
        <v>751</v>
      </c>
    </row>
    <row r="671">
      <c r="A671" s="20">
        <v>45672.82152777778</v>
      </c>
      <c r="B671" s="3" t="s">
        <v>551</v>
      </c>
      <c r="C671" s="5">
        <v>230.0</v>
      </c>
      <c r="D671" s="3" t="s">
        <v>146</v>
      </c>
      <c r="E671" s="3" t="s">
        <v>163</v>
      </c>
      <c r="F671" s="5">
        <v>218.27</v>
      </c>
      <c r="G671" s="3" t="s">
        <v>43</v>
      </c>
      <c r="H671" s="5">
        <v>8.0</v>
      </c>
      <c r="I671" s="3" t="s">
        <v>638</v>
      </c>
      <c r="J671" s="19">
        <f t="shared" si="2"/>
        <v>60</v>
      </c>
      <c r="K671" s="5"/>
      <c r="L671" s="3"/>
      <c r="M671" s="5"/>
      <c r="N671" s="11">
        <f t="shared" si="1"/>
        <v>480</v>
      </c>
      <c r="O671" s="3" t="s">
        <v>752</v>
      </c>
      <c r="P671" s="3"/>
      <c r="Q671" s="3"/>
      <c r="R671" s="3" t="s">
        <v>752</v>
      </c>
    </row>
    <row r="672">
      <c r="A672" s="20">
        <v>45673.70893518518</v>
      </c>
      <c r="B672" s="3" t="s">
        <v>475</v>
      </c>
      <c r="C672" s="5">
        <v>230.0</v>
      </c>
      <c r="D672" s="3" t="s">
        <v>146</v>
      </c>
      <c r="E672" s="3" t="s">
        <v>163</v>
      </c>
      <c r="F672" s="5">
        <v>218.27</v>
      </c>
      <c r="G672" s="3" t="s">
        <v>43</v>
      </c>
      <c r="H672" s="5">
        <v>8.0</v>
      </c>
      <c r="I672" s="3" t="s">
        <v>638</v>
      </c>
      <c r="J672" s="19">
        <f t="shared" si="2"/>
        <v>60</v>
      </c>
      <c r="K672" s="5"/>
      <c r="L672" s="3"/>
      <c r="M672" s="5"/>
      <c r="N672" s="11">
        <f t="shared" si="1"/>
        <v>480</v>
      </c>
      <c r="O672" s="3" t="s">
        <v>753</v>
      </c>
      <c r="P672" s="3"/>
      <c r="Q672" s="3"/>
      <c r="R672" s="3" t="s">
        <v>753</v>
      </c>
    </row>
    <row r="673">
      <c r="A673" s="20">
        <v>45678.57979166666</v>
      </c>
      <c r="B673" s="3" t="s">
        <v>399</v>
      </c>
      <c r="C673" s="5">
        <v>200.0</v>
      </c>
      <c r="D673" s="3" t="s">
        <v>146</v>
      </c>
      <c r="E673" s="3" t="s">
        <v>163</v>
      </c>
      <c r="F673" s="5">
        <v>189.76</v>
      </c>
      <c r="G673" s="3" t="s">
        <v>43</v>
      </c>
      <c r="H673" s="5">
        <v>8.0</v>
      </c>
      <c r="I673" s="3" t="s">
        <v>638</v>
      </c>
      <c r="J673" s="19">
        <f t="shared" si="2"/>
        <v>60</v>
      </c>
      <c r="K673" s="5"/>
      <c r="L673" s="3"/>
      <c r="M673" s="5"/>
      <c r="N673" s="11">
        <f t="shared" si="1"/>
        <v>480</v>
      </c>
      <c r="O673" s="3" t="s">
        <v>754</v>
      </c>
      <c r="P673" s="3"/>
      <c r="Q673" s="3"/>
      <c r="R673" s="3" t="s">
        <v>754</v>
      </c>
    </row>
    <row r="674">
      <c r="A674" s="20">
        <v>45678.810752314814</v>
      </c>
      <c r="B674" s="3" t="s">
        <v>755</v>
      </c>
      <c r="C674" s="5">
        <v>34.0</v>
      </c>
      <c r="D674" s="3" t="s">
        <v>146</v>
      </c>
      <c r="E674" s="3" t="s">
        <v>163</v>
      </c>
      <c r="F674" s="5">
        <v>32.02</v>
      </c>
      <c r="G674" s="3" t="s">
        <v>43</v>
      </c>
      <c r="H674" s="5">
        <v>1.0</v>
      </c>
      <c r="I674" s="3" t="s">
        <v>642</v>
      </c>
      <c r="J674" s="19">
        <f t="shared" si="2"/>
        <v>60</v>
      </c>
      <c r="K674" s="5"/>
      <c r="L674" s="3"/>
      <c r="M674" s="5"/>
      <c r="N674" s="11">
        <f t="shared" si="1"/>
        <v>60</v>
      </c>
      <c r="O674" s="3" t="s">
        <v>756</v>
      </c>
      <c r="P674" s="3"/>
      <c r="Q674" s="3"/>
      <c r="R674" s="3" t="s">
        <v>756</v>
      </c>
    </row>
    <row r="675">
      <c r="A675" s="20">
        <v>45679.49251157408</v>
      </c>
      <c r="B675" s="3" t="s">
        <v>334</v>
      </c>
      <c r="C675" s="5">
        <v>230.0</v>
      </c>
      <c r="D675" s="3" t="s">
        <v>146</v>
      </c>
      <c r="E675" s="3" t="s">
        <v>163</v>
      </c>
      <c r="F675" s="5">
        <v>218.27</v>
      </c>
      <c r="G675" s="3" t="s">
        <v>43</v>
      </c>
      <c r="H675" s="5">
        <v>8.0</v>
      </c>
      <c r="I675" s="3" t="s">
        <v>638</v>
      </c>
      <c r="J675" s="19">
        <f t="shared" si="2"/>
        <v>60</v>
      </c>
      <c r="K675" s="5"/>
      <c r="L675" s="3"/>
      <c r="M675" s="5"/>
      <c r="N675" s="11">
        <f t="shared" si="1"/>
        <v>480</v>
      </c>
      <c r="O675" s="3" t="s">
        <v>757</v>
      </c>
      <c r="P675" s="3"/>
      <c r="Q675" s="3"/>
      <c r="R675" s="3" t="s">
        <v>757</v>
      </c>
    </row>
    <row r="676">
      <c r="A676" s="20">
        <v>45679.69327546296</v>
      </c>
      <c r="B676" s="3" t="s">
        <v>452</v>
      </c>
      <c r="C676" s="5">
        <v>230.0</v>
      </c>
      <c r="D676" s="3" t="s">
        <v>146</v>
      </c>
      <c r="E676" s="3" t="s">
        <v>163</v>
      </c>
      <c r="F676" s="5">
        <v>218.31</v>
      </c>
      <c r="G676" s="3" t="s">
        <v>43</v>
      </c>
      <c r="H676" s="5">
        <v>8.0</v>
      </c>
      <c r="I676" s="3" t="s">
        <v>638</v>
      </c>
      <c r="J676" s="19">
        <f t="shared" si="2"/>
        <v>60</v>
      </c>
      <c r="K676" s="5"/>
      <c r="L676" s="3"/>
      <c r="M676" s="5"/>
      <c r="N676" s="11">
        <f t="shared" si="1"/>
        <v>480</v>
      </c>
      <c r="O676" s="3" t="s">
        <v>758</v>
      </c>
      <c r="P676" s="3"/>
      <c r="Q676" s="3"/>
      <c r="R676" s="3" t="s">
        <v>758</v>
      </c>
    </row>
    <row r="677">
      <c r="A677" s="20">
        <v>45679.979108796295</v>
      </c>
      <c r="B677" s="3" t="s">
        <v>743</v>
      </c>
      <c r="C677" s="5">
        <v>230.0</v>
      </c>
      <c r="D677" s="3" t="s">
        <v>146</v>
      </c>
      <c r="E677" s="3" t="s">
        <v>163</v>
      </c>
      <c r="F677" s="5">
        <v>218.27</v>
      </c>
      <c r="G677" s="3" t="s">
        <v>43</v>
      </c>
      <c r="H677" s="5">
        <v>8.0</v>
      </c>
      <c r="I677" s="3" t="s">
        <v>638</v>
      </c>
      <c r="J677" s="19">
        <f t="shared" si="2"/>
        <v>60</v>
      </c>
      <c r="K677" s="5"/>
      <c r="L677" s="3"/>
      <c r="M677" s="5"/>
      <c r="N677" s="11">
        <f t="shared" si="1"/>
        <v>480</v>
      </c>
      <c r="O677" s="3" t="s">
        <v>759</v>
      </c>
      <c r="P677" s="3"/>
      <c r="Q677" s="3"/>
      <c r="R677" s="3" t="s">
        <v>759</v>
      </c>
    </row>
    <row r="678">
      <c r="A678" s="20">
        <v>45679.803252314814</v>
      </c>
      <c r="B678" s="3" t="s">
        <v>760</v>
      </c>
      <c r="C678" s="5">
        <v>230.0</v>
      </c>
      <c r="D678" s="3" t="s">
        <v>146</v>
      </c>
      <c r="E678" s="3" t="s">
        <v>163</v>
      </c>
      <c r="F678" s="5">
        <v>218.27</v>
      </c>
      <c r="G678" s="3" t="s">
        <v>43</v>
      </c>
      <c r="H678" s="5">
        <v>8.0</v>
      </c>
      <c r="I678" s="3" t="s">
        <v>638</v>
      </c>
      <c r="J678" s="19">
        <f t="shared" si="2"/>
        <v>60</v>
      </c>
      <c r="K678" s="5"/>
      <c r="L678" s="3"/>
      <c r="M678" s="5"/>
      <c r="N678" s="11">
        <f t="shared" si="1"/>
        <v>480</v>
      </c>
      <c r="O678" s="3" t="s">
        <v>761</v>
      </c>
      <c r="P678" s="3"/>
      <c r="Q678" s="3"/>
      <c r="R678" s="3" t="s">
        <v>761</v>
      </c>
    </row>
    <row r="679">
      <c r="A679" s="20">
        <v>45681.11583333334</v>
      </c>
      <c r="B679" s="3" t="s">
        <v>603</v>
      </c>
      <c r="C679" s="5">
        <v>825.0</v>
      </c>
      <c r="D679" s="3" t="s">
        <v>146</v>
      </c>
      <c r="E679" s="3" t="s">
        <v>163</v>
      </c>
      <c r="F679" s="5">
        <v>783.74</v>
      </c>
      <c r="G679" s="3" t="s">
        <v>35</v>
      </c>
      <c r="H679" s="5">
        <v>40.0</v>
      </c>
      <c r="I679" s="3" t="s">
        <v>638</v>
      </c>
      <c r="J679" s="19">
        <f t="shared" si="2"/>
        <v>60</v>
      </c>
      <c r="K679" s="5"/>
      <c r="L679" s="3"/>
      <c r="M679" s="5"/>
      <c r="N679" s="11">
        <f t="shared" si="1"/>
        <v>2400</v>
      </c>
      <c r="O679" s="3" t="s">
        <v>762</v>
      </c>
      <c r="P679" s="3"/>
      <c r="Q679" s="3"/>
      <c r="R679" s="3" t="s">
        <v>762</v>
      </c>
    </row>
    <row r="680">
      <c r="A680" s="20">
        <v>45685.00829861111</v>
      </c>
      <c r="B680" s="3" t="s">
        <v>755</v>
      </c>
      <c r="C680" s="5">
        <v>165.0</v>
      </c>
      <c r="D680" s="3" t="s">
        <v>146</v>
      </c>
      <c r="E680" s="3" t="s">
        <v>163</v>
      </c>
      <c r="F680" s="5">
        <v>156.5</v>
      </c>
      <c r="G680" s="3" t="s">
        <v>35</v>
      </c>
      <c r="H680" s="5">
        <v>8.0</v>
      </c>
      <c r="I680" s="3" t="s">
        <v>638</v>
      </c>
      <c r="J680" s="19">
        <f t="shared" si="2"/>
        <v>60</v>
      </c>
      <c r="K680" s="5"/>
      <c r="L680" s="3"/>
      <c r="M680" s="5"/>
      <c r="N680" s="11">
        <f t="shared" si="1"/>
        <v>480</v>
      </c>
      <c r="O680" s="3" t="s">
        <v>763</v>
      </c>
      <c r="P680" s="3"/>
      <c r="Q680" s="3"/>
      <c r="R680" s="3" t="s">
        <v>763</v>
      </c>
    </row>
    <row r="681">
      <c r="A681" s="20">
        <v>45685.664039351854</v>
      </c>
      <c r="B681" s="3" t="s">
        <v>434</v>
      </c>
      <c r="C681" s="5">
        <v>230.0</v>
      </c>
      <c r="D681" s="3" t="s">
        <v>146</v>
      </c>
      <c r="E681" s="3" t="s">
        <v>163</v>
      </c>
      <c r="F681" s="5">
        <v>218.26</v>
      </c>
      <c r="G681" s="3" t="s">
        <v>43</v>
      </c>
      <c r="H681" s="5">
        <v>8.0</v>
      </c>
      <c r="I681" s="3" t="s">
        <v>638</v>
      </c>
      <c r="J681" s="19">
        <f t="shared" si="2"/>
        <v>60</v>
      </c>
      <c r="K681" s="5"/>
      <c r="L681" s="3"/>
      <c r="M681" s="5"/>
      <c r="N681" s="11">
        <f t="shared" si="1"/>
        <v>480</v>
      </c>
      <c r="O681" s="3" t="s">
        <v>764</v>
      </c>
      <c r="P681" s="3"/>
      <c r="Q681" s="3"/>
      <c r="R681" s="3" t="s">
        <v>764</v>
      </c>
    </row>
    <row r="682">
      <c r="A682" s="20">
        <v>45686.35208333333</v>
      </c>
      <c r="B682" s="3" t="s">
        <v>765</v>
      </c>
      <c r="C682" s="5">
        <v>975.0</v>
      </c>
      <c r="D682" s="3" t="s">
        <v>146</v>
      </c>
      <c r="E682" s="3" t="s">
        <v>163</v>
      </c>
      <c r="F682" s="5">
        <v>926.18</v>
      </c>
      <c r="G682" s="3" t="s">
        <v>43</v>
      </c>
      <c r="H682" s="5">
        <v>40.0</v>
      </c>
      <c r="I682" s="3" t="s">
        <v>638</v>
      </c>
      <c r="J682" s="19">
        <f t="shared" si="2"/>
        <v>60</v>
      </c>
      <c r="K682" s="5"/>
      <c r="L682" s="3"/>
      <c r="M682" s="5"/>
      <c r="N682" s="11">
        <f t="shared" si="1"/>
        <v>2400</v>
      </c>
      <c r="O682" s="3" t="s">
        <v>766</v>
      </c>
      <c r="P682" s="3"/>
      <c r="Q682" s="3"/>
      <c r="R682" s="3" t="s">
        <v>766</v>
      </c>
    </row>
    <row r="683">
      <c r="A683" s="20">
        <v>45686.98050925926</v>
      </c>
      <c r="B683" s="3" t="s">
        <v>424</v>
      </c>
      <c r="C683" s="5">
        <v>230.0</v>
      </c>
      <c r="D683" s="3" t="s">
        <v>146</v>
      </c>
      <c r="E683" s="3" t="s">
        <v>163</v>
      </c>
      <c r="F683" s="5">
        <v>218.27</v>
      </c>
      <c r="G683" s="3" t="s">
        <v>43</v>
      </c>
      <c r="H683" s="5">
        <v>8.0</v>
      </c>
      <c r="I683" s="3" t="s">
        <v>638</v>
      </c>
      <c r="J683" s="19">
        <f t="shared" si="2"/>
        <v>60</v>
      </c>
      <c r="K683" s="5"/>
      <c r="L683" s="3"/>
      <c r="M683" s="5"/>
      <c r="N683" s="11">
        <f t="shared" si="1"/>
        <v>480</v>
      </c>
      <c r="O683" s="3" t="s">
        <v>767</v>
      </c>
      <c r="P683" s="3"/>
      <c r="Q683" s="3"/>
      <c r="R683" s="3" t="s">
        <v>767</v>
      </c>
    </row>
    <row r="684">
      <c r="A684" s="9">
        <v>45690.55917824074</v>
      </c>
      <c r="B684" s="19" t="s">
        <v>632</v>
      </c>
      <c r="C684" s="11">
        <v>230.0</v>
      </c>
      <c r="D684" s="11" t="s">
        <v>146</v>
      </c>
      <c r="E684" s="11" t="s">
        <v>163</v>
      </c>
      <c r="F684" s="11">
        <v>218.23</v>
      </c>
      <c r="G684" s="11" t="s">
        <v>43</v>
      </c>
      <c r="H684" s="11">
        <v>8.0</v>
      </c>
      <c r="I684" s="11" t="s">
        <v>638</v>
      </c>
      <c r="J684" s="19">
        <f t="shared" si="2"/>
        <v>60</v>
      </c>
      <c r="N684" s="11">
        <f t="shared" si="1"/>
        <v>480</v>
      </c>
      <c r="O684" s="11" t="s">
        <v>768</v>
      </c>
    </row>
    <row r="685">
      <c r="A685" s="9">
        <v>45691.24996527778</v>
      </c>
      <c r="B685" s="19" t="s">
        <v>769</v>
      </c>
      <c r="C685" s="11">
        <v>102.0</v>
      </c>
      <c r="D685" s="11" t="s">
        <v>146</v>
      </c>
      <c r="E685" s="11" t="s">
        <v>163</v>
      </c>
      <c r="F685" s="11">
        <v>96.64</v>
      </c>
      <c r="G685" s="11" t="s">
        <v>43</v>
      </c>
      <c r="H685" s="11">
        <v>3.0</v>
      </c>
      <c r="I685" s="11" t="s">
        <v>642</v>
      </c>
      <c r="J685" s="19">
        <f t="shared" si="2"/>
        <v>60</v>
      </c>
      <c r="N685" s="11">
        <f t="shared" si="1"/>
        <v>180</v>
      </c>
      <c r="O685" s="11" t="s">
        <v>770</v>
      </c>
    </row>
    <row r="686">
      <c r="A686" s="9">
        <v>45691.73706018519</v>
      </c>
      <c r="B686" s="19" t="s">
        <v>771</v>
      </c>
      <c r="C686" s="11">
        <v>230.0</v>
      </c>
      <c r="D686" s="11" t="s">
        <v>146</v>
      </c>
      <c r="E686" s="11" t="s">
        <v>163</v>
      </c>
      <c r="F686" s="11">
        <v>218.29</v>
      </c>
      <c r="G686" s="11" t="s">
        <v>43</v>
      </c>
      <c r="H686" s="11">
        <v>8.0</v>
      </c>
      <c r="I686" s="11" t="s">
        <v>638</v>
      </c>
      <c r="J686" s="19">
        <f t="shared" si="2"/>
        <v>60</v>
      </c>
      <c r="N686" s="11">
        <f t="shared" si="1"/>
        <v>480</v>
      </c>
      <c r="O686" s="11" t="s">
        <v>772</v>
      </c>
    </row>
    <row r="687">
      <c r="A687" s="9">
        <v>45692.89467592593</v>
      </c>
      <c r="B687" s="19" t="s">
        <v>491</v>
      </c>
      <c r="C687" s="11">
        <v>34.0</v>
      </c>
      <c r="D687" s="11" t="s">
        <v>146</v>
      </c>
      <c r="E687" s="11" t="s">
        <v>163</v>
      </c>
      <c r="F687" s="11">
        <v>32.02</v>
      </c>
      <c r="G687" s="11" t="s">
        <v>43</v>
      </c>
      <c r="H687" s="11">
        <v>1.0</v>
      </c>
      <c r="I687" s="11" t="s">
        <v>642</v>
      </c>
      <c r="J687" s="19">
        <f t="shared" si="2"/>
        <v>60</v>
      </c>
      <c r="N687" s="11">
        <f t="shared" si="1"/>
        <v>60</v>
      </c>
      <c r="O687" s="11" t="s">
        <v>773</v>
      </c>
    </row>
    <row r="688">
      <c r="A688" s="9">
        <v>45693.92826388889</v>
      </c>
      <c r="B688" s="19" t="s">
        <v>562</v>
      </c>
      <c r="C688" s="11">
        <v>230.0</v>
      </c>
      <c r="D688" s="11" t="s">
        <v>146</v>
      </c>
      <c r="E688" s="11" t="s">
        <v>163</v>
      </c>
      <c r="F688" s="11">
        <v>218.27</v>
      </c>
      <c r="G688" s="11" t="s">
        <v>32</v>
      </c>
      <c r="H688" s="11">
        <v>12.0</v>
      </c>
      <c r="I688" s="11" t="s">
        <v>638</v>
      </c>
      <c r="J688" s="19">
        <f t="shared" si="2"/>
        <v>75</v>
      </c>
      <c r="N688" s="11">
        <f t="shared" si="1"/>
        <v>900</v>
      </c>
      <c r="O688" s="11" t="s">
        <v>774</v>
      </c>
    </row>
    <row r="689">
      <c r="A689" s="9">
        <v>45693.996400462966</v>
      </c>
      <c r="B689" s="19" t="s">
        <v>775</v>
      </c>
      <c r="C689" s="11">
        <v>165.0</v>
      </c>
      <c r="D689" s="11" t="s">
        <v>146</v>
      </c>
      <c r="E689" s="11" t="s">
        <v>163</v>
      </c>
      <c r="F689" s="11">
        <v>156.5</v>
      </c>
      <c r="G689" s="11" t="s">
        <v>35</v>
      </c>
      <c r="H689" s="11">
        <v>8.0</v>
      </c>
      <c r="I689" s="11" t="s">
        <v>638</v>
      </c>
      <c r="J689" s="19">
        <f t="shared" si="2"/>
        <v>60</v>
      </c>
      <c r="N689" s="11">
        <f t="shared" si="1"/>
        <v>480</v>
      </c>
      <c r="O689" s="11" t="s">
        <v>776</v>
      </c>
    </row>
    <row r="690">
      <c r="A690" s="9">
        <v>45695.55893518519</v>
      </c>
      <c r="B690" s="19" t="s">
        <v>777</v>
      </c>
      <c r="C690" s="11">
        <v>230.0</v>
      </c>
      <c r="D690" s="11" t="s">
        <v>146</v>
      </c>
      <c r="E690" s="11" t="s">
        <v>163</v>
      </c>
      <c r="F690" s="11">
        <v>218.26</v>
      </c>
      <c r="G690" s="11" t="s">
        <v>32</v>
      </c>
      <c r="H690" s="11">
        <v>12.0</v>
      </c>
      <c r="I690" s="11" t="s">
        <v>638</v>
      </c>
      <c r="J690" s="19">
        <f t="shared" si="2"/>
        <v>75</v>
      </c>
      <c r="N690" s="11">
        <f t="shared" si="1"/>
        <v>900</v>
      </c>
      <c r="O690" s="11" t="s">
        <v>778</v>
      </c>
    </row>
    <row r="691">
      <c r="A691" s="9">
        <v>45696.701469907406</v>
      </c>
      <c r="B691" s="19" t="s">
        <v>779</v>
      </c>
      <c r="C691" s="11">
        <v>230.0</v>
      </c>
      <c r="D691" s="11" t="s">
        <v>146</v>
      </c>
      <c r="E691" s="11" t="s">
        <v>163</v>
      </c>
      <c r="F691" s="11">
        <v>218.27</v>
      </c>
      <c r="G691" s="11" t="s">
        <v>43</v>
      </c>
      <c r="H691" s="11">
        <v>8.0</v>
      </c>
      <c r="I691" s="11" t="s">
        <v>638</v>
      </c>
      <c r="J691" s="19">
        <f t="shared" si="2"/>
        <v>60</v>
      </c>
      <c r="N691" s="11">
        <f t="shared" si="1"/>
        <v>480</v>
      </c>
      <c r="O691" s="11" t="s">
        <v>780</v>
      </c>
    </row>
    <row r="692">
      <c r="A692" s="9">
        <v>45698.2003125</v>
      </c>
      <c r="B692" s="19" t="s">
        <v>705</v>
      </c>
      <c r="C692" s="11">
        <v>230.0</v>
      </c>
      <c r="D692" s="11" t="s">
        <v>146</v>
      </c>
      <c r="E692" s="11" t="s">
        <v>163</v>
      </c>
      <c r="F692" s="11">
        <v>218.26</v>
      </c>
      <c r="G692" s="11" t="s">
        <v>43</v>
      </c>
      <c r="H692" s="11">
        <v>8.0</v>
      </c>
      <c r="I692" s="11" t="s">
        <v>638</v>
      </c>
      <c r="J692" s="19">
        <f t="shared" si="2"/>
        <v>60</v>
      </c>
      <c r="N692" s="11">
        <f t="shared" si="1"/>
        <v>480</v>
      </c>
      <c r="O692" s="11" t="s">
        <v>781</v>
      </c>
    </row>
    <row r="693">
      <c r="A693" s="9">
        <v>45698.78575231481</v>
      </c>
      <c r="B693" s="19" t="s">
        <v>782</v>
      </c>
      <c r="C693" s="11">
        <v>34.0</v>
      </c>
      <c r="D693" s="11" t="s">
        <v>146</v>
      </c>
      <c r="E693" s="11" t="s">
        <v>163</v>
      </c>
      <c r="F693" s="11">
        <v>32.02</v>
      </c>
      <c r="G693" s="11" t="s">
        <v>43</v>
      </c>
      <c r="H693" s="11">
        <v>1.0</v>
      </c>
      <c r="I693" s="11" t="s">
        <v>642</v>
      </c>
      <c r="J693" s="19">
        <f t="shared" si="2"/>
        <v>60</v>
      </c>
      <c r="N693" s="11">
        <f t="shared" si="1"/>
        <v>60</v>
      </c>
      <c r="O693" s="11" t="s">
        <v>783</v>
      </c>
    </row>
    <row r="694">
      <c r="A694" s="9">
        <v>45699.23719907407</v>
      </c>
      <c r="B694" s="19" t="s">
        <v>432</v>
      </c>
      <c r="C694" s="11">
        <v>230.0</v>
      </c>
      <c r="D694" s="11" t="s">
        <v>146</v>
      </c>
      <c r="E694" s="11" t="s">
        <v>163</v>
      </c>
      <c r="F694" s="11">
        <v>218.27</v>
      </c>
      <c r="G694" s="11" t="s">
        <v>43</v>
      </c>
      <c r="H694" s="11">
        <v>8.0</v>
      </c>
      <c r="I694" s="11" t="s">
        <v>638</v>
      </c>
      <c r="J694" s="19">
        <f t="shared" si="2"/>
        <v>60</v>
      </c>
      <c r="N694" s="11">
        <f t="shared" si="1"/>
        <v>480</v>
      </c>
      <c r="O694" s="11" t="s">
        <v>784</v>
      </c>
    </row>
    <row r="695">
      <c r="A695" s="9">
        <v>45700.33163194444</v>
      </c>
      <c r="B695" s="19" t="s">
        <v>491</v>
      </c>
      <c r="C695" s="11">
        <v>34.0</v>
      </c>
      <c r="D695" s="11" t="s">
        <v>146</v>
      </c>
      <c r="E695" s="11" t="s">
        <v>163</v>
      </c>
      <c r="F695" s="11">
        <v>32.02</v>
      </c>
      <c r="G695" s="11" t="s">
        <v>43</v>
      </c>
      <c r="H695" s="11">
        <v>1.0</v>
      </c>
      <c r="I695" s="11" t="s">
        <v>642</v>
      </c>
      <c r="J695" s="19">
        <f t="shared" si="2"/>
        <v>60</v>
      </c>
      <c r="N695" s="11">
        <f t="shared" si="1"/>
        <v>60</v>
      </c>
      <c r="O695" s="11" t="s">
        <v>785</v>
      </c>
    </row>
    <row r="696">
      <c r="A696" s="9">
        <v>45701.039722222224</v>
      </c>
      <c r="B696" s="19" t="s">
        <v>685</v>
      </c>
      <c r="C696" s="11">
        <v>230.0</v>
      </c>
      <c r="D696" s="11" t="s">
        <v>146</v>
      </c>
      <c r="E696" s="11" t="s">
        <v>163</v>
      </c>
      <c r="F696" s="11">
        <v>218.27</v>
      </c>
      <c r="G696" s="11" t="s">
        <v>32</v>
      </c>
      <c r="H696" s="11">
        <v>12.0</v>
      </c>
      <c r="I696" s="11" t="s">
        <v>638</v>
      </c>
      <c r="J696" s="19">
        <f t="shared" si="2"/>
        <v>75</v>
      </c>
      <c r="N696" s="11">
        <f t="shared" si="1"/>
        <v>900</v>
      </c>
      <c r="O696" s="11" t="s">
        <v>786</v>
      </c>
    </row>
    <row r="697">
      <c r="A697" s="9">
        <v>45705.247407407405</v>
      </c>
      <c r="B697" s="19" t="s">
        <v>475</v>
      </c>
      <c r="C697" s="11">
        <v>230.0</v>
      </c>
      <c r="D697" s="11" t="s">
        <v>146</v>
      </c>
      <c r="E697" s="11" t="s">
        <v>163</v>
      </c>
      <c r="F697" s="11">
        <v>218.25</v>
      </c>
      <c r="G697" s="11" t="s">
        <v>43</v>
      </c>
      <c r="H697" s="11">
        <v>8.0</v>
      </c>
      <c r="I697" s="11" t="s">
        <v>638</v>
      </c>
      <c r="J697" s="19">
        <f t="shared" si="2"/>
        <v>60</v>
      </c>
      <c r="N697" s="11">
        <f t="shared" si="1"/>
        <v>480</v>
      </c>
      <c r="O697" s="11" t="s">
        <v>787</v>
      </c>
    </row>
    <row r="698">
      <c r="A698" s="9">
        <v>45705.74015046296</v>
      </c>
      <c r="B698" s="19" t="s">
        <v>403</v>
      </c>
      <c r="C698" s="11">
        <v>230.0</v>
      </c>
      <c r="D698" s="11" t="s">
        <v>146</v>
      </c>
      <c r="E698" s="11" t="s">
        <v>163</v>
      </c>
      <c r="F698" s="11">
        <v>218.27</v>
      </c>
      <c r="G698" s="11" t="s">
        <v>43</v>
      </c>
      <c r="H698" s="11">
        <v>8.0</v>
      </c>
      <c r="I698" s="11" t="s">
        <v>638</v>
      </c>
      <c r="J698" s="19">
        <f t="shared" si="2"/>
        <v>60</v>
      </c>
      <c r="N698" s="11">
        <f t="shared" si="1"/>
        <v>480</v>
      </c>
      <c r="O698" s="11" t="s">
        <v>788</v>
      </c>
    </row>
    <row r="699">
      <c r="A699" s="9">
        <v>45706.68273148148</v>
      </c>
      <c r="B699" s="19" t="s">
        <v>336</v>
      </c>
      <c r="C699" s="11">
        <v>230.0</v>
      </c>
      <c r="D699" s="11" t="s">
        <v>146</v>
      </c>
      <c r="E699" s="11" t="s">
        <v>163</v>
      </c>
      <c r="F699" s="11">
        <v>218.27</v>
      </c>
      <c r="G699" s="11" t="s">
        <v>43</v>
      </c>
      <c r="H699" s="11">
        <v>8.0</v>
      </c>
      <c r="I699" s="11" t="s">
        <v>638</v>
      </c>
      <c r="J699" s="19">
        <f t="shared" si="2"/>
        <v>60</v>
      </c>
      <c r="N699" s="11">
        <f t="shared" si="1"/>
        <v>480</v>
      </c>
      <c r="O699" s="11" t="s">
        <v>789</v>
      </c>
    </row>
    <row r="700">
      <c r="A700" s="9">
        <v>45706.81518518519</v>
      </c>
      <c r="B700" s="19" t="s">
        <v>782</v>
      </c>
      <c r="C700" s="11">
        <v>34.0</v>
      </c>
      <c r="D700" s="11" t="s">
        <v>146</v>
      </c>
      <c r="E700" s="11" t="s">
        <v>163</v>
      </c>
      <c r="F700" s="11">
        <v>32.02</v>
      </c>
      <c r="G700" s="11" t="s">
        <v>43</v>
      </c>
      <c r="H700" s="11">
        <v>1.0</v>
      </c>
      <c r="I700" s="11" t="s">
        <v>642</v>
      </c>
      <c r="J700" s="19">
        <f t="shared" si="2"/>
        <v>60</v>
      </c>
      <c r="N700" s="11">
        <f t="shared" si="1"/>
        <v>60</v>
      </c>
      <c r="O700" s="11" t="s">
        <v>790</v>
      </c>
    </row>
    <row r="701">
      <c r="A701" s="9">
        <v>45707.33996527778</v>
      </c>
      <c r="B701" s="19" t="s">
        <v>460</v>
      </c>
      <c r="C701" s="11">
        <v>34.0</v>
      </c>
      <c r="D701" s="11" t="s">
        <v>146</v>
      </c>
      <c r="E701" s="11" t="s">
        <v>163</v>
      </c>
      <c r="F701" s="11">
        <v>32.02</v>
      </c>
      <c r="G701" s="11" t="s">
        <v>43</v>
      </c>
      <c r="H701" s="11">
        <v>1.0</v>
      </c>
      <c r="I701" s="11" t="s">
        <v>642</v>
      </c>
      <c r="J701" s="19">
        <f t="shared" si="2"/>
        <v>60</v>
      </c>
      <c r="N701" s="11">
        <f t="shared" si="1"/>
        <v>60</v>
      </c>
      <c r="O701" s="11" t="s">
        <v>791</v>
      </c>
    </row>
    <row r="702">
      <c r="A702" s="9">
        <v>45707.36342592593</v>
      </c>
      <c r="B702" s="19" t="s">
        <v>792</v>
      </c>
      <c r="C702" s="11">
        <v>23.0</v>
      </c>
      <c r="D702" s="11" t="s">
        <v>146</v>
      </c>
      <c r="E702" s="11" t="s">
        <v>163</v>
      </c>
      <c r="F702" s="11">
        <v>21.57</v>
      </c>
      <c r="G702" s="11" t="s">
        <v>35</v>
      </c>
      <c r="H702" s="11">
        <v>1.0</v>
      </c>
      <c r="I702" s="11" t="s">
        <v>642</v>
      </c>
      <c r="J702" s="19">
        <f t="shared" si="2"/>
        <v>60</v>
      </c>
      <c r="N702" s="11">
        <f t="shared" si="1"/>
        <v>60</v>
      </c>
      <c r="O702" s="11" t="s">
        <v>793</v>
      </c>
    </row>
    <row r="703">
      <c r="A703" s="9">
        <v>45709.31760416667</v>
      </c>
      <c r="B703" s="19" t="s">
        <v>794</v>
      </c>
      <c r="C703" s="11">
        <v>230.0</v>
      </c>
      <c r="D703" s="11" t="s">
        <v>146</v>
      </c>
      <c r="E703" s="11" t="s">
        <v>163</v>
      </c>
      <c r="F703" s="11">
        <v>218.26</v>
      </c>
      <c r="G703" s="11" t="s">
        <v>43</v>
      </c>
      <c r="H703" s="11">
        <v>8.0</v>
      </c>
      <c r="I703" s="11" t="s">
        <v>638</v>
      </c>
      <c r="J703" s="19">
        <f t="shared" si="2"/>
        <v>60</v>
      </c>
      <c r="N703" s="11">
        <f t="shared" si="1"/>
        <v>480</v>
      </c>
      <c r="O703" s="11" t="s">
        <v>795</v>
      </c>
    </row>
    <row r="704">
      <c r="A704" s="9">
        <v>45712.469351851854</v>
      </c>
      <c r="B704" s="19" t="s">
        <v>595</v>
      </c>
      <c r="C704" s="11">
        <v>230.0</v>
      </c>
      <c r="D704" s="11" t="s">
        <v>146</v>
      </c>
      <c r="E704" s="11" t="s">
        <v>163</v>
      </c>
      <c r="F704" s="11">
        <v>218.26</v>
      </c>
      <c r="G704" s="11" t="s">
        <v>43</v>
      </c>
      <c r="H704" s="11">
        <v>8.0</v>
      </c>
      <c r="I704" s="11" t="s">
        <v>638</v>
      </c>
      <c r="J704" s="19">
        <f t="shared" si="2"/>
        <v>60</v>
      </c>
      <c r="N704" s="11">
        <f t="shared" si="1"/>
        <v>480</v>
      </c>
      <c r="O704" s="11" t="s">
        <v>796</v>
      </c>
    </row>
    <row r="705">
      <c r="A705" s="9">
        <v>45712.50914351852</v>
      </c>
      <c r="B705" s="19" t="s">
        <v>782</v>
      </c>
      <c r="C705" s="11">
        <v>34.0</v>
      </c>
      <c r="D705" s="11" t="s">
        <v>146</v>
      </c>
      <c r="E705" s="11" t="s">
        <v>163</v>
      </c>
      <c r="F705" s="11">
        <v>32.02</v>
      </c>
      <c r="G705" s="11" t="s">
        <v>43</v>
      </c>
      <c r="H705" s="11">
        <v>1.0</v>
      </c>
      <c r="I705" s="11" t="s">
        <v>642</v>
      </c>
      <c r="J705" s="19">
        <f t="shared" si="2"/>
        <v>60</v>
      </c>
      <c r="N705" s="11">
        <f t="shared" si="1"/>
        <v>60</v>
      </c>
      <c r="O705" s="11" t="s">
        <v>797</v>
      </c>
    </row>
    <row r="706">
      <c r="A706" s="9">
        <v>45717.84357638889</v>
      </c>
      <c r="B706" s="19" t="s">
        <v>798</v>
      </c>
      <c r="C706" s="11">
        <v>230.0</v>
      </c>
      <c r="D706" s="11" t="s">
        <v>146</v>
      </c>
      <c r="E706" s="11" t="s">
        <v>163</v>
      </c>
      <c r="F706" s="11">
        <v>218.25</v>
      </c>
      <c r="G706" s="11" t="s">
        <v>43</v>
      </c>
      <c r="H706" s="11">
        <v>8.0</v>
      </c>
      <c r="I706" s="11" t="s">
        <v>638</v>
      </c>
      <c r="J706" s="19">
        <f t="shared" si="2"/>
        <v>60</v>
      </c>
      <c r="N706" s="11">
        <f t="shared" si="1"/>
        <v>480</v>
      </c>
      <c r="O706" s="11" t="s">
        <v>799</v>
      </c>
    </row>
    <row r="707">
      <c r="A707" s="9">
        <v>45720.63193287037</v>
      </c>
      <c r="B707" s="19" t="s">
        <v>782</v>
      </c>
      <c r="C707" s="11">
        <v>34.0</v>
      </c>
      <c r="D707" s="11" t="s">
        <v>146</v>
      </c>
      <c r="E707" s="11" t="s">
        <v>163</v>
      </c>
      <c r="F707" s="11">
        <v>32.02</v>
      </c>
      <c r="G707" s="11" t="s">
        <v>43</v>
      </c>
      <c r="H707" s="11">
        <v>1.0</v>
      </c>
      <c r="I707" s="11" t="s">
        <v>642</v>
      </c>
      <c r="J707" s="19">
        <f t="shared" si="2"/>
        <v>60</v>
      </c>
      <c r="N707" s="11">
        <f t="shared" si="1"/>
        <v>60</v>
      </c>
      <c r="O707" s="11" t="s">
        <v>800</v>
      </c>
    </row>
    <row r="708">
      <c r="A708" s="9">
        <v>45721.93965277778</v>
      </c>
      <c r="B708" s="19" t="s">
        <v>411</v>
      </c>
      <c r="C708" s="11">
        <v>165.0</v>
      </c>
      <c r="D708" s="11" t="s">
        <v>146</v>
      </c>
      <c r="E708" s="11" t="s">
        <v>163</v>
      </c>
      <c r="F708" s="11">
        <v>156.49</v>
      </c>
      <c r="G708" s="11" t="s">
        <v>35</v>
      </c>
      <c r="H708" s="11">
        <v>8.0</v>
      </c>
      <c r="I708" s="11" t="s">
        <v>638</v>
      </c>
      <c r="J708" s="19">
        <f t="shared" si="2"/>
        <v>60</v>
      </c>
      <c r="N708" s="11">
        <f t="shared" si="1"/>
        <v>480</v>
      </c>
      <c r="O708" s="11" t="s">
        <v>801</v>
      </c>
    </row>
    <row r="709">
      <c r="A709" s="9">
        <v>45722.991215277776</v>
      </c>
      <c r="B709" s="19" t="s">
        <v>346</v>
      </c>
      <c r="C709" s="11">
        <v>165.0</v>
      </c>
      <c r="D709" s="11" t="s">
        <v>146</v>
      </c>
      <c r="E709" s="11" t="s">
        <v>163</v>
      </c>
      <c r="F709" s="11">
        <v>156.49</v>
      </c>
      <c r="G709" s="11" t="s">
        <v>35</v>
      </c>
      <c r="H709" s="11">
        <v>8.0</v>
      </c>
      <c r="I709" s="11" t="s">
        <v>638</v>
      </c>
      <c r="J709" s="19">
        <f t="shared" si="2"/>
        <v>60</v>
      </c>
      <c r="N709" s="11">
        <f t="shared" si="1"/>
        <v>480</v>
      </c>
      <c r="O709" s="11" t="s">
        <v>802</v>
      </c>
    </row>
    <row r="710">
      <c r="A710" s="9">
        <v>45724.340162037035</v>
      </c>
      <c r="B710" s="19" t="s">
        <v>803</v>
      </c>
      <c r="C710" s="11">
        <v>230.0</v>
      </c>
      <c r="D710" s="11" t="s">
        <v>146</v>
      </c>
      <c r="E710" s="11" t="s">
        <v>163</v>
      </c>
      <c r="F710" s="11">
        <v>218.25</v>
      </c>
      <c r="G710" s="11" t="s">
        <v>43</v>
      </c>
      <c r="H710" s="11">
        <v>8.0</v>
      </c>
      <c r="I710" s="11" t="s">
        <v>638</v>
      </c>
      <c r="J710" s="19">
        <f t="shared" si="2"/>
        <v>60</v>
      </c>
      <c r="N710" s="11">
        <f t="shared" si="1"/>
        <v>480</v>
      </c>
      <c r="O710" s="11" t="s">
        <v>804</v>
      </c>
    </row>
    <row r="711">
      <c r="A711" s="9">
        <v>45724.437048611115</v>
      </c>
      <c r="B711" s="19" t="s">
        <v>805</v>
      </c>
      <c r="C711" s="11">
        <v>230.0</v>
      </c>
      <c r="D711" s="11" t="s">
        <v>146</v>
      </c>
      <c r="E711" s="11" t="s">
        <v>163</v>
      </c>
      <c r="F711" s="11">
        <v>218.25</v>
      </c>
      <c r="G711" s="11" t="s">
        <v>43</v>
      </c>
      <c r="H711" s="11">
        <v>8.0</v>
      </c>
      <c r="I711" s="11" t="s">
        <v>638</v>
      </c>
      <c r="J711" s="19">
        <f t="shared" si="2"/>
        <v>60</v>
      </c>
      <c r="N711" s="11">
        <f t="shared" si="1"/>
        <v>480</v>
      </c>
      <c r="O711" s="11" t="s">
        <v>806</v>
      </c>
    </row>
    <row r="712">
      <c r="A712" s="9">
        <v>45725.40195601852</v>
      </c>
      <c r="B712" s="19" t="s">
        <v>807</v>
      </c>
      <c r="C712" s="11">
        <v>230.0</v>
      </c>
      <c r="D712" s="11" t="s">
        <v>146</v>
      </c>
      <c r="E712" s="11" t="s">
        <v>163</v>
      </c>
      <c r="F712" s="11">
        <v>218.26</v>
      </c>
      <c r="G712" s="11" t="s">
        <v>43</v>
      </c>
      <c r="H712" s="11">
        <v>8.0</v>
      </c>
      <c r="I712" s="11" t="s">
        <v>638</v>
      </c>
      <c r="J712" s="19">
        <f t="shared" si="2"/>
        <v>60</v>
      </c>
      <c r="N712" s="11">
        <f t="shared" si="1"/>
        <v>480</v>
      </c>
      <c r="O712" s="11" t="s">
        <v>808</v>
      </c>
    </row>
    <row r="713">
      <c r="A713" s="9">
        <v>45726.89538194444</v>
      </c>
      <c r="B713" s="19" t="s">
        <v>483</v>
      </c>
      <c r="C713" s="11">
        <v>975.0</v>
      </c>
      <c r="D713" s="11" t="s">
        <v>146</v>
      </c>
      <c r="E713" s="11" t="s">
        <v>163</v>
      </c>
      <c r="F713" s="11">
        <v>926.14</v>
      </c>
      <c r="G713" s="11" t="s">
        <v>43</v>
      </c>
      <c r="H713" s="11">
        <v>40.0</v>
      </c>
      <c r="I713" s="11" t="s">
        <v>638</v>
      </c>
      <c r="J713" s="19">
        <f t="shared" si="2"/>
        <v>60</v>
      </c>
      <c r="N713" s="11">
        <f t="shared" si="1"/>
        <v>2400</v>
      </c>
      <c r="O713" s="11" t="s">
        <v>809</v>
      </c>
    </row>
    <row r="714">
      <c r="A714" s="9">
        <v>45727.189988425926</v>
      </c>
      <c r="B714" s="19" t="s">
        <v>555</v>
      </c>
      <c r="C714" s="11">
        <v>230.0</v>
      </c>
      <c r="D714" s="11" t="s">
        <v>146</v>
      </c>
      <c r="E714" s="11" t="s">
        <v>163</v>
      </c>
      <c r="F714" s="11">
        <v>218.25</v>
      </c>
      <c r="G714" s="11" t="s">
        <v>43</v>
      </c>
      <c r="H714" s="11">
        <v>8.0</v>
      </c>
      <c r="I714" s="11" t="s">
        <v>638</v>
      </c>
      <c r="J714" s="19">
        <f t="shared" si="2"/>
        <v>60</v>
      </c>
      <c r="N714" s="11">
        <f t="shared" si="1"/>
        <v>480</v>
      </c>
      <c r="O714" s="11" t="s">
        <v>810</v>
      </c>
    </row>
    <row r="715">
      <c r="A715" s="9">
        <v>45728.68135416666</v>
      </c>
      <c r="B715" s="19" t="s">
        <v>391</v>
      </c>
      <c r="C715" s="11">
        <v>230.0</v>
      </c>
      <c r="D715" s="11" t="s">
        <v>146</v>
      </c>
      <c r="E715" s="11" t="s">
        <v>163</v>
      </c>
      <c r="F715" s="11">
        <v>218.25</v>
      </c>
      <c r="G715" s="11" t="s">
        <v>43</v>
      </c>
      <c r="H715" s="11">
        <v>8.0</v>
      </c>
      <c r="I715" s="11" t="s">
        <v>638</v>
      </c>
      <c r="J715" s="19">
        <f t="shared" si="2"/>
        <v>60</v>
      </c>
      <c r="N715" s="11">
        <f t="shared" si="1"/>
        <v>480</v>
      </c>
      <c r="O715" s="11" t="s">
        <v>811</v>
      </c>
    </row>
    <row r="716">
      <c r="A716" s="9">
        <v>45729.55263888889</v>
      </c>
      <c r="B716" s="19" t="s">
        <v>782</v>
      </c>
      <c r="C716" s="11">
        <v>34.0</v>
      </c>
      <c r="D716" s="11" t="s">
        <v>146</v>
      </c>
      <c r="E716" s="11" t="s">
        <v>163</v>
      </c>
      <c r="F716" s="11">
        <v>32.02</v>
      </c>
      <c r="G716" s="11" t="s">
        <v>43</v>
      </c>
      <c r="H716" s="11">
        <v>1.0</v>
      </c>
      <c r="I716" s="11" t="s">
        <v>642</v>
      </c>
      <c r="J716" s="19">
        <f t="shared" si="2"/>
        <v>60</v>
      </c>
      <c r="N716" s="11">
        <f t="shared" si="1"/>
        <v>60</v>
      </c>
      <c r="O716" s="11" t="s">
        <v>812</v>
      </c>
    </row>
    <row r="717">
      <c r="A717" s="9">
        <v>45729.625023148146</v>
      </c>
      <c r="B717" s="19" t="s">
        <v>813</v>
      </c>
      <c r="C717" s="11">
        <v>230.0</v>
      </c>
      <c r="D717" s="11" t="s">
        <v>146</v>
      </c>
      <c r="E717" s="11" t="s">
        <v>163</v>
      </c>
      <c r="F717" s="11">
        <v>218.29</v>
      </c>
      <c r="G717" s="11" t="s">
        <v>43</v>
      </c>
      <c r="H717" s="11">
        <v>8.0</v>
      </c>
      <c r="I717" s="11" t="s">
        <v>638</v>
      </c>
      <c r="J717" s="19">
        <f t="shared" si="2"/>
        <v>60</v>
      </c>
      <c r="N717" s="11">
        <f t="shared" si="1"/>
        <v>480</v>
      </c>
      <c r="O717" s="11" t="s">
        <v>814</v>
      </c>
    </row>
    <row r="718">
      <c r="A718" s="9">
        <v>45730.01795138889</v>
      </c>
      <c r="B718" s="19" t="s">
        <v>743</v>
      </c>
      <c r="C718" s="11">
        <v>230.0</v>
      </c>
      <c r="D718" s="11" t="s">
        <v>146</v>
      </c>
      <c r="E718" s="11" t="s">
        <v>163</v>
      </c>
      <c r="F718" s="11">
        <v>218.25</v>
      </c>
      <c r="G718" s="11" t="s">
        <v>43</v>
      </c>
      <c r="H718" s="11">
        <v>8.0</v>
      </c>
      <c r="I718" s="11" t="s">
        <v>638</v>
      </c>
      <c r="J718" s="19">
        <f t="shared" si="2"/>
        <v>60</v>
      </c>
      <c r="N718" s="11">
        <f t="shared" si="1"/>
        <v>480</v>
      </c>
      <c r="O718" s="11" t="s">
        <v>815</v>
      </c>
    </row>
    <row r="719">
      <c r="A719" s="9">
        <v>45732.18763888889</v>
      </c>
      <c r="B719" s="19" t="s">
        <v>705</v>
      </c>
      <c r="C719" s="11">
        <v>34.0</v>
      </c>
      <c r="D719" s="11" t="s">
        <v>146</v>
      </c>
      <c r="E719" s="11" t="s">
        <v>163</v>
      </c>
      <c r="F719" s="11">
        <v>32.02</v>
      </c>
      <c r="G719" s="11" t="s">
        <v>43</v>
      </c>
      <c r="H719" s="11">
        <v>1.0</v>
      </c>
      <c r="I719" s="11" t="s">
        <v>642</v>
      </c>
      <c r="J719" s="19">
        <f t="shared" si="2"/>
        <v>60</v>
      </c>
      <c r="N719" s="11">
        <f t="shared" si="1"/>
        <v>60</v>
      </c>
      <c r="O719" s="11" t="s">
        <v>816</v>
      </c>
    </row>
    <row r="720">
      <c r="A720" s="9">
        <v>45732.694444444445</v>
      </c>
      <c r="B720" s="19" t="s">
        <v>370</v>
      </c>
      <c r="C720" s="11">
        <v>230.0</v>
      </c>
      <c r="D720" s="11" t="s">
        <v>146</v>
      </c>
      <c r="E720" s="11" t="s">
        <v>163</v>
      </c>
      <c r="F720" s="11">
        <v>218.25</v>
      </c>
      <c r="G720" s="11" t="s">
        <v>43</v>
      </c>
      <c r="H720" s="11">
        <v>8.0</v>
      </c>
      <c r="I720" s="11" t="s">
        <v>638</v>
      </c>
      <c r="J720" s="19">
        <f t="shared" si="2"/>
        <v>60</v>
      </c>
      <c r="N720" s="11">
        <f t="shared" si="1"/>
        <v>480</v>
      </c>
      <c r="O720" s="11" t="s">
        <v>817</v>
      </c>
    </row>
    <row r="721">
      <c r="A721" s="9">
        <v>45732.983668981484</v>
      </c>
      <c r="B721" s="19" t="s">
        <v>522</v>
      </c>
      <c r="C721" s="11">
        <v>165.0</v>
      </c>
      <c r="D721" s="11" t="s">
        <v>146</v>
      </c>
      <c r="E721" s="11" t="s">
        <v>163</v>
      </c>
      <c r="F721" s="11">
        <v>156.49</v>
      </c>
      <c r="G721" s="11" t="s">
        <v>35</v>
      </c>
      <c r="H721" s="11">
        <v>8.0</v>
      </c>
      <c r="I721" s="11" t="s">
        <v>638</v>
      </c>
      <c r="J721" s="19">
        <f t="shared" si="2"/>
        <v>60</v>
      </c>
      <c r="N721" s="11">
        <f t="shared" si="1"/>
        <v>480</v>
      </c>
      <c r="O721" s="11" t="s">
        <v>818</v>
      </c>
    </row>
    <row r="722">
      <c r="A722" s="9">
        <v>45733.89474537037</v>
      </c>
      <c r="B722" s="19" t="s">
        <v>819</v>
      </c>
      <c r="C722" s="11">
        <v>230.0</v>
      </c>
      <c r="D722" s="11" t="s">
        <v>146</v>
      </c>
      <c r="E722" s="11" t="s">
        <v>163</v>
      </c>
      <c r="F722" s="11">
        <v>218.25</v>
      </c>
      <c r="G722" s="11" t="s">
        <v>43</v>
      </c>
      <c r="H722" s="11">
        <v>8.0</v>
      </c>
      <c r="I722" s="11" t="s">
        <v>638</v>
      </c>
      <c r="J722" s="19">
        <f t="shared" si="2"/>
        <v>60</v>
      </c>
      <c r="N722" s="11">
        <f t="shared" si="1"/>
        <v>480</v>
      </c>
      <c r="O722" s="11" t="s">
        <v>820</v>
      </c>
    </row>
    <row r="723">
      <c r="A723" s="9">
        <v>45734.56377314815</v>
      </c>
      <c r="B723" s="19" t="s">
        <v>679</v>
      </c>
      <c r="C723" s="11">
        <v>230.0</v>
      </c>
      <c r="D723" s="11" t="s">
        <v>146</v>
      </c>
      <c r="E723" s="11" t="s">
        <v>163</v>
      </c>
      <c r="F723" s="11">
        <v>218.26</v>
      </c>
      <c r="G723" s="11" t="s">
        <v>43</v>
      </c>
      <c r="H723" s="11">
        <v>8.0</v>
      </c>
      <c r="I723" s="11" t="s">
        <v>638</v>
      </c>
      <c r="J723" s="19">
        <f t="shared" si="2"/>
        <v>60</v>
      </c>
      <c r="N723" s="11">
        <f t="shared" si="1"/>
        <v>480</v>
      </c>
      <c r="O723" s="11" t="s">
        <v>821</v>
      </c>
    </row>
    <row r="724">
      <c r="A724" s="9">
        <v>45736.65945601852</v>
      </c>
      <c r="B724" s="19" t="s">
        <v>782</v>
      </c>
      <c r="C724" s="11">
        <v>34.0</v>
      </c>
      <c r="D724" s="11" t="s">
        <v>146</v>
      </c>
      <c r="E724" s="11" t="s">
        <v>163</v>
      </c>
      <c r="F724" s="11">
        <v>32.02</v>
      </c>
      <c r="G724" s="11" t="s">
        <v>43</v>
      </c>
      <c r="H724" s="11">
        <v>1.0</v>
      </c>
      <c r="I724" s="11" t="s">
        <v>642</v>
      </c>
      <c r="J724" s="19">
        <f t="shared" si="2"/>
        <v>60</v>
      </c>
      <c r="N724" s="11">
        <f t="shared" si="1"/>
        <v>60</v>
      </c>
      <c r="O724" s="11" t="s">
        <v>822</v>
      </c>
    </row>
    <row r="725">
      <c r="A725" s="9">
        <v>45736.98322916667</v>
      </c>
      <c r="B725" s="19" t="s">
        <v>475</v>
      </c>
      <c r="C725" s="11">
        <v>230.0</v>
      </c>
      <c r="D725" s="11" t="s">
        <v>146</v>
      </c>
      <c r="E725" s="11" t="s">
        <v>163</v>
      </c>
      <c r="F725" s="11">
        <v>218.27</v>
      </c>
      <c r="G725" s="11" t="s">
        <v>43</v>
      </c>
      <c r="H725" s="11">
        <v>8.0</v>
      </c>
      <c r="I725" s="11" t="s">
        <v>638</v>
      </c>
      <c r="J725" s="19">
        <f t="shared" si="2"/>
        <v>60</v>
      </c>
      <c r="N725" s="11">
        <f t="shared" si="1"/>
        <v>480</v>
      </c>
      <c r="O725" s="11" t="s">
        <v>823</v>
      </c>
    </row>
    <row r="726">
      <c r="A726" s="9">
        <v>45737.114907407406</v>
      </c>
      <c r="B726" s="19" t="s">
        <v>705</v>
      </c>
      <c r="C726" s="11">
        <v>34.0</v>
      </c>
      <c r="D726" s="11" t="s">
        <v>146</v>
      </c>
      <c r="E726" s="11" t="s">
        <v>163</v>
      </c>
      <c r="F726" s="11">
        <v>32.02</v>
      </c>
      <c r="G726" s="11" t="s">
        <v>43</v>
      </c>
      <c r="H726" s="11">
        <v>1.0</v>
      </c>
      <c r="I726" s="11" t="s">
        <v>642</v>
      </c>
      <c r="J726" s="19">
        <f t="shared" si="2"/>
        <v>60</v>
      </c>
      <c r="N726" s="11">
        <f t="shared" si="1"/>
        <v>60</v>
      </c>
      <c r="O726" s="11" t="s">
        <v>824</v>
      </c>
    </row>
    <row r="727">
      <c r="A727" s="9">
        <v>45737.11587962963</v>
      </c>
      <c r="B727" s="19" t="s">
        <v>705</v>
      </c>
      <c r="C727" s="11">
        <v>34.0</v>
      </c>
      <c r="D727" s="11" t="s">
        <v>146</v>
      </c>
      <c r="E727" s="11" t="s">
        <v>163</v>
      </c>
      <c r="F727" s="11">
        <v>32.02</v>
      </c>
      <c r="G727" s="11" t="s">
        <v>43</v>
      </c>
      <c r="H727" s="11">
        <v>1.0</v>
      </c>
      <c r="I727" s="11" t="s">
        <v>642</v>
      </c>
      <c r="J727" s="19">
        <f t="shared" si="2"/>
        <v>60</v>
      </c>
      <c r="N727" s="11">
        <f t="shared" si="1"/>
        <v>60</v>
      </c>
      <c r="O727" s="11" t="s">
        <v>825</v>
      </c>
    </row>
    <row r="728">
      <c r="A728" s="9">
        <v>45737.57703703704</v>
      </c>
      <c r="B728" s="19" t="s">
        <v>551</v>
      </c>
      <c r="C728" s="11">
        <v>230.0</v>
      </c>
      <c r="D728" s="11" t="s">
        <v>146</v>
      </c>
      <c r="E728" s="11" t="s">
        <v>163</v>
      </c>
      <c r="F728" s="11">
        <v>218.27</v>
      </c>
      <c r="G728" s="11" t="s">
        <v>43</v>
      </c>
      <c r="H728" s="11">
        <v>8.0</v>
      </c>
      <c r="I728" s="11" t="s">
        <v>638</v>
      </c>
      <c r="J728" s="19">
        <f t="shared" si="2"/>
        <v>60</v>
      </c>
      <c r="N728" s="11">
        <f t="shared" si="1"/>
        <v>480</v>
      </c>
      <c r="O728" s="11" t="s">
        <v>826</v>
      </c>
    </row>
    <row r="729">
      <c r="A729" s="9">
        <v>45737.98768518519</v>
      </c>
      <c r="B729" s="19" t="s">
        <v>510</v>
      </c>
      <c r="C729" s="11">
        <v>230.0</v>
      </c>
      <c r="D729" s="11" t="s">
        <v>146</v>
      </c>
      <c r="E729" s="11" t="s">
        <v>163</v>
      </c>
      <c r="F729" s="11">
        <v>218.26</v>
      </c>
      <c r="G729" s="11" t="s">
        <v>43</v>
      </c>
      <c r="H729" s="11">
        <v>8.0</v>
      </c>
      <c r="I729" s="11" t="s">
        <v>638</v>
      </c>
      <c r="J729" s="19">
        <f t="shared" si="2"/>
        <v>60</v>
      </c>
      <c r="N729" s="11">
        <f t="shared" si="1"/>
        <v>480</v>
      </c>
      <c r="O729" s="11" t="s">
        <v>827</v>
      </c>
    </row>
    <row r="730">
      <c r="A730" s="9">
        <v>45738.68255787037</v>
      </c>
      <c r="B730" s="19" t="s">
        <v>623</v>
      </c>
      <c r="C730" s="11">
        <v>230.0</v>
      </c>
      <c r="D730" s="11" t="s">
        <v>146</v>
      </c>
      <c r="E730" s="11" t="s">
        <v>163</v>
      </c>
      <c r="F730" s="11">
        <v>218.26</v>
      </c>
      <c r="G730" s="11" t="s">
        <v>43</v>
      </c>
      <c r="H730" s="11">
        <v>8.0</v>
      </c>
      <c r="I730" s="11" t="s">
        <v>638</v>
      </c>
      <c r="J730" s="19">
        <f t="shared" si="2"/>
        <v>60</v>
      </c>
      <c r="N730" s="11">
        <f t="shared" si="1"/>
        <v>480</v>
      </c>
      <c r="O730" s="11" t="s">
        <v>828</v>
      </c>
    </row>
    <row r="731">
      <c r="A731" s="9">
        <v>45741.45143518518</v>
      </c>
      <c r="B731" s="19" t="s">
        <v>452</v>
      </c>
      <c r="C731" s="11">
        <v>230.0</v>
      </c>
      <c r="D731" s="11" t="s">
        <v>146</v>
      </c>
      <c r="E731" s="11" t="s">
        <v>163</v>
      </c>
      <c r="F731" s="11">
        <v>218.27</v>
      </c>
      <c r="G731" s="11" t="s">
        <v>43</v>
      </c>
      <c r="H731" s="11">
        <v>8.0</v>
      </c>
      <c r="I731" s="11" t="s">
        <v>638</v>
      </c>
      <c r="J731" s="19">
        <f t="shared" si="2"/>
        <v>60</v>
      </c>
      <c r="N731" s="11">
        <f t="shared" si="1"/>
        <v>480</v>
      </c>
      <c r="O731" s="11" t="s">
        <v>829</v>
      </c>
    </row>
    <row r="732">
      <c r="A732" s="9">
        <v>45745.436006944445</v>
      </c>
      <c r="B732" s="19" t="s">
        <v>705</v>
      </c>
      <c r="C732" s="11">
        <v>34.0</v>
      </c>
      <c r="D732" s="11" t="s">
        <v>146</v>
      </c>
      <c r="E732" s="11" t="s">
        <v>163</v>
      </c>
      <c r="F732" s="11">
        <v>32.02</v>
      </c>
      <c r="G732" s="11" t="s">
        <v>43</v>
      </c>
      <c r="H732" s="11">
        <v>1.0</v>
      </c>
      <c r="I732" s="11" t="s">
        <v>642</v>
      </c>
      <c r="J732" s="19">
        <f t="shared" si="2"/>
        <v>60</v>
      </c>
      <c r="N732" s="11">
        <f t="shared" si="1"/>
        <v>60</v>
      </c>
      <c r="O732" s="11" t="s">
        <v>830</v>
      </c>
    </row>
    <row r="733">
      <c r="A733" s="9">
        <v>45745.43693287037</v>
      </c>
      <c r="B733" s="19" t="s">
        <v>705</v>
      </c>
      <c r="C733" s="11">
        <v>34.0</v>
      </c>
      <c r="D733" s="11" t="s">
        <v>146</v>
      </c>
      <c r="E733" s="11" t="s">
        <v>163</v>
      </c>
      <c r="F733" s="11">
        <v>32.02</v>
      </c>
      <c r="G733" s="11" t="s">
        <v>43</v>
      </c>
      <c r="H733" s="11">
        <v>1.0</v>
      </c>
      <c r="I733" s="11" t="s">
        <v>642</v>
      </c>
      <c r="J733" s="19">
        <f t="shared" si="2"/>
        <v>60</v>
      </c>
      <c r="N733" s="11">
        <f t="shared" si="1"/>
        <v>60</v>
      </c>
      <c r="O733" s="11" t="s">
        <v>831</v>
      </c>
    </row>
    <row r="734">
      <c r="A734" s="9">
        <v>45747.982719907406</v>
      </c>
      <c r="B734" s="19" t="s">
        <v>832</v>
      </c>
      <c r="C734" s="11">
        <v>230.0</v>
      </c>
      <c r="D734" s="11" t="s">
        <v>146</v>
      </c>
      <c r="E734" s="11" t="s">
        <v>163</v>
      </c>
      <c r="F734" s="11">
        <v>218.27</v>
      </c>
      <c r="G734" s="11" t="s">
        <v>43</v>
      </c>
      <c r="H734" s="11">
        <v>8.0</v>
      </c>
      <c r="I734" s="11" t="s">
        <v>638</v>
      </c>
      <c r="J734" s="19">
        <f t="shared" si="2"/>
        <v>60</v>
      </c>
      <c r="N734" s="11">
        <f t="shared" si="1"/>
        <v>480</v>
      </c>
      <c r="O734" s="11" t="s">
        <v>833</v>
      </c>
    </row>
    <row r="735">
      <c r="A735" s="9">
        <v>45749.476111111115</v>
      </c>
      <c r="B735" s="19" t="s">
        <v>334</v>
      </c>
      <c r="C735" s="11">
        <v>230.0</v>
      </c>
      <c r="D735" s="11" t="s">
        <v>146</v>
      </c>
      <c r="E735" s="11" t="s">
        <v>163</v>
      </c>
      <c r="F735" s="11">
        <v>218.27</v>
      </c>
      <c r="G735" s="11" t="s">
        <v>43</v>
      </c>
      <c r="H735" s="11">
        <v>8.0</v>
      </c>
      <c r="I735" s="11" t="s">
        <v>638</v>
      </c>
      <c r="J735" s="19">
        <f t="shared" si="2"/>
        <v>60</v>
      </c>
      <c r="N735" s="11">
        <f t="shared" si="1"/>
        <v>480</v>
      </c>
      <c r="O735" s="11" t="s">
        <v>834</v>
      </c>
    </row>
    <row r="736">
      <c r="A736" s="9">
        <v>45749.74707175926</v>
      </c>
      <c r="B736" s="19" t="s">
        <v>338</v>
      </c>
      <c r="C736" s="11">
        <v>975.0</v>
      </c>
      <c r="D736" s="11" t="s">
        <v>146</v>
      </c>
      <c r="E736" s="11" t="s">
        <v>163</v>
      </c>
      <c r="F736" s="11">
        <v>926.29</v>
      </c>
      <c r="G736" s="11" t="s">
        <v>43</v>
      </c>
      <c r="H736" s="11">
        <v>40.0</v>
      </c>
      <c r="I736" s="11" t="s">
        <v>638</v>
      </c>
      <c r="J736" s="19">
        <f t="shared" si="2"/>
        <v>60</v>
      </c>
      <c r="N736" s="11">
        <f t="shared" si="1"/>
        <v>2400</v>
      </c>
      <c r="O736" s="11" t="s">
        <v>835</v>
      </c>
    </row>
    <row r="737">
      <c r="A737" s="9">
        <v>45749.93415509259</v>
      </c>
      <c r="B737" s="19" t="s">
        <v>368</v>
      </c>
      <c r="C737" s="11">
        <v>230.0</v>
      </c>
      <c r="D737" s="11" t="s">
        <v>146</v>
      </c>
      <c r="E737" s="11" t="s">
        <v>163</v>
      </c>
      <c r="F737" s="11">
        <v>218.27</v>
      </c>
      <c r="G737" s="11" t="s">
        <v>43</v>
      </c>
      <c r="H737" s="11">
        <v>8.0</v>
      </c>
      <c r="I737" s="11" t="s">
        <v>638</v>
      </c>
      <c r="J737" s="19">
        <f t="shared" si="2"/>
        <v>60</v>
      </c>
      <c r="N737" s="11">
        <f t="shared" si="1"/>
        <v>480</v>
      </c>
      <c r="O737" s="11" t="s">
        <v>836</v>
      </c>
    </row>
    <row r="738">
      <c r="A738" s="9">
        <v>45750.57104166667</v>
      </c>
      <c r="B738" s="19" t="s">
        <v>837</v>
      </c>
      <c r="C738" s="11">
        <v>975.0</v>
      </c>
      <c r="D738" s="11" t="s">
        <v>146</v>
      </c>
      <c r="E738" s="11" t="s">
        <v>163</v>
      </c>
      <c r="F738" s="11">
        <v>926.2</v>
      </c>
      <c r="G738" s="11" t="s">
        <v>43</v>
      </c>
      <c r="H738" s="11">
        <v>40.0</v>
      </c>
      <c r="I738" s="11" t="s">
        <v>638</v>
      </c>
      <c r="J738" s="19">
        <f t="shared" si="2"/>
        <v>60</v>
      </c>
      <c r="N738" s="11">
        <f t="shared" si="1"/>
        <v>2400</v>
      </c>
      <c r="O738" s="11" t="s">
        <v>838</v>
      </c>
    </row>
    <row r="739">
      <c r="A739" s="9">
        <v>45750.65290509259</v>
      </c>
      <c r="B739" s="19" t="s">
        <v>782</v>
      </c>
      <c r="C739" s="11">
        <v>34.0</v>
      </c>
      <c r="D739" s="11" t="s">
        <v>146</v>
      </c>
      <c r="E739" s="11" t="s">
        <v>163</v>
      </c>
      <c r="F739" s="11">
        <v>32.02</v>
      </c>
      <c r="G739" s="11" t="s">
        <v>43</v>
      </c>
      <c r="H739" s="11">
        <v>1.0</v>
      </c>
      <c r="I739" s="11" t="s">
        <v>642</v>
      </c>
      <c r="J739" s="19">
        <f t="shared" si="2"/>
        <v>60</v>
      </c>
      <c r="N739" s="11">
        <f t="shared" si="1"/>
        <v>60</v>
      </c>
      <c r="O739" s="11" t="s">
        <v>839</v>
      </c>
    </row>
    <row r="740">
      <c r="A740" s="9">
        <v>45751.591898148145</v>
      </c>
      <c r="B740" s="19" t="s">
        <v>90</v>
      </c>
      <c r="C740" s="11">
        <v>165.0</v>
      </c>
      <c r="D740" s="11" t="s">
        <v>146</v>
      </c>
      <c r="E740" s="11" t="s">
        <v>163</v>
      </c>
      <c r="F740" s="11">
        <v>156.51</v>
      </c>
      <c r="G740" s="11" t="s">
        <v>35</v>
      </c>
      <c r="H740" s="11">
        <v>8.0</v>
      </c>
      <c r="I740" s="11" t="s">
        <v>638</v>
      </c>
      <c r="J740" s="19">
        <f t="shared" si="2"/>
        <v>60</v>
      </c>
      <c r="N740" s="11">
        <f t="shared" si="1"/>
        <v>480</v>
      </c>
      <c r="O740" s="11" t="s">
        <v>840</v>
      </c>
    </row>
    <row r="741">
      <c r="A741" s="9">
        <v>45754.38229166667</v>
      </c>
      <c r="B741" s="19" t="s">
        <v>705</v>
      </c>
      <c r="C741" s="11">
        <v>34.0</v>
      </c>
      <c r="D741" s="11" t="s">
        <v>146</v>
      </c>
      <c r="E741" s="11" t="s">
        <v>163</v>
      </c>
      <c r="F741" s="11">
        <v>32.02</v>
      </c>
      <c r="G741" s="11" t="s">
        <v>43</v>
      </c>
      <c r="H741" s="11">
        <v>1.0</v>
      </c>
      <c r="I741" s="11" t="s">
        <v>642</v>
      </c>
      <c r="J741" s="19">
        <f t="shared" si="2"/>
        <v>60</v>
      </c>
      <c r="N741" s="11">
        <f t="shared" si="1"/>
        <v>60</v>
      </c>
      <c r="O741" s="11" t="s">
        <v>841</v>
      </c>
    </row>
    <row r="742">
      <c r="A742" s="9">
        <v>45756.420266203706</v>
      </c>
      <c r="B742" s="19" t="s">
        <v>705</v>
      </c>
      <c r="C742" s="11">
        <v>34.0</v>
      </c>
      <c r="D742" s="11" t="s">
        <v>146</v>
      </c>
      <c r="E742" s="11" t="s">
        <v>163</v>
      </c>
      <c r="F742" s="11">
        <v>32.02</v>
      </c>
      <c r="G742" s="11" t="s">
        <v>43</v>
      </c>
      <c r="H742" s="11">
        <v>1.0</v>
      </c>
      <c r="I742" s="11" t="s">
        <v>642</v>
      </c>
      <c r="J742" s="19">
        <f t="shared" si="2"/>
        <v>60</v>
      </c>
      <c r="N742" s="11">
        <f t="shared" si="1"/>
        <v>60</v>
      </c>
      <c r="O742" s="11" t="s">
        <v>842</v>
      </c>
    </row>
    <row r="743">
      <c r="A743" s="9">
        <v>45757.60313657407</v>
      </c>
      <c r="B743" s="19" t="s">
        <v>434</v>
      </c>
      <c r="C743" s="11">
        <v>230.0</v>
      </c>
      <c r="D743" s="11" t="s">
        <v>146</v>
      </c>
      <c r="E743" s="11" t="s">
        <v>163</v>
      </c>
      <c r="F743" s="11">
        <v>218.27</v>
      </c>
      <c r="G743" s="11" t="s">
        <v>43</v>
      </c>
      <c r="H743" s="11">
        <v>8.0</v>
      </c>
      <c r="I743" s="11" t="s">
        <v>638</v>
      </c>
      <c r="J743" s="19">
        <f t="shared" si="2"/>
        <v>60</v>
      </c>
      <c r="N743" s="11">
        <f t="shared" si="1"/>
        <v>480</v>
      </c>
      <c r="O743" s="11" t="s">
        <v>843</v>
      </c>
    </row>
    <row r="744">
      <c r="A744" s="9">
        <v>45760.16436342592</v>
      </c>
      <c r="B744" s="19" t="s">
        <v>427</v>
      </c>
      <c r="C744" s="11">
        <v>230.0</v>
      </c>
      <c r="D744" s="11" t="s">
        <v>146</v>
      </c>
      <c r="E744" s="11" t="s">
        <v>163</v>
      </c>
      <c r="F744" s="11">
        <v>218.25</v>
      </c>
      <c r="G744" s="11" t="s">
        <v>43</v>
      </c>
      <c r="H744" s="11">
        <v>8.0</v>
      </c>
      <c r="I744" s="11" t="s">
        <v>638</v>
      </c>
      <c r="J744" s="19">
        <f t="shared" si="2"/>
        <v>60</v>
      </c>
      <c r="N744" s="11">
        <f t="shared" si="1"/>
        <v>480</v>
      </c>
      <c r="O744" s="11" t="s">
        <v>844</v>
      </c>
    </row>
    <row r="745">
      <c r="A745" s="9">
        <v>45760.58460648148</v>
      </c>
      <c r="B745" s="19" t="s">
        <v>571</v>
      </c>
      <c r="C745" s="11">
        <v>230.0</v>
      </c>
      <c r="D745" s="11" t="s">
        <v>146</v>
      </c>
      <c r="E745" s="11" t="s">
        <v>163</v>
      </c>
      <c r="F745" s="11">
        <v>218.29</v>
      </c>
      <c r="G745" s="11" t="s">
        <v>43</v>
      </c>
      <c r="H745" s="11">
        <v>8.0</v>
      </c>
      <c r="I745" s="11" t="s">
        <v>638</v>
      </c>
      <c r="J745" s="19">
        <f t="shared" si="2"/>
        <v>60</v>
      </c>
      <c r="N745" s="11">
        <f t="shared" si="1"/>
        <v>480</v>
      </c>
      <c r="O745" s="11" t="s">
        <v>845</v>
      </c>
    </row>
    <row r="746">
      <c r="A746" s="9">
        <v>45769.25493055556</v>
      </c>
      <c r="B746" s="19" t="s">
        <v>403</v>
      </c>
      <c r="C746" s="11">
        <v>230.0</v>
      </c>
      <c r="D746" s="11" t="s">
        <v>146</v>
      </c>
      <c r="E746" s="11" t="s">
        <v>163</v>
      </c>
      <c r="F746" s="11">
        <v>218.27</v>
      </c>
      <c r="G746" s="11" t="s">
        <v>43</v>
      </c>
      <c r="H746" s="11">
        <v>8.0</v>
      </c>
      <c r="I746" s="11" t="s">
        <v>638</v>
      </c>
      <c r="J746" s="19">
        <f t="shared" si="2"/>
        <v>60</v>
      </c>
      <c r="N746" s="11">
        <f t="shared" si="1"/>
        <v>480</v>
      </c>
      <c r="O746" s="11" t="s">
        <v>846</v>
      </c>
    </row>
    <row r="747">
      <c r="A747" s="9">
        <v>45770.35469907407</v>
      </c>
      <c r="B747" s="19" t="s">
        <v>803</v>
      </c>
      <c r="C747" s="11">
        <v>230.0</v>
      </c>
      <c r="D747" s="11" t="s">
        <v>146</v>
      </c>
      <c r="E747" s="11" t="s">
        <v>163</v>
      </c>
      <c r="F747" s="11">
        <v>218.26</v>
      </c>
      <c r="G747" s="11" t="s">
        <v>43</v>
      </c>
      <c r="H747" s="11">
        <v>8.0</v>
      </c>
      <c r="I747" s="11" t="s">
        <v>638</v>
      </c>
      <c r="J747" s="19">
        <f t="shared" si="2"/>
        <v>60</v>
      </c>
      <c r="N747" s="11">
        <f t="shared" si="1"/>
        <v>480</v>
      </c>
      <c r="O747" s="11" t="s">
        <v>847</v>
      </c>
    </row>
    <row r="748">
      <c r="A748" s="9">
        <v>45770.59637731482</v>
      </c>
      <c r="B748" s="19" t="s">
        <v>782</v>
      </c>
      <c r="C748" s="11">
        <v>34.0</v>
      </c>
      <c r="D748" s="11" t="s">
        <v>146</v>
      </c>
      <c r="E748" s="11" t="s">
        <v>163</v>
      </c>
      <c r="F748" s="11">
        <v>32.02</v>
      </c>
      <c r="G748" s="11" t="s">
        <v>43</v>
      </c>
      <c r="H748" s="11">
        <v>1.0</v>
      </c>
      <c r="I748" s="11" t="s">
        <v>642</v>
      </c>
      <c r="J748" s="19">
        <f t="shared" si="2"/>
        <v>60</v>
      </c>
      <c r="N748" s="11">
        <f t="shared" si="1"/>
        <v>60</v>
      </c>
      <c r="O748" s="11" t="s">
        <v>848</v>
      </c>
    </row>
    <row r="749">
      <c r="A749" s="9">
        <v>45770.865590277775</v>
      </c>
      <c r="B749" s="19" t="s">
        <v>432</v>
      </c>
      <c r="C749" s="11">
        <v>230.0</v>
      </c>
      <c r="D749" s="11" t="s">
        <v>146</v>
      </c>
      <c r="E749" s="11" t="s">
        <v>163</v>
      </c>
      <c r="F749" s="11">
        <v>218.27</v>
      </c>
      <c r="G749" s="11" t="s">
        <v>43</v>
      </c>
      <c r="H749" s="11">
        <v>8.0</v>
      </c>
      <c r="I749" s="11" t="s">
        <v>638</v>
      </c>
      <c r="J749" s="19">
        <f t="shared" si="2"/>
        <v>60</v>
      </c>
      <c r="N749" s="11">
        <f t="shared" si="1"/>
        <v>480</v>
      </c>
      <c r="O749" s="11" t="s">
        <v>849</v>
      </c>
    </row>
    <row r="750">
      <c r="A750" s="9">
        <v>45774.434652777774</v>
      </c>
      <c r="B750" s="19" t="s">
        <v>705</v>
      </c>
      <c r="C750" s="11">
        <v>68.0</v>
      </c>
      <c r="D750" s="11" t="s">
        <v>146</v>
      </c>
      <c r="E750" s="11" t="s">
        <v>163</v>
      </c>
      <c r="F750" s="11">
        <v>64.32</v>
      </c>
      <c r="G750" s="11" t="s">
        <v>43</v>
      </c>
      <c r="H750" s="11">
        <v>2.0</v>
      </c>
      <c r="I750" s="11" t="s">
        <v>642</v>
      </c>
      <c r="J750" s="19">
        <f t="shared" si="2"/>
        <v>60</v>
      </c>
      <c r="N750" s="11">
        <f t="shared" si="1"/>
        <v>120</v>
      </c>
      <c r="O750" s="11" t="s">
        <v>850</v>
      </c>
    </row>
    <row r="751">
      <c r="A751" s="9">
        <v>45776.54416666667</v>
      </c>
      <c r="B751" s="19" t="s">
        <v>851</v>
      </c>
      <c r="C751" s="11">
        <v>200.0</v>
      </c>
      <c r="D751" s="11" t="s">
        <v>146</v>
      </c>
      <c r="E751" s="11" t="s">
        <v>163</v>
      </c>
      <c r="F751" s="11">
        <v>189.77</v>
      </c>
      <c r="G751" s="11" t="s">
        <v>43</v>
      </c>
      <c r="H751" s="11">
        <v>8.0</v>
      </c>
      <c r="I751" s="11" t="s">
        <v>638</v>
      </c>
      <c r="J751" s="19">
        <f t="shared" si="2"/>
        <v>60</v>
      </c>
      <c r="N751" s="11">
        <f t="shared" si="1"/>
        <v>480</v>
      </c>
      <c r="O751" s="11" t="s">
        <v>852</v>
      </c>
    </row>
    <row r="752">
      <c r="A752" s="9">
        <v>45776.67383101852</v>
      </c>
      <c r="B752" s="19" t="s">
        <v>447</v>
      </c>
      <c r="C752" s="11">
        <v>165.0</v>
      </c>
      <c r="D752" s="11" t="s">
        <v>146</v>
      </c>
      <c r="E752" s="11" t="s">
        <v>163</v>
      </c>
      <c r="F752" s="11">
        <v>156.51</v>
      </c>
      <c r="G752" s="11" t="s">
        <v>35</v>
      </c>
      <c r="H752" s="11">
        <v>8.0</v>
      </c>
      <c r="I752" s="11" t="s">
        <v>638</v>
      </c>
      <c r="J752" s="19">
        <f t="shared" si="2"/>
        <v>60</v>
      </c>
      <c r="N752" s="11">
        <f t="shared" si="1"/>
        <v>480</v>
      </c>
      <c r="O752" s="11" t="s">
        <v>853</v>
      </c>
    </row>
    <row r="753">
      <c r="A753" s="9">
        <v>45779.53163194445</v>
      </c>
      <c r="B753" s="19" t="s">
        <v>854</v>
      </c>
      <c r="C753" s="11">
        <v>34.0</v>
      </c>
      <c r="D753" s="11" t="s">
        <v>146</v>
      </c>
      <c r="E753" s="11" t="s">
        <v>163</v>
      </c>
      <c r="F753" s="11">
        <v>32.02</v>
      </c>
      <c r="G753" s="11" t="s">
        <v>43</v>
      </c>
      <c r="H753" s="11">
        <v>1.0</v>
      </c>
      <c r="I753" s="11" t="s">
        <v>642</v>
      </c>
      <c r="J753" s="19">
        <f t="shared" si="2"/>
        <v>60</v>
      </c>
      <c r="N753" s="11">
        <f t="shared" si="1"/>
        <v>60</v>
      </c>
      <c r="O753" s="11" t="s">
        <v>855</v>
      </c>
    </row>
    <row r="754">
      <c r="A754" s="20">
        <v>45781.45628472222</v>
      </c>
      <c r="B754" s="19" t="s">
        <v>555</v>
      </c>
      <c r="C754" s="5">
        <v>230.0</v>
      </c>
      <c r="D754" s="3" t="s">
        <v>146</v>
      </c>
      <c r="E754" s="3" t="s">
        <v>163</v>
      </c>
      <c r="F754" s="5">
        <v>218.29</v>
      </c>
      <c r="G754" s="3" t="s">
        <v>43</v>
      </c>
      <c r="H754" s="5">
        <v>8.0</v>
      </c>
      <c r="I754" s="3" t="s">
        <v>638</v>
      </c>
      <c r="J754" s="19">
        <f t="shared" si="2"/>
        <v>60</v>
      </c>
      <c r="M754" s="5"/>
      <c r="N754" s="11">
        <f t="shared" si="1"/>
        <v>480</v>
      </c>
      <c r="O754" s="3" t="s">
        <v>856</v>
      </c>
      <c r="P754" s="3"/>
    </row>
    <row r="755">
      <c r="A755" s="20">
        <v>45786.41981481481</v>
      </c>
      <c r="B755" s="19" t="s">
        <v>743</v>
      </c>
      <c r="C755" s="5">
        <v>230.0</v>
      </c>
      <c r="D755" s="3" t="s">
        <v>146</v>
      </c>
      <c r="E755" s="3" t="s">
        <v>163</v>
      </c>
      <c r="F755" s="5">
        <v>218.29</v>
      </c>
      <c r="G755" s="3" t="s">
        <v>43</v>
      </c>
      <c r="H755" s="5">
        <v>8.0</v>
      </c>
      <c r="I755" s="3" t="s">
        <v>638</v>
      </c>
      <c r="J755" s="19">
        <f t="shared" si="2"/>
        <v>60</v>
      </c>
      <c r="M755" s="5"/>
      <c r="N755" s="11">
        <f t="shared" si="1"/>
        <v>480</v>
      </c>
      <c r="O755" s="3" t="s">
        <v>857</v>
      </c>
      <c r="P755" s="3"/>
    </row>
    <row r="756">
      <c r="A756" s="20">
        <v>45788.68087962963</v>
      </c>
      <c r="B756" s="19" t="s">
        <v>854</v>
      </c>
      <c r="C756" s="5">
        <v>230.0</v>
      </c>
      <c r="D756" s="3" t="s">
        <v>146</v>
      </c>
      <c r="E756" s="3" t="s">
        <v>163</v>
      </c>
      <c r="F756" s="5">
        <v>218.27</v>
      </c>
      <c r="G756" s="3" t="s">
        <v>43</v>
      </c>
      <c r="H756" s="5">
        <v>8.0</v>
      </c>
      <c r="I756" s="3" t="s">
        <v>638</v>
      </c>
      <c r="J756" s="19">
        <f t="shared" si="2"/>
        <v>60</v>
      </c>
      <c r="M756" s="5"/>
      <c r="N756" s="11">
        <f t="shared" si="1"/>
        <v>480</v>
      </c>
      <c r="O756" s="3" t="s">
        <v>858</v>
      </c>
      <c r="P756" s="3"/>
    </row>
    <row r="757">
      <c r="A757" s="20">
        <v>45788.685</v>
      </c>
      <c r="B757" s="19" t="s">
        <v>475</v>
      </c>
      <c r="C757" s="5">
        <v>230.0</v>
      </c>
      <c r="D757" s="3" t="s">
        <v>146</v>
      </c>
      <c r="E757" s="3" t="s">
        <v>163</v>
      </c>
      <c r="F757" s="5">
        <v>218.27</v>
      </c>
      <c r="G757" s="3" t="s">
        <v>43</v>
      </c>
      <c r="H757" s="5">
        <v>8.0</v>
      </c>
      <c r="I757" s="3" t="s">
        <v>638</v>
      </c>
      <c r="J757" s="19">
        <f t="shared" si="2"/>
        <v>60</v>
      </c>
      <c r="M757" s="5"/>
      <c r="N757" s="11">
        <f t="shared" si="1"/>
        <v>480</v>
      </c>
      <c r="O757" s="3" t="s">
        <v>859</v>
      </c>
      <c r="P757" s="3"/>
    </row>
    <row r="758">
      <c r="A758" s="20">
        <v>45789.56822916667</v>
      </c>
      <c r="B758" s="19" t="s">
        <v>807</v>
      </c>
      <c r="C758" s="5">
        <v>230.0</v>
      </c>
      <c r="D758" s="3" t="s">
        <v>146</v>
      </c>
      <c r="E758" s="3" t="s">
        <v>163</v>
      </c>
      <c r="F758" s="5">
        <v>218.22</v>
      </c>
      <c r="G758" s="3" t="s">
        <v>43</v>
      </c>
      <c r="H758" s="5">
        <v>8.0</v>
      </c>
      <c r="I758" s="3" t="s">
        <v>638</v>
      </c>
      <c r="J758" s="19">
        <f t="shared" si="2"/>
        <v>60</v>
      </c>
      <c r="M758" s="5"/>
      <c r="N758" s="11">
        <f t="shared" si="1"/>
        <v>480</v>
      </c>
      <c r="O758" s="3" t="s">
        <v>860</v>
      </c>
      <c r="P758" s="3"/>
    </row>
    <row r="759">
      <c r="A759" s="20">
        <v>45789.89460648148</v>
      </c>
      <c r="B759" s="19" t="s">
        <v>346</v>
      </c>
      <c r="C759" s="5">
        <v>165.0</v>
      </c>
      <c r="D759" s="3" t="s">
        <v>146</v>
      </c>
      <c r="E759" s="3" t="s">
        <v>163</v>
      </c>
      <c r="F759" s="5">
        <v>156.54</v>
      </c>
      <c r="G759" s="3" t="s">
        <v>35</v>
      </c>
      <c r="H759" s="5">
        <v>8.0</v>
      </c>
      <c r="I759" s="3" t="s">
        <v>638</v>
      </c>
      <c r="J759" s="19">
        <f t="shared" si="2"/>
        <v>60</v>
      </c>
      <c r="M759" s="5"/>
      <c r="N759" s="11">
        <f t="shared" si="1"/>
        <v>480</v>
      </c>
      <c r="O759" s="3" t="s">
        <v>861</v>
      </c>
      <c r="P759" s="3"/>
    </row>
    <row r="760">
      <c r="A760" s="20">
        <v>45790.110914351855</v>
      </c>
      <c r="B760" s="19" t="s">
        <v>705</v>
      </c>
      <c r="C760" s="5">
        <v>34.0</v>
      </c>
      <c r="D760" s="3" t="s">
        <v>146</v>
      </c>
      <c r="E760" s="3" t="s">
        <v>163</v>
      </c>
      <c r="F760" s="5">
        <v>32.02</v>
      </c>
      <c r="G760" s="3" t="s">
        <v>43</v>
      </c>
      <c r="H760" s="5">
        <v>1.0</v>
      </c>
      <c r="I760" s="3" t="s">
        <v>642</v>
      </c>
      <c r="J760" s="19">
        <f t="shared" si="2"/>
        <v>60</v>
      </c>
      <c r="M760" s="5"/>
      <c r="N760" s="11">
        <f t="shared" si="1"/>
        <v>60</v>
      </c>
      <c r="O760" s="3" t="s">
        <v>862</v>
      </c>
      <c r="P760" s="3"/>
    </row>
    <row r="761">
      <c r="A761" s="20">
        <v>45791.08105324074</v>
      </c>
      <c r="B761" s="19" t="s">
        <v>777</v>
      </c>
      <c r="C761" s="5">
        <v>230.0</v>
      </c>
      <c r="D761" s="3" t="s">
        <v>146</v>
      </c>
      <c r="E761" s="3" t="s">
        <v>163</v>
      </c>
      <c r="F761" s="5">
        <v>218.29</v>
      </c>
      <c r="G761" s="3" t="s">
        <v>43</v>
      </c>
      <c r="H761" s="5">
        <v>8.0</v>
      </c>
      <c r="I761" s="3" t="s">
        <v>638</v>
      </c>
      <c r="J761" s="19">
        <f t="shared" si="2"/>
        <v>60</v>
      </c>
      <c r="M761" s="5"/>
      <c r="N761" s="11">
        <f t="shared" si="1"/>
        <v>480</v>
      </c>
      <c r="O761" s="3" t="s">
        <v>863</v>
      </c>
      <c r="P761" s="3"/>
    </row>
    <row r="762">
      <c r="A762" s="20">
        <v>45793.513020833336</v>
      </c>
      <c r="B762" s="19" t="s">
        <v>522</v>
      </c>
      <c r="C762" s="5">
        <v>165.0</v>
      </c>
      <c r="D762" s="3" t="s">
        <v>146</v>
      </c>
      <c r="E762" s="3" t="s">
        <v>163</v>
      </c>
      <c r="F762" s="5">
        <v>156.5</v>
      </c>
      <c r="G762" s="3" t="s">
        <v>35</v>
      </c>
      <c r="H762" s="5">
        <v>8.0</v>
      </c>
      <c r="I762" s="3" t="s">
        <v>638</v>
      </c>
      <c r="J762" s="19">
        <f t="shared" si="2"/>
        <v>60</v>
      </c>
      <c r="M762" s="5"/>
      <c r="N762" s="11">
        <f t="shared" si="1"/>
        <v>480</v>
      </c>
      <c r="O762" s="3" t="s">
        <v>864</v>
      </c>
      <c r="P762" s="3"/>
    </row>
    <row r="763">
      <c r="A763" s="20">
        <v>45797.62021990741</v>
      </c>
      <c r="B763" s="19" t="s">
        <v>571</v>
      </c>
      <c r="C763" s="5">
        <v>975.0</v>
      </c>
      <c r="D763" s="3" t="s">
        <v>146</v>
      </c>
      <c r="E763" s="3" t="s">
        <v>163</v>
      </c>
      <c r="F763" s="5">
        <v>926.19</v>
      </c>
      <c r="G763" s="3" t="s">
        <v>43</v>
      </c>
      <c r="H763" s="5">
        <v>40.0</v>
      </c>
      <c r="I763" s="3" t="s">
        <v>638</v>
      </c>
      <c r="J763" s="19">
        <f t="shared" si="2"/>
        <v>60</v>
      </c>
      <c r="M763" s="5"/>
      <c r="N763" s="11">
        <f t="shared" si="1"/>
        <v>2400</v>
      </c>
      <c r="O763" s="3" t="s">
        <v>865</v>
      </c>
      <c r="P763" s="3"/>
    </row>
    <row r="764">
      <c r="A764" s="20">
        <v>45798.00163194445</v>
      </c>
      <c r="B764" s="19" t="s">
        <v>370</v>
      </c>
      <c r="C764" s="5">
        <v>230.0</v>
      </c>
      <c r="D764" s="3" t="s">
        <v>146</v>
      </c>
      <c r="E764" s="3" t="s">
        <v>163</v>
      </c>
      <c r="F764" s="5">
        <v>218.27</v>
      </c>
      <c r="G764" s="3" t="s">
        <v>43</v>
      </c>
      <c r="H764" s="5">
        <v>8.0</v>
      </c>
      <c r="I764" s="3" t="s">
        <v>638</v>
      </c>
      <c r="J764" s="19">
        <f t="shared" si="2"/>
        <v>60</v>
      </c>
      <c r="M764" s="5"/>
      <c r="N764" s="11">
        <f t="shared" si="1"/>
        <v>480</v>
      </c>
      <c r="O764" s="3" t="s">
        <v>866</v>
      </c>
      <c r="P764" s="3"/>
    </row>
    <row r="765">
      <c r="A765" s="20">
        <v>45799.53613425926</v>
      </c>
      <c r="B765" s="19" t="s">
        <v>782</v>
      </c>
      <c r="C765" s="5">
        <v>34.0</v>
      </c>
      <c r="D765" s="3" t="s">
        <v>146</v>
      </c>
      <c r="E765" s="3" t="s">
        <v>163</v>
      </c>
      <c r="F765" s="5">
        <v>32.02</v>
      </c>
      <c r="G765" s="3" t="s">
        <v>43</v>
      </c>
      <c r="H765" s="5">
        <v>1.0</v>
      </c>
      <c r="I765" s="3" t="s">
        <v>642</v>
      </c>
      <c r="J765" s="19">
        <f t="shared" si="2"/>
        <v>60</v>
      </c>
      <c r="M765" s="5"/>
      <c r="N765" s="11">
        <f t="shared" si="1"/>
        <v>60</v>
      </c>
      <c r="O765" s="3" t="s">
        <v>867</v>
      </c>
      <c r="P765" s="3"/>
    </row>
    <row r="766">
      <c r="A766" s="20">
        <v>45799.765439814815</v>
      </c>
      <c r="B766" s="19" t="s">
        <v>406</v>
      </c>
      <c r="C766" s="5">
        <v>975.0</v>
      </c>
      <c r="D766" s="3" t="s">
        <v>146</v>
      </c>
      <c r="E766" s="3" t="s">
        <v>163</v>
      </c>
      <c r="F766" s="5">
        <v>926.2</v>
      </c>
      <c r="G766" s="3" t="s">
        <v>43</v>
      </c>
      <c r="H766" s="5">
        <v>40.0</v>
      </c>
      <c r="I766" s="3" t="s">
        <v>638</v>
      </c>
      <c r="J766" s="19">
        <f t="shared" si="2"/>
        <v>60</v>
      </c>
      <c r="M766" s="5"/>
      <c r="N766" s="11">
        <f t="shared" si="1"/>
        <v>2400</v>
      </c>
      <c r="O766" s="3" t="s">
        <v>868</v>
      </c>
      <c r="P766" s="3"/>
    </row>
    <row r="767">
      <c r="A767" s="20">
        <v>45808.655648148146</v>
      </c>
      <c r="B767" s="19" t="s">
        <v>623</v>
      </c>
      <c r="C767" s="5">
        <v>165.0</v>
      </c>
      <c r="D767" s="3" t="s">
        <v>146</v>
      </c>
      <c r="E767" s="3" t="s">
        <v>163</v>
      </c>
      <c r="F767" s="5">
        <v>156.5</v>
      </c>
      <c r="G767" s="3" t="s">
        <v>35</v>
      </c>
      <c r="H767" s="5">
        <v>8.0</v>
      </c>
      <c r="I767" s="3" t="s">
        <v>638</v>
      </c>
      <c r="J767" s="19">
        <f t="shared" si="2"/>
        <v>60</v>
      </c>
      <c r="M767" s="5"/>
      <c r="N767" s="11">
        <f t="shared" si="1"/>
        <v>480</v>
      </c>
      <c r="O767" s="3" t="s">
        <v>869</v>
      </c>
      <c r="P767" s="3"/>
    </row>
    <row r="768">
      <c r="A768" s="20">
        <v>45809.13018518518</v>
      </c>
      <c r="B768" s="19" t="s">
        <v>705</v>
      </c>
      <c r="C768" s="5">
        <v>34.0</v>
      </c>
      <c r="D768" s="3" t="s">
        <v>146</v>
      </c>
      <c r="E768" s="3" t="s">
        <v>163</v>
      </c>
      <c r="F768" s="5">
        <v>32.02</v>
      </c>
      <c r="G768" s="3" t="s">
        <v>43</v>
      </c>
      <c r="H768" s="5">
        <v>1.0</v>
      </c>
      <c r="I768" s="3" t="s">
        <v>642</v>
      </c>
      <c r="J768" s="19">
        <f t="shared" si="2"/>
        <v>60</v>
      </c>
      <c r="M768" s="5"/>
      <c r="N768" s="11">
        <f t="shared" si="1"/>
        <v>60</v>
      </c>
      <c r="O768" s="3" t="s">
        <v>870</v>
      </c>
      <c r="P768" s="3"/>
    </row>
    <row r="769">
      <c r="A769" s="20">
        <v>45811.153344907405</v>
      </c>
      <c r="B769" s="19" t="s">
        <v>871</v>
      </c>
      <c r="C769" s="5">
        <v>34.0</v>
      </c>
      <c r="D769" s="3" t="s">
        <v>146</v>
      </c>
      <c r="E769" s="3" t="s">
        <v>163</v>
      </c>
      <c r="F769" s="5">
        <v>32.02</v>
      </c>
      <c r="G769" s="3" t="s">
        <v>43</v>
      </c>
      <c r="H769" s="5">
        <v>1.0</v>
      </c>
      <c r="I769" s="3" t="s">
        <v>642</v>
      </c>
      <c r="J769" s="19">
        <f t="shared" si="2"/>
        <v>60</v>
      </c>
      <c r="M769" s="5"/>
      <c r="N769" s="11">
        <f t="shared" si="1"/>
        <v>60</v>
      </c>
      <c r="O769" s="3" t="s">
        <v>872</v>
      </c>
      <c r="P769" s="3"/>
    </row>
    <row r="770">
      <c r="A770" s="20">
        <v>45811.44247685185</v>
      </c>
      <c r="B770" s="2" t="s">
        <v>779</v>
      </c>
      <c r="C770" s="5">
        <v>230.0</v>
      </c>
      <c r="D770" s="3" t="s">
        <v>146</v>
      </c>
      <c r="E770" s="3" t="s">
        <v>163</v>
      </c>
      <c r="F770" s="5">
        <v>218.31</v>
      </c>
      <c r="G770" s="3" t="s">
        <v>43</v>
      </c>
      <c r="H770" s="5">
        <v>8.0</v>
      </c>
      <c r="I770" s="3" t="s">
        <v>638</v>
      </c>
      <c r="J770" s="19">
        <f t="shared" si="2"/>
        <v>60</v>
      </c>
      <c r="M770" s="5"/>
      <c r="N770" s="11">
        <f t="shared" si="1"/>
        <v>480</v>
      </c>
      <c r="O770" s="3" t="s">
        <v>873</v>
      </c>
      <c r="P770" s="3"/>
    </row>
    <row r="771">
      <c r="A771" s="20">
        <v>45814.87520833333</v>
      </c>
      <c r="B771" s="19" t="str">
        <f>concatenate(#REF!," ",#REF!)</f>
        <v>#REF!</v>
      </c>
      <c r="C771" s="5">
        <v>230.0</v>
      </c>
      <c r="D771" s="3" t="s">
        <v>146</v>
      </c>
      <c r="E771" s="3" t="s">
        <v>163</v>
      </c>
      <c r="F771" s="5">
        <v>218.27</v>
      </c>
      <c r="G771" s="3" t="s">
        <v>43</v>
      </c>
      <c r="H771" s="5">
        <v>8.0</v>
      </c>
      <c r="I771" s="3" t="s">
        <v>638</v>
      </c>
      <c r="J771" s="19">
        <f t="shared" si="2"/>
        <v>60</v>
      </c>
      <c r="M771" s="5"/>
      <c r="N771" s="11">
        <f t="shared" si="1"/>
        <v>480</v>
      </c>
      <c r="O771" s="3" t="s">
        <v>874</v>
      </c>
      <c r="P771" s="3"/>
    </row>
    <row r="772">
      <c r="A772" s="20">
        <v>45818.364016203705</v>
      </c>
      <c r="B772" s="19" t="s">
        <v>875</v>
      </c>
      <c r="C772" s="5">
        <v>230.0</v>
      </c>
      <c r="D772" s="3" t="s">
        <v>146</v>
      </c>
      <c r="E772" s="3" t="s">
        <v>163</v>
      </c>
      <c r="F772" s="5">
        <v>220.65</v>
      </c>
      <c r="G772" s="3" t="s">
        <v>43</v>
      </c>
      <c r="H772" s="5">
        <v>8.0</v>
      </c>
      <c r="I772" s="3" t="s">
        <v>638</v>
      </c>
      <c r="J772" s="19">
        <f t="shared" si="2"/>
        <v>60</v>
      </c>
      <c r="M772" s="5"/>
      <c r="N772" s="11">
        <f t="shared" si="1"/>
        <v>480</v>
      </c>
      <c r="O772" s="3" t="s">
        <v>876</v>
      </c>
      <c r="P772" s="3"/>
    </row>
    <row r="773">
      <c r="A773" s="20">
        <v>45819.47423611111</v>
      </c>
      <c r="B773" s="19" t="s">
        <v>334</v>
      </c>
      <c r="C773" s="5">
        <v>230.0</v>
      </c>
      <c r="D773" s="3" t="s">
        <v>146</v>
      </c>
      <c r="E773" s="3" t="s">
        <v>163</v>
      </c>
      <c r="F773" s="5">
        <v>218.25</v>
      </c>
      <c r="G773" s="3" t="s">
        <v>43</v>
      </c>
      <c r="H773" s="5">
        <v>8.0</v>
      </c>
      <c r="I773" s="3" t="s">
        <v>638</v>
      </c>
      <c r="J773" s="19">
        <f t="shared" si="2"/>
        <v>60</v>
      </c>
      <c r="M773" s="5"/>
      <c r="N773" s="11">
        <f t="shared" si="1"/>
        <v>480</v>
      </c>
      <c r="O773" s="3" t="s">
        <v>877</v>
      </c>
      <c r="P773" s="3"/>
    </row>
    <row r="774">
      <c r="A774" s="20">
        <v>45820.1715625</v>
      </c>
      <c r="B774" s="19" t="s">
        <v>871</v>
      </c>
      <c r="C774" s="5">
        <v>34.0</v>
      </c>
      <c r="D774" s="3" t="s">
        <v>146</v>
      </c>
      <c r="E774" s="3" t="s">
        <v>163</v>
      </c>
      <c r="F774" s="5">
        <v>32.02</v>
      </c>
      <c r="G774" s="3" t="s">
        <v>43</v>
      </c>
      <c r="H774" s="5">
        <v>1.0</v>
      </c>
      <c r="I774" s="3" t="s">
        <v>642</v>
      </c>
      <c r="J774" s="19">
        <f t="shared" si="2"/>
        <v>60</v>
      </c>
      <c r="M774" s="5"/>
      <c r="N774" s="11">
        <f t="shared" si="1"/>
        <v>60</v>
      </c>
      <c r="O774" s="3" t="s">
        <v>878</v>
      </c>
      <c r="P774" s="3"/>
    </row>
    <row r="775">
      <c r="A775" s="20">
        <v>45821.52888888889</v>
      </c>
      <c r="B775" s="19" t="s">
        <v>90</v>
      </c>
      <c r="C775" s="5">
        <v>165.0</v>
      </c>
      <c r="D775" s="3" t="s">
        <v>146</v>
      </c>
      <c r="E775" s="3" t="s">
        <v>163</v>
      </c>
      <c r="F775" s="5">
        <v>156.47</v>
      </c>
      <c r="G775" s="3" t="s">
        <v>35</v>
      </c>
      <c r="H775" s="5">
        <v>8.0</v>
      </c>
      <c r="I775" s="3" t="s">
        <v>638</v>
      </c>
      <c r="J775" s="19">
        <f t="shared" si="2"/>
        <v>60</v>
      </c>
      <c r="M775" s="5"/>
      <c r="N775" s="11">
        <f t="shared" si="1"/>
        <v>480</v>
      </c>
      <c r="O775" s="3" t="s">
        <v>879</v>
      </c>
      <c r="P775" s="3"/>
    </row>
    <row r="776">
      <c r="A776" s="20">
        <v>45824.484247685185</v>
      </c>
      <c r="B776" s="19" t="s">
        <v>452</v>
      </c>
      <c r="C776" s="5">
        <v>230.0</v>
      </c>
      <c r="D776" s="3" t="s">
        <v>146</v>
      </c>
      <c r="E776" s="3" t="s">
        <v>163</v>
      </c>
      <c r="F776" s="5">
        <v>218.23</v>
      </c>
      <c r="G776" s="3" t="s">
        <v>43</v>
      </c>
      <c r="H776" s="5">
        <v>8.0</v>
      </c>
      <c r="I776" s="3" t="s">
        <v>638</v>
      </c>
      <c r="J776" s="19">
        <f t="shared" si="2"/>
        <v>60</v>
      </c>
      <c r="M776" s="5"/>
      <c r="N776" s="11">
        <f t="shared" si="1"/>
        <v>480</v>
      </c>
      <c r="O776" s="3" t="s">
        <v>880</v>
      </c>
      <c r="P776" s="3"/>
    </row>
    <row r="777">
      <c r="A777" s="20">
        <v>45827.31097222222</v>
      </c>
      <c r="B777" s="19" t="s">
        <v>871</v>
      </c>
      <c r="C777" s="5">
        <v>30.0</v>
      </c>
      <c r="D777" s="3" t="s">
        <v>146</v>
      </c>
      <c r="E777" s="3" t="s">
        <v>163</v>
      </c>
      <c r="F777" s="5">
        <v>28.22</v>
      </c>
      <c r="G777" s="3" t="s">
        <v>43</v>
      </c>
      <c r="H777" s="5">
        <v>1.0</v>
      </c>
      <c r="I777" s="3" t="s">
        <v>642</v>
      </c>
      <c r="J777" s="19">
        <f t="shared" si="2"/>
        <v>60</v>
      </c>
      <c r="M777" s="5"/>
      <c r="N777" s="11">
        <f t="shared" si="1"/>
        <v>60</v>
      </c>
      <c r="O777" s="3" t="s">
        <v>881</v>
      </c>
      <c r="P777" s="3"/>
    </row>
    <row r="778">
      <c r="A778" s="20">
        <v>45828.13415509259</v>
      </c>
      <c r="B778" s="19" t="s">
        <v>705</v>
      </c>
      <c r="C778" s="5">
        <v>34.0</v>
      </c>
      <c r="D778" s="3" t="s">
        <v>146</v>
      </c>
      <c r="E778" s="3" t="s">
        <v>163</v>
      </c>
      <c r="F778" s="5">
        <v>32.02</v>
      </c>
      <c r="G778" s="3" t="s">
        <v>43</v>
      </c>
      <c r="H778" s="5">
        <v>1.0</v>
      </c>
      <c r="I778" s="3" t="s">
        <v>642</v>
      </c>
      <c r="J778" s="19">
        <f t="shared" si="2"/>
        <v>60</v>
      </c>
      <c r="M778" s="5"/>
      <c r="N778" s="11">
        <f t="shared" si="1"/>
        <v>60</v>
      </c>
      <c r="O778" s="3" t="s">
        <v>882</v>
      </c>
      <c r="P778" s="3"/>
    </row>
    <row r="779">
      <c r="A779" s="20">
        <v>45829.80060185185</v>
      </c>
      <c r="B779" s="19" t="s">
        <v>575</v>
      </c>
      <c r="C779" s="5">
        <v>23.0</v>
      </c>
      <c r="D779" s="3" t="s">
        <v>146</v>
      </c>
      <c r="E779" s="3" t="s">
        <v>163</v>
      </c>
      <c r="F779" s="5">
        <v>21.81</v>
      </c>
      <c r="G779" s="3" t="s">
        <v>35</v>
      </c>
      <c r="H779" s="5">
        <v>1.0</v>
      </c>
      <c r="I779" s="3" t="s">
        <v>642</v>
      </c>
      <c r="J779" s="19">
        <f t="shared" si="2"/>
        <v>60</v>
      </c>
      <c r="M779" s="5"/>
      <c r="N779" s="11">
        <f t="shared" si="1"/>
        <v>60</v>
      </c>
      <c r="O779" s="3" t="s">
        <v>883</v>
      </c>
      <c r="P779" s="3"/>
    </row>
    <row r="780">
      <c r="A780" s="20">
        <v>45831.13481481482</v>
      </c>
      <c r="B780" s="19" t="s">
        <v>871</v>
      </c>
      <c r="C780" s="5">
        <v>30.0</v>
      </c>
      <c r="D780" s="3" t="s">
        <v>146</v>
      </c>
      <c r="E780" s="3" t="s">
        <v>163</v>
      </c>
      <c r="F780" s="5">
        <v>28.21</v>
      </c>
      <c r="G780" s="3" t="s">
        <v>43</v>
      </c>
      <c r="H780" s="5">
        <v>1.0</v>
      </c>
      <c r="I780" s="3" t="s">
        <v>642</v>
      </c>
      <c r="J780" s="19">
        <f t="shared" si="2"/>
        <v>60</v>
      </c>
      <c r="M780" s="5"/>
      <c r="N780" s="11">
        <f t="shared" si="1"/>
        <v>60</v>
      </c>
      <c r="O780" s="3" t="s">
        <v>884</v>
      </c>
      <c r="P780" s="3"/>
    </row>
    <row r="781">
      <c r="A781" s="20">
        <v>45831.46878472222</v>
      </c>
      <c r="B781" s="19" t="s">
        <v>368</v>
      </c>
      <c r="C781" s="5">
        <v>230.0</v>
      </c>
      <c r="D781" s="3" t="s">
        <v>146</v>
      </c>
      <c r="E781" s="3" t="s">
        <v>163</v>
      </c>
      <c r="F781" s="5">
        <v>218.24</v>
      </c>
      <c r="G781" s="3" t="s">
        <v>43</v>
      </c>
      <c r="H781" s="5">
        <v>8.0</v>
      </c>
      <c r="I781" s="3" t="s">
        <v>638</v>
      </c>
      <c r="J781" s="19">
        <f t="shared" si="2"/>
        <v>60</v>
      </c>
      <c r="M781" s="5"/>
      <c r="N781" s="11">
        <f t="shared" si="1"/>
        <v>480</v>
      </c>
      <c r="O781" s="3" t="s">
        <v>885</v>
      </c>
      <c r="P781" s="3"/>
    </row>
    <row r="782">
      <c r="A782" s="20">
        <v>45832.00040509259</v>
      </c>
      <c r="B782" s="19" t="s">
        <v>871</v>
      </c>
      <c r="C782" s="5">
        <v>30.0</v>
      </c>
      <c r="D782" s="3" t="s">
        <v>146</v>
      </c>
      <c r="E782" s="3" t="s">
        <v>163</v>
      </c>
      <c r="F782" s="5">
        <v>28.22</v>
      </c>
      <c r="G782" s="3" t="s">
        <v>43</v>
      </c>
      <c r="H782" s="5">
        <v>1.0</v>
      </c>
      <c r="I782" s="3" t="s">
        <v>642</v>
      </c>
      <c r="J782" s="19">
        <f t="shared" si="2"/>
        <v>60</v>
      </c>
      <c r="M782" s="5"/>
      <c r="N782" s="11">
        <f t="shared" si="1"/>
        <v>60</v>
      </c>
      <c r="O782" s="3" t="s">
        <v>886</v>
      </c>
      <c r="P782" s="3"/>
    </row>
    <row r="783">
      <c r="A783" s="20">
        <v>45832.47162037037</v>
      </c>
      <c r="B783" s="19" t="s">
        <v>887</v>
      </c>
      <c r="C783" s="5">
        <v>23.0</v>
      </c>
      <c r="D783" s="3" t="s">
        <v>146</v>
      </c>
      <c r="E783" s="3" t="s">
        <v>163</v>
      </c>
      <c r="F783" s="5">
        <v>21.57</v>
      </c>
      <c r="G783" s="3" t="s">
        <v>35</v>
      </c>
      <c r="H783" s="5">
        <v>1.0</v>
      </c>
      <c r="I783" s="3" t="s">
        <v>642</v>
      </c>
      <c r="J783" s="19">
        <f t="shared" si="2"/>
        <v>60</v>
      </c>
      <c r="M783" s="5"/>
      <c r="N783" s="11">
        <f t="shared" si="1"/>
        <v>60</v>
      </c>
      <c r="O783" s="3" t="s">
        <v>888</v>
      </c>
      <c r="P783" s="3"/>
    </row>
    <row r="784">
      <c r="A784" s="20">
        <v>45833.49789351852</v>
      </c>
      <c r="B784" s="19" t="s">
        <v>887</v>
      </c>
      <c r="C784" s="5">
        <v>165.0</v>
      </c>
      <c r="D784" s="3" t="s">
        <v>146</v>
      </c>
      <c r="E784" s="3" t="s">
        <v>163</v>
      </c>
      <c r="F784" s="5">
        <v>156.48</v>
      </c>
      <c r="G784" s="3" t="s">
        <v>35</v>
      </c>
      <c r="H784" s="5">
        <v>8.0</v>
      </c>
      <c r="I784" s="3" t="s">
        <v>638</v>
      </c>
      <c r="J784" s="19">
        <f t="shared" si="2"/>
        <v>60</v>
      </c>
      <c r="M784" s="5"/>
      <c r="N784" s="11">
        <f t="shared" si="1"/>
        <v>480</v>
      </c>
      <c r="O784" s="3" t="s">
        <v>889</v>
      </c>
      <c r="P784" s="3"/>
    </row>
    <row r="785">
      <c r="A785" s="20">
        <v>45833.71462962963</v>
      </c>
      <c r="B785" s="19" t="s">
        <v>562</v>
      </c>
      <c r="C785" s="5">
        <v>68.0</v>
      </c>
      <c r="D785" s="3" t="s">
        <v>146</v>
      </c>
      <c r="E785" s="3" t="s">
        <v>163</v>
      </c>
      <c r="F785" s="5">
        <v>64.33</v>
      </c>
      <c r="G785" s="3" t="s">
        <v>43</v>
      </c>
      <c r="H785" s="5">
        <v>2.0</v>
      </c>
      <c r="I785" s="3" t="s">
        <v>642</v>
      </c>
      <c r="J785" s="19">
        <f t="shared" si="2"/>
        <v>60</v>
      </c>
      <c r="M785" s="5"/>
      <c r="N785" s="11">
        <f t="shared" si="1"/>
        <v>120</v>
      </c>
      <c r="O785" s="3" t="s">
        <v>890</v>
      </c>
      <c r="P785" s="3"/>
    </row>
    <row r="786">
      <c r="A786" s="20">
        <v>45835.23232638889</v>
      </c>
      <c r="B786" s="19" t="s">
        <v>607</v>
      </c>
      <c r="C786" s="5">
        <v>184.0</v>
      </c>
      <c r="D786" s="3" t="s">
        <v>146</v>
      </c>
      <c r="E786" s="3" t="s">
        <v>163</v>
      </c>
      <c r="F786" s="5">
        <v>174.53</v>
      </c>
      <c r="G786" s="3" t="s">
        <v>43</v>
      </c>
      <c r="H786" s="5">
        <v>8.0</v>
      </c>
      <c r="I786" s="3" t="s">
        <v>638</v>
      </c>
      <c r="J786" s="19">
        <f t="shared" si="2"/>
        <v>60</v>
      </c>
      <c r="M786" s="5"/>
      <c r="N786" s="11">
        <f t="shared" si="1"/>
        <v>480</v>
      </c>
      <c r="O786" s="3" t="s">
        <v>891</v>
      </c>
      <c r="P786" s="3"/>
    </row>
    <row r="787">
      <c r="A787" s="20">
        <v>45837.535462962966</v>
      </c>
      <c r="B787" s="19" t="s">
        <v>892</v>
      </c>
      <c r="C787" s="5">
        <v>184.0</v>
      </c>
      <c r="D787" s="3" t="s">
        <v>146</v>
      </c>
      <c r="E787" s="3" t="s">
        <v>163</v>
      </c>
      <c r="F787" s="5">
        <v>174.54</v>
      </c>
      <c r="G787" s="3" t="s">
        <v>43</v>
      </c>
      <c r="H787" s="5">
        <v>8.0</v>
      </c>
      <c r="I787" s="3" t="s">
        <v>638</v>
      </c>
      <c r="J787" s="19">
        <f t="shared" si="2"/>
        <v>60</v>
      </c>
      <c r="M787" s="5"/>
      <c r="N787" s="11">
        <f t="shared" si="1"/>
        <v>480</v>
      </c>
      <c r="O787" s="3" t="s">
        <v>893</v>
      </c>
      <c r="P787" s="3"/>
    </row>
    <row r="788">
      <c r="A788" s="20">
        <v>45838.11771990741</v>
      </c>
      <c r="B788" s="19" t="s">
        <v>871</v>
      </c>
      <c r="C788" s="5">
        <v>30.0</v>
      </c>
      <c r="D788" s="3" t="s">
        <v>146</v>
      </c>
      <c r="E788" s="3" t="s">
        <v>163</v>
      </c>
      <c r="F788" s="5">
        <v>28.22</v>
      </c>
      <c r="G788" s="3" t="s">
        <v>43</v>
      </c>
      <c r="H788" s="5">
        <v>1.0</v>
      </c>
      <c r="I788" s="3" t="s">
        <v>642</v>
      </c>
      <c r="J788" s="19">
        <f t="shared" si="2"/>
        <v>60</v>
      </c>
      <c r="M788" s="5"/>
      <c r="N788" s="11">
        <f t="shared" si="1"/>
        <v>60</v>
      </c>
      <c r="O788" s="3" t="s">
        <v>894</v>
      </c>
      <c r="P788" s="3"/>
    </row>
    <row r="789">
      <c r="A789" s="20">
        <v>45838.32413194444</v>
      </c>
      <c r="B789" s="19" t="s">
        <v>895</v>
      </c>
      <c r="C789" s="5">
        <v>230.0</v>
      </c>
      <c r="D789" s="3" t="s">
        <v>146</v>
      </c>
      <c r="E789" s="3" t="s">
        <v>163</v>
      </c>
      <c r="F789" s="5">
        <v>218.24</v>
      </c>
      <c r="G789" s="3" t="s">
        <v>43</v>
      </c>
      <c r="H789" s="5">
        <v>8.0</v>
      </c>
      <c r="I789" s="3" t="s">
        <v>638</v>
      </c>
      <c r="J789" s="19">
        <f t="shared" si="2"/>
        <v>60</v>
      </c>
      <c r="M789" s="5"/>
      <c r="N789" s="11">
        <f t="shared" si="1"/>
        <v>480</v>
      </c>
      <c r="O789" s="3" t="s">
        <v>896</v>
      </c>
      <c r="P789" s="3"/>
    </row>
    <row r="790">
      <c r="A790" s="20">
        <v>45838.48940972222</v>
      </c>
      <c r="B790" s="19" t="s">
        <v>575</v>
      </c>
      <c r="C790" s="5">
        <v>184.0</v>
      </c>
      <c r="D790" s="3" t="s">
        <v>146</v>
      </c>
      <c r="E790" s="3" t="s">
        <v>163</v>
      </c>
      <c r="F790" s="5">
        <v>176.45</v>
      </c>
      <c r="G790" s="3" t="s">
        <v>43</v>
      </c>
      <c r="H790" s="5">
        <v>8.0</v>
      </c>
      <c r="I790" s="3" t="s">
        <v>638</v>
      </c>
      <c r="J790" s="19">
        <f t="shared" si="2"/>
        <v>60</v>
      </c>
      <c r="M790" s="5"/>
      <c r="N790" s="11">
        <f t="shared" si="1"/>
        <v>480</v>
      </c>
      <c r="O790" s="3" t="s">
        <v>897</v>
      </c>
      <c r="P790" s="3"/>
    </row>
    <row r="791">
      <c r="A791" s="20">
        <v>45838.95123842593</v>
      </c>
      <c r="B791" s="19" t="s">
        <v>705</v>
      </c>
      <c r="C791" s="5">
        <v>23.0</v>
      </c>
      <c r="D791" s="3" t="s">
        <v>146</v>
      </c>
      <c r="E791" s="3" t="s">
        <v>163</v>
      </c>
      <c r="F791" s="5">
        <v>21.57</v>
      </c>
      <c r="G791" s="3" t="s">
        <v>35</v>
      </c>
      <c r="H791" s="5">
        <v>1.0</v>
      </c>
      <c r="I791" s="3" t="s">
        <v>642</v>
      </c>
      <c r="J791" s="19">
        <f t="shared" si="2"/>
        <v>60</v>
      </c>
      <c r="M791" s="5"/>
      <c r="N791" s="11">
        <f t="shared" si="1"/>
        <v>60</v>
      </c>
      <c r="O791" s="3" t="s">
        <v>898</v>
      </c>
      <c r="P791" s="3"/>
    </row>
    <row r="792">
      <c r="A792" s="20">
        <v>45839.038136574076</v>
      </c>
      <c r="B792" s="19" t="s">
        <v>447</v>
      </c>
      <c r="C792" s="5">
        <v>165.0</v>
      </c>
      <c r="D792" s="3" t="s">
        <v>146</v>
      </c>
      <c r="E792" s="3" t="s">
        <v>163</v>
      </c>
      <c r="F792" s="5">
        <v>156.47</v>
      </c>
      <c r="G792" s="3" t="s">
        <v>35</v>
      </c>
      <c r="H792" s="5">
        <v>8.0</v>
      </c>
      <c r="I792" s="3" t="s">
        <v>638</v>
      </c>
      <c r="J792" s="19">
        <f t="shared" si="2"/>
        <v>60</v>
      </c>
      <c r="M792" s="5"/>
      <c r="N792" s="11">
        <f t="shared" si="1"/>
        <v>480</v>
      </c>
      <c r="O792" s="3" t="s">
        <v>899</v>
      </c>
      <c r="P792" s="3"/>
    </row>
    <row r="793">
      <c r="A793" s="20">
        <v>45839.581145833334</v>
      </c>
      <c r="B793" s="19" t="s">
        <v>434</v>
      </c>
      <c r="C793" s="5">
        <v>184.0</v>
      </c>
      <c r="D793" s="3" t="s">
        <v>146</v>
      </c>
      <c r="E793" s="3" t="s">
        <v>163</v>
      </c>
      <c r="F793" s="5">
        <v>174.56</v>
      </c>
      <c r="G793" s="3" t="s">
        <v>43</v>
      </c>
      <c r="H793" s="5">
        <v>8.0</v>
      </c>
      <c r="I793" s="3" t="s">
        <v>638</v>
      </c>
      <c r="J793" s="19">
        <f t="shared" si="2"/>
        <v>60</v>
      </c>
      <c r="M793" s="5"/>
      <c r="N793" s="11">
        <f t="shared" si="1"/>
        <v>480</v>
      </c>
      <c r="O793" s="3" t="s">
        <v>900</v>
      </c>
      <c r="P793" s="3"/>
    </row>
    <row r="794">
      <c r="A794" s="9">
        <v>45845.55224537037</v>
      </c>
      <c r="B794" s="19" t="s">
        <v>743</v>
      </c>
      <c r="C794" s="11">
        <v>230.0</v>
      </c>
      <c r="D794" s="11" t="s">
        <v>146</v>
      </c>
      <c r="E794" s="11" t="s">
        <v>163</v>
      </c>
      <c r="F794" s="11">
        <v>218.27</v>
      </c>
      <c r="G794" s="11" t="s">
        <v>43</v>
      </c>
      <c r="H794" s="11">
        <v>8.0</v>
      </c>
      <c r="I794" s="11" t="s">
        <v>638</v>
      </c>
      <c r="J794" s="19">
        <f t="shared" si="2"/>
        <v>60</v>
      </c>
      <c r="N794" s="11">
        <f t="shared" si="1"/>
        <v>480</v>
      </c>
      <c r="O794" s="11" t="s">
        <v>901</v>
      </c>
    </row>
    <row r="795">
      <c r="A795" s="9">
        <v>45845.64994212963</v>
      </c>
      <c r="B795" s="19" t="s">
        <v>902</v>
      </c>
      <c r="C795" s="11">
        <v>165.0</v>
      </c>
      <c r="D795" s="11" t="s">
        <v>146</v>
      </c>
      <c r="E795" s="11" t="s">
        <v>163</v>
      </c>
      <c r="F795" s="11">
        <v>156.5</v>
      </c>
      <c r="G795" s="11" t="s">
        <v>35</v>
      </c>
      <c r="H795" s="11">
        <v>8.0</v>
      </c>
      <c r="I795" s="11" t="s">
        <v>638</v>
      </c>
      <c r="J795" s="19">
        <f t="shared" si="2"/>
        <v>60</v>
      </c>
      <c r="N795" s="11">
        <f t="shared" si="1"/>
        <v>480</v>
      </c>
      <c r="O795" s="11" t="s">
        <v>903</v>
      </c>
    </row>
    <row r="796">
      <c r="A796" s="9">
        <v>45845.6616087963</v>
      </c>
      <c r="B796" s="19" t="s">
        <v>475</v>
      </c>
      <c r="C796" s="11">
        <v>230.0</v>
      </c>
      <c r="D796" s="11" t="s">
        <v>146</v>
      </c>
      <c r="E796" s="11" t="s">
        <v>163</v>
      </c>
      <c r="F796" s="11">
        <v>218.27</v>
      </c>
      <c r="G796" s="11" t="s">
        <v>43</v>
      </c>
      <c r="H796" s="11">
        <v>8.0</v>
      </c>
      <c r="I796" s="11" t="s">
        <v>638</v>
      </c>
      <c r="J796" s="19">
        <f t="shared" si="2"/>
        <v>60</v>
      </c>
      <c r="N796" s="11">
        <f t="shared" si="1"/>
        <v>480</v>
      </c>
      <c r="O796" s="11" t="s">
        <v>904</v>
      </c>
    </row>
    <row r="797">
      <c r="A797" s="9">
        <v>45846.65677083333</v>
      </c>
      <c r="B797" s="19" t="s">
        <v>851</v>
      </c>
      <c r="C797" s="11">
        <v>200.0</v>
      </c>
      <c r="D797" s="11" t="s">
        <v>146</v>
      </c>
      <c r="E797" s="11" t="s">
        <v>163</v>
      </c>
      <c r="F797" s="11">
        <v>189.72</v>
      </c>
      <c r="G797" s="11" t="s">
        <v>43</v>
      </c>
      <c r="H797" s="11">
        <v>8.0</v>
      </c>
      <c r="I797" s="11" t="s">
        <v>638</v>
      </c>
      <c r="J797" s="19">
        <f t="shared" si="2"/>
        <v>60</v>
      </c>
      <c r="N797" s="11">
        <f t="shared" si="1"/>
        <v>480</v>
      </c>
      <c r="O797" s="11" t="s">
        <v>905</v>
      </c>
    </row>
    <row r="798">
      <c r="A798" s="9">
        <v>45850.92762731481</v>
      </c>
      <c r="B798" s="19" t="s">
        <v>522</v>
      </c>
      <c r="C798" s="11">
        <v>165.0</v>
      </c>
      <c r="D798" s="11" t="s">
        <v>146</v>
      </c>
      <c r="E798" s="11" t="s">
        <v>163</v>
      </c>
      <c r="F798" s="11">
        <v>156.5</v>
      </c>
      <c r="G798" s="11" t="s">
        <v>35</v>
      </c>
      <c r="H798" s="11">
        <v>8.0</v>
      </c>
      <c r="I798" s="11" t="s">
        <v>638</v>
      </c>
      <c r="J798" s="19">
        <f t="shared" si="2"/>
        <v>60</v>
      </c>
      <c r="N798" s="11">
        <f t="shared" si="1"/>
        <v>480</v>
      </c>
      <c r="O798" s="11" t="s">
        <v>906</v>
      </c>
    </row>
    <row r="799">
      <c r="A799" s="9">
        <v>45853.62869212963</v>
      </c>
      <c r="B799" s="19" t="s">
        <v>432</v>
      </c>
      <c r="C799" s="11">
        <v>230.0</v>
      </c>
      <c r="D799" s="11" t="s">
        <v>146</v>
      </c>
      <c r="E799" s="11" t="s">
        <v>163</v>
      </c>
      <c r="F799" s="11">
        <v>218.27</v>
      </c>
      <c r="G799" s="11" t="s">
        <v>43</v>
      </c>
      <c r="H799" s="11">
        <v>8.0</v>
      </c>
      <c r="I799" s="11" t="s">
        <v>638</v>
      </c>
      <c r="J799" s="19">
        <f t="shared" si="2"/>
        <v>60</v>
      </c>
      <c r="N799" s="11">
        <f t="shared" si="1"/>
        <v>480</v>
      </c>
      <c r="O799" s="11" t="s">
        <v>907</v>
      </c>
    </row>
    <row r="800">
      <c r="A800" s="9">
        <v>45854.1203125</v>
      </c>
      <c r="B800" s="19" t="s">
        <v>705</v>
      </c>
      <c r="C800" s="11">
        <v>23.0</v>
      </c>
      <c r="D800" s="11" t="s">
        <v>146</v>
      </c>
      <c r="E800" s="11" t="s">
        <v>163</v>
      </c>
      <c r="F800" s="11">
        <v>21.57</v>
      </c>
      <c r="G800" s="11" t="s">
        <v>35</v>
      </c>
      <c r="H800" s="11">
        <v>1.0</v>
      </c>
      <c r="I800" s="11" t="s">
        <v>642</v>
      </c>
      <c r="J800" s="19">
        <f t="shared" si="2"/>
        <v>60</v>
      </c>
      <c r="N800" s="11">
        <f t="shared" si="1"/>
        <v>60</v>
      </c>
      <c r="O800" s="11" t="s">
        <v>908</v>
      </c>
    </row>
    <row r="801">
      <c r="A801" s="9">
        <v>45858.949375</v>
      </c>
      <c r="B801" s="19" t="s">
        <v>832</v>
      </c>
      <c r="C801" s="11">
        <v>34.0</v>
      </c>
      <c r="D801" s="11" t="s">
        <v>146</v>
      </c>
      <c r="E801" s="11" t="s">
        <v>163</v>
      </c>
      <c r="F801" s="11">
        <v>32.02</v>
      </c>
      <c r="G801" s="11" t="s">
        <v>43</v>
      </c>
      <c r="H801" s="11">
        <v>1.0</v>
      </c>
      <c r="I801" s="11" t="s">
        <v>642</v>
      </c>
      <c r="J801" s="19">
        <f t="shared" si="2"/>
        <v>60</v>
      </c>
      <c r="N801" s="11">
        <f t="shared" si="1"/>
        <v>60</v>
      </c>
      <c r="O801" s="11" t="s">
        <v>909</v>
      </c>
    </row>
    <row r="802">
      <c r="A802" s="9">
        <v>45860.77966435185</v>
      </c>
      <c r="B802" s="19" t="s">
        <v>910</v>
      </c>
      <c r="C802" s="11">
        <v>34.0</v>
      </c>
      <c r="D802" s="11" t="s">
        <v>146</v>
      </c>
      <c r="E802" s="11" t="s">
        <v>163</v>
      </c>
      <c r="F802" s="11">
        <v>32.02</v>
      </c>
      <c r="G802" s="11" t="s">
        <v>43</v>
      </c>
      <c r="H802" s="11">
        <v>1.0</v>
      </c>
      <c r="I802" s="11" t="s">
        <v>642</v>
      </c>
      <c r="J802" s="19">
        <f t="shared" si="2"/>
        <v>60</v>
      </c>
      <c r="N802" s="11">
        <f t="shared" si="1"/>
        <v>60</v>
      </c>
      <c r="O802" s="11" t="s">
        <v>911</v>
      </c>
    </row>
    <row r="803">
      <c r="A803" s="9">
        <v>45861.62466435185</v>
      </c>
      <c r="B803" s="19" t="s">
        <v>346</v>
      </c>
      <c r="C803" s="11">
        <v>165.0</v>
      </c>
      <c r="D803" s="11" t="s">
        <v>146</v>
      </c>
      <c r="E803" s="11" t="s">
        <v>163</v>
      </c>
      <c r="F803" s="11">
        <v>156.5</v>
      </c>
      <c r="G803" s="11" t="s">
        <v>35</v>
      </c>
      <c r="H803" s="11">
        <v>8.0</v>
      </c>
      <c r="I803" s="11" t="s">
        <v>638</v>
      </c>
      <c r="J803" s="19">
        <f t="shared" si="2"/>
        <v>60</v>
      </c>
      <c r="N803" s="11">
        <f t="shared" si="1"/>
        <v>480</v>
      </c>
      <c r="O803" s="11" t="s">
        <v>912</v>
      </c>
    </row>
    <row r="804">
      <c r="A804" s="9">
        <v>45862.27318287037</v>
      </c>
      <c r="B804" s="19" t="s">
        <v>705</v>
      </c>
      <c r="C804" s="11">
        <v>23.0</v>
      </c>
      <c r="D804" s="11" t="s">
        <v>146</v>
      </c>
      <c r="E804" s="11" t="s">
        <v>163</v>
      </c>
      <c r="F804" s="11">
        <v>21.57</v>
      </c>
      <c r="G804" s="11" t="s">
        <v>35</v>
      </c>
      <c r="H804" s="11">
        <v>1.0</v>
      </c>
      <c r="I804" s="11" t="s">
        <v>642</v>
      </c>
      <c r="J804" s="19">
        <f t="shared" si="2"/>
        <v>60</v>
      </c>
      <c r="N804" s="11">
        <f t="shared" si="1"/>
        <v>60</v>
      </c>
      <c r="O804" s="11" t="s">
        <v>913</v>
      </c>
    </row>
    <row r="805">
      <c r="A805" s="9">
        <v>45862.277141203704</v>
      </c>
      <c r="B805" s="19" t="s">
        <v>555</v>
      </c>
      <c r="C805" s="11">
        <v>230.0</v>
      </c>
      <c r="D805" s="11" t="s">
        <v>146</v>
      </c>
      <c r="E805" s="11" t="s">
        <v>163</v>
      </c>
      <c r="F805" s="11">
        <v>218.25</v>
      </c>
      <c r="G805" s="11" t="s">
        <v>43</v>
      </c>
      <c r="H805" s="11">
        <v>8.0</v>
      </c>
      <c r="I805" s="11" t="s">
        <v>638</v>
      </c>
      <c r="J805" s="19">
        <f t="shared" si="2"/>
        <v>60</v>
      </c>
      <c r="N805" s="11">
        <f t="shared" si="1"/>
        <v>480</v>
      </c>
      <c r="O805" s="11" t="s">
        <v>914</v>
      </c>
    </row>
    <row r="806">
      <c r="A806" s="9">
        <v>45862.55023148148</v>
      </c>
      <c r="B806" s="19" t="s">
        <v>875</v>
      </c>
      <c r="C806" s="11">
        <v>975.0</v>
      </c>
      <c r="D806" s="11" t="s">
        <v>146</v>
      </c>
      <c r="E806" s="11" t="s">
        <v>163</v>
      </c>
      <c r="F806" s="11">
        <v>936.35</v>
      </c>
      <c r="G806" s="11" t="s">
        <v>43</v>
      </c>
      <c r="H806" s="11">
        <v>40.0</v>
      </c>
      <c r="I806" s="11" t="s">
        <v>638</v>
      </c>
      <c r="J806" s="19">
        <f t="shared" si="2"/>
        <v>60</v>
      </c>
      <c r="N806" s="11">
        <f t="shared" si="1"/>
        <v>2400</v>
      </c>
      <c r="O806" s="11" t="s">
        <v>915</v>
      </c>
    </row>
    <row r="807">
      <c r="A807" s="9">
        <v>45866.16909722222</v>
      </c>
      <c r="B807" s="19" t="s">
        <v>370</v>
      </c>
      <c r="C807" s="11">
        <v>975.0</v>
      </c>
      <c r="D807" s="11" t="s">
        <v>146</v>
      </c>
      <c r="E807" s="11" t="s">
        <v>163</v>
      </c>
      <c r="F807" s="11">
        <v>925.89</v>
      </c>
      <c r="G807" s="11" t="s">
        <v>43</v>
      </c>
      <c r="H807" s="11">
        <v>40.0</v>
      </c>
      <c r="I807" s="11" t="s">
        <v>638</v>
      </c>
      <c r="J807" s="19">
        <f t="shared" si="2"/>
        <v>60</v>
      </c>
      <c r="N807" s="11">
        <f t="shared" si="1"/>
        <v>2400</v>
      </c>
      <c r="O807" s="11" t="s">
        <v>916</v>
      </c>
    </row>
    <row r="808">
      <c r="A808" s="9">
        <v>45866.61130787037</v>
      </c>
      <c r="B808" s="19" t="s">
        <v>832</v>
      </c>
      <c r="C808" s="11">
        <v>34.0</v>
      </c>
      <c r="D808" s="11" t="s">
        <v>146</v>
      </c>
      <c r="E808" s="11" t="s">
        <v>163</v>
      </c>
      <c r="F808" s="11">
        <v>32.02</v>
      </c>
      <c r="G808" s="11" t="s">
        <v>43</v>
      </c>
      <c r="H808" s="11">
        <v>1.0</v>
      </c>
      <c r="I808" s="11" t="s">
        <v>642</v>
      </c>
      <c r="J808" s="19">
        <f t="shared" si="2"/>
        <v>60</v>
      </c>
      <c r="N808" s="11">
        <f t="shared" si="1"/>
        <v>60</v>
      </c>
      <c r="O808" s="11" t="s">
        <v>917</v>
      </c>
    </row>
    <row r="809">
      <c r="A809" s="9">
        <v>45868.9084375</v>
      </c>
      <c r="B809" s="19" t="s">
        <v>832</v>
      </c>
      <c r="C809" s="11">
        <v>34.0</v>
      </c>
      <c r="D809" s="11" t="s">
        <v>146</v>
      </c>
      <c r="E809" s="11" t="s">
        <v>163</v>
      </c>
      <c r="F809" s="11">
        <v>32.02</v>
      </c>
      <c r="G809" s="11" t="s">
        <v>43</v>
      </c>
      <c r="H809" s="11">
        <v>1.0</v>
      </c>
      <c r="I809" s="11" t="s">
        <v>642</v>
      </c>
      <c r="J809" s="19">
        <f t="shared" si="2"/>
        <v>60</v>
      </c>
      <c r="N809" s="11">
        <f t="shared" si="1"/>
        <v>60</v>
      </c>
      <c r="O809" s="11" t="s">
        <v>918</v>
      </c>
    </row>
    <row r="810">
      <c r="A810" s="9">
        <v>45869.49512731482</v>
      </c>
      <c r="B810" s="19" t="s">
        <v>705</v>
      </c>
      <c r="C810" s="11">
        <v>23.0</v>
      </c>
      <c r="D810" s="11" t="s">
        <v>146</v>
      </c>
      <c r="E810" s="11" t="s">
        <v>163</v>
      </c>
      <c r="F810" s="11">
        <v>21.57</v>
      </c>
      <c r="G810" s="11" t="s">
        <v>35</v>
      </c>
      <c r="H810" s="11">
        <v>1.0</v>
      </c>
      <c r="I810" s="11" t="s">
        <v>642</v>
      </c>
      <c r="J810" s="19">
        <f t="shared" si="2"/>
        <v>60</v>
      </c>
      <c r="N810" s="11">
        <f t="shared" si="1"/>
        <v>60</v>
      </c>
      <c r="O810" s="11" t="s">
        <v>919</v>
      </c>
    </row>
    <row r="811">
      <c r="A811" s="9">
        <v>45869.51956018519</v>
      </c>
      <c r="B811" s="19" t="s">
        <v>623</v>
      </c>
      <c r="C811" s="11">
        <v>100.0</v>
      </c>
      <c r="D811" s="11" t="s">
        <v>146</v>
      </c>
      <c r="E811" s="11" t="s">
        <v>163</v>
      </c>
      <c r="F811" s="11">
        <v>94.74</v>
      </c>
      <c r="G811" s="11" t="s">
        <v>35</v>
      </c>
      <c r="H811" s="11">
        <v>8.0</v>
      </c>
      <c r="I811" s="11" t="s">
        <v>638</v>
      </c>
      <c r="J811" s="19">
        <f t="shared" si="2"/>
        <v>60</v>
      </c>
      <c r="N811" s="11">
        <f t="shared" si="1"/>
        <v>480</v>
      </c>
      <c r="O811" s="11" t="s">
        <v>920</v>
      </c>
    </row>
    <row r="812">
      <c r="A812" s="9">
        <v>45869.59712962963</v>
      </c>
      <c r="B812" s="19" t="s">
        <v>921</v>
      </c>
      <c r="C812" s="11">
        <v>34.0</v>
      </c>
      <c r="D812" s="11" t="s">
        <v>146</v>
      </c>
      <c r="E812" s="11" t="s">
        <v>163</v>
      </c>
      <c r="F812" s="11">
        <v>32.02</v>
      </c>
      <c r="G812" s="11" t="s">
        <v>43</v>
      </c>
      <c r="H812" s="11">
        <v>1.0</v>
      </c>
      <c r="I812" s="11" t="s">
        <v>642</v>
      </c>
      <c r="J812" s="19">
        <f t="shared" si="2"/>
        <v>60</v>
      </c>
      <c r="N812" s="11">
        <f t="shared" si="1"/>
        <v>60</v>
      </c>
      <c r="O812" s="11" t="s">
        <v>922</v>
      </c>
    </row>
    <row r="813">
      <c r="A813" s="9">
        <v>45869.711122685185</v>
      </c>
      <c r="B813" s="19" t="s">
        <v>910</v>
      </c>
      <c r="C813" s="11">
        <v>230.0</v>
      </c>
      <c r="D813" s="11" t="s">
        <v>146</v>
      </c>
      <c r="E813" s="11" t="s">
        <v>163</v>
      </c>
      <c r="F813" s="11">
        <v>218.32</v>
      </c>
      <c r="G813" s="11" t="s">
        <v>43</v>
      </c>
      <c r="H813" s="11">
        <v>8.0</v>
      </c>
      <c r="I813" s="11" t="s">
        <v>638</v>
      </c>
      <c r="J813" s="19">
        <f t="shared" si="2"/>
        <v>60</v>
      </c>
      <c r="N813" s="11">
        <f t="shared" si="1"/>
        <v>480</v>
      </c>
      <c r="O813" s="11" t="s">
        <v>923</v>
      </c>
    </row>
    <row r="814">
      <c r="A814" s="9">
        <v>45875.295798611114</v>
      </c>
      <c r="B814" s="19" t="str">
        <f>CONCATENATE(#REF!," ",#REF!)</f>
        <v>#REF!</v>
      </c>
      <c r="C814" s="11">
        <v>34.0</v>
      </c>
      <c r="D814" s="11" t="s">
        <v>146</v>
      </c>
      <c r="E814" s="11" t="s">
        <v>163</v>
      </c>
      <c r="F814" s="11">
        <v>32.02</v>
      </c>
      <c r="G814" s="11" t="s">
        <v>43</v>
      </c>
      <c r="H814" s="11">
        <v>1.0</v>
      </c>
      <c r="I814" s="11" t="s">
        <v>642</v>
      </c>
      <c r="J814" s="19">
        <f t="shared" si="2"/>
        <v>60</v>
      </c>
      <c r="N814" s="11">
        <f t="shared" si="1"/>
        <v>60</v>
      </c>
      <c r="O814" s="11" t="s">
        <v>924</v>
      </c>
    </row>
    <row r="815">
      <c r="A815" s="9">
        <v>45877.187430555554</v>
      </c>
      <c r="B815" s="19" t="s">
        <v>705</v>
      </c>
      <c r="C815" s="11">
        <v>23.0</v>
      </c>
      <c r="D815" s="11" t="s">
        <v>146</v>
      </c>
      <c r="E815" s="11" t="s">
        <v>163</v>
      </c>
      <c r="F815" s="11">
        <v>21.57</v>
      </c>
      <c r="G815" s="11" t="s">
        <v>35</v>
      </c>
      <c r="H815" s="11">
        <v>1.0</v>
      </c>
      <c r="I815" s="11" t="s">
        <v>642</v>
      </c>
      <c r="J815" s="19">
        <f t="shared" si="2"/>
        <v>60</v>
      </c>
      <c r="N815" s="11">
        <f t="shared" si="1"/>
        <v>60</v>
      </c>
      <c r="O815" s="11" t="s">
        <v>925</v>
      </c>
    </row>
    <row r="816">
      <c r="A816" s="9">
        <v>45879.073969907404</v>
      </c>
      <c r="B816" s="19" t="s">
        <v>926</v>
      </c>
      <c r="C816" s="11">
        <v>34.0</v>
      </c>
      <c r="D816" s="11" t="s">
        <v>146</v>
      </c>
      <c r="E816" s="11" t="s">
        <v>163</v>
      </c>
      <c r="F816" s="11">
        <v>32.03</v>
      </c>
      <c r="G816" s="11" t="s">
        <v>43</v>
      </c>
      <c r="H816" s="11">
        <v>1.0</v>
      </c>
      <c r="I816" s="11" t="s">
        <v>642</v>
      </c>
      <c r="J816" s="19">
        <f t="shared" si="2"/>
        <v>60</v>
      </c>
      <c r="N816" s="11">
        <f t="shared" si="1"/>
        <v>60</v>
      </c>
      <c r="O816" s="11" t="s">
        <v>927</v>
      </c>
    </row>
    <row r="817">
      <c r="A817" s="9">
        <v>45880.60965277778</v>
      </c>
      <c r="B817" s="19" t="s">
        <v>921</v>
      </c>
      <c r="C817" s="11">
        <v>34.0</v>
      </c>
      <c r="D817" s="11" t="s">
        <v>146</v>
      </c>
      <c r="E817" s="11" t="s">
        <v>163</v>
      </c>
      <c r="F817" s="11">
        <v>32.02</v>
      </c>
      <c r="G817" s="11" t="s">
        <v>43</v>
      </c>
      <c r="H817" s="11">
        <v>1.0</v>
      </c>
      <c r="I817" s="11" t="s">
        <v>642</v>
      </c>
      <c r="J817" s="19">
        <f t="shared" si="2"/>
        <v>60</v>
      </c>
      <c r="N817" s="11">
        <f t="shared" si="1"/>
        <v>60</v>
      </c>
      <c r="O817" s="11" t="s">
        <v>928</v>
      </c>
    </row>
    <row r="818">
      <c r="A818" s="9">
        <v>45882.55739583333</v>
      </c>
      <c r="B818" s="19" t="s">
        <v>929</v>
      </c>
      <c r="C818" s="11">
        <v>23.0</v>
      </c>
      <c r="D818" s="11" t="s">
        <v>146</v>
      </c>
      <c r="E818" s="11" t="s">
        <v>163</v>
      </c>
      <c r="F818" s="11">
        <v>21.57</v>
      </c>
      <c r="G818" s="11" t="s">
        <v>35</v>
      </c>
      <c r="H818" s="11">
        <v>1.0</v>
      </c>
      <c r="I818" s="11" t="s">
        <v>642</v>
      </c>
      <c r="J818" s="19">
        <f t="shared" si="2"/>
        <v>60</v>
      </c>
      <c r="N818" s="11">
        <f t="shared" si="1"/>
        <v>60</v>
      </c>
      <c r="O818" s="11" t="s">
        <v>930</v>
      </c>
    </row>
    <row r="819">
      <c r="A819" s="9">
        <v>45884.0825462963</v>
      </c>
      <c r="B819" s="19" t="s">
        <v>705</v>
      </c>
      <c r="C819" s="11">
        <v>23.0</v>
      </c>
      <c r="D819" s="11" t="s">
        <v>146</v>
      </c>
      <c r="E819" s="11" t="s">
        <v>163</v>
      </c>
      <c r="F819" s="11">
        <v>21.57</v>
      </c>
      <c r="G819" s="11" t="s">
        <v>35</v>
      </c>
      <c r="H819" s="11">
        <v>1.0</v>
      </c>
      <c r="I819" s="11" t="s">
        <v>642</v>
      </c>
      <c r="J819" s="19">
        <f t="shared" si="2"/>
        <v>60</v>
      </c>
      <c r="N819" s="11">
        <f t="shared" si="1"/>
        <v>60</v>
      </c>
      <c r="O819" s="11" t="s">
        <v>931</v>
      </c>
    </row>
    <row r="820">
      <c r="A820" s="9">
        <v>45887.58322916667</v>
      </c>
      <c r="B820" s="19" t="s">
        <v>475</v>
      </c>
      <c r="C820" s="11">
        <v>230.0</v>
      </c>
      <c r="D820" s="11" t="s">
        <v>146</v>
      </c>
      <c r="E820" s="11" t="s">
        <v>163</v>
      </c>
      <c r="F820" s="11">
        <v>218.25</v>
      </c>
      <c r="G820" s="11" t="s">
        <v>43</v>
      </c>
      <c r="H820" s="11">
        <v>8.0</v>
      </c>
      <c r="I820" s="11" t="s">
        <v>638</v>
      </c>
      <c r="J820" s="19">
        <f t="shared" si="2"/>
        <v>60</v>
      </c>
      <c r="N820" s="11">
        <f t="shared" si="1"/>
        <v>480</v>
      </c>
      <c r="O820" s="11" t="s">
        <v>932</v>
      </c>
    </row>
    <row r="821">
      <c r="A821" s="9">
        <v>45888.37872685185</v>
      </c>
      <c r="B821" s="19" t="s">
        <v>807</v>
      </c>
      <c r="C821" s="11">
        <v>230.0</v>
      </c>
      <c r="D821" s="11" t="s">
        <v>146</v>
      </c>
      <c r="E821" s="11" t="s">
        <v>163</v>
      </c>
      <c r="F821" s="11">
        <v>218.25</v>
      </c>
      <c r="G821" s="11" t="s">
        <v>43</v>
      </c>
      <c r="H821" s="11">
        <v>8.0</v>
      </c>
      <c r="I821" s="11" t="s">
        <v>638</v>
      </c>
      <c r="J821" s="19">
        <f t="shared" si="2"/>
        <v>60</v>
      </c>
      <c r="N821" s="11">
        <f t="shared" si="1"/>
        <v>480</v>
      </c>
      <c r="O821" s="11" t="s">
        <v>933</v>
      </c>
    </row>
    <row r="822">
      <c r="A822" s="9">
        <v>45890.418854166666</v>
      </c>
      <c r="B822" s="19" t="s">
        <v>705</v>
      </c>
      <c r="C822" s="11">
        <v>23.0</v>
      </c>
      <c r="D822" s="11" t="s">
        <v>146</v>
      </c>
      <c r="E822" s="11" t="s">
        <v>163</v>
      </c>
      <c r="F822" s="11">
        <v>21.57</v>
      </c>
      <c r="G822" s="11" t="s">
        <v>35</v>
      </c>
      <c r="H822" s="11">
        <v>1.0</v>
      </c>
      <c r="I822" s="11" t="s">
        <v>642</v>
      </c>
      <c r="J822" s="19">
        <f t="shared" si="2"/>
        <v>60</v>
      </c>
      <c r="N822" s="11">
        <f t="shared" si="1"/>
        <v>60</v>
      </c>
      <c r="O822" s="11" t="s">
        <v>934</v>
      </c>
    </row>
    <row r="823">
      <c r="A823" s="9">
        <v>45891.09076388889</v>
      </c>
      <c r="B823" s="19" t="s">
        <v>434</v>
      </c>
      <c r="C823" s="11">
        <v>180.0</v>
      </c>
      <c r="D823" s="11" t="s">
        <v>146</v>
      </c>
      <c r="E823" s="11" t="s">
        <v>163</v>
      </c>
      <c r="F823" s="11">
        <v>170.74</v>
      </c>
      <c r="G823" s="11" t="s">
        <v>43</v>
      </c>
      <c r="H823" s="11">
        <v>8.0</v>
      </c>
      <c r="I823" s="11" t="s">
        <v>638</v>
      </c>
      <c r="J823" s="19">
        <f t="shared" si="2"/>
        <v>60</v>
      </c>
      <c r="N823" s="11">
        <f t="shared" si="1"/>
        <v>480</v>
      </c>
      <c r="O823" s="11" t="s">
        <v>935</v>
      </c>
    </row>
    <row r="824">
      <c r="A824" s="9">
        <v>45891.49753472222</v>
      </c>
      <c r="B824" s="19" t="s">
        <v>936</v>
      </c>
      <c r="C824" s="11">
        <v>180.0</v>
      </c>
      <c r="D824" s="11" t="s">
        <v>146</v>
      </c>
      <c r="E824" s="11" t="s">
        <v>163</v>
      </c>
      <c r="F824" s="11">
        <v>170.74</v>
      </c>
      <c r="G824" s="11" t="s">
        <v>43</v>
      </c>
      <c r="H824" s="11">
        <v>8.0</v>
      </c>
      <c r="I824" s="11" t="s">
        <v>638</v>
      </c>
      <c r="J824" s="19">
        <f t="shared" si="2"/>
        <v>60</v>
      </c>
      <c r="N824" s="11">
        <f t="shared" si="1"/>
        <v>480</v>
      </c>
      <c r="O824" s="11" t="s">
        <v>937</v>
      </c>
    </row>
    <row r="825">
      <c r="A825" s="9">
        <v>45894.92325231482</v>
      </c>
      <c r="B825" s="19" t="s">
        <v>938</v>
      </c>
      <c r="C825" s="11">
        <v>34.0</v>
      </c>
      <c r="D825" s="11" t="s">
        <v>146</v>
      </c>
      <c r="E825" s="11" t="s">
        <v>163</v>
      </c>
      <c r="F825" s="11">
        <v>32.02</v>
      </c>
      <c r="G825" s="11" t="s">
        <v>43</v>
      </c>
      <c r="H825" s="11">
        <v>1.0</v>
      </c>
      <c r="I825" s="11" t="s">
        <v>642</v>
      </c>
      <c r="J825" s="19">
        <f t="shared" si="2"/>
        <v>60</v>
      </c>
      <c r="N825" s="11">
        <f t="shared" si="1"/>
        <v>60</v>
      </c>
      <c r="O825" s="11" t="s">
        <v>939</v>
      </c>
    </row>
    <row r="826">
      <c r="A826" s="9">
        <v>45896.08440972222</v>
      </c>
      <c r="B826" s="19" t="s">
        <v>734</v>
      </c>
      <c r="C826" s="11">
        <v>850.0</v>
      </c>
      <c r="D826" s="11" t="s">
        <v>146</v>
      </c>
      <c r="E826" s="11" t="s">
        <v>163</v>
      </c>
      <c r="F826" s="11">
        <v>807.35</v>
      </c>
      <c r="G826" s="11" t="s">
        <v>43</v>
      </c>
      <c r="H826" s="11">
        <v>40.0</v>
      </c>
      <c r="I826" s="11" t="s">
        <v>638</v>
      </c>
      <c r="J826" s="19">
        <f t="shared" si="2"/>
        <v>60</v>
      </c>
      <c r="N826" s="11">
        <f t="shared" si="1"/>
        <v>2400</v>
      </c>
      <c r="O826" s="11" t="s">
        <v>940</v>
      </c>
    </row>
    <row r="827">
      <c r="A827" s="9">
        <v>45897.2427662037</v>
      </c>
      <c r="B827" s="19" t="s">
        <v>805</v>
      </c>
      <c r="C827" s="11">
        <v>180.0</v>
      </c>
      <c r="D827" s="11" t="s">
        <v>146</v>
      </c>
      <c r="E827" s="11" t="s">
        <v>163</v>
      </c>
      <c r="F827" s="11">
        <v>170.73</v>
      </c>
      <c r="G827" s="11" t="s">
        <v>43</v>
      </c>
      <c r="H827" s="11">
        <v>8.0</v>
      </c>
      <c r="I827" s="11" t="s">
        <v>638</v>
      </c>
      <c r="J827" s="19">
        <f t="shared" si="2"/>
        <v>60</v>
      </c>
      <c r="N827" s="11">
        <f t="shared" si="1"/>
        <v>480</v>
      </c>
      <c r="O827" s="11" t="s">
        <v>941</v>
      </c>
    </row>
    <row r="828">
      <c r="A828" s="9">
        <v>45898.53900462963</v>
      </c>
      <c r="B828" s="19" t="s">
        <v>452</v>
      </c>
      <c r="C828" s="11">
        <v>850.0</v>
      </c>
      <c r="D828" s="11" t="s">
        <v>146</v>
      </c>
      <c r="E828" s="11" t="s">
        <v>163</v>
      </c>
      <c r="F828" s="11">
        <v>807.36</v>
      </c>
      <c r="G828" s="11" t="s">
        <v>43</v>
      </c>
      <c r="H828" s="11">
        <v>40.0</v>
      </c>
      <c r="I828" s="11" t="s">
        <v>638</v>
      </c>
      <c r="J828" s="19">
        <f t="shared" si="2"/>
        <v>60</v>
      </c>
      <c r="N828" s="11">
        <f t="shared" si="1"/>
        <v>2400</v>
      </c>
      <c r="O828" s="11" t="s">
        <v>942</v>
      </c>
    </row>
    <row r="829">
      <c r="A829" s="9">
        <v>45898.700057870374</v>
      </c>
      <c r="B829" s="19" t="s">
        <v>368</v>
      </c>
      <c r="C829" s="11">
        <v>180.0</v>
      </c>
      <c r="D829" s="11" t="s">
        <v>146</v>
      </c>
      <c r="E829" s="11" t="s">
        <v>163</v>
      </c>
      <c r="F829" s="11">
        <v>170.74</v>
      </c>
      <c r="G829" s="11" t="s">
        <v>43</v>
      </c>
      <c r="H829" s="11">
        <v>8.0</v>
      </c>
      <c r="I829" s="11" t="s">
        <v>638</v>
      </c>
      <c r="J829" s="19">
        <f t="shared" si="2"/>
        <v>60</v>
      </c>
      <c r="N829" s="11">
        <f t="shared" si="1"/>
        <v>480</v>
      </c>
      <c r="O829" s="11" t="s">
        <v>943</v>
      </c>
    </row>
    <row r="830">
      <c r="A830" s="9">
        <v>45901.194386574076</v>
      </c>
      <c r="B830" s="19" t="s">
        <v>607</v>
      </c>
      <c r="C830" s="11">
        <v>180.0</v>
      </c>
      <c r="D830" s="11" t="s">
        <v>146</v>
      </c>
      <c r="E830" s="11" t="s">
        <v>163</v>
      </c>
      <c r="F830" s="11">
        <v>170.74</v>
      </c>
      <c r="G830" s="11" t="s">
        <v>43</v>
      </c>
      <c r="H830" s="11">
        <v>8.0</v>
      </c>
      <c r="I830" s="11" t="s">
        <v>638</v>
      </c>
      <c r="J830" s="19">
        <f t="shared" si="2"/>
        <v>60</v>
      </c>
      <c r="N830" s="11">
        <f t="shared" si="1"/>
        <v>480</v>
      </c>
      <c r="O830" s="11" t="s">
        <v>944</v>
      </c>
    </row>
    <row r="831">
      <c r="A831" s="20">
        <v>45903.56859953704</v>
      </c>
      <c r="B831" s="19" t="s">
        <v>945</v>
      </c>
      <c r="C831" s="5">
        <v>23.0</v>
      </c>
      <c r="D831" s="3" t="s">
        <v>146</v>
      </c>
      <c r="E831" s="3" t="s">
        <v>163</v>
      </c>
      <c r="F831" s="5">
        <v>21.57</v>
      </c>
      <c r="G831" s="3" t="s">
        <v>35</v>
      </c>
      <c r="H831" s="5">
        <v>1.0</v>
      </c>
      <c r="I831" s="3" t="s">
        <v>642</v>
      </c>
      <c r="J831" s="19">
        <f t="shared" si="2"/>
        <v>60</v>
      </c>
      <c r="M831" s="5"/>
      <c r="N831" s="11">
        <f t="shared" si="1"/>
        <v>60</v>
      </c>
      <c r="O831" s="3" t="s">
        <v>946</v>
      </c>
      <c r="P831" s="3"/>
    </row>
    <row r="832">
      <c r="A832" s="20">
        <v>45903.61027777778</v>
      </c>
      <c r="B832" s="19" t="s">
        <v>947</v>
      </c>
      <c r="C832" s="5">
        <v>23.0</v>
      </c>
      <c r="D832" s="3" t="s">
        <v>146</v>
      </c>
      <c r="E832" s="3" t="s">
        <v>163</v>
      </c>
      <c r="F832" s="5">
        <v>21.57</v>
      </c>
      <c r="G832" s="3" t="s">
        <v>35</v>
      </c>
      <c r="H832" s="5">
        <v>1.0</v>
      </c>
      <c r="I832" s="3" t="s">
        <v>642</v>
      </c>
      <c r="J832" s="19">
        <f t="shared" si="2"/>
        <v>60</v>
      </c>
      <c r="M832" s="5"/>
      <c r="N832" s="11">
        <f t="shared" si="1"/>
        <v>60</v>
      </c>
      <c r="O832" s="3" t="s">
        <v>948</v>
      </c>
      <c r="P832" s="3"/>
    </row>
    <row r="833">
      <c r="A833" s="20">
        <v>45904.673368055555</v>
      </c>
      <c r="B833" s="19" t="s">
        <v>949</v>
      </c>
      <c r="C833" s="5">
        <v>180.0</v>
      </c>
      <c r="D833" s="3" t="s">
        <v>146</v>
      </c>
      <c r="E833" s="3" t="s">
        <v>163</v>
      </c>
      <c r="F833" s="5">
        <v>170.75</v>
      </c>
      <c r="G833" s="3" t="s">
        <v>43</v>
      </c>
      <c r="H833" s="5">
        <v>8.0</v>
      </c>
      <c r="I833" s="3" t="s">
        <v>638</v>
      </c>
      <c r="J833" s="19">
        <f t="shared" si="2"/>
        <v>60</v>
      </c>
      <c r="M833" s="5"/>
      <c r="N833" s="11">
        <f t="shared" si="1"/>
        <v>480</v>
      </c>
      <c r="O833" s="3" t="s">
        <v>950</v>
      </c>
      <c r="P833" s="3"/>
    </row>
    <row r="834">
      <c r="A834" s="20">
        <v>45905.13314814815</v>
      </c>
      <c r="B834" s="19" t="s">
        <v>951</v>
      </c>
      <c r="C834" s="5">
        <v>368.0</v>
      </c>
      <c r="D834" s="3" t="s">
        <v>146</v>
      </c>
      <c r="E834" s="3" t="s">
        <v>163</v>
      </c>
      <c r="F834" s="5">
        <v>349.36</v>
      </c>
      <c r="G834" s="3" t="s">
        <v>43</v>
      </c>
      <c r="H834" s="5">
        <v>8.0</v>
      </c>
      <c r="I834" s="3" t="s">
        <v>638</v>
      </c>
      <c r="J834" s="19">
        <f t="shared" si="2"/>
        <v>60</v>
      </c>
      <c r="M834" s="5"/>
      <c r="N834" s="11">
        <f t="shared" si="1"/>
        <v>480</v>
      </c>
      <c r="O834" s="3" t="s">
        <v>952</v>
      </c>
      <c r="P834" s="3"/>
    </row>
    <row r="835">
      <c r="A835" s="20">
        <v>45906.67428240741</v>
      </c>
      <c r="B835" s="19" t="s">
        <v>90</v>
      </c>
      <c r="C835" s="5">
        <v>180.0</v>
      </c>
      <c r="D835" s="3" t="s">
        <v>146</v>
      </c>
      <c r="E835" s="3" t="s">
        <v>163</v>
      </c>
      <c r="F835" s="5">
        <v>170.74</v>
      </c>
      <c r="G835" s="3" t="s">
        <v>43</v>
      </c>
      <c r="H835" s="5">
        <v>8.0</v>
      </c>
      <c r="I835" s="3" t="s">
        <v>638</v>
      </c>
      <c r="J835" s="19">
        <f t="shared" si="2"/>
        <v>60</v>
      </c>
      <c r="M835" s="5"/>
      <c r="N835" s="11">
        <f t="shared" si="1"/>
        <v>480</v>
      </c>
      <c r="O835" s="3" t="s">
        <v>953</v>
      </c>
      <c r="P835" s="3"/>
    </row>
    <row r="836">
      <c r="A836" s="20">
        <v>45907.21402777778</v>
      </c>
      <c r="B836" s="19" t="s">
        <v>414</v>
      </c>
      <c r="C836" s="5">
        <v>850.0</v>
      </c>
      <c r="D836" s="3" t="s">
        <v>146</v>
      </c>
      <c r="E836" s="3" t="s">
        <v>163</v>
      </c>
      <c r="F836" s="5">
        <v>807.37</v>
      </c>
      <c r="G836" s="3" t="s">
        <v>43</v>
      </c>
      <c r="H836" s="5">
        <v>40.0</v>
      </c>
      <c r="I836" s="3" t="s">
        <v>638</v>
      </c>
      <c r="J836" s="19">
        <f t="shared" si="2"/>
        <v>60</v>
      </c>
      <c r="M836" s="5"/>
      <c r="N836" s="11">
        <f t="shared" si="1"/>
        <v>2400</v>
      </c>
      <c r="O836" s="3" t="s">
        <v>954</v>
      </c>
      <c r="P836" s="3"/>
    </row>
    <row r="837">
      <c r="A837" s="20">
        <v>45907.64774305555</v>
      </c>
      <c r="B837" s="19" t="s">
        <v>336</v>
      </c>
      <c r="C837" s="5">
        <v>180.0</v>
      </c>
      <c r="D837" s="3" t="s">
        <v>146</v>
      </c>
      <c r="E837" s="3" t="s">
        <v>163</v>
      </c>
      <c r="F837" s="5">
        <v>170.74</v>
      </c>
      <c r="G837" s="3" t="s">
        <v>43</v>
      </c>
      <c r="H837" s="5">
        <v>8.0</v>
      </c>
      <c r="I837" s="3" t="s">
        <v>638</v>
      </c>
      <c r="J837" s="19">
        <f t="shared" si="2"/>
        <v>60</v>
      </c>
      <c r="M837" s="5"/>
      <c r="N837" s="11">
        <f t="shared" si="1"/>
        <v>480</v>
      </c>
      <c r="O837" s="3" t="s">
        <v>955</v>
      </c>
      <c r="P837" s="3"/>
    </row>
    <row r="838">
      <c r="A838" s="20">
        <v>45907.66079861111</v>
      </c>
      <c r="B838" s="19" t="s">
        <v>956</v>
      </c>
      <c r="C838" s="5">
        <v>850.0</v>
      </c>
      <c r="D838" s="3" t="s">
        <v>146</v>
      </c>
      <c r="E838" s="3" t="s">
        <v>163</v>
      </c>
      <c r="F838" s="5">
        <v>807.32</v>
      </c>
      <c r="G838" s="3" t="s">
        <v>43</v>
      </c>
      <c r="H838" s="5">
        <v>40.0</v>
      </c>
      <c r="I838" s="3" t="s">
        <v>638</v>
      </c>
      <c r="J838" s="19">
        <f t="shared" si="2"/>
        <v>60</v>
      </c>
      <c r="M838" s="5"/>
      <c r="N838" s="11">
        <f t="shared" si="1"/>
        <v>2400</v>
      </c>
      <c r="O838" s="3" t="s">
        <v>957</v>
      </c>
      <c r="P838" s="3"/>
    </row>
    <row r="839">
      <c r="A839" s="20">
        <v>45907.70741898148</v>
      </c>
      <c r="B839" s="19" t="s">
        <v>522</v>
      </c>
      <c r="C839" s="5">
        <v>165.0</v>
      </c>
      <c r="D839" s="3" t="s">
        <v>146</v>
      </c>
      <c r="E839" s="3" t="s">
        <v>163</v>
      </c>
      <c r="F839" s="5">
        <v>156.49</v>
      </c>
      <c r="G839" s="3" t="s">
        <v>35</v>
      </c>
      <c r="H839" s="5">
        <v>8.0</v>
      </c>
      <c r="I839" s="3" t="s">
        <v>638</v>
      </c>
      <c r="J839" s="19">
        <f t="shared" si="2"/>
        <v>60</v>
      </c>
      <c r="M839" s="5"/>
      <c r="N839" s="11">
        <f t="shared" si="1"/>
        <v>480</v>
      </c>
      <c r="O839" s="3" t="s">
        <v>958</v>
      </c>
      <c r="P839" s="3"/>
    </row>
    <row r="840">
      <c r="A840" s="20">
        <v>45907.94599537037</v>
      </c>
      <c r="B840" s="19" t="s">
        <v>743</v>
      </c>
      <c r="C840" s="5">
        <v>180.0</v>
      </c>
      <c r="D840" s="3" t="s">
        <v>146</v>
      </c>
      <c r="E840" s="3" t="s">
        <v>163</v>
      </c>
      <c r="F840" s="5">
        <v>170.74</v>
      </c>
      <c r="G840" s="3" t="s">
        <v>43</v>
      </c>
      <c r="H840" s="5">
        <v>8.0</v>
      </c>
      <c r="I840" s="3" t="s">
        <v>638</v>
      </c>
      <c r="J840" s="19">
        <f t="shared" si="2"/>
        <v>60</v>
      </c>
      <c r="M840" s="5"/>
      <c r="N840" s="11">
        <f t="shared" si="1"/>
        <v>480</v>
      </c>
      <c r="O840" s="3" t="s">
        <v>959</v>
      </c>
      <c r="P840" s="3"/>
    </row>
    <row r="841">
      <c r="A841" s="20">
        <v>45908.52445601852</v>
      </c>
      <c r="B841" s="19" t="s">
        <v>892</v>
      </c>
      <c r="C841" s="5">
        <v>180.0</v>
      </c>
      <c r="D841" s="3" t="s">
        <v>146</v>
      </c>
      <c r="E841" s="3" t="s">
        <v>163</v>
      </c>
      <c r="F841" s="5">
        <v>170.74</v>
      </c>
      <c r="G841" s="3" t="s">
        <v>43</v>
      </c>
      <c r="H841" s="5">
        <v>8.0</v>
      </c>
      <c r="I841" s="3" t="s">
        <v>638</v>
      </c>
      <c r="J841" s="19">
        <f t="shared" si="2"/>
        <v>60</v>
      </c>
      <c r="M841" s="5"/>
      <c r="N841" s="11">
        <f t="shared" si="1"/>
        <v>480</v>
      </c>
      <c r="O841" s="3" t="s">
        <v>960</v>
      </c>
      <c r="P841" s="3"/>
    </row>
    <row r="842">
      <c r="A842" s="20">
        <v>45909.21934027778</v>
      </c>
      <c r="B842" s="19" t="s">
        <v>475</v>
      </c>
      <c r="C842" s="5">
        <v>180.0</v>
      </c>
      <c r="D842" s="3" t="s">
        <v>146</v>
      </c>
      <c r="E842" s="3" t="s">
        <v>163</v>
      </c>
      <c r="F842" s="5">
        <v>170.73</v>
      </c>
      <c r="G842" s="3" t="s">
        <v>43</v>
      </c>
      <c r="H842" s="5">
        <v>8.0</v>
      </c>
      <c r="I842" s="3" t="s">
        <v>638</v>
      </c>
      <c r="J842" s="19">
        <f t="shared" si="2"/>
        <v>60</v>
      </c>
      <c r="M842" s="5"/>
      <c r="N842" s="11">
        <f t="shared" si="1"/>
        <v>480</v>
      </c>
      <c r="O842" s="3" t="s">
        <v>961</v>
      </c>
      <c r="P842" s="3"/>
    </row>
    <row r="843">
      <c r="A843" s="20">
        <v>45909.67508101852</v>
      </c>
      <c r="B843" s="19" t="s">
        <v>432</v>
      </c>
      <c r="C843" s="5">
        <v>180.0</v>
      </c>
      <c r="D843" s="3" t="s">
        <v>146</v>
      </c>
      <c r="E843" s="3" t="s">
        <v>163</v>
      </c>
      <c r="F843" s="5">
        <v>170.74</v>
      </c>
      <c r="G843" s="3" t="s">
        <v>43</v>
      </c>
      <c r="H843" s="5">
        <v>8.0</v>
      </c>
      <c r="I843" s="3" t="s">
        <v>638</v>
      </c>
      <c r="J843" s="19">
        <f t="shared" si="2"/>
        <v>60</v>
      </c>
      <c r="M843" s="5"/>
      <c r="N843" s="11">
        <f t="shared" si="1"/>
        <v>480</v>
      </c>
      <c r="O843" s="3" t="s">
        <v>962</v>
      </c>
      <c r="P843" s="3"/>
    </row>
    <row r="844">
      <c r="A844" s="20">
        <v>45912.57821759259</v>
      </c>
      <c r="B844" s="19" t="s">
        <v>945</v>
      </c>
      <c r="C844" s="5">
        <v>230.0</v>
      </c>
      <c r="D844" s="3" t="s">
        <v>146</v>
      </c>
      <c r="E844" s="3" t="s">
        <v>163</v>
      </c>
      <c r="F844" s="5">
        <v>218.24</v>
      </c>
      <c r="G844" s="3" t="s">
        <v>43</v>
      </c>
      <c r="H844" s="5">
        <v>8.0</v>
      </c>
      <c r="I844" s="3" t="s">
        <v>638</v>
      </c>
      <c r="J844" s="19">
        <f t="shared" si="2"/>
        <v>60</v>
      </c>
      <c r="M844" s="5"/>
      <c r="N844" s="11">
        <f t="shared" si="1"/>
        <v>480</v>
      </c>
      <c r="O844" s="3" t="s">
        <v>963</v>
      </c>
      <c r="P844" s="3"/>
    </row>
    <row r="845">
      <c r="A845" s="20">
        <v>45912.90657407408</v>
      </c>
      <c r="B845" s="19" t="s">
        <v>947</v>
      </c>
      <c r="C845" s="5">
        <v>230.0</v>
      </c>
      <c r="D845" s="3" t="s">
        <v>146</v>
      </c>
      <c r="E845" s="3" t="s">
        <v>163</v>
      </c>
      <c r="F845" s="5">
        <v>218.23</v>
      </c>
      <c r="G845" s="3" t="s">
        <v>43</v>
      </c>
      <c r="H845" s="5">
        <v>8.0</v>
      </c>
      <c r="I845" s="3" t="s">
        <v>638</v>
      </c>
      <c r="J845" s="19">
        <f t="shared" si="2"/>
        <v>60</v>
      </c>
      <c r="M845" s="5"/>
      <c r="N845" s="11">
        <f t="shared" si="1"/>
        <v>480</v>
      </c>
      <c r="O845" s="3" t="s">
        <v>964</v>
      </c>
      <c r="P845" s="3"/>
    </row>
    <row r="846">
      <c r="A846" s="20">
        <v>45916.884780092594</v>
      </c>
      <c r="B846" s="19" t="s">
        <v>483</v>
      </c>
      <c r="C846" s="5">
        <v>975.0</v>
      </c>
      <c r="D846" s="3" t="s">
        <v>146</v>
      </c>
      <c r="E846" s="3" t="s">
        <v>163</v>
      </c>
      <c r="F846" s="5">
        <v>926.01</v>
      </c>
      <c r="G846" s="3" t="s">
        <v>43</v>
      </c>
      <c r="H846" s="5">
        <v>40.0</v>
      </c>
      <c r="I846" s="3" t="s">
        <v>638</v>
      </c>
      <c r="J846" s="19">
        <f t="shared" si="2"/>
        <v>60</v>
      </c>
      <c r="M846" s="5"/>
      <c r="N846" s="11">
        <f t="shared" si="1"/>
        <v>2400</v>
      </c>
      <c r="O846" s="3" t="s">
        <v>965</v>
      </c>
      <c r="P846" s="3"/>
    </row>
    <row r="847">
      <c r="A847" s="20">
        <v>45918.63821759259</v>
      </c>
      <c r="B847" s="19" t="s">
        <v>966</v>
      </c>
      <c r="C847" s="5">
        <v>15.0</v>
      </c>
      <c r="D847" s="3" t="s">
        <v>146</v>
      </c>
      <c r="E847" s="3" t="s">
        <v>163</v>
      </c>
      <c r="F847" s="5">
        <v>13.96</v>
      </c>
      <c r="G847" s="3" t="s">
        <v>43</v>
      </c>
      <c r="H847" s="5">
        <v>1.0</v>
      </c>
      <c r="I847" s="3" t="s">
        <v>642</v>
      </c>
      <c r="J847" s="19">
        <f t="shared" si="2"/>
        <v>60</v>
      </c>
      <c r="M847" s="5"/>
      <c r="N847" s="11">
        <f t="shared" si="1"/>
        <v>60</v>
      </c>
      <c r="O847" s="3" t="s">
        <v>967</v>
      </c>
      <c r="P847" s="3"/>
    </row>
    <row r="848">
      <c r="A848" s="20">
        <v>45940.07957175926</v>
      </c>
      <c r="B848" s="19" t="s">
        <v>346</v>
      </c>
      <c r="C848" s="5">
        <v>165.0</v>
      </c>
      <c r="D848" s="3" t="s">
        <v>146</v>
      </c>
      <c r="E848" s="3" t="s">
        <v>163</v>
      </c>
      <c r="F848" s="5">
        <v>156.48</v>
      </c>
      <c r="G848" s="3" t="s">
        <v>35</v>
      </c>
      <c r="H848" s="5">
        <v>8.0</v>
      </c>
      <c r="I848" s="3" t="s">
        <v>638</v>
      </c>
      <c r="J848" s="19">
        <f t="shared" si="2"/>
        <v>60</v>
      </c>
      <c r="M848" s="5"/>
      <c r="N848" s="11">
        <f t="shared" si="1"/>
        <v>480</v>
      </c>
      <c r="O848" s="3" t="s">
        <v>968</v>
      </c>
      <c r="P848" s="3"/>
      <c r="R848" s="3"/>
    </row>
    <row r="849">
      <c r="A849" s="20">
        <v>45940.11770833333</v>
      </c>
      <c r="B849" s="19" t="s">
        <v>555</v>
      </c>
      <c r="C849" s="5">
        <v>230.0</v>
      </c>
      <c r="D849" s="3" t="s">
        <v>146</v>
      </c>
      <c r="E849" s="3" t="s">
        <v>163</v>
      </c>
      <c r="F849" s="5">
        <v>218.24</v>
      </c>
      <c r="G849" s="3" t="s">
        <v>43</v>
      </c>
      <c r="H849" s="5">
        <v>8.0</v>
      </c>
      <c r="I849" s="3" t="s">
        <v>638</v>
      </c>
      <c r="J849" s="19">
        <f t="shared" si="2"/>
        <v>60</v>
      </c>
      <c r="M849" s="5"/>
      <c r="N849" s="11">
        <f t="shared" si="1"/>
        <v>480</v>
      </c>
      <c r="O849" s="3" t="s">
        <v>969</v>
      </c>
      <c r="P849" s="3"/>
      <c r="R849" s="3"/>
    </row>
    <row r="850">
      <c r="A850" s="20">
        <v>45940.61415509259</v>
      </c>
      <c r="B850" s="19" t="s">
        <v>970</v>
      </c>
      <c r="C850" s="5">
        <v>230.0</v>
      </c>
      <c r="D850" s="3" t="s">
        <v>146</v>
      </c>
      <c r="E850" s="3" t="s">
        <v>163</v>
      </c>
      <c r="F850" s="5">
        <v>218.25</v>
      </c>
      <c r="G850" s="3" t="s">
        <v>43</v>
      </c>
      <c r="H850" s="5">
        <v>8.0</v>
      </c>
      <c r="I850" s="3" t="s">
        <v>638</v>
      </c>
      <c r="J850" s="19">
        <f t="shared" si="2"/>
        <v>60</v>
      </c>
      <c r="M850" s="5"/>
      <c r="N850" s="11">
        <f t="shared" si="1"/>
        <v>480</v>
      </c>
      <c r="O850" s="3" t="s">
        <v>971</v>
      </c>
      <c r="P850" s="3"/>
      <c r="R850" s="3"/>
    </row>
    <row r="851">
      <c r="A851" s="20">
        <v>45942.81337962963</v>
      </c>
      <c r="B851" s="19" t="s">
        <v>528</v>
      </c>
      <c r="C851" s="5">
        <v>230.0</v>
      </c>
      <c r="D851" s="3" t="s">
        <v>146</v>
      </c>
      <c r="E851" s="3" t="s">
        <v>163</v>
      </c>
      <c r="F851" s="5">
        <v>218.25</v>
      </c>
      <c r="G851" s="3" t="s">
        <v>43</v>
      </c>
      <c r="H851" s="5">
        <v>8.0</v>
      </c>
      <c r="I851" s="3" t="s">
        <v>638</v>
      </c>
      <c r="J851" s="19">
        <f t="shared" si="2"/>
        <v>60</v>
      </c>
      <c r="M851" s="5"/>
      <c r="N851" s="11">
        <f t="shared" si="1"/>
        <v>480</v>
      </c>
      <c r="O851" s="3" t="s">
        <v>972</v>
      </c>
      <c r="P851" s="3"/>
      <c r="R851" s="3"/>
    </row>
    <row r="852">
      <c r="A852" s="20">
        <v>45944.67466435185</v>
      </c>
      <c r="B852" s="19" t="s">
        <v>973</v>
      </c>
      <c r="C852" s="5">
        <v>15.0</v>
      </c>
      <c r="D852" s="3" t="s">
        <v>146</v>
      </c>
      <c r="E852" s="3" t="s">
        <v>163</v>
      </c>
      <c r="F852" s="5">
        <v>13.96</v>
      </c>
      <c r="G852" s="3" t="s">
        <v>43</v>
      </c>
      <c r="H852" s="5">
        <v>1.0</v>
      </c>
      <c r="I852" s="3" t="s">
        <v>642</v>
      </c>
      <c r="J852" s="19">
        <f t="shared" si="2"/>
        <v>60</v>
      </c>
      <c r="M852" s="5"/>
      <c r="N852" s="11">
        <f t="shared" si="1"/>
        <v>60</v>
      </c>
      <c r="O852" s="3" t="s">
        <v>974</v>
      </c>
      <c r="P852" s="3"/>
      <c r="R852" s="3"/>
    </row>
    <row r="853">
      <c r="A853" s="20">
        <v>45945.385775462964</v>
      </c>
      <c r="B853" s="19" t="s">
        <v>975</v>
      </c>
      <c r="C853" s="5">
        <v>15.0</v>
      </c>
      <c r="D853" s="3" t="s">
        <v>146</v>
      </c>
      <c r="E853" s="3" t="s">
        <v>163</v>
      </c>
      <c r="F853" s="5">
        <v>13.96</v>
      </c>
      <c r="G853" s="3" t="s">
        <v>35</v>
      </c>
      <c r="H853" s="5">
        <v>1.0</v>
      </c>
      <c r="I853" s="3" t="s">
        <v>642</v>
      </c>
      <c r="J853" s="19">
        <f t="shared" si="2"/>
        <v>60</v>
      </c>
      <c r="M853" s="5"/>
      <c r="N853" s="11">
        <f t="shared" si="1"/>
        <v>60</v>
      </c>
      <c r="O853" s="3" t="s">
        <v>976</v>
      </c>
      <c r="P853" s="3"/>
      <c r="R853" s="3"/>
    </row>
    <row r="854">
      <c r="A854" s="20">
        <v>45950.62677083333</v>
      </c>
      <c r="B854" s="19" t="s">
        <v>475</v>
      </c>
      <c r="C854" s="5">
        <v>230.0</v>
      </c>
      <c r="D854" s="3" t="s">
        <v>146</v>
      </c>
      <c r="E854" s="3" t="s">
        <v>163</v>
      </c>
      <c r="F854" s="5">
        <v>218.25</v>
      </c>
      <c r="G854" s="3" t="s">
        <v>43</v>
      </c>
      <c r="H854" s="5">
        <v>8.0</v>
      </c>
      <c r="I854" s="3" t="s">
        <v>638</v>
      </c>
      <c r="J854" s="19">
        <f t="shared" si="2"/>
        <v>60</v>
      </c>
      <c r="M854" s="5"/>
      <c r="N854" s="11">
        <f t="shared" si="1"/>
        <v>480</v>
      </c>
      <c r="O854" s="3" t="s">
        <v>977</v>
      </c>
      <c r="P854" s="3"/>
      <c r="R854" s="3"/>
    </row>
    <row r="855">
      <c r="A855" s="20">
        <v>45952.59574074074</v>
      </c>
      <c r="B855" s="19" t="s">
        <v>975</v>
      </c>
      <c r="C855" s="5">
        <v>165.0</v>
      </c>
      <c r="D855" s="3" t="s">
        <v>146</v>
      </c>
      <c r="E855" s="3" t="s">
        <v>163</v>
      </c>
      <c r="F855" s="5">
        <v>156.49</v>
      </c>
      <c r="G855" s="3" t="s">
        <v>35</v>
      </c>
      <c r="H855" s="5">
        <v>8.0</v>
      </c>
      <c r="I855" s="3" t="s">
        <v>638</v>
      </c>
      <c r="J855" s="19">
        <f t="shared" si="2"/>
        <v>60</v>
      </c>
      <c r="M855" s="5"/>
      <c r="N855" s="11">
        <f t="shared" si="1"/>
        <v>480</v>
      </c>
      <c r="O855" s="3" t="s">
        <v>978</v>
      </c>
      <c r="P855" s="3"/>
      <c r="R855" s="3"/>
    </row>
    <row r="856">
      <c r="A856" s="20">
        <v>45953.24965277778</v>
      </c>
      <c r="B856" s="19" t="s">
        <v>434</v>
      </c>
      <c r="C856" s="5">
        <v>230.0</v>
      </c>
      <c r="D856" s="3" t="s">
        <v>146</v>
      </c>
      <c r="E856" s="3" t="s">
        <v>163</v>
      </c>
      <c r="F856" s="5">
        <v>218.24</v>
      </c>
      <c r="G856" s="3" t="s">
        <v>43</v>
      </c>
      <c r="H856" s="5">
        <v>8.0</v>
      </c>
      <c r="I856" s="3" t="s">
        <v>638</v>
      </c>
      <c r="J856" s="19">
        <f t="shared" si="2"/>
        <v>60</v>
      </c>
      <c r="M856" s="5"/>
      <c r="N856" s="11">
        <f t="shared" si="1"/>
        <v>480</v>
      </c>
      <c r="O856" s="3" t="s">
        <v>979</v>
      </c>
      <c r="P856" s="3"/>
      <c r="R856" s="3"/>
    </row>
    <row r="857">
      <c r="A857" s="20">
        <v>45957.56689814815</v>
      </c>
      <c r="B857" s="19" t="s">
        <v>980</v>
      </c>
      <c r="C857" s="5">
        <v>15.0</v>
      </c>
      <c r="D857" s="3" t="s">
        <v>146</v>
      </c>
      <c r="E857" s="3" t="s">
        <v>163</v>
      </c>
      <c r="F857" s="5">
        <v>13.96</v>
      </c>
      <c r="G857" s="3" t="s">
        <v>360</v>
      </c>
      <c r="H857" s="5">
        <v>1.0</v>
      </c>
      <c r="I857" s="3" t="s">
        <v>642</v>
      </c>
      <c r="J857" s="19">
        <f t="shared" si="2"/>
        <v>60</v>
      </c>
      <c r="M857" s="5"/>
      <c r="N857" s="11">
        <f t="shared" si="1"/>
        <v>60</v>
      </c>
      <c r="O857" s="3" t="s">
        <v>981</v>
      </c>
      <c r="P857" s="3"/>
      <c r="R857" s="3"/>
    </row>
    <row r="858">
      <c r="A858" s="20">
        <v>45958.48236111111</v>
      </c>
      <c r="B858" s="19" t="s">
        <v>417</v>
      </c>
      <c r="C858" s="5">
        <v>68.0</v>
      </c>
      <c r="D858" s="3" t="s">
        <v>146</v>
      </c>
      <c r="E858" s="3" t="s">
        <v>163</v>
      </c>
      <c r="F858" s="5">
        <v>64.33</v>
      </c>
      <c r="G858" s="3" t="s">
        <v>43</v>
      </c>
      <c r="H858" s="5">
        <v>2.0</v>
      </c>
      <c r="I858" s="3" t="s">
        <v>642</v>
      </c>
      <c r="J858" s="19">
        <f t="shared" si="2"/>
        <v>60</v>
      </c>
      <c r="M858" s="5"/>
      <c r="N858" s="11">
        <f t="shared" si="1"/>
        <v>120</v>
      </c>
      <c r="O858" s="3" t="s">
        <v>982</v>
      </c>
      <c r="P858" s="3"/>
      <c r="R858" s="3"/>
    </row>
    <row r="859">
      <c r="A859" s="20">
        <v>45958.74215277778</v>
      </c>
      <c r="B859" s="19" t="s">
        <v>983</v>
      </c>
      <c r="C859" s="5">
        <v>15.0</v>
      </c>
      <c r="D859" s="3" t="s">
        <v>146</v>
      </c>
      <c r="E859" s="3" t="s">
        <v>163</v>
      </c>
      <c r="F859" s="5">
        <v>13.96</v>
      </c>
      <c r="G859" s="3" t="s">
        <v>360</v>
      </c>
      <c r="H859" s="5">
        <v>1.0</v>
      </c>
      <c r="I859" s="3" t="s">
        <v>642</v>
      </c>
      <c r="J859" s="19">
        <f t="shared" si="2"/>
        <v>60</v>
      </c>
      <c r="M859" s="5"/>
      <c r="N859" s="11">
        <f t="shared" si="1"/>
        <v>60</v>
      </c>
      <c r="O859" s="3" t="s">
        <v>984</v>
      </c>
      <c r="P859" s="3"/>
      <c r="R859" s="3"/>
    </row>
    <row r="860">
      <c r="A860" s="20">
        <v>45959.39145833333</v>
      </c>
      <c r="B860" s="19" t="s">
        <v>522</v>
      </c>
      <c r="C860" s="5">
        <v>165.0</v>
      </c>
      <c r="D860" s="3" t="s">
        <v>146</v>
      </c>
      <c r="E860" s="3" t="s">
        <v>163</v>
      </c>
      <c r="F860" s="5">
        <v>156.49</v>
      </c>
      <c r="G860" s="3" t="s">
        <v>35</v>
      </c>
      <c r="H860" s="5">
        <v>8.0</v>
      </c>
      <c r="I860" s="3" t="s">
        <v>638</v>
      </c>
      <c r="J860" s="19">
        <f t="shared" si="2"/>
        <v>60</v>
      </c>
      <c r="M860" s="5"/>
      <c r="N860" s="11">
        <f t="shared" si="1"/>
        <v>480</v>
      </c>
      <c r="O860" s="3" t="s">
        <v>985</v>
      </c>
      <c r="P860" s="3"/>
      <c r="R860" s="3"/>
    </row>
    <row r="861">
      <c r="A861" s="20">
        <v>45961.34568287037</v>
      </c>
      <c r="B861" s="19" t="s">
        <v>986</v>
      </c>
      <c r="C861" s="5">
        <v>15.0</v>
      </c>
      <c r="D861" s="3" t="s">
        <v>146</v>
      </c>
      <c r="E861" s="3" t="s">
        <v>163</v>
      </c>
      <c r="F861" s="5">
        <v>13.96</v>
      </c>
      <c r="G861" s="3" t="s">
        <v>360</v>
      </c>
      <c r="H861" s="5">
        <v>1.0</v>
      </c>
      <c r="I861" s="3" t="s">
        <v>642</v>
      </c>
      <c r="J861" s="19">
        <f t="shared" si="2"/>
        <v>60</v>
      </c>
      <c r="M861" s="5"/>
      <c r="N861" s="11">
        <f t="shared" si="1"/>
        <v>60</v>
      </c>
      <c r="O861" s="3" t="s">
        <v>987</v>
      </c>
      <c r="P861" s="3"/>
      <c r="R861" s="3"/>
    </row>
    <row r="862">
      <c r="A862" s="9">
        <v>45963.38805555556</v>
      </c>
      <c r="B862" s="19" t="s">
        <v>949</v>
      </c>
      <c r="C862" s="11">
        <v>230.0</v>
      </c>
      <c r="D862" s="11" t="s">
        <v>146</v>
      </c>
      <c r="E862" s="11" t="s">
        <v>163</v>
      </c>
      <c r="F862" s="11">
        <v>218.05</v>
      </c>
      <c r="G862" s="11" t="s">
        <v>43</v>
      </c>
      <c r="H862" s="11">
        <v>8.0</v>
      </c>
      <c r="I862" s="11" t="s">
        <v>638</v>
      </c>
      <c r="J862" s="19">
        <f t="shared" si="2"/>
        <v>60</v>
      </c>
      <c r="M862" s="5"/>
      <c r="N862" s="11">
        <f t="shared" si="1"/>
        <v>480</v>
      </c>
      <c r="O862" s="11" t="s">
        <v>988</v>
      </c>
    </row>
    <row r="863">
      <c r="A863" s="9">
        <v>45963.88346064815</v>
      </c>
      <c r="B863" s="19" t="s">
        <v>983</v>
      </c>
      <c r="C863" s="11">
        <v>215.0</v>
      </c>
      <c r="D863" s="11" t="s">
        <v>146</v>
      </c>
      <c r="E863" s="11" t="s">
        <v>163</v>
      </c>
      <c r="F863" s="11">
        <v>203.8</v>
      </c>
      <c r="G863" s="11" t="s">
        <v>43</v>
      </c>
      <c r="H863" s="11">
        <v>8.0</v>
      </c>
      <c r="I863" s="11" t="s">
        <v>638</v>
      </c>
      <c r="J863" s="19">
        <f t="shared" si="2"/>
        <v>60</v>
      </c>
      <c r="M863" s="5"/>
      <c r="N863" s="11">
        <f t="shared" si="1"/>
        <v>480</v>
      </c>
      <c r="O863" s="11" t="s">
        <v>989</v>
      </c>
    </row>
    <row r="864">
      <c r="A864" s="9">
        <v>45964.571180555555</v>
      </c>
      <c r="B864" s="19" t="s">
        <v>807</v>
      </c>
      <c r="C864" s="11">
        <v>230.0</v>
      </c>
      <c r="D864" s="11" t="s">
        <v>146</v>
      </c>
      <c r="E864" s="11" t="s">
        <v>163</v>
      </c>
      <c r="F864" s="11">
        <v>218.04</v>
      </c>
      <c r="G864" s="11" t="s">
        <v>43</v>
      </c>
      <c r="H864" s="11">
        <v>8.0</v>
      </c>
      <c r="I864" s="11" t="s">
        <v>638</v>
      </c>
      <c r="J864" s="19">
        <f t="shared" si="2"/>
        <v>60</v>
      </c>
      <c r="M864" s="5"/>
      <c r="N864" s="11">
        <f t="shared" si="1"/>
        <v>480</v>
      </c>
      <c r="O864" s="11" t="s">
        <v>990</v>
      </c>
    </row>
    <row r="865">
      <c r="A865" s="9">
        <v>45966.51259259259</v>
      </c>
      <c r="B865" s="19" t="s">
        <v>980</v>
      </c>
      <c r="C865" s="11">
        <v>215.0</v>
      </c>
      <c r="D865" s="11" t="s">
        <v>146</v>
      </c>
      <c r="E865" s="11" t="s">
        <v>163</v>
      </c>
      <c r="F865" s="11">
        <v>203.8</v>
      </c>
      <c r="G865" s="11" t="s">
        <v>43</v>
      </c>
      <c r="H865" s="11">
        <v>8.0</v>
      </c>
      <c r="I865" s="11" t="s">
        <v>638</v>
      </c>
      <c r="J865" s="19">
        <f t="shared" si="2"/>
        <v>60</v>
      </c>
      <c r="M865" s="5"/>
      <c r="N865" s="11">
        <f t="shared" si="1"/>
        <v>480</v>
      </c>
      <c r="O865" s="11" t="s">
        <v>991</v>
      </c>
    </row>
    <row r="866">
      <c r="A866" s="9">
        <v>45974.780810185184</v>
      </c>
      <c r="B866" s="19" t="s">
        <v>947</v>
      </c>
      <c r="C866" s="11">
        <v>230.0</v>
      </c>
      <c r="D866" s="11" t="s">
        <v>146</v>
      </c>
      <c r="E866" s="11" t="s">
        <v>163</v>
      </c>
      <c r="F866" s="11">
        <v>218.04</v>
      </c>
      <c r="G866" s="11" t="s">
        <v>43</v>
      </c>
      <c r="H866" s="11">
        <v>8.0</v>
      </c>
      <c r="I866" s="11" t="s">
        <v>638</v>
      </c>
      <c r="J866" s="19">
        <f t="shared" si="2"/>
        <v>60</v>
      </c>
      <c r="M866" s="5"/>
      <c r="N866" s="11">
        <f t="shared" si="1"/>
        <v>480</v>
      </c>
      <c r="O866" s="11" t="s">
        <v>992</v>
      </c>
    </row>
    <row r="867">
      <c r="A867" s="9">
        <v>45975.744988425926</v>
      </c>
      <c r="B867" s="19" t="s">
        <v>993</v>
      </c>
      <c r="C867" s="11">
        <v>23.0</v>
      </c>
      <c r="D867" s="11" t="s">
        <v>146</v>
      </c>
      <c r="E867" s="11" t="s">
        <v>163</v>
      </c>
      <c r="F867" s="11">
        <v>21.55</v>
      </c>
      <c r="G867" s="11" t="s">
        <v>35</v>
      </c>
      <c r="H867" s="11">
        <v>1.0</v>
      </c>
      <c r="I867" s="11" t="s">
        <v>642</v>
      </c>
      <c r="J867" s="19">
        <f t="shared" si="2"/>
        <v>60</v>
      </c>
      <c r="M867" s="5"/>
      <c r="N867" s="11">
        <f t="shared" si="1"/>
        <v>60</v>
      </c>
      <c r="O867" s="11" t="s">
        <v>994</v>
      </c>
    </row>
    <row r="868">
      <c r="A868" s="9">
        <v>45976.17905092592</v>
      </c>
      <c r="B868" s="19" t="s">
        <v>986</v>
      </c>
      <c r="C868" s="11">
        <v>215.0</v>
      </c>
      <c r="D868" s="11" t="s">
        <v>146</v>
      </c>
      <c r="E868" s="11" t="s">
        <v>163</v>
      </c>
      <c r="F868" s="11">
        <v>203.8</v>
      </c>
      <c r="G868" s="11" t="s">
        <v>43</v>
      </c>
      <c r="H868" s="11">
        <v>8.0</v>
      </c>
      <c r="I868" s="11" t="s">
        <v>638</v>
      </c>
      <c r="J868" s="19">
        <f t="shared" si="2"/>
        <v>60</v>
      </c>
      <c r="M868" s="5"/>
      <c r="N868" s="11">
        <f t="shared" si="1"/>
        <v>480</v>
      </c>
      <c r="O868" s="11" t="s">
        <v>995</v>
      </c>
    </row>
    <row r="869">
      <c r="A869" s="9">
        <v>45977.433900462966</v>
      </c>
      <c r="B869" s="19" t="s">
        <v>623</v>
      </c>
      <c r="C869" s="11">
        <v>165.0</v>
      </c>
      <c r="D869" s="11" t="s">
        <v>146</v>
      </c>
      <c r="E869" s="11" t="s">
        <v>163</v>
      </c>
      <c r="F869" s="11">
        <v>156.34</v>
      </c>
      <c r="G869" s="11" t="s">
        <v>35</v>
      </c>
      <c r="H869" s="11">
        <v>8.0</v>
      </c>
      <c r="I869" s="11" t="s">
        <v>638</v>
      </c>
      <c r="J869" s="19">
        <f t="shared" si="2"/>
        <v>60</v>
      </c>
      <c r="M869" s="5"/>
      <c r="N869" s="11">
        <f t="shared" si="1"/>
        <v>480</v>
      </c>
      <c r="O869" s="11" t="s">
        <v>996</v>
      </c>
    </row>
    <row r="870">
      <c r="A870" s="9">
        <v>45977.66652777778</v>
      </c>
      <c r="B870" s="19" t="s">
        <v>993</v>
      </c>
      <c r="C870" s="11">
        <v>165.0</v>
      </c>
      <c r="D870" s="11" t="s">
        <v>146</v>
      </c>
      <c r="E870" s="11" t="s">
        <v>163</v>
      </c>
      <c r="F870" s="11">
        <v>156.34</v>
      </c>
      <c r="G870" s="11" t="s">
        <v>35</v>
      </c>
      <c r="H870" s="11">
        <v>8.0</v>
      </c>
      <c r="I870" s="11" t="s">
        <v>638</v>
      </c>
      <c r="J870" s="19">
        <f t="shared" si="2"/>
        <v>60</v>
      </c>
      <c r="M870" s="5"/>
      <c r="N870" s="11">
        <f t="shared" si="1"/>
        <v>480</v>
      </c>
      <c r="O870" s="11" t="s">
        <v>997</v>
      </c>
    </row>
    <row r="871">
      <c r="A871" s="9">
        <v>45978.40126157407</v>
      </c>
      <c r="B871" s="19" t="s">
        <v>998</v>
      </c>
      <c r="C871" s="11">
        <v>230.0</v>
      </c>
      <c r="D871" s="11" t="s">
        <v>146</v>
      </c>
      <c r="E871" s="11" t="s">
        <v>163</v>
      </c>
      <c r="F871" s="11">
        <v>220.46</v>
      </c>
      <c r="G871" s="11" t="s">
        <v>43</v>
      </c>
      <c r="H871" s="11">
        <v>8.0</v>
      </c>
      <c r="I871" s="11" t="s">
        <v>638</v>
      </c>
      <c r="J871" s="19">
        <f t="shared" si="2"/>
        <v>60</v>
      </c>
      <c r="M871" s="5"/>
      <c r="N871" s="11">
        <f t="shared" si="1"/>
        <v>480</v>
      </c>
      <c r="O871" s="11" t="s">
        <v>999</v>
      </c>
    </row>
    <row r="872">
      <c r="A872" s="9">
        <v>45980.79876157407</v>
      </c>
      <c r="B872" s="19" t="s">
        <v>1000</v>
      </c>
      <c r="C872" s="11">
        <v>15.0</v>
      </c>
      <c r="D872" s="11" t="s">
        <v>146</v>
      </c>
      <c r="E872" s="11" t="s">
        <v>163</v>
      </c>
      <c r="F872" s="11">
        <v>13.95</v>
      </c>
      <c r="G872" s="11" t="s">
        <v>360</v>
      </c>
      <c r="H872" s="11">
        <v>1.0</v>
      </c>
      <c r="I872" s="11" t="s">
        <v>642</v>
      </c>
      <c r="J872" s="19">
        <f t="shared" si="2"/>
        <v>60</v>
      </c>
      <c r="M872" s="5"/>
      <c r="N872" s="11">
        <f t="shared" si="1"/>
        <v>60</v>
      </c>
      <c r="O872" s="11" t="s">
        <v>1001</v>
      </c>
    </row>
    <row r="873">
      <c r="A873" s="9">
        <v>45981.60040509259</v>
      </c>
      <c r="B873" s="19" t="s">
        <v>945</v>
      </c>
      <c r="C873" s="11">
        <v>230.0</v>
      </c>
      <c r="D873" s="11" t="s">
        <v>146</v>
      </c>
      <c r="E873" s="11" t="s">
        <v>163</v>
      </c>
      <c r="F873" s="11">
        <v>218.04</v>
      </c>
      <c r="G873" s="11" t="s">
        <v>43</v>
      </c>
      <c r="H873" s="11">
        <v>8.0</v>
      </c>
      <c r="I873" s="11" t="s">
        <v>638</v>
      </c>
      <c r="J873" s="19">
        <f t="shared" si="2"/>
        <v>60</v>
      </c>
      <c r="M873" s="5"/>
      <c r="N873" s="11">
        <f t="shared" si="1"/>
        <v>480</v>
      </c>
      <c r="O873" s="11" t="s">
        <v>1002</v>
      </c>
    </row>
    <row r="874">
      <c r="A874" s="9">
        <v>45982.28796296296</v>
      </c>
      <c r="B874" s="19" t="s">
        <v>475</v>
      </c>
      <c r="C874" s="11">
        <v>230.0</v>
      </c>
      <c r="D874" s="11" t="s">
        <v>146</v>
      </c>
      <c r="E874" s="11" t="s">
        <v>163</v>
      </c>
      <c r="F874" s="11">
        <v>218.03</v>
      </c>
      <c r="G874" s="11" t="s">
        <v>43</v>
      </c>
      <c r="H874" s="11">
        <v>8.0</v>
      </c>
      <c r="I874" s="11" t="s">
        <v>638</v>
      </c>
      <c r="J874" s="19">
        <f t="shared" si="2"/>
        <v>60</v>
      </c>
      <c r="M874" s="5"/>
      <c r="N874" s="11">
        <f t="shared" si="1"/>
        <v>480</v>
      </c>
      <c r="O874" s="11" t="s">
        <v>1003</v>
      </c>
    </row>
    <row r="875">
      <c r="A875" s="9">
        <v>45985.595</v>
      </c>
      <c r="B875" s="19" t="s">
        <v>1004</v>
      </c>
      <c r="C875" s="11">
        <v>19.0</v>
      </c>
      <c r="D875" s="11" t="s">
        <v>146</v>
      </c>
      <c r="E875" s="11" t="s">
        <v>163</v>
      </c>
      <c r="F875" s="11">
        <v>17.75</v>
      </c>
      <c r="G875" s="11" t="s">
        <v>43</v>
      </c>
      <c r="H875" s="11">
        <v>1.0</v>
      </c>
      <c r="I875" s="11" t="s">
        <v>642</v>
      </c>
      <c r="J875" s="19">
        <f t="shared" si="2"/>
        <v>60</v>
      </c>
      <c r="M875" s="5"/>
      <c r="N875" s="11">
        <f t="shared" si="1"/>
        <v>60</v>
      </c>
      <c r="O875" s="11" t="s">
        <v>1005</v>
      </c>
    </row>
    <row r="876">
      <c r="A876" s="9">
        <v>45985.736493055556</v>
      </c>
      <c r="B876" s="19" t="s">
        <v>1006</v>
      </c>
      <c r="C876" s="11">
        <v>230.0</v>
      </c>
      <c r="D876" s="11" t="s">
        <v>146</v>
      </c>
      <c r="E876" s="11" t="s">
        <v>163</v>
      </c>
      <c r="F876" s="11">
        <v>218.05</v>
      </c>
      <c r="G876" s="11" t="s">
        <v>43</v>
      </c>
      <c r="H876" s="11">
        <v>8.0</v>
      </c>
      <c r="I876" s="11" t="s">
        <v>638</v>
      </c>
      <c r="J876" s="19">
        <f t="shared" si="2"/>
        <v>60</v>
      </c>
      <c r="M876" s="5"/>
      <c r="N876" s="11">
        <f t="shared" si="1"/>
        <v>480</v>
      </c>
      <c r="O876" s="11" t="s">
        <v>1007</v>
      </c>
    </row>
    <row r="877">
      <c r="A877" s="9">
        <v>45987.02085648148</v>
      </c>
      <c r="B877" s="19" t="s">
        <v>368</v>
      </c>
      <c r="C877" s="11">
        <v>230.0</v>
      </c>
      <c r="D877" s="11" t="s">
        <v>146</v>
      </c>
      <c r="E877" s="11" t="s">
        <v>163</v>
      </c>
      <c r="F877" s="11">
        <v>218.03</v>
      </c>
      <c r="G877" s="11" t="s">
        <v>43</v>
      </c>
      <c r="H877" s="11">
        <v>8.0</v>
      </c>
      <c r="I877" s="11" t="s">
        <v>638</v>
      </c>
      <c r="J877" s="19">
        <f t="shared" si="2"/>
        <v>60</v>
      </c>
      <c r="M877" s="5"/>
      <c r="N877" s="11">
        <f t="shared" si="1"/>
        <v>480</v>
      </c>
      <c r="O877" s="11" t="s">
        <v>1008</v>
      </c>
    </row>
    <row r="878">
      <c r="A878" s="9">
        <v>45987.253541666665</v>
      </c>
      <c r="B878" s="19" t="s">
        <v>607</v>
      </c>
      <c r="C878" s="11">
        <v>230.0</v>
      </c>
      <c r="D878" s="11" t="s">
        <v>146</v>
      </c>
      <c r="E878" s="11" t="s">
        <v>163</v>
      </c>
      <c r="F878" s="11">
        <v>218.07</v>
      </c>
      <c r="G878" s="11" t="s">
        <v>43</v>
      </c>
      <c r="H878" s="11">
        <v>8.0</v>
      </c>
      <c r="I878" s="11" t="s">
        <v>638</v>
      </c>
      <c r="J878" s="19">
        <f t="shared" si="2"/>
        <v>60</v>
      </c>
      <c r="M878" s="5"/>
      <c r="N878" s="11">
        <f t="shared" si="1"/>
        <v>480</v>
      </c>
      <c r="O878" s="11" t="s">
        <v>1009</v>
      </c>
    </row>
    <row r="879">
      <c r="A879" s="9">
        <v>45988.79425925926</v>
      </c>
      <c r="B879" s="19" t="s">
        <v>1010</v>
      </c>
      <c r="C879" s="11">
        <v>975.0</v>
      </c>
      <c r="D879" s="11" t="s">
        <v>146</v>
      </c>
      <c r="E879" s="11" t="s">
        <v>163</v>
      </c>
      <c r="F879" s="11">
        <v>925.23</v>
      </c>
      <c r="G879" s="11" t="s">
        <v>43</v>
      </c>
      <c r="H879" s="11">
        <v>40.0</v>
      </c>
      <c r="I879" s="11" t="s">
        <v>638</v>
      </c>
      <c r="J879" s="19">
        <f t="shared" si="2"/>
        <v>60</v>
      </c>
      <c r="M879" s="5"/>
      <c r="N879" s="11">
        <f t="shared" si="1"/>
        <v>2400</v>
      </c>
      <c r="O879" s="11" t="s">
        <v>1011</v>
      </c>
    </row>
    <row r="880">
      <c r="A880" s="9">
        <v>45991.61680555555</v>
      </c>
      <c r="B880" s="19" t="s">
        <v>1012</v>
      </c>
      <c r="C880" s="11">
        <v>15.0</v>
      </c>
      <c r="D880" s="11" t="s">
        <v>146</v>
      </c>
      <c r="E880" s="11" t="s">
        <v>163</v>
      </c>
      <c r="F880" s="11">
        <v>13.95</v>
      </c>
      <c r="G880" s="11" t="s">
        <v>360</v>
      </c>
      <c r="H880" s="11">
        <v>1.0</v>
      </c>
      <c r="I880" s="11" t="s">
        <v>642</v>
      </c>
      <c r="J880" s="19">
        <f t="shared" si="2"/>
        <v>60</v>
      </c>
      <c r="M880" s="5"/>
      <c r="N880" s="11">
        <f t="shared" si="1"/>
        <v>60</v>
      </c>
      <c r="O880" s="11" t="s">
        <v>1013</v>
      </c>
    </row>
    <row r="881">
      <c r="A881" s="20">
        <v>45993.66438657408</v>
      </c>
      <c r="B881" s="19" t="s">
        <v>1014</v>
      </c>
      <c r="C881" s="5">
        <v>215.0</v>
      </c>
      <c r="D881" s="3" t="s">
        <v>146</v>
      </c>
      <c r="E881" s="11" t="s">
        <v>163</v>
      </c>
      <c r="F881" s="5">
        <v>203.8</v>
      </c>
      <c r="G881" s="3" t="s">
        <v>43</v>
      </c>
      <c r="H881" s="5">
        <v>8.0</v>
      </c>
      <c r="I881" s="3" t="s">
        <v>638</v>
      </c>
      <c r="J881" s="19">
        <f t="shared" si="2"/>
        <v>60</v>
      </c>
      <c r="M881" s="5"/>
      <c r="N881" s="11">
        <f t="shared" si="1"/>
        <v>480</v>
      </c>
      <c r="O881" s="3" t="s">
        <v>1015</v>
      </c>
      <c r="P881" s="3"/>
      <c r="Q881" s="3"/>
    </row>
    <row r="882">
      <c r="A882" s="20">
        <v>45995.562581018516</v>
      </c>
      <c r="B882" s="19" t="s">
        <v>1016</v>
      </c>
      <c r="C882" s="5">
        <v>230.0</v>
      </c>
      <c r="D882" s="3" t="s">
        <v>146</v>
      </c>
      <c r="E882" s="11" t="s">
        <v>163</v>
      </c>
      <c r="F882" s="5">
        <v>220.46</v>
      </c>
      <c r="G882" s="3" t="s">
        <v>43</v>
      </c>
      <c r="H882" s="5">
        <v>8.0</v>
      </c>
      <c r="I882" s="3" t="s">
        <v>638</v>
      </c>
      <c r="J882" s="19">
        <f t="shared" si="2"/>
        <v>60</v>
      </c>
      <c r="M882" s="5"/>
      <c r="N882" s="11">
        <f t="shared" si="1"/>
        <v>480</v>
      </c>
      <c r="O882" s="3" t="s">
        <v>1017</v>
      </c>
      <c r="P882" s="3"/>
      <c r="Q882" s="3"/>
    </row>
    <row r="883">
      <c r="A883" s="20">
        <v>45996.51540509259</v>
      </c>
      <c r="B883" s="19" t="s">
        <v>1004</v>
      </c>
      <c r="C883" s="5">
        <v>34.0</v>
      </c>
      <c r="D883" s="3" t="s">
        <v>146</v>
      </c>
      <c r="E883" s="11" t="s">
        <v>163</v>
      </c>
      <c r="F883" s="5">
        <v>31.99</v>
      </c>
      <c r="G883" s="3" t="s">
        <v>43</v>
      </c>
      <c r="H883" s="5">
        <v>1.0</v>
      </c>
      <c r="I883" s="3" t="s">
        <v>642</v>
      </c>
      <c r="J883" s="19">
        <f t="shared" si="2"/>
        <v>60</v>
      </c>
      <c r="M883" s="5"/>
      <c r="N883" s="11">
        <f t="shared" si="1"/>
        <v>60</v>
      </c>
      <c r="O883" s="3" t="s">
        <v>1018</v>
      </c>
      <c r="P883" s="3"/>
      <c r="Q883" s="3"/>
    </row>
    <row r="884">
      <c r="A884" s="20">
        <v>45998.63081018518</v>
      </c>
      <c r="B884" s="19" t="s">
        <v>1019</v>
      </c>
      <c r="C884" s="5">
        <v>215.0</v>
      </c>
      <c r="D884" s="3" t="s">
        <v>146</v>
      </c>
      <c r="E884" s="11" t="s">
        <v>163</v>
      </c>
      <c r="F884" s="5">
        <v>203.8</v>
      </c>
      <c r="G884" s="3" t="s">
        <v>43</v>
      </c>
      <c r="H884" s="5">
        <v>8.0</v>
      </c>
      <c r="I884" s="3" t="s">
        <v>638</v>
      </c>
      <c r="J884" s="19">
        <f t="shared" si="2"/>
        <v>60</v>
      </c>
      <c r="M884" s="5"/>
      <c r="N884" s="11">
        <f t="shared" si="1"/>
        <v>480</v>
      </c>
      <c r="O884" s="3" t="s">
        <v>1020</v>
      </c>
      <c r="P884" s="3"/>
      <c r="Q884" s="3"/>
    </row>
    <row r="885">
      <c r="A885" s="20">
        <v>45999.30226851852</v>
      </c>
      <c r="B885" s="19" t="s">
        <v>1021</v>
      </c>
      <c r="C885" s="5">
        <v>975.0</v>
      </c>
      <c r="D885" s="3" t="s">
        <v>146</v>
      </c>
      <c r="E885" s="11" t="s">
        <v>163</v>
      </c>
      <c r="F885" s="5">
        <v>925.21</v>
      </c>
      <c r="G885" s="3" t="s">
        <v>43</v>
      </c>
      <c r="H885" s="5">
        <v>40.0</v>
      </c>
      <c r="I885" s="3" t="s">
        <v>638</v>
      </c>
      <c r="J885" s="19">
        <f t="shared" si="2"/>
        <v>60</v>
      </c>
      <c r="M885" s="5"/>
      <c r="N885" s="11">
        <f t="shared" si="1"/>
        <v>2400</v>
      </c>
      <c r="O885" s="3" t="s">
        <v>1022</v>
      </c>
      <c r="P885" s="3"/>
      <c r="Q885" s="3"/>
    </row>
    <row r="886">
      <c r="A886" s="20">
        <v>46002.26969907407</v>
      </c>
      <c r="B886" s="19" t="s">
        <v>336</v>
      </c>
      <c r="C886" s="5">
        <v>230.0</v>
      </c>
      <c r="D886" s="3" t="s">
        <v>146</v>
      </c>
      <c r="E886" s="11" t="s">
        <v>163</v>
      </c>
      <c r="F886" s="5">
        <v>218.01</v>
      </c>
      <c r="G886" s="3" t="s">
        <v>43</v>
      </c>
      <c r="H886" s="5">
        <v>8.0</v>
      </c>
      <c r="I886" s="3" t="s">
        <v>638</v>
      </c>
      <c r="J886" s="19">
        <f t="shared" si="2"/>
        <v>60</v>
      </c>
      <c r="M886" s="5"/>
      <c r="N886" s="11">
        <f t="shared" si="1"/>
        <v>480</v>
      </c>
      <c r="O886" s="3" t="s">
        <v>1023</v>
      </c>
      <c r="P886" s="3"/>
      <c r="Q886" s="3"/>
    </row>
    <row r="887">
      <c r="A887" s="20">
        <v>46002.93864583333</v>
      </c>
      <c r="B887" s="19" t="s">
        <v>1024</v>
      </c>
      <c r="C887" s="5">
        <v>975.0</v>
      </c>
      <c r="D887" s="3" t="s">
        <v>146</v>
      </c>
      <c r="E887" s="11" t="s">
        <v>163</v>
      </c>
      <c r="F887" s="5">
        <v>925.31</v>
      </c>
      <c r="G887" s="3" t="s">
        <v>43</v>
      </c>
      <c r="H887" s="5">
        <v>40.0</v>
      </c>
      <c r="I887" s="3" t="s">
        <v>638</v>
      </c>
      <c r="J887" s="19">
        <f t="shared" si="2"/>
        <v>60</v>
      </c>
      <c r="M887" s="5"/>
      <c r="N887" s="11">
        <f t="shared" si="1"/>
        <v>2400</v>
      </c>
      <c r="O887" s="3" t="s">
        <v>1025</v>
      </c>
      <c r="P887" s="3"/>
      <c r="Q887" s="3"/>
    </row>
    <row r="888">
      <c r="A888" s="20">
        <v>46003.56135416667</v>
      </c>
      <c r="B888" s="19" t="s">
        <v>346</v>
      </c>
      <c r="C888" s="5">
        <v>165.0</v>
      </c>
      <c r="D888" s="3" t="s">
        <v>146</v>
      </c>
      <c r="E888" s="11" t="s">
        <v>163</v>
      </c>
      <c r="F888" s="5">
        <v>156.34</v>
      </c>
      <c r="G888" s="3" t="s">
        <v>35</v>
      </c>
      <c r="H888" s="5">
        <v>8.0</v>
      </c>
      <c r="I888" s="3" t="s">
        <v>638</v>
      </c>
      <c r="J888" s="19">
        <f t="shared" si="2"/>
        <v>60</v>
      </c>
      <c r="M888" s="5"/>
      <c r="N888" s="11">
        <f t="shared" si="1"/>
        <v>480</v>
      </c>
      <c r="O888" s="3" t="s">
        <v>1026</v>
      </c>
      <c r="P888" s="3"/>
      <c r="Q888" s="3"/>
    </row>
    <row r="889">
      <c r="A889" s="20">
        <v>46004.7355787037</v>
      </c>
      <c r="B889" s="19" t="s">
        <v>1004</v>
      </c>
      <c r="C889" s="5">
        <v>34.0</v>
      </c>
      <c r="D889" s="3" t="s">
        <v>146</v>
      </c>
      <c r="E889" s="11" t="s">
        <v>163</v>
      </c>
      <c r="F889" s="5">
        <v>31.99</v>
      </c>
      <c r="G889" s="3" t="s">
        <v>43</v>
      </c>
      <c r="H889" s="5">
        <v>1.0</v>
      </c>
      <c r="I889" s="3" t="s">
        <v>642</v>
      </c>
      <c r="J889" s="19">
        <f t="shared" si="2"/>
        <v>60</v>
      </c>
      <c r="M889" s="5"/>
      <c r="N889" s="11">
        <f t="shared" si="1"/>
        <v>60</v>
      </c>
      <c r="O889" s="3" t="s">
        <v>1027</v>
      </c>
      <c r="P889" s="3"/>
      <c r="Q889" s="3"/>
    </row>
    <row r="890">
      <c r="A890" s="9">
        <v>46007.53383101852</v>
      </c>
      <c r="B890" s="19" t="s">
        <v>1028</v>
      </c>
      <c r="C890" s="11">
        <v>230.0</v>
      </c>
      <c r="D890" s="11" t="s">
        <v>146</v>
      </c>
      <c r="E890" s="11" t="s">
        <v>163</v>
      </c>
      <c r="F890" s="11">
        <v>218.03</v>
      </c>
      <c r="G890" s="11" t="s">
        <v>43</v>
      </c>
      <c r="H890" s="11">
        <v>8.0</v>
      </c>
      <c r="I890" s="11" t="s">
        <v>638</v>
      </c>
      <c r="J890" s="19">
        <f t="shared" si="2"/>
        <v>60</v>
      </c>
      <c r="M890" s="5"/>
      <c r="N890" s="11">
        <f t="shared" si="1"/>
        <v>480</v>
      </c>
      <c r="O890" s="11" t="s">
        <v>1029</v>
      </c>
    </row>
    <row r="891">
      <c r="A891" s="9">
        <v>46009.47409722222</v>
      </c>
      <c r="B891" s="19" t="s">
        <v>555</v>
      </c>
      <c r="C891" s="11">
        <v>230.0</v>
      </c>
      <c r="D891" s="11" t="s">
        <v>146</v>
      </c>
      <c r="E891" s="11" t="s">
        <v>163</v>
      </c>
      <c r="F891" s="11">
        <v>218.04</v>
      </c>
      <c r="G891" s="11" t="s">
        <v>43</v>
      </c>
      <c r="H891" s="11">
        <v>8.0</v>
      </c>
      <c r="I891" s="11" t="s">
        <v>638</v>
      </c>
      <c r="J891" s="19">
        <f t="shared" si="2"/>
        <v>60</v>
      </c>
      <c r="M891" s="5"/>
      <c r="N891" s="11">
        <f t="shared" si="1"/>
        <v>480</v>
      </c>
      <c r="O891" s="11" t="s">
        <v>1030</v>
      </c>
    </row>
    <row r="892">
      <c r="A892" s="9">
        <v>46009.66788194444</v>
      </c>
      <c r="B892" s="19" t="s">
        <v>432</v>
      </c>
      <c r="C892" s="11">
        <v>230.0</v>
      </c>
      <c r="D892" s="11" t="s">
        <v>146</v>
      </c>
      <c r="E892" s="11" t="s">
        <v>163</v>
      </c>
      <c r="F892" s="11">
        <v>218.04</v>
      </c>
      <c r="G892" s="11" t="s">
        <v>43</v>
      </c>
      <c r="H892" s="11">
        <v>8.0</v>
      </c>
      <c r="I892" s="11" t="s">
        <v>638</v>
      </c>
      <c r="J892" s="19">
        <f t="shared" si="2"/>
        <v>60</v>
      </c>
      <c r="M892" s="5"/>
      <c r="N892" s="11">
        <f t="shared" si="1"/>
        <v>480</v>
      </c>
      <c r="O892" s="11" t="s">
        <v>1031</v>
      </c>
    </row>
    <row r="893">
      <c r="A893" s="9">
        <v>46012.648148148146</v>
      </c>
      <c r="B893" s="19" t="s">
        <v>1004</v>
      </c>
      <c r="C893" s="11">
        <v>34.0</v>
      </c>
      <c r="D893" s="11" t="s">
        <v>146</v>
      </c>
      <c r="E893" s="11" t="s">
        <v>163</v>
      </c>
      <c r="F893" s="11">
        <v>31.99</v>
      </c>
      <c r="G893" s="11" t="s">
        <v>43</v>
      </c>
      <c r="H893" s="11">
        <v>1.0</v>
      </c>
      <c r="I893" s="11" t="s">
        <v>642</v>
      </c>
      <c r="J893" s="19">
        <f t="shared" si="2"/>
        <v>60</v>
      </c>
      <c r="M893" s="5"/>
      <c r="N893" s="11">
        <f t="shared" si="1"/>
        <v>60</v>
      </c>
      <c r="O893" s="11" t="s">
        <v>1032</v>
      </c>
    </row>
    <row r="894">
      <c r="A894" s="9">
        <v>46013.62101851852</v>
      </c>
      <c r="B894" s="19" t="s">
        <v>475</v>
      </c>
      <c r="C894" s="11">
        <v>230.0</v>
      </c>
      <c r="D894" s="11" t="s">
        <v>146</v>
      </c>
      <c r="E894" s="11" t="s">
        <v>163</v>
      </c>
      <c r="F894" s="11">
        <v>218.04</v>
      </c>
      <c r="G894" s="11" t="s">
        <v>43</v>
      </c>
      <c r="H894" s="11">
        <v>8.0</v>
      </c>
      <c r="I894" s="11" t="s">
        <v>638</v>
      </c>
      <c r="J894" s="19">
        <f t="shared" si="2"/>
        <v>60</v>
      </c>
      <c r="M894" s="5"/>
      <c r="N894" s="11">
        <f t="shared" si="1"/>
        <v>480</v>
      </c>
      <c r="O894" s="11" t="s">
        <v>1033</v>
      </c>
    </row>
    <row r="895">
      <c r="A895" s="9">
        <v>46020.61850694445</v>
      </c>
      <c r="B895" s="19" t="s">
        <v>1004</v>
      </c>
      <c r="C895" s="11">
        <v>34.0</v>
      </c>
      <c r="D895" s="11" t="s">
        <v>146</v>
      </c>
      <c r="E895" s="11" t="s">
        <v>163</v>
      </c>
      <c r="F895" s="11">
        <v>31.99</v>
      </c>
      <c r="G895" s="11" t="s">
        <v>43</v>
      </c>
      <c r="H895" s="11">
        <v>1.0</v>
      </c>
      <c r="I895" s="11" t="s">
        <v>642</v>
      </c>
      <c r="J895" s="19">
        <f t="shared" si="2"/>
        <v>60</v>
      </c>
      <c r="M895" s="5"/>
      <c r="N895" s="11">
        <f t="shared" si="1"/>
        <v>60</v>
      </c>
      <c r="O895" s="11" t="s">
        <v>1034</v>
      </c>
    </row>
    <row r="896">
      <c r="A896" s="9">
        <v>46021.80403935185</v>
      </c>
      <c r="B896" s="19" t="s">
        <v>528</v>
      </c>
      <c r="C896" s="11">
        <v>230.0</v>
      </c>
      <c r="D896" s="11" t="s">
        <v>146</v>
      </c>
      <c r="E896" s="11" t="s">
        <v>163</v>
      </c>
      <c r="F896" s="11">
        <v>218.01</v>
      </c>
      <c r="G896" s="11" t="s">
        <v>43</v>
      </c>
      <c r="H896" s="11">
        <v>8.0</v>
      </c>
      <c r="I896" s="11" t="s">
        <v>638</v>
      </c>
      <c r="J896" s="19">
        <f t="shared" si="2"/>
        <v>60</v>
      </c>
      <c r="M896" s="5"/>
      <c r="N896" s="11">
        <f t="shared" si="1"/>
        <v>480</v>
      </c>
      <c r="O896" s="11" t="s">
        <v>1035</v>
      </c>
    </row>
    <row r="897">
      <c r="A897" s="9"/>
      <c r="E897" s="11"/>
    </row>
    <row r="898">
      <c r="A898" s="9"/>
      <c r="E898" s="11"/>
    </row>
    <row r="899">
      <c r="A899" s="9"/>
      <c r="E899" s="11"/>
    </row>
    <row r="900">
      <c r="A900" s="9"/>
      <c r="E900" s="11"/>
    </row>
    <row r="901">
      <c r="A901" s="9"/>
      <c r="E901" s="11"/>
    </row>
    <row r="902">
      <c r="A902" s="9"/>
      <c r="E902" s="11"/>
    </row>
    <row r="903">
      <c r="A903" s="9"/>
      <c r="E903" s="11"/>
    </row>
    <row r="904">
      <c r="A904" s="9"/>
      <c r="E904" s="11"/>
    </row>
    <row r="905">
      <c r="A905" s="9"/>
      <c r="E905" s="11"/>
    </row>
    <row r="906">
      <c r="A906" s="9"/>
      <c r="E906" s="11"/>
    </row>
    <row r="907">
      <c r="A907" s="9"/>
      <c r="E907" s="11"/>
    </row>
    <row r="908">
      <c r="A908" s="9"/>
      <c r="E908" s="11"/>
    </row>
    <row r="909">
      <c r="A909" s="9"/>
      <c r="E909" s="11"/>
    </row>
    <row r="910">
      <c r="A910" s="9"/>
      <c r="E910" s="11"/>
    </row>
    <row r="911">
      <c r="A911" s="9"/>
      <c r="E911" s="11"/>
    </row>
    <row r="912">
      <c r="A912" s="9"/>
      <c r="E912" s="11"/>
    </row>
    <row r="913">
      <c r="A913" s="9"/>
      <c r="E913" s="11"/>
    </row>
    <row r="914">
      <c r="A914" s="9"/>
      <c r="E914" s="11"/>
    </row>
    <row r="915">
      <c r="A915" s="9"/>
      <c r="E915" s="11"/>
    </row>
    <row r="916">
      <c r="A916" s="9"/>
      <c r="E916" s="11"/>
    </row>
    <row r="917">
      <c r="A917" s="9"/>
      <c r="E917" s="11"/>
    </row>
    <row r="918">
      <c r="A918" s="9"/>
      <c r="E918" s="11"/>
    </row>
    <row r="919">
      <c r="A919" s="9"/>
      <c r="E919" s="11"/>
    </row>
    <row r="920">
      <c r="A920" s="9"/>
      <c r="E920" s="11"/>
    </row>
    <row r="921">
      <c r="A921" s="9"/>
      <c r="E921" s="11"/>
    </row>
    <row r="922">
      <c r="A922" s="9"/>
      <c r="E922" s="11"/>
    </row>
    <row r="923">
      <c r="A923" s="9"/>
      <c r="E923" s="11"/>
    </row>
    <row r="924">
      <c r="A924" s="9"/>
      <c r="E924" s="11"/>
    </row>
    <row r="925">
      <c r="A925" s="9"/>
      <c r="E925" s="11"/>
    </row>
    <row r="926">
      <c r="A926" s="9"/>
      <c r="E926" s="11"/>
    </row>
    <row r="927">
      <c r="A927" s="9"/>
      <c r="E927" s="11"/>
    </row>
    <row r="928">
      <c r="A928" s="9"/>
      <c r="E928" s="11"/>
    </row>
    <row r="929">
      <c r="A929" s="9"/>
      <c r="E929" s="11"/>
    </row>
    <row r="930">
      <c r="A930" s="9"/>
      <c r="E930" s="11"/>
    </row>
    <row r="931">
      <c r="A931" s="9"/>
      <c r="E931" s="11"/>
    </row>
    <row r="932">
      <c r="A932" s="9"/>
      <c r="E932" s="11"/>
    </row>
    <row r="933">
      <c r="A933" s="9"/>
      <c r="E933" s="11"/>
    </row>
    <row r="934">
      <c r="A934" s="9"/>
      <c r="E934" s="11"/>
    </row>
    <row r="935">
      <c r="A935" s="9"/>
      <c r="E935" s="11"/>
    </row>
    <row r="936">
      <c r="A936" s="9"/>
      <c r="E936" s="11"/>
    </row>
    <row r="937">
      <c r="A937" s="9"/>
      <c r="E937" s="11"/>
    </row>
    <row r="938">
      <c r="A938" s="9"/>
      <c r="E938" s="11"/>
    </row>
    <row r="939">
      <c r="A939" s="9"/>
      <c r="E939" s="11"/>
    </row>
    <row r="940">
      <c r="A940" s="9"/>
      <c r="E940" s="11"/>
    </row>
    <row r="941">
      <c r="A941" s="9"/>
      <c r="E941" s="11"/>
    </row>
    <row r="942">
      <c r="A942" s="9"/>
      <c r="E942" s="11"/>
    </row>
    <row r="943">
      <c r="A943" s="9"/>
      <c r="E943" s="11"/>
    </row>
    <row r="944">
      <c r="A944" s="9"/>
      <c r="E944" s="11"/>
    </row>
    <row r="945">
      <c r="A945" s="9"/>
      <c r="E945" s="11"/>
    </row>
    <row r="946">
      <c r="A946" s="9"/>
      <c r="E946" s="11"/>
    </row>
    <row r="947">
      <c r="A947" s="9"/>
      <c r="E947" s="11"/>
    </row>
    <row r="948">
      <c r="A948" s="9"/>
      <c r="E948" s="11"/>
    </row>
    <row r="949">
      <c r="A949" s="9"/>
      <c r="E949" s="11"/>
    </row>
    <row r="950">
      <c r="A950" s="9"/>
      <c r="E950" s="11"/>
    </row>
    <row r="951">
      <c r="A951" s="9"/>
      <c r="E951" s="11"/>
    </row>
    <row r="952">
      <c r="A952" s="9"/>
      <c r="E952" s="11"/>
    </row>
    <row r="953">
      <c r="A953" s="9"/>
      <c r="E953" s="11"/>
    </row>
    <row r="954">
      <c r="A954" s="9"/>
      <c r="E954" s="11"/>
    </row>
    <row r="955">
      <c r="A955" s="9"/>
      <c r="E955" s="11"/>
    </row>
    <row r="956">
      <c r="A956" s="9"/>
      <c r="E956" s="11"/>
    </row>
    <row r="957">
      <c r="A957" s="9"/>
      <c r="E957" s="11"/>
    </row>
    <row r="958">
      <c r="A958" s="9"/>
      <c r="E958" s="11"/>
    </row>
    <row r="959">
      <c r="A959" s="9"/>
      <c r="E959" s="11"/>
    </row>
    <row r="960">
      <c r="A960" s="9"/>
      <c r="E960" s="11"/>
    </row>
    <row r="961">
      <c r="A961" s="9"/>
      <c r="E961" s="11"/>
    </row>
    <row r="962">
      <c r="A962" s="9"/>
      <c r="E962" s="11"/>
    </row>
    <row r="963">
      <c r="A963" s="9"/>
      <c r="E963" s="11"/>
    </row>
    <row r="964">
      <c r="A964" s="9"/>
      <c r="E964" s="11"/>
    </row>
    <row r="965">
      <c r="A965" s="9"/>
      <c r="E965" s="11"/>
    </row>
    <row r="966">
      <c r="A966" s="9"/>
      <c r="E966" s="11"/>
    </row>
    <row r="967">
      <c r="A967" s="9"/>
      <c r="E967" s="11"/>
    </row>
    <row r="968">
      <c r="A968" s="9"/>
      <c r="E968" s="11"/>
    </row>
    <row r="969">
      <c r="A969" s="9"/>
      <c r="E969" s="11"/>
    </row>
    <row r="970">
      <c r="A970" s="9"/>
      <c r="E970" s="11"/>
    </row>
    <row r="971">
      <c r="A971" s="9"/>
      <c r="E971" s="11"/>
    </row>
    <row r="972">
      <c r="A972" s="9"/>
      <c r="E972" s="11"/>
    </row>
    <row r="973">
      <c r="A973" s="9"/>
      <c r="E973" s="11"/>
    </row>
    <row r="974">
      <c r="A974" s="9"/>
      <c r="E974" s="11"/>
    </row>
    <row r="975">
      <c r="A975" s="9"/>
      <c r="E975" s="11"/>
    </row>
    <row r="976">
      <c r="A976" s="9"/>
      <c r="E976" s="11"/>
    </row>
    <row r="977">
      <c r="A977" s="9"/>
      <c r="E977" s="11"/>
    </row>
    <row r="978">
      <c r="A978" s="9"/>
      <c r="E978" s="11"/>
    </row>
    <row r="979">
      <c r="A979" s="9"/>
      <c r="E979" s="11"/>
    </row>
    <row r="980">
      <c r="A980" s="9"/>
      <c r="E980" s="11"/>
    </row>
    <row r="981">
      <c r="A981" s="9"/>
      <c r="E981" s="11"/>
    </row>
    <row r="982">
      <c r="A982" s="9"/>
      <c r="E982" s="11"/>
    </row>
    <row r="983">
      <c r="A983" s="9"/>
      <c r="E983" s="11"/>
    </row>
    <row r="984">
      <c r="A984" s="9"/>
      <c r="E984" s="11"/>
    </row>
    <row r="985">
      <c r="A985" s="9"/>
      <c r="E985" s="11"/>
    </row>
    <row r="986">
      <c r="A986" s="9"/>
      <c r="E986" s="11"/>
    </row>
    <row r="987">
      <c r="A987" s="9"/>
      <c r="E987" s="11"/>
    </row>
    <row r="988">
      <c r="A988" s="9"/>
      <c r="E988" s="11"/>
    </row>
    <row r="989">
      <c r="A989" s="9"/>
      <c r="E989" s="11"/>
    </row>
    <row r="990">
      <c r="A990" s="9"/>
      <c r="E990" s="11"/>
    </row>
    <row r="991">
      <c r="A991" s="9"/>
      <c r="E99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5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>
      <c r="H24" s="11">
        <v>0.0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4" t="s">
        <v>1100</v>
      </c>
      <c r="B1" s="3" t="s">
        <v>1101</v>
      </c>
      <c r="C1" s="3" t="s">
        <v>1102</v>
      </c>
      <c r="D1" s="3" t="s">
        <v>1103</v>
      </c>
    </row>
    <row r="2">
      <c r="A2" s="24">
        <v>44736.0</v>
      </c>
      <c r="B2" s="5">
        <v>6.46</v>
      </c>
      <c r="C2" s="3" t="s">
        <v>1104</v>
      </c>
      <c r="D2" s="3" t="s">
        <v>1105</v>
      </c>
    </row>
    <row r="3">
      <c r="A3" s="24">
        <v>44744.0</v>
      </c>
      <c r="B3" s="5">
        <v>15.99</v>
      </c>
      <c r="C3" s="3" t="s">
        <v>1106</v>
      </c>
      <c r="D3" s="3" t="s">
        <v>1107</v>
      </c>
    </row>
    <row r="4">
      <c r="A4" s="24">
        <v>44746.0</v>
      </c>
      <c r="B4" s="5">
        <v>32.54</v>
      </c>
      <c r="C4" s="3" t="s">
        <v>1108</v>
      </c>
      <c r="D4" s="3" t="s">
        <v>1107</v>
      </c>
    </row>
    <row r="5">
      <c r="A5" s="24">
        <v>44747.0</v>
      </c>
      <c r="B5" s="5">
        <v>10.78</v>
      </c>
      <c r="C5" s="3" t="s">
        <v>1109</v>
      </c>
      <c r="D5" s="3" t="s">
        <v>1107</v>
      </c>
    </row>
    <row r="6">
      <c r="A6" s="24">
        <v>44776.0</v>
      </c>
      <c r="B6" s="5">
        <v>29.0</v>
      </c>
      <c r="C6" s="3" t="s">
        <v>1108</v>
      </c>
      <c r="D6" s="3" t="s">
        <v>1107</v>
      </c>
    </row>
    <row r="7">
      <c r="A7" s="24">
        <v>44781.0</v>
      </c>
      <c r="B7" s="5">
        <v>100.0</v>
      </c>
      <c r="C7" s="3" t="s">
        <v>1110</v>
      </c>
      <c r="D7" s="25" t="s">
        <v>1111</v>
      </c>
    </row>
    <row r="8">
      <c r="A8" s="24">
        <v>44782.0</v>
      </c>
      <c r="B8" s="5">
        <v>26.25999999999999</v>
      </c>
      <c r="C8" s="3" t="s">
        <v>1112</v>
      </c>
      <c r="D8" s="3" t="s">
        <v>1113</v>
      </c>
    </row>
    <row r="9">
      <c r="A9" s="24">
        <v>44783.0</v>
      </c>
      <c r="B9" s="5">
        <v>1.95</v>
      </c>
      <c r="C9" s="3" t="s">
        <v>1104</v>
      </c>
      <c r="D9" s="3" t="s">
        <v>1105</v>
      </c>
    </row>
    <row r="10">
      <c r="A10" s="24">
        <v>44784.0</v>
      </c>
      <c r="B10" s="5">
        <v>18.9</v>
      </c>
      <c r="C10" s="3" t="s">
        <v>1114</v>
      </c>
      <c r="D10" s="3" t="s">
        <v>1107</v>
      </c>
    </row>
    <row r="11">
      <c r="A11" s="24">
        <v>44791.0</v>
      </c>
      <c r="B11" s="5">
        <v>47.41000000000008</v>
      </c>
      <c r="C11" s="3" t="s">
        <v>1112</v>
      </c>
      <c r="D11" s="3" t="s">
        <v>1113</v>
      </c>
    </row>
    <row r="12">
      <c r="A12" s="24">
        <v>44800.0</v>
      </c>
      <c r="B12" s="5">
        <v>75.0</v>
      </c>
      <c r="C12" s="3" t="s">
        <v>1104</v>
      </c>
      <c r="D12" s="3" t="s">
        <v>1105</v>
      </c>
    </row>
    <row r="13">
      <c r="A13" s="24">
        <v>44806.0</v>
      </c>
      <c r="B13" s="5">
        <v>57.3</v>
      </c>
      <c r="C13" s="3" t="s">
        <v>1108</v>
      </c>
      <c r="D13" s="3" t="s">
        <v>1107</v>
      </c>
    </row>
    <row r="14">
      <c r="A14" s="24">
        <v>44811.0</v>
      </c>
      <c r="B14" s="5">
        <v>75.0</v>
      </c>
      <c r="C14" s="3" t="s">
        <v>1104</v>
      </c>
      <c r="D14" s="3" t="s">
        <v>1105</v>
      </c>
    </row>
    <row r="15">
      <c r="A15" s="24">
        <v>44815.0</v>
      </c>
      <c r="B15" s="5">
        <v>21.0</v>
      </c>
      <c r="C15" s="3" t="s">
        <v>1114</v>
      </c>
      <c r="D15" s="3" t="s">
        <v>1107</v>
      </c>
    </row>
    <row r="16">
      <c r="A16" s="24">
        <v>44832.0</v>
      </c>
      <c r="B16" s="5">
        <v>75.0</v>
      </c>
      <c r="C16" s="3" t="s">
        <v>1104</v>
      </c>
      <c r="D16" s="3" t="s">
        <v>1105</v>
      </c>
    </row>
    <row r="17">
      <c r="A17" s="24">
        <v>44836.0</v>
      </c>
      <c r="B17" s="5">
        <v>57.0</v>
      </c>
      <c r="C17" s="3" t="s">
        <v>1108</v>
      </c>
      <c r="D17" s="3" t="s">
        <v>1107</v>
      </c>
    </row>
    <row r="18">
      <c r="A18" s="24">
        <v>44838.0</v>
      </c>
      <c r="B18" s="5">
        <v>6.29</v>
      </c>
      <c r="C18" s="3" t="s">
        <v>31</v>
      </c>
      <c r="D18" s="3" t="s">
        <v>1113</v>
      </c>
    </row>
    <row r="19">
      <c r="A19" s="24">
        <v>44838.0</v>
      </c>
      <c r="B19" s="5">
        <v>21.73</v>
      </c>
      <c r="C19" s="3" t="s">
        <v>31</v>
      </c>
      <c r="D19" s="3" t="s">
        <v>1113</v>
      </c>
    </row>
    <row r="20">
      <c r="A20" s="24">
        <v>44838.0</v>
      </c>
      <c r="B20" s="5">
        <v>49.10000000000002</v>
      </c>
      <c r="C20" s="3" t="s">
        <v>1112</v>
      </c>
      <c r="D20" s="3" t="s">
        <v>1113</v>
      </c>
    </row>
    <row r="21">
      <c r="A21" s="24">
        <v>44845.0</v>
      </c>
      <c r="B21" s="5">
        <v>21.0</v>
      </c>
      <c r="C21" s="3" t="s">
        <v>1114</v>
      </c>
      <c r="D21" s="3" t="s">
        <v>1107</v>
      </c>
    </row>
    <row r="22">
      <c r="A22" s="24">
        <v>44847.0</v>
      </c>
      <c r="B22" s="5">
        <v>57.75</v>
      </c>
      <c r="C22" s="3" t="s">
        <v>1104</v>
      </c>
      <c r="D22" s="3" t="s">
        <v>1105</v>
      </c>
    </row>
    <row r="23">
      <c r="A23" s="24">
        <v>44858.0</v>
      </c>
      <c r="B23" s="5">
        <v>4.53</v>
      </c>
      <c r="C23" s="3" t="s">
        <v>1109</v>
      </c>
      <c r="D23" s="3" t="s">
        <v>1107</v>
      </c>
    </row>
    <row r="24">
      <c r="A24" s="24">
        <v>44866.0</v>
      </c>
      <c r="B24" s="5">
        <v>59.5</v>
      </c>
      <c r="C24" s="3" t="s">
        <v>1108</v>
      </c>
      <c r="D24" s="3" t="s">
        <v>1107</v>
      </c>
    </row>
    <row r="25">
      <c r="A25" s="24">
        <v>44870.0</v>
      </c>
      <c r="B25" s="5">
        <v>8.27</v>
      </c>
      <c r="C25" s="3" t="s">
        <v>1109</v>
      </c>
      <c r="D25" s="3" t="s">
        <v>1107</v>
      </c>
    </row>
    <row r="26">
      <c r="A26" s="24">
        <v>44872.0</v>
      </c>
      <c r="B26" s="11">
        <v>14.39</v>
      </c>
      <c r="C26" s="11" t="s">
        <v>31</v>
      </c>
      <c r="D26" s="11" t="s">
        <v>1113</v>
      </c>
    </row>
    <row r="27">
      <c r="A27" s="24">
        <v>44874.0</v>
      </c>
      <c r="B27" s="11">
        <v>2.5</v>
      </c>
      <c r="C27" s="11" t="s">
        <v>1110</v>
      </c>
      <c r="D27" s="11" t="s">
        <v>1113</v>
      </c>
    </row>
    <row r="28">
      <c r="A28" s="24">
        <v>44876.0</v>
      </c>
      <c r="B28" s="11">
        <v>21.0</v>
      </c>
      <c r="C28" s="11" t="s">
        <v>1114</v>
      </c>
      <c r="D28" s="11" t="s">
        <v>1107</v>
      </c>
    </row>
    <row r="29">
      <c r="A29" s="24">
        <v>44882.0</v>
      </c>
      <c r="B29" s="11">
        <v>19.53</v>
      </c>
      <c r="C29" s="11" t="s">
        <v>31</v>
      </c>
      <c r="D29" s="11" t="s">
        <v>1113</v>
      </c>
    </row>
    <row r="30">
      <c r="A30" s="24">
        <v>44882.0</v>
      </c>
      <c r="B30" s="11">
        <v>22.78</v>
      </c>
      <c r="C30" s="11" t="s">
        <v>1115</v>
      </c>
      <c r="D30" s="11" t="s">
        <v>1113</v>
      </c>
    </row>
    <row r="31">
      <c r="A31" s="24">
        <v>44882.0</v>
      </c>
      <c r="B31" s="11">
        <v>3.0</v>
      </c>
      <c r="C31" s="11" t="s">
        <v>66</v>
      </c>
      <c r="D31" s="11" t="s">
        <v>1113</v>
      </c>
    </row>
    <row r="32">
      <c r="A32" s="24">
        <v>44886.0</v>
      </c>
      <c r="B32" s="11">
        <v>15.0</v>
      </c>
      <c r="C32" s="11" t="s">
        <v>1110</v>
      </c>
      <c r="D32" s="11" t="s">
        <v>1113</v>
      </c>
    </row>
    <row r="33">
      <c r="A33" s="24">
        <v>44888.0</v>
      </c>
      <c r="B33" s="11">
        <v>5.0</v>
      </c>
      <c r="C33" s="11" t="s">
        <v>1110</v>
      </c>
      <c r="D33" s="11" t="s">
        <v>1113</v>
      </c>
    </row>
    <row r="34">
      <c r="A34" s="24">
        <v>44895.0</v>
      </c>
      <c r="B34" s="11">
        <v>5.0</v>
      </c>
      <c r="C34" s="11" t="s">
        <v>1110</v>
      </c>
      <c r="D34" s="11" t="s">
        <v>1107</v>
      </c>
    </row>
    <row r="35">
      <c r="A35" s="24">
        <v>44896.0</v>
      </c>
      <c r="B35" s="11">
        <v>43.9</v>
      </c>
      <c r="C35" s="11" t="s">
        <v>1108</v>
      </c>
      <c r="D35" s="11" t="s">
        <v>1107</v>
      </c>
    </row>
    <row r="36">
      <c r="A36" s="24">
        <v>44896.0</v>
      </c>
      <c r="B36" s="11">
        <v>5.0</v>
      </c>
      <c r="C36" s="11" t="s">
        <v>1110</v>
      </c>
      <c r="D36" s="11" t="s">
        <v>1113</v>
      </c>
    </row>
    <row r="37">
      <c r="A37" s="24">
        <v>44900.0</v>
      </c>
      <c r="B37" s="11">
        <v>3.23</v>
      </c>
      <c r="C37" s="11" t="s">
        <v>1109</v>
      </c>
      <c r="D37" s="11" t="s">
        <v>1107</v>
      </c>
    </row>
    <row r="38">
      <c r="A38" s="24">
        <v>44906.0</v>
      </c>
      <c r="B38" s="11">
        <v>21.0</v>
      </c>
      <c r="C38" s="11" t="s">
        <v>1114</v>
      </c>
      <c r="D38" s="11" t="s">
        <v>1107</v>
      </c>
    </row>
    <row r="39">
      <c r="A39" s="24">
        <v>44910.0</v>
      </c>
      <c r="B39" s="11">
        <v>3.0</v>
      </c>
      <c r="C39" s="11" t="s">
        <v>66</v>
      </c>
      <c r="D39" s="11" t="s">
        <v>1113</v>
      </c>
    </row>
    <row r="40">
      <c r="A40" s="24">
        <v>44910.0</v>
      </c>
      <c r="B40" s="11">
        <v>17.56</v>
      </c>
      <c r="C40" s="11" t="s">
        <v>1115</v>
      </c>
      <c r="D40" s="11" t="s">
        <v>1113</v>
      </c>
    </row>
    <row r="41">
      <c r="A41" s="24">
        <v>44915.0</v>
      </c>
      <c r="B41" s="11">
        <v>347.88</v>
      </c>
      <c r="C41" s="11" t="s">
        <v>1116</v>
      </c>
      <c r="D41" s="11" t="s">
        <v>1117</v>
      </c>
    </row>
    <row r="42">
      <c r="A42" s="24">
        <v>44922.0</v>
      </c>
      <c r="B42" s="11">
        <v>0.5</v>
      </c>
      <c r="C42" s="11" t="s">
        <v>1110</v>
      </c>
      <c r="D42" s="11" t="s">
        <v>1107</v>
      </c>
    </row>
    <row r="43">
      <c r="A43" s="24">
        <v>44924.0</v>
      </c>
      <c r="B43" s="11">
        <v>5.0</v>
      </c>
      <c r="C43" s="11" t="s">
        <v>1110</v>
      </c>
      <c r="D43" s="11" t="s">
        <v>1113</v>
      </c>
    </row>
    <row r="44">
      <c r="A44" s="24">
        <v>44926.0</v>
      </c>
      <c r="B44" s="11">
        <v>55.7</v>
      </c>
      <c r="C44" s="11" t="s">
        <v>1108</v>
      </c>
      <c r="D44" s="11" t="s">
        <v>1107</v>
      </c>
    </row>
    <row r="45">
      <c r="A45" s="24">
        <v>44926.0</v>
      </c>
      <c r="B45" s="11">
        <v>75.0</v>
      </c>
      <c r="C45" s="11" t="s">
        <v>360</v>
      </c>
      <c r="D45" s="11" t="s">
        <v>1118</v>
      </c>
    </row>
    <row r="46">
      <c r="A46" s="24">
        <v>44929.0</v>
      </c>
      <c r="B46" s="11">
        <v>0.4</v>
      </c>
      <c r="C46" s="11" t="s">
        <v>1110</v>
      </c>
      <c r="D46" s="11" t="s">
        <v>1107</v>
      </c>
    </row>
    <row r="47">
      <c r="A47" s="24">
        <v>44931.0</v>
      </c>
      <c r="B47" s="11">
        <v>8.35</v>
      </c>
      <c r="C47" s="11" t="s">
        <v>1109</v>
      </c>
      <c r="D47" s="11" t="s">
        <v>1107</v>
      </c>
    </row>
    <row r="48">
      <c r="A48" s="24">
        <v>44931.0</v>
      </c>
      <c r="B48" s="11">
        <v>3.0</v>
      </c>
      <c r="C48" s="11" t="s">
        <v>66</v>
      </c>
      <c r="D48" s="11" t="s">
        <v>1113</v>
      </c>
    </row>
    <row r="49">
      <c r="A49" s="24">
        <v>44931.0</v>
      </c>
      <c r="B49" s="11">
        <v>17.28</v>
      </c>
      <c r="C49" s="11" t="s">
        <v>1115</v>
      </c>
      <c r="D49" s="11" t="s">
        <v>1113</v>
      </c>
    </row>
    <row r="50">
      <c r="A50" s="24">
        <v>44932.0</v>
      </c>
      <c r="B50" s="11">
        <v>14.39</v>
      </c>
      <c r="C50" s="11" t="s">
        <v>31</v>
      </c>
      <c r="D50" s="11" t="s">
        <v>1113</v>
      </c>
    </row>
    <row r="51">
      <c r="A51" s="24">
        <v>44937.0</v>
      </c>
      <c r="B51" s="11">
        <v>21.0</v>
      </c>
      <c r="C51" s="11" t="s">
        <v>1114</v>
      </c>
      <c r="D51" s="11" t="s">
        <v>1107</v>
      </c>
    </row>
    <row r="52">
      <c r="A52" s="24">
        <v>44938.0</v>
      </c>
      <c r="B52" s="11">
        <v>3.0</v>
      </c>
      <c r="C52" s="11" t="s">
        <v>66</v>
      </c>
      <c r="D52" s="11" t="s">
        <v>1113</v>
      </c>
    </row>
    <row r="53">
      <c r="A53" s="24">
        <v>44938.0</v>
      </c>
      <c r="B53" s="11">
        <v>29.76</v>
      </c>
      <c r="C53" s="11" t="s">
        <v>1115</v>
      </c>
      <c r="D53" s="11" t="s">
        <v>1113</v>
      </c>
    </row>
    <row r="54">
      <c r="A54" s="24">
        <v>44938.0</v>
      </c>
      <c r="B54" s="11">
        <v>5.0</v>
      </c>
      <c r="C54" s="11" t="s">
        <v>1110</v>
      </c>
      <c r="D54" s="11" t="s">
        <v>1113</v>
      </c>
    </row>
    <row r="55">
      <c r="A55" s="24">
        <v>44945.0</v>
      </c>
      <c r="B55" s="11">
        <v>3.0</v>
      </c>
      <c r="C55" s="11" t="s">
        <v>66</v>
      </c>
      <c r="D55" s="11" t="s">
        <v>1113</v>
      </c>
    </row>
    <row r="56">
      <c r="A56" s="24">
        <v>44945.0</v>
      </c>
      <c r="B56" s="11">
        <v>20.13</v>
      </c>
      <c r="C56" s="11" t="s">
        <v>1115</v>
      </c>
      <c r="D56" s="11" t="s">
        <v>1113</v>
      </c>
    </row>
    <row r="57">
      <c r="A57" s="24">
        <v>44946.0</v>
      </c>
      <c r="B57" s="11">
        <v>14.39</v>
      </c>
      <c r="C57" s="11" t="s">
        <v>31</v>
      </c>
      <c r="D57" s="11" t="s">
        <v>1113</v>
      </c>
    </row>
    <row r="58">
      <c r="A58" s="24">
        <v>44953.0</v>
      </c>
      <c r="B58" s="11">
        <v>10.0</v>
      </c>
      <c r="C58" s="11" t="s">
        <v>1110</v>
      </c>
      <c r="D58" s="11" t="s">
        <v>1113</v>
      </c>
    </row>
    <row r="59">
      <c r="A59" s="24">
        <v>44956.0</v>
      </c>
      <c r="B59" s="11">
        <v>66.6</v>
      </c>
      <c r="C59" s="11" t="s">
        <v>1108</v>
      </c>
      <c r="D59" s="11" t="s">
        <v>1107</v>
      </c>
    </row>
    <row r="60">
      <c r="A60" s="24">
        <v>44957.0</v>
      </c>
      <c r="B60" s="11">
        <v>6.4</v>
      </c>
      <c r="C60" s="11" t="s">
        <v>1110</v>
      </c>
      <c r="D60" s="11" t="s">
        <v>1107</v>
      </c>
    </row>
    <row r="61">
      <c r="A61" s="24">
        <v>44958.0</v>
      </c>
      <c r="B61" s="11">
        <v>4.0</v>
      </c>
      <c r="C61" s="11" t="s">
        <v>1110</v>
      </c>
      <c r="D61" s="11" t="s">
        <v>1113</v>
      </c>
    </row>
    <row r="62">
      <c r="A62" s="24">
        <v>44959.0</v>
      </c>
      <c r="B62" s="11">
        <v>3.0</v>
      </c>
      <c r="C62" s="11" t="s">
        <v>66</v>
      </c>
      <c r="D62" s="11" t="s">
        <v>1113</v>
      </c>
    </row>
    <row r="63">
      <c r="A63" s="24">
        <v>44959.0</v>
      </c>
      <c r="B63" s="11">
        <v>32.46</v>
      </c>
      <c r="C63" s="11" t="s">
        <v>1115</v>
      </c>
      <c r="D63" s="11" t="s">
        <v>1113</v>
      </c>
    </row>
    <row r="64">
      <c r="A64" s="24">
        <v>44968.0</v>
      </c>
      <c r="B64" s="11">
        <v>21.0</v>
      </c>
      <c r="C64" s="11" t="s">
        <v>1119</v>
      </c>
      <c r="D64" s="11" t="s">
        <v>1107</v>
      </c>
    </row>
    <row r="65">
      <c r="A65" s="24">
        <v>44970.0</v>
      </c>
      <c r="B65" s="11">
        <v>15.63</v>
      </c>
      <c r="C65" s="11" t="s">
        <v>1120</v>
      </c>
      <c r="D65" s="11" t="s">
        <v>1107</v>
      </c>
    </row>
    <row r="66">
      <c r="A66" s="24">
        <v>44973.0</v>
      </c>
      <c r="B66" s="11">
        <v>22.74</v>
      </c>
      <c r="C66" s="11" t="s">
        <v>1115</v>
      </c>
      <c r="D66" s="11" t="s">
        <v>1113</v>
      </c>
    </row>
    <row r="67">
      <c r="A67" s="24">
        <v>44973.0</v>
      </c>
      <c r="B67" s="11">
        <v>3.0</v>
      </c>
      <c r="C67" s="11" t="s">
        <v>66</v>
      </c>
      <c r="D67" s="11" t="s">
        <v>1113</v>
      </c>
    </row>
    <row r="68">
      <c r="A68" s="24">
        <v>44974.0</v>
      </c>
      <c r="B68" s="11">
        <v>14.39</v>
      </c>
      <c r="C68" s="11" t="s">
        <v>31</v>
      </c>
      <c r="D68" s="11" t="s">
        <v>1113</v>
      </c>
    </row>
    <row r="69">
      <c r="A69" s="24">
        <v>44978.0</v>
      </c>
      <c r="B69" s="11">
        <v>5.0</v>
      </c>
      <c r="C69" s="11" t="s">
        <v>1110</v>
      </c>
      <c r="D69" s="11" t="s">
        <v>1113</v>
      </c>
    </row>
    <row r="70">
      <c r="A70" s="24">
        <v>44980.0</v>
      </c>
      <c r="B70" s="11">
        <v>26.15</v>
      </c>
      <c r="C70" s="11" t="s">
        <v>1115</v>
      </c>
      <c r="D70" s="11" t="s">
        <v>1113</v>
      </c>
    </row>
    <row r="71">
      <c r="A71" s="24">
        <v>44980.0</v>
      </c>
      <c r="B71" s="11">
        <v>3.0</v>
      </c>
      <c r="C71" s="11" t="s">
        <v>66</v>
      </c>
      <c r="D71" s="11" t="s">
        <v>1113</v>
      </c>
    </row>
    <row r="72">
      <c r="A72" s="24">
        <v>44983.0</v>
      </c>
      <c r="B72" s="11">
        <v>14.99</v>
      </c>
      <c r="C72" s="11" t="s">
        <v>1121</v>
      </c>
      <c r="D72" s="11" t="s">
        <v>1107</v>
      </c>
    </row>
    <row r="73">
      <c r="A73" s="24">
        <v>44985.0</v>
      </c>
      <c r="B73" s="11">
        <v>5.8</v>
      </c>
      <c r="C73" s="11" t="s">
        <v>1110</v>
      </c>
      <c r="D73" s="11" t="s">
        <v>1113</v>
      </c>
    </row>
    <row r="74">
      <c r="A74" s="24">
        <v>44986.0</v>
      </c>
      <c r="B74" s="11">
        <v>82.1</v>
      </c>
      <c r="C74" s="11" t="s">
        <v>1108</v>
      </c>
      <c r="D74" s="11" t="s">
        <v>1107</v>
      </c>
    </row>
    <row r="75">
      <c r="A75" s="24">
        <v>44987.0</v>
      </c>
      <c r="B75" s="11">
        <v>3.0</v>
      </c>
      <c r="C75" s="11" t="s">
        <v>66</v>
      </c>
      <c r="D75" s="11" t="s">
        <v>1113</v>
      </c>
    </row>
    <row r="76">
      <c r="A76" s="24">
        <v>44990.0</v>
      </c>
      <c r="B76" s="11">
        <v>27.0</v>
      </c>
      <c r="C76" s="11" t="s">
        <v>1109</v>
      </c>
      <c r="D76" s="11" t="s">
        <v>1107</v>
      </c>
    </row>
    <row r="77">
      <c r="A77" s="24">
        <v>44993.0</v>
      </c>
      <c r="B77" s="11">
        <v>5.0</v>
      </c>
      <c r="C77" s="11" t="s">
        <v>1110</v>
      </c>
      <c r="D77" s="11" t="s">
        <v>1113</v>
      </c>
    </row>
    <row r="78">
      <c r="A78" s="24">
        <v>44996.0</v>
      </c>
      <c r="B78" s="11">
        <v>21.0</v>
      </c>
      <c r="C78" s="11" t="s">
        <v>1119</v>
      </c>
      <c r="D78" s="11" t="s">
        <v>1107</v>
      </c>
    </row>
    <row r="79">
      <c r="A79" s="24">
        <v>45001.0</v>
      </c>
      <c r="B79" s="11">
        <v>3.0</v>
      </c>
      <c r="C79" s="11" t="s">
        <v>66</v>
      </c>
      <c r="D79" s="11" t="s">
        <v>1113</v>
      </c>
    </row>
    <row r="80">
      <c r="A80" s="24">
        <v>45001.0</v>
      </c>
      <c r="B80" s="11">
        <v>35.75</v>
      </c>
      <c r="C80" s="11" t="s">
        <v>1115</v>
      </c>
      <c r="D80" s="11" t="s">
        <v>1113</v>
      </c>
    </row>
    <row r="81">
      <c r="A81" s="24">
        <v>45005.0</v>
      </c>
      <c r="B81" s="11">
        <v>3.5</v>
      </c>
      <c r="C81" s="11" t="s">
        <v>31</v>
      </c>
      <c r="D81" s="11" t="s">
        <v>1122</v>
      </c>
    </row>
    <row r="82">
      <c r="A82" s="24">
        <v>45005.0</v>
      </c>
      <c r="B82" s="11">
        <v>14.39</v>
      </c>
      <c r="C82" s="11" t="s">
        <v>31</v>
      </c>
      <c r="D82" s="11" t="s">
        <v>1113</v>
      </c>
    </row>
    <row r="83">
      <c r="A83" s="24">
        <v>45011.0</v>
      </c>
      <c r="B83" s="11">
        <v>14.99</v>
      </c>
      <c r="C83" s="11" t="s">
        <v>1121</v>
      </c>
      <c r="D83" s="11" t="s">
        <v>1107</v>
      </c>
    </row>
    <row r="84">
      <c r="A84" s="24">
        <v>45013.0</v>
      </c>
      <c r="B84" s="11">
        <v>10.0</v>
      </c>
      <c r="C84" s="11" t="s">
        <v>1110</v>
      </c>
      <c r="D84" s="11" t="s">
        <v>1113</v>
      </c>
    </row>
    <row r="85">
      <c r="A85" s="24">
        <v>45015.0</v>
      </c>
      <c r="B85" s="11">
        <v>3.0</v>
      </c>
      <c r="C85" s="11" t="s">
        <v>66</v>
      </c>
      <c r="D85" s="11" t="s">
        <v>1113</v>
      </c>
    </row>
    <row r="86">
      <c r="A86" s="24">
        <v>45015.0</v>
      </c>
      <c r="B86" s="11">
        <v>10.0</v>
      </c>
      <c r="C86" s="11" t="s">
        <v>1110</v>
      </c>
      <c r="D86" s="11" t="s">
        <v>1113</v>
      </c>
    </row>
    <row r="87">
      <c r="A87" s="24">
        <v>45016.0</v>
      </c>
      <c r="B87" s="11">
        <v>64.2</v>
      </c>
      <c r="C87" s="11" t="s">
        <v>1108</v>
      </c>
      <c r="D87" s="11" t="s">
        <v>1107</v>
      </c>
    </row>
    <row r="88">
      <c r="A88" s="24">
        <v>45016.0</v>
      </c>
      <c r="B88" s="11">
        <v>7.0</v>
      </c>
      <c r="C88" s="11" t="s">
        <v>1110</v>
      </c>
      <c r="D88" s="11" t="s">
        <v>1113</v>
      </c>
    </row>
    <row r="89">
      <c r="A89" s="24">
        <v>45019.0</v>
      </c>
      <c r="B89" s="11">
        <v>0.8</v>
      </c>
      <c r="C89" s="11" t="s">
        <v>1110</v>
      </c>
      <c r="D89" s="11" t="s">
        <v>1113</v>
      </c>
    </row>
    <row r="90">
      <c r="A90" s="24">
        <v>45021.0</v>
      </c>
      <c r="B90" s="11">
        <v>27.0</v>
      </c>
      <c r="C90" s="11" t="s">
        <v>1109</v>
      </c>
      <c r="D90" s="11" t="s">
        <v>1107</v>
      </c>
    </row>
    <row r="91">
      <c r="A91" s="24">
        <v>45027.0</v>
      </c>
      <c r="B91" s="11">
        <v>21.0</v>
      </c>
      <c r="C91" s="11" t="s">
        <v>1119</v>
      </c>
      <c r="D91" s="11" t="s">
        <v>1107</v>
      </c>
    </row>
    <row r="92">
      <c r="A92" s="24">
        <v>45036.0</v>
      </c>
      <c r="B92" s="11">
        <v>3.0</v>
      </c>
      <c r="C92" s="11" t="s">
        <v>66</v>
      </c>
      <c r="D92" s="11" t="s">
        <v>1113</v>
      </c>
    </row>
    <row r="93">
      <c r="A93" s="24">
        <v>45038.0</v>
      </c>
      <c r="B93" s="11">
        <v>43.83</v>
      </c>
      <c r="C93" s="11" t="s">
        <v>1115</v>
      </c>
      <c r="D93" s="11" t="s">
        <v>1113</v>
      </c>
    </row>
    <row r="94">
      <c r="A94" s="24">
        <v>45040.0</v>
      </c>
      <c r="B94" s="11">
        <v>8.5</v>
      </c>
      <c r="C94" s="11" t="s">
        <v>31</v>
      </c>
      <c r="D94" s="11" t="s">
        <v>1122</v>
      </c>
    </row>
    <row r="95">
      <c r="A95" s="24">
        <v>45040.0</v>
      </c>
      <c r="B95" s="11">
        <v>14.39</v>
      </c>
      <c r="C95" s="11" t="s">
        <v>31</v>
      </c>
      <c r="D95" s="11" t="s">
        <v>1113</v>
      </c>
    </row>
    <row r="96">
      <c r="A96" s="24">
        <v>45042.0</v>
      </c>
      <c r="B96" s="11">
        <v>14.99</v>
      </c>
      <c r="C96" s="11" t="s">
        <v>1121</v>
      </c>
      <c r="D96" s="11" t="s">
        <v>1107</v>
      </c>
    </row>
    <row r="97">
      <c r="A97" s="24">
        <v>45042.0</v>
      </c>
      <c r="B97" s="11">
        <v>14.99</v>
      </c>
      <c r="C97" s="11" t="s">
        <v>1121</v>
      </c>
      <c r="D97" s="11" t="s">
        <v>1107</v>
      </c>
    </row>
    <row r="98">
      <c r="A98" s="24">
        <v>45043.0</v>
      </c>
      <c r="B98" s="11">
        <v>3.0</v>
      </c>
      <c r="C98" s="11" t="s">
        <v>66</v>
      </c>
      <c r="D98" s="11" t="s">
        <v>1113</v>
      </c>
    </row>
    <row r="99">
      <c r="A99" s="24">
        <v>45044.0</v>
      </c>
      <c r="B99" s="11">
        <v>6.0</v>
      </c>
      <c r="C99" s="11" t="s">
        <v>1110</v>
      </c>
      <c r="D99" s="11" t="s">
        <v>1113</v>
      </c>
    </row>
    <row r="100">
      <c r="A100" s="24">
        <v>45046.0</v>
      </c>
      <c r="B100" s="11">
        <v>20.8</v>
      </c>
      <c r="C100" s="11" t="s">
        <v>1115</v>
      </c>
      <c r="D100" s="11" t="s">
        <v>1113</v>
      </c>
    </row>
    <row r="101">
      <c r="A101" s="24">
        <v>45048.0</v>
      </c>
      <c r="B101" s="11">
        <v>88.7</v>
      </c>
      <c r="C101" s="11" t="s">
        <v>1108</v>
      </c>
      <c r="D101" s="11" t="s">
        <v>1107</v>
      </c>
    </row>
    <row r="102">
      <c r="A102" s="24">
        <v>45048.0</v>
      </c>
      <c r="B102" s="11">
        <v>0.8</v>
      </c>
      <c r="C102" s="11" t="s">
        <v>1110</v>
      </c>
      <c r="D102" s="11" t="s">
        <v>1113</v>
      </c>
    </row>
    <row r="103">
      <c r="A103" s="24">
        <v>45048.0</v>
      </c>
      <c r="B103" s="11">
        <v>88.7</v>
      </c>
      <c r="C103" s="11" t="s">
        <v>1108</v>
      </c>
      <c r="D103" s="11" t="s">
        <v>1107</v>
      </c>
    </row>
    <row r="104">
      <c r="A104" s="24">
        <v>45050.0</v>
      </c>
      <c r="B104" s="11">
        <v>3.0</v>
      </c>
      <c r="C104" s="11" t="s">
        <v>66</v>
      </c>
      <c r="D104" s="11" t="s">
        <v>1113</v>
      </c>
    </row>
    <row r="105">
      <c r="A105" s="24">
        <v>45053.0</v>
      </c>
      <c r="B105" s="11">
        <v>25.46</v>
      </c>
      <c r="C105" s="11" t="s">
        <v>1109</v>
      </c>
      <c r="D105" s="11" t="s">
        <v>1107</v>
      </c>
    </row>
    <row r="106">
      <c r="A106" s="24">
        <v>45055.0</v>
      </c>
      <c r="B106" s="11">
        <v>15.0</v>
      </c>
      <c r="C106" s="11" t="s">
        <v>1110</v>
      </c>
      <c r="D106" s="11" t="s">
        <v>1113</v>
      </c>
    </row>
    <row r="107">
      <c r="A107" s="24">
        <v>45057.0</v>
      </c>
      <c r="B107" s="11">
        <v>21.0</v>
      </c>
      <c r="C107" s="11" t="s">
        <v>1119</v>
      </c>
      <c r="D107" s="11" t="s">
        <v>1107</v>
      </c>
    </row>
    <row r="108">
      <c r="A108" s="24">
        <v>45064.0</v>
      </c>
      <c r="B108" s="11">
        <v>3.0</v>
      </c>
      <c r="C108" s="11" t="s">
        <v>66</v>
      </c>
      <c r="D108" s="11" t="s">
        <v>1113</v>
      </c>
    </row>
    <row r="109">
      <c r="A109" s="24">
        <v>45065.0</v>
      </c>
      <c r="B109" s="11">
        <v>5.0</v>
      </c>
      <c r="C109" s="11" t="s">
        <v>1110</v>
      </c>
      <c r="D109" s="11" t="s">
        <v>1113</v>
      </c>
    </row>
    <row r="110">
      <c r="A110" s="24">
        <v>45072.0</v>
      </c>
      <c r="B110" s="11">
        <v>14.99</v>
      </c>
      <c r="C110" s="11" t="s">
        <v>1121</v>
      </c>
      <c r="D110" s="11" t="s">
        <v>1107</v>
      </c>
    </row>
    <row r="111">
      <c r="A111" s="24">
        <v>45073.0</v>
      </c>
      <c r="B111" s="11">
        <v>20.0</v>
      </c>
      <c r="C111" s="11" t="s">
        <v>1123</v>
      </c>
      <c r="D111" s="11" t="s">
        <v>1107</v>
      </c>
    </row>
    <row r="112">
      <c r="A112" s="24">
        <v>45076.0</v>
      </c>
      <c r="B112" s="11">
        <v>60.1</v>
      </c>
      <c r="C112" s="11" t="s">
        <v>1108</v>
      </c>
      <c r="D112" s="11" t="s">
        <v>1107</v>
      </c>
    </row>
    <row r="113">
      <c r="A113" s="24">
        <v>45077.0</v>
      </c>
      <c r="B113" s="11">
        <v>6.0</v>
      </c>
      <c r="C113" s="11" t="s">
        <v>1110</v>
      </c>
      <c r="D113" s="11" t="s">
        <v>1107</v>
      </c>
    </row>
    <row r="114">
      <c r="A114" s="24">
        <v>45078.0</v>
      </c>
      <c r="B114" s="11">
        <v>3.0</v>
      </c>
      <c r="C114" s="11" t="s">
        <v>66</v>
      </c>
      <c r="D114" s="11" t="s">
        <v>1113</v>
      </c>
    </row>
    <row r="115">
      <c r="A115" s="24">
        <v>45078.0</v>
      </c>
      <c r="B115" s="11">
        <v>57.85</v>
      </c>
      <c r="C115" s="11" t="s">
        <v>1115</v>
      </c>
      <c r="D115" s="11" t="s">
        <v>1113</v>
      </c>
    </row>
    <row r="116">
      <c r="A116" s="24">
        <v>45079.0</v>
      </c>
      <c r="B116" s="11">
        <v>14.39</v>
      </c>
      <c r="C116" s="11" t="s">
        <v>31</v>
      </c>
      <c r="D116" s="11" t="s">
        <v>1113</v>
      </c>
    </row>
    <row r="117">
      <c r="A117" s="24">
        <v>45082.0</v>
      </c>
      <c r="B117" s="11">
        <v>2.17</v>
      </c>
      <c r="C117" s="11" t="s">
        <v>1109</v>
      </c>
      <c r="D117" s="11" t="s">
        <v>1107</v>
      </c>
    </row>
    <row r="118">
      <c r="A118" s="24">
        <v>45085.0</v>
      </c>
      <c r="B118" s="11">
        <v>15.0</v>
      </c>
      <c r="C118" s="11" t="s">
        <v>1110</v>
      </c>
      <c r="D118" s="11" t="s">
        <v>1113</v>
      </c>
    </row>
    <row r="119">
      <c r="A119" s="24">
        <v>45088.0</v>
      </c>
      <c r="B119" s="11">
        <v>21.0</v>
      </c>
      <c r="C119" s="11" t="s">
        <v>1119</v>
      </c>
      <c r="D119" s="11" t="s">
        <v>1107</v>
      </c>
    </row>
    <row r="120">
      <c r="A120" s="24">
        <v>45103.0</v>
      </c>
      <c r="B120" s="11">
        <v>14.99</v>
      </c>
      <c r="C120" s="11" t="s">
        <v>1121</v>
      </c>
      <c r="D120" s="11" t="s">
        <v>1107</v>
      </c>
    </row>
    <row r="121">
      <c r="A121" s="24">
        <v>45104.0</v>
      </c>
      <c r="B121" s="11">
        <v>20.0</v>
      </c>
      <c r="C121" s="11" t="s">
        <v>1123</v>
      </c>
      <c r="D121" s="11" t="s">
        <v>1107</v>
      </c>
    </row>
    <row r="122">
      <c r="A122" s="24">
        <v>45104.0</v>
      </c>
      <c r="B122" s="11">
        <v>6.0</v>
      </c>
      <c r="C122" s="11" t="s">
        <v>1110</v>
      </c>
      <c r="D122" s="11" t="s">
        <v>1107</v>
      </c>
    </row>
    <row r="123">
      <c r="A123" s="24">
        <v>45106.0</v>
      </c>
      <c r="B123" s="11">
        <v>54.3</v>
      </c>
      <c r="C123" s="11" t="s">
        <v>1108</v>
      </c>
      <c r="D123" s="11" t="s">
        <v>1107</v>
      </c>
    </row>
    <row r="124">
      <c r="A124" s="24">
        <v>45106.0</v>
      </c>
      <c r="B124" s="11">
        <v>3.0</v>
      </c>
      <c r="C124" s="11" t="s">
        <v>66</v>
      </c>
      <c r="D124" s="11" t="s">
        <v>1113</v>
      </c>
    </row>
    <row r="125">
      <c r="A125" s="24">
        <v>45112.0</v>
      </c>
      <c r="B125" s="11">
        <v>27.0</v>
      </c>
      <c r="C125" s="11" t="s">
        <v>1109</v>
      </c>
      <c r="D125" s="11" t="s">
        <v>1107</v>
      </c>
    </row>
    <row r="126">
      <c r="A126" s="24">
        <v>45113.0</v>
      </c>
      <c r="B126" s="11">
        <v>17.51</v>
      </c>
      <c r="C126" s="11" t="s">
        <v>1115</v>
      </c>
      <c r="D126" s="11" t="s">
        <v>1113</v>
      </c>
    </row>
    <row r="127">
      <c r="A127" s="24">
        <v>45117.0</v>
      </c>
      <c r="B127" s="11">
        <v>14.39</v>
      </c>
      <c r="C127" s="11" t="s">
        <v>31</v>
      </c>
      <c r="D127" s="11" t="s">
        <v>1113</v>
      </c>
    </row>
    <row r="128">
      <c r="A128" s="24">
        <v>45118.0</v>
      </c>
      <c r="B128" s="11">
        <v>21.0</v>
      </c>
      <c r="C128" s="11" t="s">
        <v>1119</v>
      </c>
      <c r="D128" s="11" t="s">
        <v>1107</v>
      </c>
    </row>
    <row r="129">
      <c r="A129" s="24">
        <v>45119.0</v>
      </c>
      <c r="B129" s="11">
        <v>7.0</v>
      </c>
      <c r="C129" s="11" t="s">
        <v>1110</v>
      </c>
      <c r="D129" s="11" t="s">
        <v>1113</v>
      </c>
    </row>
    <row r="130">
      <c r="A130" s="24">
        <v>45127.0</v>
      </c>
      <c r="B130" s="11">
        <v>3.0</v>
      </c>
      <c r="C130" s="11" t="s">
        <v>66</v>
      </c>
      <c r="D130" s="11" t="s">
        <v>1113</v>
      </c>
    </row>
    <row r="131">
      <c r="A131" s="24">
        <v>45134.0</v>
      </c>
      <c r="B131" s="11">
        <v>14.39</v>
      </c>
      <c r="C131" s="11" t="s">
        <v>31</v>
      </c>
      <c r="D131" s="11" t="s">
        <v>1113</v>
      </c>
    </row>
    <row r="132">
      <c r="A132" s="24">
        <v>45134.0</v>
      </c>
      <c r="B132" s="11">
        <v>28.1</v>
      </c>
      <c r="C132" s="11" t="s">
        <v>1115</v>
      </c>
      <c r="D132" s="11" t="s">
        <v>1113</v>
      </c>
    </row>
    <row r="133">
      <c r="A133" s="24">
        <v>45136.0</v>
      </c>
      <c r="B133" s="11">
        <v>14.99</v>
      </c>
      <c r="C133" s="11" t="s">
        <v>1121</v>
      </c>
      <c r="D133" s="11" t="s">
        <v>1107</v>
      </c>
    </row>
    <row r="134">
      <c r="A134" s="24">
        <v>45136.0</v>
      </c>
      <c r="B134" s="11">
        <v>70.3</v>
      </c>
      <c r="C134" s="11" t="s">
        <v>1108</v>
      </c>
      <c r="D134" s="11" t="s">
        <v>1107</v>
      </c>
    </row>
    <row r="135">
      <c r="A135" s="24">
        <v>45136.0</v>
      </c>
      <c r="B135" s="11">
        <v>9.0</v>
      </c>
      <c r="C135" s="11" t="s">
        <v>1109</v>
      </c>
      <c r="D135" s="11" t="s">
        <v>1107</v>
      </c>
    </row>
    <row r="136">
      <c r="A136" s="24">
        <v>45138.0</v>
      </c>
      <c r="B136" s="11">
        <v>6.8</v>
      </c>
      <c r="C136" s="11" t="s">
        <v>1110</v>
      </c>
      <c r="D136" s="11" t="s">
        <v>1107</v>
      </c>
    </row>
    <row r="137">
      <c r="A137" s="24">
        <v>45141.0</v>
      </c>
      <c r="B137" s="11">
        <v>3.0</v>
      </c>
      <c r="C137" s="11" t="s">
        <v>66</v>
      </c>
      <c r="D137" s="11" t="s">
        <v>1113</v>
      </c>
    </row>
    <row r="138">
      <c r="A138" s="24">
        <v>45143.0</v>
      </c>
      <c r="B138" s="11">
        <v>27.0</v>
      </c>
      <c r="C138" s="11" t="s">
        <v>1109</v>
      </c>
      <c r="D138" s="11" t="s">
        <v>1107</v>
      </c>
    </row>
    <row r="139">
      <c r="A139" s="24">
        <v>45145.0</v>
      </c>
      <c r="B139" s="11">
        <v>5.0</v>
      </c>
      <c r="C139" s="11" t="s">
        <v>1110</v>
      </c>
      <c r="D139" s="11" t="s">
        <v>1113</v>
      </c>
    </row>
    <row r="140">
      <c r="A140" s="24">
        <v>45146.0</v>
      </c>
      <c r="B140" s="5">
        <v>100.0</v>
      </c>
      <c r="C140" s="3" t="s">
        <v>1110</v>
      </c>
      <c r="D140" s="25" t="s">
        <v>1111</v>
      </c>
    </row>
    <row r="141">
      <c r="A141" s="24">
        <v>45148.0</v>
      </c>
      <c r="B141" s="11">
        <v>3.0</v>
      </c>
      <c r="C141" s="11" t="s">
        <v>66</v>
      </c>
      <c r="D141" s="11" t="s">
        <v>1113</v>
      </c>
    </row>
    <row r="142">
      <c r="A142" s="24">
        <v>45148.0</v>
      </c>
      <c r="B142" s="16" t="s">
        <v>1124</v>
      </c>
      <c r="C142" s="11" t="s">
        <v>1115</v>
      </c>
      <c r="D142" s="11" t="s">
        <v>1113</v>
      </c>
    </row>
    <row r="143">
      <c r="A143" s="24">
        <v>45149.0</v>
      </c>
      <c r="B143" s="11">
        <v>21.0</v>
      </c>
      <c r="C143" s="11" t="s">
        <v>1119</v>
      </c>
      <c r="D143" s="11" t="s">
        <v>1107</v>
      </c>
    </row>
    <row r="144">
      <c r="A144" s="24">
        <v>45149.0</v>
      </c>
      <c r="B144" s="11">
        <v>14.39</v>
      </c>
      <c r="C144" s="11" t="s">
        <v>31</v>
      </c>
      <c r="D144" s="11" t="s">
        <v>1113</v>
      </c>
    </row>
    <row r="145">
      <c r="A145" s="24">
        <v>45152.0</v>
      </c>
      <c r="B145" s="11">
        <v>20.0</v>
      </c>
      <c r="C145" s="11" t="s">
        <v>1123</v>
      </c>
      <c r="D145" s="11" t="s">
        <v>1107</v>
      </c>
    </row>
    <row r="146">
      <c r="A146" s="24">
        <v>45153.0</v>
      </c>
      <c r="B146" s="11">
        <v>59.0</v>
      </c>
      <c r="C146" s="11" t="s">
        <v>1125</v>
      </c>
      <c r="D146" s="11" t="s">
        <v>1107</v>
      </c>
    </row>
    <row r="147">
      <c r="A147" s="24">
        <v>45153.0</v>
      </c>
      <c r="B147" s="11">
        <v>5.0</v>
      </c>
      <c r="C147" s="11" t="s">
        <v>1126</v>
      </c>
      <c r="D147" s="11" t="s">
        <v>1107</v>
      </c>
    </row>
    <row r="148">
      <c r="A148" s="24">
        <v>45154.0</v>
      </c>
      <c r="B148" s="11">
        <v>4.84</v>
      </c>
      <c r="C148" s="11" t="s">
        <v>1126</v>
      </c>
      <c r="D148" s="11" t="s">
        <v>1107</v>
      </c>
    </row>
    <row r="149">
      <c r="A149" s="24">
        <v>45155.0</v>
      </c>
      <c r="B149" s="11">
        <v>10.0</v>
      </c>
      <c r="C149" s="11" t="s">
        <v>1110</v>
      </c>
      <c r="D149" s="11" t="s">
        <v>1113</v>
      </c>
    </row>
    <row r="150">
      <c r="A150" s="24">
        <v>45157.0</v>
      </c>
      <c r="B150" s="11">
        <v>29.0</v>
      </c>
      <c r="C150" s="11" t="s">
        <v>1127</v>
      </c>
      <c r="D150" s="11" t="s">
        <v>1107</v>
      </c>
    </row>
    <row r="151">
      <c r="A151" s="24">
        <v>45162.0</v>
      </c>
      <c r="B151" s="11">
        <v>3.0</v>
      </c>
      <c r="C151" s="11" t="s">
        <v>66</v>
      </c>
      <c r="D151" s="11" t="s">
        <v>1113</v>
      </c>
    </row>
    <row r="152">
      <c r="A152" s="24">
        <v>45163.0</v>
      </c>
      <c r="B152" s="16">
        <v>18.56</v>
      </c>
      <c r="C152" s="11" t="s">
        <v>1115</v>
      </c>
      <c r="D152" s="11" t="s">
        <v>1113</v>
      </c>
    </row>
    <row r="153">
      <c r="A153" s="24">
        <v>45164.0</v>
      </c>
      <c r="B153" s="11">
        <v>14.99</v>
      </c>
      <c r="C153" s="11" t="s">
        <v>1121</v>
      </c>
      <c r="D153" s="11" t="s">
        <v>1107</v>
      </c>
    </row>
    <row r="154">
      <c r="A154" s="24">
        <v>45166.0</v>
      </c>
      <c r="B154" s="11">
        <v>77.2</v>
      </c>
      <c r="C154" s="11" t="s">
        <v>1108</v>
      </c>
      <c r="D154" s="11" t="s">
        <v>1107</v>
      </c>
    </row>
    <row r="155">
      <c r="A155" s="24">
        <v>45169.0</v>
      </c>
      <c r="B155" s="11">
        <v>6.0</v>
      </c>
      <c r="C155" s="11" t="s">
        <v>1110</v>
      </c>
      <c r="D155" s="11" t="s">
        <v>1107</v>
      </c>
    </row>
    <row r="156">
      <c r="A156" s="24">
        <v>45170.0</v>
      </c>
      <c r="B156" s="11">
        <v>0.8</v>
      </c>
      <c r="C156" s="11" t="s">
        <v>1110</v>
      </c>
      <c r="D156" s="11" t="s">
        <v>1107</v>
      </c>
    </row>
    <row r="157">
      <c r="A157" s="24">
        <v>45176.0</v>
      </c>
      <c r="B157" s="11">
        <v>27.0</v>
      </c>
      <c r="C157" s="11" t="s">
        <v>1109</v>
      </c>
      <c r="D157" s="11" t="s">
        <v>1107</v>
      </c>
    </row>
    <row r="158">
      <c r="A158" s="24">
        <v>45176.0</v>
      </c>
      <c r="B158" s="11">
        <v>3.0</v>
      </c>
      <c r="C158" s="11" t="s">
        <v>66</v>
      </c>
      <c r="D158" s="11" t="s">
        <v>1113</v>
      </c>
    </row>
    <row r="159">
      <c r="A159" s="24">
        <v>45180.0</v>
      </c>
      <c r="B159" s="11">
        <v>21.0</v>
      </c>
      <c r="C159" s="11" t="s">
        <v>1119</v>
      </c>
      <c r="D159" s="11" t="s">
        <v>1107</v>
      </c>
    </row>
    <row r="160">
      <c r="A160" s="24">
        <v>45183.0</v>
      </c>
      <c r="B160" s="11">
        <v>20.0</v>
      </c>
      <c r="C160" s="11" t="s">
        <v>1123</v>
      </c>
      <c r="D160" s="11" t="s">
        <v>1107</v>
      </c>
    </row>
    <row r="161">
      <c r="A161" s="24">
        <v>45190.0</v>
      </c>
      <c r="B161" s="11">
        <v>3.0</v>
      </c>
      <c r="C161" s="11" t="s">
        <v>66</v>
      </c>
      <c r="D161" s="11" t="s">
        <v>1113</v>
      </c>
    </row>
    <row r="162">
      <c r="A162" s="24">
        <v>45192.0</v>
      </c>
      <c r="B162" s="11">
        <v>40.68</v>
      </c>
      <c r="C162" s="11" t="s">
        <v>1115</v>
      </c>
      <c r="D162" s="11" t="s">
        <v>1113</v>
      </c>
    </row>
    <row r="163">
      <c r="A163" s="24">
        <v>45195.0</v>
      </c>
      <c r="B163" s="11">
        <v>14.99</v>
      </c>
      <c r="C163" s="11" t="s">
        <v>1121</v>
      </c>
      <c r="D163" s="11" t="s">
        <v>1107</v>
      </c>
    </row>
    <row r="164">
      <c r="A164" s="24">
        <v>45195.0</v>
      </c>
      <c r="B164" s="11">
        <v>14.39</v>
      </c>
      <c r="C164" s="11" t="s">
        <v>31</v>
      </c>
      <c r="D164" s="11" t="s">
        <v>1113</v>
      </c>
    </row>
    <row r="165">
      <c r="A165" s="24">
        <v>45196.0</v>
      </c>
      <c r="B165" s="11">
        <v>75.6</v>
      </c>
      <c r="C165" s="11" t="s">
        <v>1108</v>
      </c>
      <c r="D165" s="11" t="s">
        <v>1107</v>
      </c>
    </row>
    <row r="166">
      <c r="A166" s="24">
        <v>45198.0</v>
      </c>
      <c r="B166" s="11">
        <v>6.0</v>
      </c>
      <c r="C166" s="11" t="s">
        <v>1110</v>
      </c>
      <c r="D166" s="11" t="s">
        <v>1107</v>
      </c>
    </row>
    <row r="167">
      <c r="A167" s="24">
        <v>45201.0</v>
      </c>
      <c r="B167" s="11">
        <v>14.0</v>
      </c>
      <c r="C167" s="11" t="s">
        <v>1110</v>
      </c>
      <c r="D167" s="11" t="s">
        <v>1113</v>
      </c>
    </row>
    <row r="168">
      <c r="A168" s="24">
        <v>45201.0</v>
      </c>
      <c r="B168" s="11">
        <v>0.8</v>
      </c>
      <c r="C168" s="11" t="s">
        <v>1110</v>
      </c>
      <c r="D168" s="11" t="s">
        <v>1107</v>
      </c>
    </row>
    <row r="169">
      <c r="A169" s="24">
        <v>45204.0</v>
      </c>
      <c r="B169" s="11">
        <v>27.0</v>
      </c>
      <c r="C169" s="11" t="s">
        <v>1109</v>
      </c>
      <c r="D169" s="11" t="s">
        <v>1107</v>
      </c>
    </row>
    <row r="170">
      <c r="A170" s="24">
        <v>45210.0</v>
      </c>
      <c r="B170" s="11">
        <v>21.0</v>
      </c>
      <c r="C170" s="11" t="s">
        <v>1119</v>
      </c>
      <c r="D170" s="11" t="s">
        <v>1107</v>
      </c>
    </row>
    <row r="171">
      <c r="A171" s="24">
        <v>45211.0</v>
      </c>
      <c r="B171" s="11">
        <v>3.0</v>
      </c>
      <c r="C171" s="11" t="s">
        <v>66</v>
      </c>
      <c r="D171" s="11" t="s">
        <v>1113</v>
      </c>
    </row>
    <row r="172">
      <c r="A172" s="24">
        <v>45212.0</v>
      </c>
      <c r="B172" s="11">
        <v>17.28</v>
      </c>
      <c r="C172" s="11" t="s">
        <v>1115</v>
      </c>
      <c r="D172" s="11" t="s">
        <v>1113</v>
      </c>
    </row>
    <row r="173">
      <c r="A173" s="24">
        <v>45213.0</v>
      </c>
      <c r="B173" s="11">
        <v>20.0</v>
      </c>
      <c r="C173" s="11" t="s">
        <v>1123</v>
      </c>
      <c r="D173" s="11" t="s">
        <v>1107</v>
      </c>
    </row>
    <row r="174">
      <c r="A174" s="24">
        <v>45215.0</v>
      </c>
      <c r="B174" s="11">
        <v>5.0</v>
      </c>
      <c r="C174" s="11" t="s">
        <v>1126</v>
      </c>
      <c r="D174" s="11" t="s">
        <v>1107</v>
      </c>
    </row>
    <row r="175">
      <c r="A175" s="24">
        <v>45216.0</v>
      </c>
      <c r="B175" s="11">
        <v>5.4</v>
      </c>
      <c r="C175" s="11" t="s">
        <v>31</v>
      </c>
      <c r="D175" s="11" t="s">
        <v>1113</v>
      </c>
    </row>
    <row r="176">
      <c r="A176" s="24">
        <v>45216.0</v>
      </c>
      <c r="B176" s="11">
        <v>14.39</v>
      </c>
      <c r="C176" s="11" t="s">
        <v>31</v>
      </c>
      <c r="D176" s="11" t="s">
        <v>1113</v>
      </c>
    </row>
    <row r="177">
      <c r="A177" s="24">
        <v>45218.0</v>
      </c>
      <c r="B177" s="11">
        <v>12.5</v>
      </c>
      <c r="C177" s="11" t="s">
        <v>1110</v>
      </c>
      <c r="D177" s="11" t="s">
        <v>1113</v>
      </c>
    </row>
    <row r="178">
      <c r="A178" s="24">
        <v>45225.0</v>
      </c>
      <c r="B178" s="11">
        <v>14.99</v>
      </c>
      <c r="C178" s="11" t="s">
        <v>1121</v>
      </c>
      <c r="D178" s="11" t="s">
        <v>1107</v>
      </c>
    </row>
    <row r="179">
      <c r="A179" s="24">
        <v>45226.0</v>
      </c>
      <c r="B179" s="11">
        <v>41.5</v>
      </c>
      <c r="C179" s="11" t="s">
        <v>1108</v>
      </c>
      <c r="D179" s="11" t="s">
        <v>1107</v>
      </c>
    </row>
    <row r="180">
      <c r="A180" s="24">
        <v>45230.0</v>
      </c>
      <c r="B180" s="11">
        <v>8.8</v>
      </c>
      <c r="C180" s="11" t="s">
        <v>1110</v>
      </c>
      <c r="D180" s="11" t="s">
        <v>1107</v>
      </c>
    </row>
    <row r="181">
      <c r="A181" s="24">
        <v>45231.0</v>
      </c>
      <c r="B181" s="11">
        <v>15.0</v>
      </c>
      <c r="C181" s="11" t="s">
        <v>1116</v>
      </c>
      <c r="D181" s="11" t="s">
        <v>1117</v>
      </c>
    </row>
    <row r="182">
      <c r="A182" s="24">
        <v>45231.0</v>
      </c>
      <c r="B182" s="11">
        <v>295.7</v>
      </c>
      <c r="C182" s="11" t="s">
        <v>1116</v>
      </c>
      <c r="D182" s="11" t="s">
        <v>1117</v>
      </c>
    </row>
    <row r="183">
      <c r="A183" s="24">
        <v>45235.0</v>
      </c>
      <c r="B183" s="11">
        <v>25.13</v>
      </c>
      <c r="C183" s="11" t="s">
        <v>1109</v>
      </c>
      <c r="D183" s="11" t="s">
        <v>1107</v>
      </c>
    </row>
    <row r="184">
      <c r="A184" s="24">
        <v>45241.0</v>
      </c>
      <c r="B184" s="11">
        <v>21.0</v>
      </c>
      <c r="C184" s="11" t="s">
        <v>1119</v>
      </c>
      <c r="D184" s="11" t="s">
        <v>1107</v>
      </c>
    </row>
    <row r="185">
      <c r="A185" s="24">
        <v>45244.0</v>
      </c>
      <c r="B185" s="11">
        <v>20.0</v>
      </c>
      <c r="C185" s="11" t="s">
        <v>1123</v>
      </c>
      <c r="D185" s="11" t="s">
        <v>1107</v>
      </c>
    </row>
    <row r="186">
      <c r="A186" s="24">
        <v>45246.0</v>
      </c>
      <c r="B186" s="11">
        <v>5.0</v>
      </c>
      <c r="C186" s="11" t="s">
        <v>1126</v>
      </c>
      <c r="D186" s="11" t="s">
        <v>1107</v>
      </c>
    </row>
    <row r="187">
      <c r="A187" s="24">
        <v>45252.0</v>
      </c>
      <c r="B187" s="11">
        <v>26.0</v>
      </c>
      <c r="C187" s="11" t="s">
        <v>1128</v>
      </c>
      <c r="D187" s="11" t="s">
        <v>1113</v>
      </c>
    </row>
    <row r="188">
      <c r="A188" s="24">
        <v>45256.0</v>
      </c>
      <c r="B188" s="11">
        <v>32.0</v>
      </c>
      <c r="C188" s="11" t="s">
        <v>1108</v>
      </c>
      <c r="D188" s="11" t="s">
        <v>1107</v>
      </c>
    </row>
    <row r="189">
      <c r="A189" s="24">
        <v>45256.0</v>
      </c>
      <c r="B189" s="11">
        <v>14.99</v>
      </c>
      <c r="C189" s="11" t="s">
        <v>1121</v>
      </c>
      <c r="D189" s="11" t="s">
        <v>1107</v>
      </c>
    </row>
    <row r="190">
      <c r="A190" s="24">
        <v>45260.0</v>
      </c>
      <c r="B190" s="11">
        <v>40.0</v>
      </c>
      <c r="C190" s="11" t="s">
        <v>1128</v>
      </c>
      <c r="D190" s="11" t="s">
        <v>1113</v>
      </c>
    </row>
    <row r="191">
      <c r="A191" s="24">
        <v>45260.0</v>
      </c>
      <c r="B191" s="11">
        <v>6.8</v>
      </c>
      <c r="C191" s="11" t="s">
        <v>1110</v>
      </c>
      <c r="D191" s="11" t="s">
        <v>1107</v>
      </c>
    </row>
    <row r="192">
      <c r="A192" s="24">
        <v>45260.0</v>
      </c>
      <c r="B192" s="11">
        <v>20.0</v>
      </c>
      <c r="C192" s="11" t="s">
        <v>1129</v>
      </c>
      <c r="D192" s="11" t="s">
        <v>1130</v>
      </c>
    </row>
    <row r="193">
      <c r="A193" s="24">
        <v>45271.0</v>
      </c>
      <c r="B193" s="11">
        <v>21.0</v>
      </c>
      <c r="C193" s="11" t="s">
        <v>1119</v>
      </c>
      <c r="D193" s="11" t="s">
        <v>1107</v>
      </c>
    </row>
    <row r="194">
      <c r="A194" s="24">
        <v>45274.0</v>
      </c>
      <c r="B194" s="11">
        <v>20.0</v>
      </c>
      <c r="C194" s="11" t="s">
        <v>1123</v>
      </c>
      <c r="D194" s="11" t="s">
        <v>1107</v>
      </c>
    </row>
    <row r="195">
      <c r="A195" s="24">
        <v>45275.0</v>
      </c>
      <c r="B195" s="11">
        <v>5.0</v>
      </c>
      <c r="C195" s="11" t="s">
        <v>1126</v>
      </c>
      <c r="D195" s="11" t="s">
        <v>1107</v>
      </c>
    </row>
    <row r="196">
      <c r="A196" s="24">
        <v>45286.0</v>
      </c>
      <c r="B196" s="11">
        <v>32.0</v>
      </c>
      <c r="C196" s="11" t="s">
        <v>1108</v>
      </c>
      <c r="D196" s="11" t="s">
        <v>1107</v>
      </c>
    </row>
    <row r="197">
      <c r="A197" s="24">
        <v>45286.0</v>
      </c>
      <c r="B197" s="11">
        <v>14.99</v>
      </c>
      <c r="C197" s="11" t="s">
        <v>1121</v>
      </c>
      <c r="D197" s="11" t="s">
        <v>1107</v>
      </c>
    </row>
    <row r="198">
      <c r="A198" s="24">
        <v>45288.0</v>
      </c>
      <c r="B198" s="11">
        <v>3.0</v>
      </c>
      <c r="C198" s="11" t="s">
        <v>66</v>
      </c>
      <c r="D198" s="11" t="s">
        <v>1113</v>
      </c>
    </row>
    <row r="199">
      <c r="A199" s="24">
        <v>45288.0</v>
      </c>
      <c r="B199" s="11">
        <v>14.0</v>
      </c>
      <c r="C199" s="11" t="s">
        <v>1110</v>
      </c>
      <c r="D199" s="11" t="s">
        <v>1107</v>
      </c>
    </row>
    <row r="200">
      <c r="A200" s="24">
        <v>45290.0</v>
      </c>
      <c r="B200" s="11">
        <v>100.0</v>
      </c>
      <c r="C200" s="11" t="s">
        <v>1129</v>
      </c>
      <c r="D200" s="11" t="s">
        <v>1130</v>
      </c>
    </row>
    <row r="201">
      <c r="A201" s="24">
        <v>45293.0</v>
      </c>
      <c r="B201" s="11">
        <v>10.1</v>
      </c>
      <c r="C201" s="11" t="s">
        <v>1115</v>
      </c>
      <c r="D201" s="11" t="s">
        <v>1113</v>
      </c>
    </row>
    <row r="202">
      <c r="A202" s="24">
        <v>45295.0</v>
      </c>
      <c r="B202" s="11">
        <v>130.0</v>
      </c>
      <c r="C202" s="11" t="s">
        <v>1131</v>
      </c>
      <c r="D202" s="11" t="s">
        <v>1132</v>
      </c>
    </row>
    <row r="203">
      <c r="A203" s="24">
        <v>45295.0</v>
      </c>
      <c r="B203" s="26">
        <v>49.0</v>
      </c>
      <c r="C203" s="3" t="s">
        <v>1133</v>
      </c>
      <c r="D203" s="3" t="s">
        <v>1113</v>
      </c>
    </row>
    <row r="204">
      <c r="A204" s="24">
        <v>45296.0</v>
      </c>
      <c r="B204" s="11">
        <v>13.64</v>
      </c>
      <c r="C204" s="11" t="s">
        <v>31</v>
      </c>
      <c r="D204" s="11" t="s">
        <v>1122</v>
      </c>
    </row>
    <row r="205">
      <c r="A205" s="24">
        <v>45296.0</v>
      </c>
      <c r="B205" s="11">
        <v>18.9</v>
      </c>
      <c r="C205" s="11" t="s">
        <v>31</v>
      </c>
      <c r="D205" s="11" t="s">
        <v>1113</v>
      </c>
    </row>
    <row r="206">
      <c r="A206" s="24">
        <v>45300.0</v>
      </c>
      <c r="B206" s="11">
        <v>221.0</v>
      </c>
      <c r="C206" s="11" t="s">
        <v>1134</v>
      </c>
      <c r="D206" s="11" t="s">
        <v>1130</v>
      </c>
    </row>
    <row r="207">
      <c r="A207" s="24">
        <v>45300.0</v>
      </c>
      <c r="B207" s="11">
        <v>14.5</v>
      </c>
      <c r="C207" s="11" t="s">
        <v>1110</v>
      </c>
      <c r="D207" s="11" t="s">
        <v>1113</v>
      </c>
    </row>
    <row r="208">
      <c r="A208" s="24">
        <v>45302.0</v>
      </c>
      <c r="B208" s="11">
        <v>21.0</v>
      </c>
      <c r="C208" s="11" t="s">
        <v>1119</v>
      </c>
      <c r="D208" s="11" t="s">
        <v>1107</v>
      </c>
    </row>
    <row r="209">
      <c r="A209" s="24">
        <v>45305.0</v>
      </c>
      <c r="B209" s="11">
        <v>20.0</v>
      </c>
      <c r="C209" s="11" t="s">
        <v>1123</v>
      </c>
      <c r="D209" s="11" t="s">
        <v>1107</v>
      </c>
    </row>
    <row r="210">
      <c r="A210" s="24">
        <v>45306.0</v>
      </c>
      <c r="B210" s="11">
        <v>5.0</v>
      </c>
      <c r="C210" s="11" t="s">
        <v>1126</v>
      </c>
      <c r="D210" s="11" t="s">
        <v>1107</v>
      </c>
    </row>
    <row r="211">
      <c r="A211" s="27">
        <v>45314.0</v>
      </c>
      <c r="B211" s="11">
        <v>19.33</v>
      </c>
      <c r="C211" s="11" t="s">
        <v>31</v>
      </c>
      <c r="D211" s="11" t="s">
        <v>1113</v>
      </c>
    </row>
    <row r="212">
      <c r="A212" s="24">
        <v>45317.0</v>
      </c>
      <c r="B212" s="11">
        <v>14.99</v>
      </c>
      <c r="C212" s="11" t="s">
        <v>1121</v>
      </c>
      <c r="D212" s="11" t="s">
        <v>1107</v>
      </c>
    </row>
    <row r="213">
      <c r="A213" s="24">
        <v>45320.0</v>
      </c>
      <c r="B213" s="11">
        <v>20.0</v>
      </c>
      <c r="C213" s="11" t="s">
        <v>1129</v>
      </c>
      <c r="D213" s="11" t="s">
        <v>1130</v>
      </c>
    </row>
    <row r="214">
      <c r="A214" s="24">
        <v>45320.0</v>
      </c>
      <c r="B214" s="11">
        <v>10.0</v>
      </c>
      <c r="C214" s="11" t="s">
        <v>1110</v>
      </c>
      <c r="D214" s="11" t="s">
        <v>1113</v>
      </c>
    </row>
    <row r="215">
      <c r="A215" s="24">
        <v>45322.0</v>
      </c>
      <c r="B215" s="11">
        <v>6.0</v>
      </c>
      <c r="C215" s="11" t="s">
        <v>1110</v>
      </c>
      <c r="D215" s="11" t="s">
        <v>1107</v>
      </c>
    </row>
    <row r="216">
      <c r="A216" s="24">
        <v>45323.0</v>
      </c>
      <c r="B216" s="11">
        <v>20.0</v>
      </c>
      <c r="C216" s="11" t="s">
        <v>1129</v>
      </c>
      <c r="D216" s="11" t="s">
        <v>1130</v>
      </c>
    </row>
    <row r="217">
      <c r="A217" s="24">
        <v>45325.0</v>
      </c>
      <c r="B217" s="11">
        <v>20.0</v>
      </c>
      <c r="C217" s="11" t="s">
        <v>1129</v>
      </c>
      <c r="D217" s="11" t="s">
        <v>1130</v>
      </c>
    </row>
    <row r="218">
      <c r="A218" s="24">
        <v>45330.0</v>
      </c>
      <c r="B218" s="11">
        <v>22.77</v>
      </c>
      <c r="C218" s="11" t="s">
        <v>1109</v>
      </c>
      <c r="D218" s="11" t="s">
        <v>1107</v>
      </c>
    </row>
    <row r="219">
      <c r="A219" s="24">
        <v>45333.0</v>
      </c>
      <c r="B219" s="11">
        <v>21.0</v>
      </c>
      <c r="C219" s="11" t="s">
        <v>1119</v>
      </c>
      <c r="D219" s="11" t="s">
        <v>1107</v>
      </c>
    </row>
    <row r="220">
      <c r="A220" s="24">
        <v>45336.0</v>
      </c>
      <c r="B220" s="11">
        <v>20.0</v>
      </c>
      <c r="C220" s="11" t="s">
        <v>1123</v>
      </c>
      <c r="D220" s="11" t="s">
        <v>1107</v>
      </c>
    </row>
    <row r="221">
      <c r="A221" s="24">
        <v>45338.0</v>
      </c>
      <c r="B221" s="11">
        <v>5.0</v>
      </c>
      <c r="C221" s="11" t="s">
        <v>1126</v>
      </c>
      <c r="D221" s="11" t="s">
        <v>1107</v>
      </c>
    </row>
    <row r="222">
      <c r="A222" s="24">
        <v>45344.0</v>
      </c>
      <c r="B222" s="11">
        <v>20.0</v>
      </c>
      <c r="C222" s="11" t="s">
        <v>1129</v>
      </c>
      <c r="D222" s="11" t="s">
        <v>1130</v>
      </c>
    </row>
    <row r="223">
      <c r="A223" s="24">
        <v>45348.0</v>
      </c>
      <c r="B223" s="11">
        <v>14.99</v>
      </c>
      <c r="C223" s="11" t="s">
        <v>1121</v>
      </c>
      <c r="D223" s="11" t="s">
        <v>1107</v>
      </c>
    </row>
    <row r="224">
      <c r="A224" s="24">
        <v>45351.0</v>
      </c>
      <c r="B224" s="11">
        <v>80.0</v>
      </c>
      <c r="C224" s="11" t="s">
        <v>1129</v>
      </c>
      <c r="D224" s="11" t="s">
        <v>1130</v>
      </c>
    </row>
    <row r="225">
      <c r="A225" s="24">
        <v>45362.0</v>
      </c>
      <c r="B225" s="11">
        <v>21.0</v>
      </c>
      <c r="C225" s="11" t="s">
        <v>1119</v>
      </c>
      <c r="D225" s="11" t="s">
        <v>1107</v>
      </c>
    </row>
    <row r="226">
      <c r="A226" s="24">
        <v>45365.0</v>
      </c>
      <c r="B226" s="11">
        <v>20.0</v>
      </c>
      <c r="C226" s="11" t="s">
        <v>1123</v>
      </c>
      <c r="D226" s="11" t="s">
        <v>1107</v>
      </c>
    </row>
    <row r="227">
      <c r="A227" s="24">
        <v>45366.0</v>
      </c>
      <c r="B227" s="11">
        <v>5.0</v>
      </c>
      <c r="C227" s="11" t="s">
        <v>1126</v>
      </c>
      <c r="D227" s="11" t="s">
        <v>1107</v>
      </c>
    </row>
    <row r="228">
      <c r="A228" s="24">
        <v>45377.0</v>
      </c>
      <c r="B228" s="11">
        <v>14.99</v>
      </c>
      <c r="C228" s="11" t="s">
        <v>1121</v>
      </c>
      <c r="D228" s="11" t="s">
        <v>1107</v>
      </c>
    </row>
    <row r="229">
      <c r="A229" s="24">
        <v>45385.0</v>
      </c>
      <c r="B229" s="11">
        <v>20.0</v>
      </c>
      <c r="C229" s="11" t="s">
        <v>1129</v>
      </c>
      <c r="D229" s="11" t="s">
        <v>1130</v>
      </c>
    </row>
    <row r="230">
      <c r="A230" s="24">
        <v>45385.0</v>
      </c>
      <c r="B230" s="11">
        <v>20.0</v>
      </c>
      <c r="C230" s="11" t="s">
        <v>1129</v>
      </c>
      <c r="D230" s="11" t="s">
        <v>1130</v>
      </c>
    </row>
    <row r="231">
      <c r="A231" s="24">
        <v>45385.0</v>
      </c>
      <c r="B231" s="11">
        <v>20.0</v>
      </c>
      <c r="C231" s="11" t="s">
        <v>1129</v>
      </c>
      <c r="D231" s="11" t="s">
        <v>1130</v>
      </c>
    </row>
    <row r="232">
      <c r="A232" s="24">
        <v>45393.0</v>
      </c>
      <c r="B232" s="11">
        <v>21.0</v>
      </c>
      <c r="C232" s="11" t="s">
        <v>1119</v>
      </c>
      <c r="D232" s="11" t="s">
        <v>1107</v>
      </c>
    </row>
    <row r="233">
      <c r="A233" s="24">
        <v>45396.0</v>
      </c>
      <c r="B233" s="11">
        <v>20.0</v>
      </c>
      <c r="C233" s="11" t="s">
        <v>1123</v>
      </c>
      <c r="D233" s="11" t="s">
        <v>1107</v>
      </c>
    </row>
    <row r="234">
      <c r="A234" s="24">
        <v>45397.0</v>
      </c>
      <c r="B234" s="11">
        <v>5.0</v>
      </c>
      <c r="C234" s="11" t="s">
        <v>1126</v>
      </c>
      <c r="D234" s="11" t="s">
        <v>1107</v>
      </c>
    </row>
    <row r="235">
      <c r="A235" s="24">
        <v>45401.0</v>
      </c>
      <c r="B235" s="11">
        <v>49.0</v>
      </c>
      <c r="C235" s="11" t="s">
        <v>1133</v>
      </c>
      <c r="D235" s="11" t="s">
        <v>1113</v>
      </c>
    </row>
    <row r="236">
      <c r="A236" s="24">
        <v>45408.0</v>
      </c>
      <c r="B236" s="11">
        <v>14.99</v>
      </c>
      <c r="C236" s="11" t="s">
        <v>1121</v>
      </c>
      <c r="D236" s="11" t="s">
        <v>1107</v>
      </c>
    </row>
    <row r="237">
      <c r="A237" s="24">
        <v>45415.0</v>
      </c>
      <c r="B237" s="11">
        <v>100.0</v>
      </c>
      <c r="C237" s="11" t="s">
        <v>1129</v>
      </c>
      <c r="D237" s="11" t="s">
        <v>1130</v>
      </c>
    </row>
    <row r="238">
      <c r="A238" s="24">
        <v>45421.0</v>
      </c>
      <c r="B238" s="11">
        <v>49.0</v>
      </c>
      <c r="C238" s="11" t="s">
        <v>1133</v>
      </c>
      <c r="D238" s="11" t="s">
        <v>1113</v>
      </c>
    </row>
    <row r="239">
      <c r="A239" s="24">
        <v>45423.0</v>
      </c>
      <c r="B239" s="11">
        <v>21.0</v>
      </c>
      <c r="C239" s="11" t="s">
        <v>1119</v>
      </c>
      <c r="D239" s="11" t="s">
        <v>1107</v>
      </c>
    </row>
    <row r="240">
      <c r="A240" s="24">
        <v>45426.0</v>
      </c>
      <c r="B240" s="11">
        <v>20.0</v>
      </c>
      <c r="C240" s="11" t="s">
        <v>1123</v>
      </c>
      <c r="D240" s="11" t="s">
        <v>1107</v>
      </c>
    </row>
    <row r="241">
      <c r="A241" s="24">
        <v>45427.0</v>
      </c>
      <c r="B241" s="11">
        <v>5.0</v>
      </c>
      <c r="C241" s="11" t="s">
        <v>1126</v>
      </c>
      <c r="D241" s="11" t="s">
        <v>1107</v>
      </c>
    </row>
    <row r="242">
      <c r="A242" s="24">
        <v>45430.0</v>
      </c>
      <c r="B242" s="11">
        <v>37.0</v>
      </c>
      <c r="C242" s="11" t="s">
        <v>1133</v>
      </c>
      <c r="D242" s="11" t="s">
        <v>1113</v>
      </c>
    </row>
    <row r="243">
      <c r="A243" s="24">
        <v>45435.0</v>
      </c>
      <c r="B243" s="11">
        <v>11.32</v>
      </c>
      <c r="C243" s="11" t="s">
        <v>1109</v>
      </c>
      <c r="D243" s="11" t="s">
        <v>1107</v>
      </c>
    </row>
    <row r="244">
      <c r="A244" s="24">
        <v>45439.0</v>
      </c>
      <c r="B244" s="11">
        <v>14.99</v>
      </c>
      <c r="C244" s="11" t="s">
        <v>1121</v>
      </c>
      <c r="D244" s="11" t="s">
        <v>1107</v>
      </c>
    </row>
    <row r="245">
      <c r="A245" s="24">
        <v>45447.0</v>
      </c>
      <c r="B245" s="11">
        <v>20.0</v>
      </c>
      <c r="C245" s="11" t="s">
        <v>1129</v>
      </c>
      <c r="D245" s="11" t="s">
        <v>1130</v>
      </c>
    </row>
    <row r="246">
      <c r="A246" s="24">
        <v>45447.0</v>
      </c>
      <c r="B246" s="11">
        <v>20.0</v>
      </c>
      <c r="C246" s="11" t="s">
        <v>1129</v>
      </c>
      <c r="D246" s="11" t="s">
        <v>1130</v>
      </c>
    </row>
    <row r="247">
      <c r="A247" s="24">
        <v>45447.0</v>
      </c>
      <c r="B247" s="11">
        <v>20.0</v>
      </c>
      <c r="C247" s="11" t="s">
        <v>1129</v>
      </c>
      <c r="D247" s="11" t="s">
        <v>1130</v>
      </c>
    </row>
    <row r="248">
      <c r="A248" s="24">
        <v>45447.0</v>
      </c>
      <c r="B248" s="11">
        <v>20.0</v>
      </c>
      <c r="C248" s="11" t="s">
        <v>1129</v>
      </c>
      <c r="D248" s="11" t="s">
        <v>1130</v>
      </c>
    </row>
    <row r="249">
      <c r="A249" s="24">
        <v>45447.0</v>
      </c>
      <c r="B249" s="11">
        <v>20.0</v>
      </c>
      <c r="C249" s="11" t="s">
        <v>1129</v>
      </c>
      <c r="D249" s="11" t="s">
        <v>1130</v>
      </c>
    </row>
    <row r="250">
      <c r="A250" s="24">
        <v>45454.0</v>
      </c>
      <c r="B250" s="11">
        <v>21.0</v>
      </c>
      <c r="C250" s="11" t="s">
        <v>1119</v>
      </c>
      <c r="D250" s="11" t="s">
        <v>1107</v>
      </c>
    </row>
    <row r="251">
      <c r="A251" s="24">
        <v>45457.0</v>
      </c>
      <c r="B251" s="11">
        <v>20.0</v>
      </c>
      <c r="C251" s="11" t="s">
        <v>1123</v>
      </c>
      <c r="D251" s="11" t="s">
        <v>1107</v>
      </c>
    </row>
    <row r="252">
      <c r="A252" s="24">
        <v>45458.0</v>
      </c>
      <c r="B252" s="11">
        <v>5.0</v>
      </c>
      <c r="C252" s="11" t="s">
        <v>1126</v>
      </c>
      <c r="D252" s="11" t="s">
        <v>1107</v>
      </c>
    </row>
    <row r="253">
      <c r="A253" s="24">
        <v>45461.0</v>
      </c>
      <c r="B253" s="11">
        <v>41.0</v>
      </c>
      <c r="C253" s="3" t="s">
        <v>1133</v>
      </c>
      <c r="D253" s="3" t="s">
        <v>1113</v>
      </c>
    </row>
    <row r="254">
      <c r="A254" s="24">
        <v>45461.0</v>
      </c>
      <c r="B254" s="11">
        <v>15.0</v>
      </c>
      <c r="C254" s="2" t="s">
        <v>1110</v>
      </c>
      <c r="D254" s="3" t="s">
        <v>1113</v>
      </c>
    </row>
    <row r="255">
      <c r="A255" s="24">
        <v>45469.0</v>
      </c>
      <c r="B255" s="11">
        <v>14.99</v>
      </c>
      <c r="C255" s="11" t="s">
        <v>1121</v>
      </c>
      <c r="D255" s="11" t="s">
        <v>1107</v>
      </c>
    </row>
    <row r="256">
      <c r="A256" s="24">
        <v>45475.0</v>
      </c>
      <c r="B256" s="11">
        <v>20.0</v>
      </c>
      <c r="C256" s="11" t="s">
        <v>1129</v>
      </c>
      <c r="D256" s="11" t="s">
        <v>1130</v>
      </c>
    </row>
    <row r="257">
      <c r="A257" s="24">
        <v>45475.0</v>
      </c>
      <c r="B257" s="11">
        <v>20.0</v>
      </c>
      <c r="C257" s="11" t="s">
        <v>1129</v>
      </c>
      <c r="D257" s="11" t="s">
        <v>1130</v>
      </c>
    </row>
    <row r="258">
      <c r="A258" s="24">
        <v>45475.0</v>
      </c>
      <c r="B258" s="11">
        <v>20.0</v>
      </c>
      <c r="C258" s="11" t="s">
        <v>1129</v>
      </c>
      <c r="D258" s="11" t="s">
        <v>1130</v>
      </c>
    </row>
    <row r="259">
      <c r="A259" s="24">
        <v>45475.0</v>
      </c>
      <c r="B259" s="11">
        <v>20.0</v>
      </c>
      <c r="C259" s="11" t="s">
        <v>1129</v>
      </c>
      <c r="D259" s="11" t="s">
        <v>1130</v>
      </c>
    </row>
    <row r="260">
      <c r="A260" s="24">
        <v>45476.0</v>
      </c>
      <c r="B260" s="11">
        <v>15.0</v>
      </c>
      <c r="C260" s="11" t="s">
        <v>1110</v>
      </c>
      <c r="D260" s="11" t="s">
        <v>1113</v>
      </c>
    </row>
    <row r="261">
      <c r="A261" s="24">
        <v>45477.0</v>
      </c>
      <c r="B261" s="11">
        <v>20.0</v>
      </c>
      <c r="C261" s="11" t="s">
        <v>1129</v>
      </c>
      <c r="D261" s="11" t="s">
        <v>1130</v>
      </c>
    </row>
    <row r="262">
      <c r="A262" s="24">
        <v>45482.0</v>
      </c>
      <c r="B262" s="11">
        <v>13.0</v>
      </c>
      <c r="C262" s="11" t="s">
        <v>1110</v>
      </c>
      <c r="D262" s="11" t="s">
        <v>1113</v>
      </c>
    </row>
    <row r="263">
      <c r="A263" s="24">
        <v>45484.0</v>
      </c>
      <c r="B263" s="11">
        <v>21.0</v>
      </c>
      <c r="C263" s="11" t="s">
        <v>1119</v>
      </c>
      <c r="D263" s="11" t="s">
        <v>1107</v>
      </c>
    </row>
    <row r="264">
      <c r="A264" s="24">
        <v>45487.0</v>
      </c>
      <c r="B264" s="11">
        <v>20.0</v>
      </c>
      <c r="C264" s="11" t="s">
        <v>1123</v>
      </c>
      <c r="D264" s="11" t="s">
        <v>1107</v>
      </c>
    </row>
    <row r="265">
      <c r="A265" s="24">
        <v>45488.0</v>
      </c>
      <c r="B265" s="11">
        <v>5.0</v>
      </c>
      <c r="C265" s="11" t="s">
        <v>1126</v>
      </c>
      <c r="D265" s="11" t="s">
        <v>1107</v>
      </c>
    </row>
    <row r="266">
      <c r="A266" s="24">
        <v>45492.0</v>
      </c>
      <c r="B266" s="11">
        <v>55.0</v>
      </c>
      <c r="C266" s="2" t="s">
        <v>1128</v>
      </c>
      <c r="D266" s="3" t="s">
        <v>1113</v>
      </c>
    </row>
    <row r="267">
      <c r="A267" s="24">
        <v>45492.0</v>
      </c>
      <c r="B267" s="11">
        <v>14.0</v>
      </c>
      <c r="C267" s="3" t="s">
        <v>1133</v>
      </c>
      <c r="D267" s="3" t="s">
        <v>1113</v>
      </c>
    </row>
    <row r="268">
      <c r="A268" s="24">
        <v>45499.0</v>
      </c>
      <c r="B268" s="11">
        <v>14.99</v>
      </c>
      <c r="C268" s="11" t="s">
        <v>1121</v>
      </c>
      <c r="D268" s="11" t="s">
        <v>1107</v>
      </c>
    </row>
    <row r="269">
      <c r="A269" s="24">
        <v>45502.0</v>
      </c>
      <c r="B269" s="11">
        <v>55.0</v>
      </c>
      <c r="C269" s="2" t="s">
        <v>1128</v>
      </c>
      <c r="D269" s="3" t="s">
        <v>1113</v>
      </c>
    </row>
    <row r="270">
      <c r="A270" s="24">
        <v>45502.0</v>
      </c>
      <c r="B270" s="11">
        <v>14.0</v>
      </c>
      <c r="C270" s="3" t="s">
        <v>1133</v>
      </c>
      <c r="D270" s="3" t="s">
        <v>1113</v>
      </c>
    </row>
    <row r="271">
      <c r="A271" s="24">
        <v>45506.0</v>
      </c>
      <c r="B271" s="11">
        <v>20.0</v>
      </c>
      <c r="C271" s="11" t="s">
        <v>1129</v>
      </c>
      <c r="D271" s="11" t="s">
        <v>1130</v>
      </c>
    </row>
    <row r="272">
      <c r="A272" s="24">
        <v>45506.0</v>
      </c>
      <c r="B272" s="11">
        <v>20.0</v>
      </c>
      <c r="C272" s="11" t="s">
        <v>1129</v>
      </c>
      <c r="D272" s="11" t="s">
        <v>1130</v>
      </c>
    </row>
    <row r="273">
      <c r="A273" s="24">
        <v>45506.0</v>
      </c>
      <c r="B273" s="11">
        <v>20.0</v>
      </c>
      <c r="C273" s="11" t="s">
        <v>1129</v>
      </c>
      <c r="D273" s="11" t="s">
        <v>1130</v>
      </c>
    </row>
    <row r="274">
      <c r="A274" s="24">
        <v>45515.0</v>
      </c>
      <c r="B274" s="11">
        <v>21.0</v>
      </c>
      <c r="C274" s="11" t="s">
        <v>1119</v>
      </c>
      <c r="D274" s="11" t="s">
        <v>1107</v>
      </c>
    </row>
    <row r="275">
      <c r="A275" s="24">
        <v>45518.0</v>
      </c>
      <c r="B275" s="11">
        <v>20.0</v>
      </c>
      <c r="C275" s="11" t="s">
        <v>1123</v>
      </c>
      <c r="D275" s="11" t="s">
        <v>1107</v>
      </c>
    </row>
    <row r="276">
      <c r="A276" s="24">
        <v>45519.0</v>
      </c>
      <c r="B276" s="11">
        <v>5.0</v>
      </c>
      <c r="C276" s="11" t="s">
        <v>1126</v>
      </c>
      <c r="D276" s="11" t="s">
        <v>1107</v>
      </c>
    </row>
    <row r="277">
      <c r="A277" s="24">
        <v>45525.0</v>
      </c>
      <c r="B277" s="11">
        <v>13.11</v>
      </c>
      <c r="C277" s="11" t="s">
        <v>1109</v>
      </c>
      <c r="D277" s="11" t="s">
        <v>1107</v>
      </c>
    </row>
    <row r="278">
      <c r="A278" s="24">
        <v>45530.0</v>
      </c>
      <c r="B278" s="11">
        <v>14.99</v>
      </c>
      <c r="C278" s="11" t="s">
        <v>1121</v>
      </c>
      <c r="D278" s="11" t="s">
        <v>1107</v>
      </c>
    </row>
    <row r="279">
      <c r="A279" s="24">
        <v>45538.0</v>
      </c>
      <c r="B279" s="11">
        <v>20.0</v>
      </c>
      <c r="C279" s="11" t="s">
        <v>1129</v>
      </c>
      <c r="D279" s="11" t="s">
        <v>1130</v>
      </c>
    </row>
    <row r="280">
      <c r="A280" s="24">
        <v>45538.0</v>
      </c>
      <c r="B280" s="11">
        <v>20.0</v>
      </c>
      <c r="C280" s="11" t="s">
        <v>1129</v>
      </c>
      <c r="D280" s="11" t="s">
        <v>1130</v>
      </c>
    </row>
    <row r="281">
      <c r="A281" s="24">
        <v>45538.0</v>
      </c>
      <c r="B281" s="11">
        <v>20.0</v>
      </c>
      <c r="C281" s="11" t="s">
        <v>1129</v>
      </c>
      <c r="D281" s="11" t="s">
        <v>1130</v>
      </c>
    </row>
    <row r="282">
      <c r="A282" s="24">
        <v>45538.0</v>
      </c>
      <c r="B282" s="26">
        <v>33.0</v>
      </c>
      <c r="C282" s="3" t="s">
        <v>1133</v>
      </c>
      <c r="D282" s="3" t="s">
        <v>1113</v>
      </c>
    </row>
    <row r="283">
      <c r="A283" s="24">
        <v>45546.0</v>
      </c>
      <c r="B283" s="11">
        <v>21.0</v>
      </c>
      <c r="C283" s="11" t="s">
        <v>1119</v>
      </c>
      <c r="D283" s="11" t="s">
        <v>1107</v>
      </c>
    </row>
    <row r="284">
      <c r="A284" s="24">
        <v>45549.0</v>
      </c>
      <c r="B284" s="11">
        <v>20.0</v>
      </c>
      <c r="C284" s="11" t="s">
        <v>1123</v>
      </c>
      <c r="D284" s="11" t="s">
        <v>1107</v>
      </c>
    </row>
    <row r="285">
      <c r="A285" s="24">
        <v>45550.0</v>
      </c>
      <c r="B285" s="11">
        <v>5.0</v>
      </c>
      <c r="C285" s="11" t="s">
        <v>1126</v>
      </c>
      <c r="D285" s="11" t="s">
        <v>1107</v>
      </c>
    </row>
    <row r="286">
      <c r="A286" s="24">
        <v>45558.0</v>
      </c>
      <c r="B286" s="26">
        <v>49.0</v>
      </c>
      <c r="C286" s="3" t="s">
        <v>1133</v>
      </c>
      <c r="D286" s="3" t="s">
        <v>1113</v>
      </c>
    </row>
    <row r="287">
      <c r="A287" s="24">
        <v>45559.0</v>
      </c>
      <c r="B287" s="26">
        <v>41.0</v>
      </c>
      <c r="C287" s="3" t="s">
        <v>1133</v>
      </c>
      <c r="D287" s="3" t="s">
        <v>1113</v>
      </c>
    </row>
    <row r="288">
      <c r="A288" s="24">
        <v>45561.0</v>
      </c>
      <c r="B288" s="11">
        <v>14.99</v>
      </c>
      <c r="C288" s="11" t="s">
        <v>1121</v>
      </c>
      <c r="D288" s="11" t="s">
        <v>1107</v>
      </c>
    </row>
    <row r="289">
      <c r="A289" s="24">
        <v>45567.0</v>
      </c>
      <c r="B289" s="11">
        <v>20.0</v>
      </c>
      <c r="C289" s="11" t="s">
        <v>1129</v>
      </c>
      <c r="D289" s="11" t="s">
        <v>1130</v>
      </c>
    </row>
    <row r="290">
      <c r="A290" s="24">
        <v>45567.0</v>
      </c>
      <c r="B290" s="11">
        <v>20.0</v>
      </c>
      <c r="C290" s="11" t="s">
        <v>1129</v>
      </c>
      <c r="D290" s="11" t="s">
        <v>1130</v>
      </c>
    </row>
    <row r="291">
      <c r="A291" s="24">
        <v>45567.0</v>
      </c>
      <c r="B291" s="11">
        <v>20.0</v>
      </c>
      <c r="C291" s="11" t="s">
        <v>1129</v>
      </c>
      <c r="D291" s="11" t="s">
        <v>1130</v>
      </c>
    </row>
    <row r="292">
      <c r="A292" s="24">
        <v>45567.0</v>
      </c>
      <c r="B292" s="11">
        <v>20.0</v>
      </c>
      <c r="C292" s="11" t="s">
        <v>1129</v>
      </c>
      <c r="D292" s="11" t="s">
        <v>1130</v>
      </c>
    </row>
    <row r="293">
      <c r="A293" s="24">
        <v>45567.0</v>
      </c>
      <c r="B293" s="11">
        <v>2.0</v>
      </c>
      <c r="C293" s="11" t="s">
        <v>1135</v>
      </c>
      <c r="D293" s="11" t="s">
        <v>1113</v>
      </c>
    </row>
    <row r="294">
      <c r="A294" s="24">
        <v>45567.0</v>
      </c>
      <c r="B294" s="11">
        <v>5.0</v>
      </c>
      <c r="C294" s="11" t="s">
        <v>1135</v>
      </c>
      <c r="D294" s="11" t="s">
        <v>1113</v>
      </c>
    </row>
    <row r="295">
      <c r="A295" s="24">
        <v>45576.0</v>
      </c>
      <c r="B295" s="11">
        <v>21.0</v>
      </c>
      <c r="C295" s="11" t="s">
        <v>1119</v>
      </c>
      <c r="D295" s="11" t="s">
        <v>1107</v>
      </c>
    </row>
    <row r="296">
      <c r="A296" s="24">
        <v>45579.0</v>
      </c>
      <c r="B296" s="11">
        <v>37.17</v>
      </c>
      <c r="C296" s="11" t="s">
        <v>1116</v>
      </c>
      <c r="D296" s="11" t="s">
        <v>1117</v>
      </c>
    </row>
    <row r="297">
      <c r="A297" s="24">
        <v>45579.0</v>
      </c>
      <c r="B297" s="11">
        <v>20.0</v>
      </c>
      <c r="C297" s="11" t="s">
        <v>1123</v>
      </c>
      <c r="D297" s="11" t="s">
        <v>1107</v>
      </c>
    </row>
    <row r="298">
      <c r="A298" s="24">
        <v>45580.0</v>
      </c>
      <c r="B298" s="11">
        <v>5.0</v>
      </c>
      <c r="C298" s="11" t="s">
        <v>1126</v>
      </c>
      <c r="D298" s="11" t="s">
        <v>1107</v>
      </c>
    </row>
    <row r="299">
      <c r="A299" s="24">
        <v>45589.0</v>
      </c>
      <c r="B299" s="11">
        <v>29.99</v>
      </c>
      <c r="C299" s="11" t="s">
        <v>1136</v>
      </c>
      <c r="D299" s="11" t="s">
        <v>1107</v>
      </c>
    </row>
    <row r="300">
      <c r="A300" s="24">
        <v>45591.0</v>
      </c>
      <c r="B300" s="11">
        <v>15.99</v>
      </c>
      <c r="C300" s="11" t="s">
        <v>1121</v>
      </c>
      <c r="D300" s="11" t="s">
        <v>1107</v>
      </c>
    </row>
    <row r="301">
      <c r="A301" s="24">
        <v>45600.0</v>
      </c>
      <c r="B301" s="11">
        <v>5.0</v>
      </c>
      <c r="C301" s="11" t="s">
        <v>1135</v>
      </c>
      <c r="D301" s="11" t="s">
        <v>1113</v>
      </c>
    </row>
    <row r="302">
      <c r="A302" s="24">
        <v>45600.0</v>
      </c>
      <c r="B302" s="11">
        <v>5.0</v>
      </c>
      <c r="C302" s="11" t="s">
        <v>1135</v>
      </c>
      <c r="D302" s="11" t="s">
        <v>1113</v>
      </c>
    </row>
    <row r="303">
      <c r="A303" s="24">
        <v>45600.0</v>
      </c>
      <c r="B303" s="11">
        <v>5.0</v>
      </c>
      <c r="C303" s="11" t="s">
        <v>1135</v>
      </c>
      <c r="D303" s="11" t="s">
        <v>1113</v>
      </c>
    </row>
    <row r="304">
      <c r="A304" s="24">
        <v>45600.0</v>
      </c>
      <c r="B304" s="11">
        <v>5.0</v>
      </c>
      <c r="C304" s="11" t="s">
        <v>1135</v>
      </c>
      <c r="D304" s="11" t="s">
        <v>1113</v>
      </c>
    </row>
    <row r="305">
      <c r="A305" s="24">
        <v>45600.0</v>
      </c>
      <c r="B305" s="11">
        <v>2.0</v>
      </c>
      <c r="C305" s="11" t="s">
        <v>1135</v>
      </c>
      <c r="D305" s="11" t="s">
        <v>1113</v>
      </c>
    </row>
    <row r="306">
      <c r="A306" s="24">
        <v>45600.0</v>
      </c>
      <c r="B306" s="11">
        <v>3.0</v>
      </c>
      <c r="C306" s="11" t="s">
        <v>1135</v>
      </c>
      <c r="D306" s="11" t="s">
        <v>1113</v>
      </c>
    </row>
    <row r="307">
      <c r="A307" s="24">
        <v>45600.0</v>
      </c>
      <c r="B307" s="11">
        <v>20.0</v>
      </c>
      <c r="C307" s="11" t="s">
        <v>1129</v>
      </c>
      <c r="D307" s="11" t="s">
        <v>1130</v>
      </c>
    </row>
    <row r="308">
      <c r="A308" s="24">
        <v>45600.0</v>
      </c>
      <c r="B308" s="11">
        <v>20.0</v>
      </c>
      <c r="C308" s="11" t="s">
        <v>1129</v>
      </c>
      <c r="D308" s="11" t="s">
        <v>1130</v>
      </c>
    </row>
    <row r="309">
      <c r="A309" s="24">
        <v>45600.0</v>
      </c>
      <c r="B309" s="11">
        <v>20.0</v>
      </c>
      <c r="C309" s="11" t="s">
        <v>1129</v>
      </c>
      <c r="D309" s="11" t="s">
        <v>1130</v>
      </c>
    </row>
    <row r="310">
      <c r="A310" s="24">
        <v>45600.0</v>
      </c>
      <c r="B310" s="11">
        <v>20.0</v>
      </c>
      <c r="C310" s="11" t="s">
        <v>1129</v>
      </c>
      <c r="D310" s="11" t="s">
        <v>1130</v>
      </c>
    </row>
    <row r="311">
      <c r="A311" s="24">
        <v>45600.0</v>
      </c>
      <c r="B311" s="11">
        <v>20.0</v>
      </c>
      <c r="C311" s="11" t="s">
        <v>1129</v>
      </c>
      <c r="D311" s="11" t="s">
        <v>1130</v>
      </c>
    </row>
    <row r="312">
      <c r="A312" s="24">
        <v>45608.0</v>
      </c>
      <c r="B312" s="11">
        <v>21.0</v>
      </c>
      <c r="C312" s="11" t="s">
        <v>1119</v>
      </c>
      <c r="D312" s="11" t="s">
        <v>1107</v>
      </c>
    </row>
    <row r="313">
      <c r="A313" s="24">
        <v>45610.0</v>
      </c>
      <c r="B313" s="11">
        <v>20.0</v>
      </c>
      <c r="C313" s="11" t="s">
        <v>1123</v>
      </c>
      <c r="D313" s="11" t="s">
        <v>1107</v>
      </c>
    </row>
    <row r="314">
      <c r="A314" s="24">
        <v>45611.0</v>
      </c>
      <c r="B314" s="11">
        <v>5.0</v>
      </c>
      <c r="C314" s="11" t="s">
        <v>1126</v>
      </c>
      <c r="D314" s="11" t="s">
        <v>1107</v>
      </c>
    </row>
    <row r="315">
      <c r="A315" s="24">
        <v>45615.0</v>
      </c>
      <c r="B315" s="11">
        <v>13.82</v>
      </c>
      <c r="C315" s="11" t="s">
        <v>1109</v>
      </c>
      <c r="D315" s="11" t="s">
        <v>1107</v>
      </c>
    </row>
    <row r="316">
      <c r="A316" s="24">
        <v>45620.0</v>
      </c>
      <c r="B316" s="11">
        <v>29.99</v>
      </c>
      <c r="C316" s="11" t="s">
        <v>1136</v>
      </c>
      <c r="D316" s="11" t="s">
        <v>1107</v>
      </c>
    </row>
    <row r="317">
      <c r="A317" s="24">
        <v>45622.0</v>
      </c>
      <c r="B317" s="11">
        <v>15.99</v>
      </c>
      <c r="C317" s="11" t="s">
        <v>1121</v>
      </c>
      <c r="D317" s="11" t="s">
        <v>1107</v>
      </c>
    </row>
    <row r="318">
      <c r="A318" s="24">
        <v>45628.0</v>
      </c>
      <c r="B318" s="11">
        <v>162.13</v>
      </c>
      <c r="C318" s="11" t="s">
        <v>1119</v>
      </c>
      <c r="D318" s="11" t="s">
        <v>1107</v>
      </c>
    </row>
    <row r="319">
      <c r="A319" s="24">
        <v>45630.0</v>
      </c>
      <c r="B319" s="11">
        <v>20.0</v>
      </c>
      <c r="C319" s="11" t="s">
        <v>1129</v>
      </c>
      <c r="D319" s="11" t="s">
        <v>1130</v>
      </c>
    </row>
    <row r="320">
      <c r="A320" s="24">
        <v>45630.0</v>
      </c>
      <c r="B320" s="11">
        <v>20.0</v>
      </c>
      <c r="C320" s="11" t="s">
        <v>1129</v>
      </c>
      <c r="D320" s="11" t="s">
        <v>1130</v>
      </c>
    </row>
    <row r="321">
      <c r="A321" s="24">
        <v>45630.0</v>
      </c>
      <c r="B321" s="11">
        <v>20.0</v>
      </c>
      <c r="C321" s="11" t="s">
        <v>1129</v>
      </c>
      <c r="D321" s="11" t="s">
        <v>1130</v>
      </c>
    </row>
    <row r="322">
      <c r="A322" s="24">
        <v>45630.0</v>
      </c>
      <c r="B322" s="11">
        <v>20.0</v>
      </c>
      <c r="C322" s="11" t="s">
        <v>1129</v>
      </c>
      <c r="D322" s="11" t="s">
        <v>1130</v>
      </c>
    </row>
    <row r="323">
      <c r="A323" s="24">
        <v>45630.0</v>
      </c>
      <c r="B323" s="11">
        <v>20.0</v>
      </c>
      <c r="C323" s="11" t="s">
        <v>1129</v>
      </c>
      <c r="D323" s="11" t="s">
        <v>1130</v>
      </c>
    </row>
    <row r="324">
      <c r="A324" s="24">
        <v>45630.0</v>
      </c>
      <c r="B324" s="11">
        <v>5.0</v>
      </c>
      <c r="C324" s="11" t="s">
        <v>1135</v>
      </c>
      <c r="D324" s="11" t="s">
        <v>1113</v>
      </c>
    </row>
    <row r="325">
      <c r="A325" s="24">
        <v>45630.0</v>
      </c>
      <c r="B325" s="11">
        <v>5.0</v>
      </c>
      <c r="C325" s="11" t="s">
        <v>1135</v>
      </c>
      <c r="D325" s="11" t="s">
        <v>1113</v>
      </c>
    </row>
    <row r="326">
      <c r="A326" s="24">
        <v>45630.0</v>
      </c>
      <c r="B326" s="11">
        <v>2.0</v>
      </c>
      <c r="C326" s="11" t="s">
        <v>1135</v>
      </c>
      <c r="D326" s="11" t="s">
        <v>1113</v>
      </c>
    </row>
    <row r="327">
      <c r="A327" s="24">
        <v>45630.0</v>
      </c>
      <c r="B327" s="11">
        <v>3.0</v>
      </c>
      <c r="C327" s="11" t="s">
        <v>1135</v>
      </c>
      <c r="D327" s="11" t="s">
        <v>1113</v>
      </c>
    </row>
    <row r="328">
      <c r="A328" s="24">
        <v>45640.0</v>
      </c>
      <c r="B328" s="11">
        <v>20.0</v>
      </c>
      <c r="C328" s="11" t="s">
        <v>1123</v>
      </c>
      <c r="D328" s="11" t="s">
        <v>1107</v>
      </c>
    </row>
    <row r="329">
      <c r="A329" s="24">
        <v>45641.0</v>
      </c>
      <c r="B329" s="11">
        <v>5.0</v>
      </c>
      <c r="C329" s="11" t="s">
        <v>1126</v>
      </c>
      <c r="D329" s="11" t="s">
        <v>1107</v>
      </c>
    </row>
    <row r="330">
      <c r="A330" s="24">
        <v>45644.0</v>
      </c>
      <c r="B330" s="26">
        <v>49.0</v>
      </c>
      <c r="C330" s="3" t="s">
        <v>1133</v>
      </c>
      <c r="D330" s="11" t="s">
        <v>1113</v>
      </c>
    </row>
    <row r="331">
      <c r="A331" s="24">
        <v>45650.0</v>
      </c>
      <c r="B331" s="11">
        <v>29.99</v>
      </c>
      <c r="C331" s="11" t="s">
        <v>1136</v>
      </c>
      <c r="D331" s="11" t="s">
        <v>1107</v>
      </c>
    </row>
    <row r="332">
      <c r="A332" s="24">
        <v>45652.0</v>
      </c>
      <c r="B332" s="11">
        <v>15.99</v>
      </c>
      <c r="C332" s="11" t="s">
        <v>1121</v>
      </c>
      <c r="D332" s="11" t="s">
        <v>1107</v>
      </c>
    </row>
    <row r="333">
      <c r="A333" s="24">
        <v>45655.0</v>
      </c>
      <c r="B333" s="26">
        <v>22.0</v>
      </c>
      <c r="C333" s="3" t="s">
        <v>1133</v>
      </c>
      <c r="D333" s="11" t="s">
        <v>1113</v>
      </c>
    </row>
    <row r="334">
      <c r="A334" s="24">
        <v>45665.0</v>
      </c>
      <c r="B334" s="11">
        <v>358.05</v>
      </c>
      <c r="C334" s="11" t="s">
        <v>1116</v>
      </c>
      <c r="D334" s="11" t="s">
        <v>1117</v>
      </c>
    </row>
    <row r="335">
      <c r="A335" s="24">
        <v>45672.0</v>
      </c>
      <c r="B335" s="11">
        <v>20.0</v>
      </c>
      <c r="C335" s="11" t="s">
        <v>1123</v>
      </c>
      <c r="D335" s="11" t="s">
        <v>1107</v>
      </c>
    </row>
    <row r="336">
      <c r="A336" s="24">
        <v>45672.0</v>
      </c>
      <c r="B336" s="11">
        <v>5.0</v>
      </c>
      <c r="C336" s="11" t="s">
        <v>1126</v>
      </c>
      <c r="D336" s="11" t="s">
        <v>1107</v>
      </c>
    </row>
    <row r="337">
      <c r="A337" s="24">
        <v>45674.0</v>
      </c>
      <c r="B337" s="26">
        <v>49.0</v>
      </c>
      <c r="C337" s="3" t="s">
        <v>1133</v>
      </c>
      <c r="D337" s="11" t="s">
        <v>1113</v>
      </c>
    </row>
    <row r="338">
      <c r="A338" s="24">
        <v>45681.0</v>
      </c>
      <c r="B338" s="11">
        <v>29.99</v>
      </c>
      <c r="C338" s="11" t="s">
        <v>1136</v>
      </c>
      <c r="D338" s="11" t="s">
        <v>1107</v>
      </c>
    </row>
    <row r="339">
      <c r="A339" s="24">
        <v>45683.0</v>
      </c>
      <c r="B339" s="11">
        <v>15.99</v>
      </c>
      <c r="C339" s="11" t="s">
        <v>1121</v>
      </c>
      <c r="D339" s="11" t="s">
        <v>1107</v>
      </c>
    </row>
    <row r="340">
      <c r="A340" s="24">
        <v>45684.0</v>
      </c>
      <c r="B340" s="26">
        <v>24.0</v>
      </c>
      <c r="C340" s="3" t="s">
        <v>1133</v>
      </c>
      <c r="D340" s="11" t="s">
        <v>1113</v>
      </c>
    </row>
    <row r="341">
      <c r="A341" s="24">
        <v>45690.0</v>
      </c>
      <c r="B341" s="11">
        <v>5.0</v>
      </c>
      <c r="C341" s="11" t="s">
        <v>1135</v>
      </c>
      <c r="D341" s="11" t="s">
        <v>1113</v>
      </c>
    </row>
    <row r="342">
      <c r="A342" s="24">
        <v>45690.0</v>
      </c>
      <c r="B342" s="11">
        <v>5.0</v>
      </c>
      <c r="C342" s="11" t="s">
        <v>1135</v>
      </c>
      <c r="D342" s="11" t="s">
        <v>1113</v>
      </c>
    </row>
    <row r="343">
      <c r="A343" s="24">
        <v>45690.0</v>
      </c>
      <c r="B343" s="11">
        <v>5.0</v>
      </c>
      <c r="C343" s="11" t="s">
        <v>1135</v>
      </c>
      <c r="D343" s="11" t="s">
        <v>1113</v>
      </c>
    </row>
    <row r="344">
      <c r="A344" s="24">
        <v>45691.0</v>
      </c>
      <c r="B344" s="11">
        <v>5.0</v>
      </c>
      <c r="C344" s="11" t="s">
        <v>151</v>
      </c>
      <c r="D344" s="11" t="s">
        <v>1113</v>
      </c>
    </row>
    <row r="345">
      <c r="A345" s="24">
        <v>45691.0</v>
      </c>
      <c r="B345" s="11">
        <v>7.0</v>
      </c>
      <c r="C345" s="11" t="s">
        <v>151</v>
      </c>
      <c r="D345" s="11" t="s">
        <v>1113</v>
      </c>
    </row>
    <row r="346">
      <c r="A346" s="24">
        <v>45703.0</v>
      </c>
      <c r="B346" s="11">
        <v>20.0</v>
      </c>
      <c r="C346" s="11" t="s">
        <v>1123</v>
      </c>
      <c r="D346" s="11" t="s">
        <v>1107</v>
      </c>
    </row>
    <row r="347">
      <c r="A347" s="24">
        <v>45703.0</v>
      </c>
      <c r="B347" s="11">
        <v>5.0</v>
      </c>
      <c r="C347" s="11" t="s">
        <v>1126</v>
      </c>
      <c r="D347" s="11" t="s">
        <v>1107</v>
      </c>
    </row>
    <row r="348">
      <c r="A348" s="24">
        <v>45712.0</v>
      </c>
      <c r="B348" s="11">
        <v>29.99</v>
      </c>
      <c r="C348" s="11" t="s">
        <v>1136</v>
      </c>
      <c r="D348" s="11" t="s">
        <v>1107</v>
      </c>
    </row>
    <row r="349">
      <c r="A349" s="24">
        <v>45714.0</v>
      </c>
      <c r="B349" s="11">
        <v>15.99</v>
      </c>
      <c r="C349" s="11" t="s">
        <v>1121</v>
      </c>
      <c r="D349" s="11" t="s">
        <v>1107</v>
      </c>
    </row>
    <row r="350">
      <c r="A350" s="24">
        <v>45716.0</v>
      </c>
      <c r="B350" s="11">
        <v>78.0</v>
      </c>
      <c r="C350" s="11" t="s">
        <v>1133</v>
      </c>
      <c r="D350" s="11" t="s">
        <v>1113</v>
      </c>
    </row>
    <row r="351">
      <c r="A351" s="24">
        <v>45726.0</v>
      </c>
      <c r="B351" s="11">
        <v>5.0</v>
      </c>
      <c r="C351" s="11" t="s">
        <v>151</v>
      </c>
      <c r="D351" s="11" t="s">
        <v>1113</v>
      </c>
    </row>
    <row r="352">
      <c r="A352" s="24">
        <v>45731.0</v>
      </c>
      <c r="B352" s="11">
        <v>20.0</v>
      </c>
      <c r="C352" s="11" t="s">
        <v>1123</v>
      </c>
      <c r="D352" s="11" t="s">
        <v>1107</v>
      </c>
    </row>
    <row r="353">
      <c r="A353" s="24">
        <v>45731.0</v>
      </c>
      <c r="B353" s="11">
        <v>5.0</v>
      </c>
      <c r="C353" s="11" t="s">
        <v>1126</v>
      </c>
      <c r="D353" s="11" t="s">
        <v>1107</v>
      </c>
    </row>
    <row r="354">
      <c r="A354" s="24">
        <v>45739.0</v>
      </c>
      <c r="B354" s="11">
        <v>29.0</v>
      </c>
      <c r="C354" s="11" t="s">
        <v>1133</v>
      </c>
      <c r="D354" s="11" t="s">
        <v>1113</v>
      </c>
    </row>
    <row r="355">
      <c r="A355" s="24">
        <v>45739.0</v>
      </c>
      <c r="B355" s="11">
        <v>25.0</v>
      </c>
      <c r="C355" s="11" t="s">
        <v>1133</v>
      </c>
      <c r="D355" s="11" t="s">
        <v>1113</v>
      </c>
    </row>
    <row r="356">
      <c r="A356" s="24">
        <v>45740.0</v>
      </c>
      <c r="B356" s="11">
        <v>35.99</v>
      </c>
      <c r="C356" s="11" t="s">
        <v>1136</v>
      </c>
      <c r="D356" s="11" t="s">
        <v>1107</v>
      </c>
    </row>
    <row r="357">
      <c r="A357" s="24">
        <v>45742.0</v>
      </c>
      <c r="B357" s="11">
        <v>15.99</v>
      </c>
      <c r="C357" s="11" t="s">
        <v>1121</v>
      </c>
      <c r="D357" s="11" t="s">
        <v>1107</v>
      </c>
    </row>
    <row r="358">
      <c r="A358" s="24">
        <v>45748.0</v>
      </c>
      <c r="B358" s="11">
        <v>33.0</v>
      </c>
      <c r="C358" s="11" t="s">
        <v>1133</v>
      </c>
      <c r="D358" s="11" t="s">
        <v>1113</v>
      </c>
    </row>
    <row r="359">
      <c r="A359" s="24">
        <v>45748.0</v>
      </c>
      <c r="B359" s="11">
        <v>8.0</v>
      </c>
      <c r="C359" s="11" t="s">
        <v>151</v>
      </c>
      <c r="D359" s="11" t="s">
        <v>1113</v>
      </c>
    </row>
    <row r="360">
      <c r="A360" s="24">
        <v>45748.0</v>
      </c>
      <c r="B360" s="11">
        <v>8.0</v>
      </c>
      <c r="C360" s="11" t="s">
        <v>151</v>
      </c>
      <c r="D360" s="11" t="s">
        <v>1113</v>
      </c>
    </row>
    <row r="361">
      <c r="A361" s="24">
        <v>45748.0</v>
      </c>
      <c r="B361" s="11">
        <v>8.0</v>
      </c>
      <c r="C361" s="11" t="s">
        <v>151</v>
      </c>
      <c r="D361" s="11" t="s">
        <v>1113</v>
      </c>
    </row>
    <row r="362">
      <c r="A362" s="24">
        <v>45748.0</v>
      </c>
      <c r="B362" s="11">
        <v>5.0</v>
      </c>
      <c r="C362" s="11" t="s">
        <v>151</v>
      </c>
      <c r="D362" s="11" t="s">
        <v>1113</v>
      </c>
    </row>
    <row r="363">
      <c r="A363" s="24">
        <v>45748.0</v>
      </c>
      <c r="B363" s="11">
        <v>8.0</v>
      </c>
      <c r="C363" s="11" t="s">
        <v>151</v>
      </c>
      <c r="D363" s="11" t="s">
        <v>1113</v>
      </c>
    </row>
    <row r="364">
      <c r="A364" s="24">
        <v>45762.0</v>
      </c>
      <c r="B364" s="11">
        <v>20.0</v>
      </c>
      <c r="C364" s="11" t="s">
        <v>1123</v>
      </c>
      <c r="D364" s="11" t="s">
        <v>1107</v>
      </c>
    </row>
    <row r="365">
      <c r="A365" s="24">
        <v>45762.0</v>
      </c>
      <c r="B365" s="11">
        <v>5.0</v>
      </c>
      <c r="C365" s="11" t="s">
        <v>1126</v>
      </c>
      <c r="D365" s="11" t="s">
        <v>1107</v>
      </c>
    </row>
    <row r="366">
      <c r="A366" s="24">
        <v>45771.0</v>
      </c>
      <c r="B366" s="11">
        <v>35.99</v>
      </c>
      <c r="C366" s="11" t="s">
        <v>1136</v>
      </c>
      <c r="D366" s="11" t="s">
        <v>1107</v>
      </c>
    </row>
    <row r="367">
      <c r="A367" s="24">
        <v>45773.0</v>
      </c>
      <c r="B367" s="11">
        <v>15.99</v>
      </c>
      <c r="C367" s="11" t="s">
        <v>1121</v>
      </c>
      <c r="D367" s="11" t="s">
        <v>1107</v>
      </c>
    </row>
    <row r="368">
      <c r="A368" s="24">
        <v>45778.0</v>
      </c>
      <c r="B368" s="11">
        <v>67.62</v>
      </c>
      <c r="C368" s="11" t="s">
        <v>1137</v>
      </c>
      <c r="D368" s="11" t="s">
        <v>1107</v>
      </c>
    </row>
    <row r="369">
      <c r="A369" s="24">
        <v>45785.0</v>
      </c>
      <c r="B369" s="11">
        <v>76.0</v>
      </c>
      <c r="C369" s="11" t="s">
        <v>1133</v>
      </c>
      <c r="D369" s="11" t="s">
        <v>1113</v>
      </c>
    </row>
    <row r="370">
      <c r="A370" s="24">
        <v>45785.0</v>
      </c>
      <c r="B370" s="11">
        <v>20.0</v>
      </c>
      <c r="C370" s="11" t="s">
        <v>1135</v>
      </c>
      <c r="D370" s="11" t="s">
        <v>1113</v>
      </c>
    </row>
    <row r="371">
      <c r="A371" s="24">
        <v>45785.0</v>
      </c>
      <c r="B371" s="11">
        <v>5.0</v>
      </c>
      <c r="C371" s="11" t="s">
        <v>1135</v>
      </c>
      <c r="D371" s="11" t="s">
        <v>1113</v>
      </c>
    </row>
    <row r="372">
      <c r="A372" s="24">
        <v>45785.0</v>
      </c>
      <c r="B372" s="11">
        <v>5.0</v>
      </c>
      <c r="C372" s="11" t="s">
        <v>1135</v>
      </c>
      <c r="D372" s="11" t="s">
        <v>1113</v>
      </c>
    </row>
    <row r="373">
      <c r="A373" s="24">
        <v>45792.0</v>
      </c>
      <c r="B373" s="11">
        <v>20.0</v>
      </c>
      <c r="C373" s="11" t="s">
        <v>1123</v>
      </c>
      <c r="D373" s="11" t="s">
        <v>1107</v>
      </c>
    </row>
    <row r="374">
      <c r="A374" s="24">
        <v>45792.0</v>
      </c>
      <c r="B374" s="11">
        <v>5.0</v>
      </c>
      <c r="C374" s="11" t="s">
        <v>1126</v>
      </c>
      <c r="D374" s="11" t="s">
        <v>1107</v>
      </c>
    </row>
    <row r="375">
      <c r="A375" s="24">
        <v>45794.0</v>
      </c>
      <c r="B375" s="11">
        <v>63.0</v>
      </c>
      <c r="C375" s="11" t="s">
        <v>1133</v>
      </c>
      <c r="D375" s="11" t="s">
        <v>1113</v>
      </c>
    </row>
    <row r="376">
      <c r="A376" s="24">
        <v>45801.0</v>
      </c>
      <c r="B376" s="11">
        <v>35.99</v>
      </c>
      <c r="C376" s="11" t="s">
        <v>1136</v>
      </c>
      <c r="D376" s="11" t="s">
        <v>1107</v>
      </c>
    </row>
    <row r="377">
      <c r="A377" s="24">
        <v>45803.0</v>
      </c>
      <c r="B377" s="11">
        <v>15.99</v>
      </c>
      <c r="C377" s="11" t="s">
        <v>1121</v>
      </c>
      <c r="D377" s="11" t="s">
        <v>1107</v>
      </c>
    </row>
    <row r="378">
      <c r="A378" s="24">
        <v>45809.0</v>
      </c>
      <c r="B378" s="11">
        <v>88.2</v>
      </c>
      <c r="C378" s="11" t="s">
        <v>1137</v>
      </c>
      <c r="D378" s="11" t="s">
        <v>1107</v>
      </c>
    </row>
    <row r="379">
      <c r="A379" s="24">
        <v>45811.0</v>
      </c>
      <c r="B379" s="11">
        <v>8.0</v>
      </c>
      <c r="C379" s="11" t="s">
        <v>151</v>
      </c>
      <c r="D379" s="11" t="s">
        <v>1113</v>
      </c>
    </row>
    <row r="380">
      <c r="A380" s="24">
        <v>45811.0</v>
      </c>
      <c r="B380" s="11">
        <v>8.0</v>
      </c>
      <c r="C380" s="11" t="s">
        <v>151</v>
      </c>
      <c r="D380" s="11" t="s">
        <v>1113</v>
      </c>
    </row>
    <row r="381">
      <c r="A381" s="24">
        <v>45811.0</v>
      </c>
      <c r="B381" s="11">
        <v>8.0</v>
      </c>
      <c r="C381" s="11" t="s">
        <v>151</v>
      </c>
      <c r="D381" s="11" t="s">
        <v>1113</v>
      </c>
    </row>
    <row r="382">
      <c r="A382" s="24">
        <v>45811.0</v>
      </c>
      <c r="B382" s="11">
        <v>8.0</v>
      </c>
      <c r="C382" s="11" t="s">
        <v>151</v>
      </c>
      <c r="D382" s="11" t="s">
        <v>1113</v>
      </c>
    </row>
    <row r="383">
      <c r="A383" s="24">
        <v>45811.0</v>
      </c>
      <c r="B383" s="11">
        <v>5.0</v>
      </c>
      <c r="C383" s="11" t="s">
        <v>151</v>
      </c>
      <c r="D383" s="11" t="s">
        <v>1113</v>
      </c>
    </row>
    <row r="384">
      <c r="A384" s="28">
        <v>45823.0</v>
      </c>
      <c r="B384" s="5">
        <v>20.0</v>
      </c>
      <c r="C384" s="3" t="s">
        <v>1123</v>
      </c>
      <c r="D384" s="3" t="s">
        <v>1107</v>
      </c>
    </row>
    <row r="385">
      <c r="A385" s="28">
        <v>45823.0</v>
      </c>
      <c r="B385" s="5">
        <v>5.0</v>
      </c>
      <c r="C385" s="3" t="s">
        <v>1126</v>
      </c>
      <c r="D385" s="3" t="s">
        <v>1107</v>
      </c>
    </row>
    <row r="386">
      <c r="A386" s="24">
        <v>45832.0</v>
      </c>
      <c r="B386" s="11">
        <v>35.99</v>
      </c>
      <c r="C386" s="11" t="s">
        <v>1136</v>
      </c>
      <c r="D386" s="11" t="s">
        <v>1107</v>
      </c>
    </row>
    <row r="387">
      <c r="A387" s="24">
        <v>45834.0</v>
      </c>
      <c r="B387" s="11">
        <v>15.99</v>
      </c>
      <c r="C387" s="11" t="s">
        <v>1121</v>
      </c>
      <c r="D387" s="11" t="s">
        <v>1107</v>
      </c>
    </row>
    <row r="388">
      <c r="A388" s="24">
        <v>45839.0</v>
      </c>
      <c r="B388" s="11">
        <v>88.2</v>
      </c>
      <c r="C388" s="11" t="s">
        <v>1137</v>
      </c>
      <c r="D388" s="11" t="s">
        <v>1107</v>
      </c>
    </row>
    <row r="389">
      <c r="A389" s="24">
        <v>45840.0</v>
      </c>
      <c r="B389" s="11">
        <v>5.0</v>
      </c>
      <c r="C389" s="11" t="s">
        <v>1135</v>
      </c>
      <c r="D389" s="11" t="s">
        <v>1113</v>
      </c>
    </row>
    <row r="390">
      <c r="A390" s="24">
        <v>45840.0</v>
      </c>
      <c r="B390" s="11">
        <v>5.0</v>
      </c>
      <c r="C390" s="11" t="s">
        <v>1135</v>
      </c>
      <c r="D390" s="11" t="s">
        <v>1113</v>
      </c>
    </row>
    <row r="391">
      <c r="A391" s="24">
        <v>45840.0</v>
      </c>
      <c r="B391" s="11">
        <v>2.0</v>
      </c>
      <c r="C391" s="11" t="s">
        <v>1135</v>
      </c>
      <c r="D391" s="11" t="s">
        <v>1113</v>
      </c>
    </row>
    <row r="392">
      <c r="A392" s="24">
        <v>45840.0</v>
      </c>
      <c r="B392" s="11">
        <v>65.0</v>
      </c>
      <c r="C392" s="11" t="s">
        <v>1133</v>
      </c>
      <c r="D392" s="11" t="s">
        <v>1113</v>
      </c>
    </row>
    <row r="393">
      <c r="A393" s="24">
        <v>45840.0</v>
      </c>
      <c r="B393" s="11">
        <v>49.0</v>
      </c>
      <c r="C393" s="11" t="s">
        <v>1110</v>
      </c>
      <c r="D393" s="11" t="s">
        <v>1113</v>
      </c>
    </row>
    <row r="394">
      <c r="A394" s="28">
        <v>45853.0</v>
      </c>
      <c r="B394" s="5">
        <v>20.0</v>
      </c>
      <c r="C394" s="3" t="s">
        <v>1123</v>
      </c>
      <c r="D394" s="3" t="s">
        <v>1107</v>
      </c>
    </row>
    <row r="395">
      <c r="A395" s="24">
        <v>45862.0</v>
      </c>
      <c r="B395" s="11">
        <v>35.99</v>
      </c>
      <c r="C395" s="11" t="s">
        <v>1136</v>
      </c>
      <c r="D395" s="11" t="s">
        <v>1107</v>
      </c>
    </row>
    <row r="396">
      <c r="A396" s="24">
        <v>45864.0</v>
      </c>
      <c r="B396" s="11">
        <v>15.99</v>
      </c>
      <c r="C396" s="11" t="s">
        <v>1121</v>
      </c>
      <c r="D396" s="11" t="s">
        <v>1107</v>
      </c>
    </row>
    <row r="397">
      <c r="A397" s="24">
        <v>45870.0</v>
      </c>
      <c r="B397" s="11">
        <v>116.66</v>
      </c>
      <c r="C397" s="11" t="s">
        <v>1137</v>
      </c>
      <c r="D397" s="11" t="s">
        <v>1107</v>
      </c>
    </row>
    <row r="398">
      <c r="A398" s="24">
        <v>45873.0</v>
      </c>
      <c r="B398" s="11">
        <v>41.0</v>
      </c>
      <c r="C398" s="11" t="s">
        <v>1133</v>
      </c>
      <c r="D398" s="11" t="s">
        <v>1113</v>
      </c>
    </row>
    <row r="399">
      <c r="A399" s="24">
        <v>45875.0</v>
      </c>
      <c r="B399" s="11">
        <v>49.0</v>
      </c>
      <c r="C399" s="11" t="s">
        <v>1110</v>
      </c>
      <c r="D399" s="11" t="s">
        <v>1113</v>
      </c>
    </row>
    <row r="400">
      <c r="A400" s="24">
        <v>45875.0</v>
      </c>
      <c r="B400" s="11">
        <v>2.0</v>
      </c>
      <c r="C400" s="11" t="s">
        <v>1135</v>
      </c>
      <c r="D400" s="11" t="s">
        <v>1113</v>
      </c>
    </row>
    <row r="401">
      <c r="A401" s="24">
        <v>45875.0</v>
      </c>
      <c r="B401" s="11">
        <v>5.0</v>
      </c>
      <c r="C401" s="11" t="s">
        <v>1135</v>
      </c>
      <c r="D401" s="11" t="s">
        <v>1113</v>
      </c>
    </row>
    <row r="402">
      <c r="A402" s="24">
        <v>45875.0</v>
      </c>
      <c r="B402" s="11">
        <v>5.0</v>
      </c>
      <c r="C402" s="11" t="s">
        <v>1135</v>
      </c>
      <c r="D402" s="11" t="s">
        <v>1113</v>
      </c>
    </row>
    <row r="403">
      <c r="A403" s="24">
        <v>45884.0</v>
      </c>
      <c r="B403" s="11">
        <v>20.0</v>
      </c>
      <c r="C403" s="11" t="s">
        <v>1123</v>
      </c>
      <c r="D403" s="11" t="s">
        <v>1107</v>
      </c>
    </row>
    <row r="404">
      <c r="A404" s="24">
        <v>45884.0</v>
      </c>
      <c r="B404" s="11">
        <v>5.0</v>
      </c>
      <c r="C404" s="11" t="s">
        <v>1126</v>
      </c>
      <c r="D404" s="11" t="s">
        <v>1107</v>
      </c>
    </row>
    <row r="405">
      <c r="A405" s="24">
        <v>45893.0</v>
      </c>
      <c r="B405" s="11">
        <v>35.99</v>
      </c>
      <c r="C405" s="11" t="s">
        <v>1136</v>
      </c>
      <c r="D405" s="11" t="s">
        <v>1107</v>
      </c>
    </row>
    <row r="406">
      <c r="A406" s="24">
        <v>45895.0</v>
      </c>
      <c r="B406" s="11">
        <v>16.99</v>
      </c>
      <c r="C406" s="11" t="s">
        <v>1121</v>
      </c>
      <c r="D406" s="11" t="s">
        <v>1107</v>
      </c>
    </row>
    <row r="407">
      <c r="A407" s="24">
        <v>45898.0</v>
      </c>
      <c r="B407" s="11">
        <v>6.0</v>
      </c>
      <c r="C407" s="11" t="s">
        <v>1110</v>
      </c>
      <c r="D407" s="11" t="s">
        <v>1138</v>
      </c>
    </row>
    <row r="408">
      <c r="A408" s="24">
        <v>45901.0</v>
      </c>
      <c r="B408" s="11">
        <v>117.6</v>
      </c>
      <c r="C408" s="11" t="s">
        <v>1137</v>
      </c>
      <c r="D408" s="11" t="s">
        <v>1107</v>
      </c>
    </row>
    <row r="409">
      <c r="A409" s="24">
        <v>45902.0</v>
      </c>
      <c r="B409" s="11">
        <v>1.85</v>
      </c>
      <c r="C409" s="11" t="s">
        <v>1135</v>
      </c>
      <c r="D409" s="11" t="s">
        <v>1113</v>
      </c>
    </row>
    <row r="410">
      <c r="A410" s="24">
        <v>45902.0</v>
      </c>
      <c r="B410" s="11">
        <v>7.2</v>
      </c>
      <c r="C410" s="11" t="s">
        <v>1135</v>
      </c>
      <c r="D410" s="11" t="s">
        <v>1113</v>
      </c>
    </row>
    <row r="411">
      <c r="A411" s="24">
        <v>45902.0</v>
      </c>
      <c r="B411" s="11">
        <v>7.7</v>
      </c>
      <c r="C411" s="11" t="s">
        <v>1135</v>
      </c>
      <c r="D411" s="11" t="s">
        <v>1113</v>
      </c>
    </row>
    <row r="412">
      <c r="A412" s="24">
        <v>45905.0</v>
      </c>
      <c r="B412" s="11">
        <v>20.0</v>
      </c>
      <c r="C412" s="11" t="s">
        <v>1139</v>
      </c>
      <c r="D412" s="11" t="s">
        <v>1105</v>
      </c>
    </row>
    <row r="413">
      <c r="A413" s="24">
        <v>45907.0</v>
      </c>
      <c r="B413" s="11">
        <v>50.0</v>
      </c>
      <c r="C413" s="11" t="s">
        <v>1139</v>
      </c>
      <c r="D413" s="11" t="s">
        <v>1105</v>
      </c>
    </row>
    <row r="414">
      <c r="A414" s="24">
        <v>45908.0</v>
      </c>
      <c r="B414" s="11">
        <v>10.0</v>
      </c>
      <c r="C414" s="11" t="s">
        <v>1140</v>
      </c>
      <c r="D414" s="11" t="s">
        <v>1107</v>
      </c>
    </row>
    <row r="415">
      <c r="A415" s="24">
        <v>45910.0</v>
      </c>
      <c r="B415" s="11">
        <v>39.0</v>
      </c>
      <c r="C415" s="11" t="s">
        <v>1141</v>
      </c>
      <c r="D415" s="11" t="s">
        <v>1107</v>
      </c>
    </row>
    <row r="416">
      <c r="A416" s="24">
        <v>45911.0</v>
      </c>
      <c r="B416" s="11">
        <v>75.0</v>
      </c>
      <c r="C416" s="11" t="s">
        <v>1104</v>
      </c>
      <c r="D416" s="11" t="s">
        <v>1105</v>
      </c>
    </row>
    <row r="417">
      <c r="A417" s="24">
        <v>45915.0</v>
      </c>
      <c r="B417" s="11">
        <v>5.0</v>
      </c>
      <c r="C417" s="11" t="s">
        <v>1126</v>
      </c>
      <c r="D417" s="11" t="s">
        <v>1107</v>
      </c>
    </row>
    <row r="418">
      <c r="A418" s="24">
        <v>45915.0</v>
      </c>
      <c r="B418" s="11">
        <v>20.0</v>
      </c>
      <c r="C418" s="11" t="s">
        <v>1123</v>
      </c>
      <c r="D418" s="11" t="s">
        <v>1107</v>
      </c>
    </row>
    <row r="419">
      <c r="A419" s="24">
        <v>45922.0</v>
      </c>
      <c r="B419" s="11">
        <v>35.0</v>
      </c>
      <c r="C419" s="11" t="s">
        <v>1110</v>
      </c>
      <c r="D419" s="11" t="s">
        <v>1113</v>
      </c>
    </row>
    <row r="420">
      <c r="A420" s="24">
        <v>45924.0</v>
      </c>
      <c r="B420" s="11">
        <v>29.99</v>
      </c>
      <c r="C420" s="11" t="s">
        <v>1136</v>
      </c>
      <c r="D420" s="11" t="s">
        <v>1107</v>
      </c>
    </row>
    <row r="421">
      <c r="A421" s="24">
        <v>45926.0</v>
      </c>
      <c r="B421" s="11">
        <v>16.99</v>
      </c>
      <c r="C421" s="11" t="s">
        <v>1121</v>
      </c>
      <c r="D421" s="11" t="s">
        <v>1107</v>
      </c>
    </row>
    <row r="422">
      <c r="A422" s="24">
        <v>45927.0</v>
      </c>
      <c r="B422" s="11">
        <v>79.0</v>
      </c>
      <c r="C422" s="11" t="s">
        <v>1104</v>
      </c>
      <c r="D422" s="11" t="s">
        <v>1105</v>
      </c>
    </row>
    <row r="423">
      <c r="A423" s="24">
        <v>45930.0</v>
      </c>
      <c r="B423" s="11">
        <v>32.5</v>
      </c>
      <c r="C423" s="11" t="s">
        <v>1104</v>
      </c>
      <c r="D423" s="11" t="s">
        <v>1105</v>
      </c>
    </row>
    <row r="424">
      <c r="A424" s="24">
        <v>45930.0</v>
      </c>
      <c r="B424" s="11">
        <v>21.0</v>
      </c>
      <c r="C424" s="11" t="s">
        <v>1110</v>
      </c>
      <c r="D424" s="11" t="s">
        <v>1113</v>
      </c>
    </row>
    <row r="425">
      <c r="A425" s="24">
        <v>45931.0</v>
      </c>
      <c r="B425" s="11">
        <v>117.6</v>
      </c>
      <c r="C425" s="11" t="s">
        <v>1137</v>
      </c>
      <c r="D425" s="11" t="s">
        <v>1107</v>
      </c>
    </row>
    <row r="426">
      <c r="A426" s="24">
        <v>45931.0</v>
      </c>
      <c r="B426" s="11">
        <v>51.71</v>
      </c>
      <c r="C426" s="11" t="s">
        <v>1139</v>
      </c>
      <c r="D426" s="11" t="s">
        <v>1105</v>
      </c>
    </row>
    <row r="427">
      <c r="A427" s="24">
        <v>45932.0</v>
      </c>
      <c r="B427" s="11">
        <v>1.0</v>
      </c>
      <c r="C427" s="11" t="s">
        <v>1135</v>
      </c>
      <c r="D427" s="11" t="s">
        <v>1113</v>
      </c>
    </row>
    <row r="428">
      <c r="A428" s="24">
        <v>45932.0</v>
      </c>
      <c r="B428" s="11">
        <v>5.0</v>
      </c>
      <c r="C428" s="11" t="s">
        <v>1135</v>
      </c>
      <c r="D428" s="11" t="s">
        <v>1113</v>
      </c>
    </row>
    <row r="429">
      <c r="A429" s="24">
        <v>45932.0</v>
      </c>
      <c r="B429" s="11">
        <v>5.0</v>
      </c>
      <c r="C429" s="11" t="s">
        <v>1135</v>
      </c>
      <c r="D429" s="11" t="s">
        <v>1113</v>
      </c>
    </row>
    <row r="430">
      <c r="A430" s="24">
        <v>45933.0</v>
      </c>
      <c r="B430" s="11">
        <v>39.6</v>
      </c>
      <c r="C430" s="11" t="s">
        <v>1110</v>
      </c>
      <c r="D430" s="11" t="s">
        <v>1113</v>
      </c>
    </row>
    <row r="431">
      <c r="A431" s="24">
        <v>45938.0</v>
      </c>
      <c r="B431" s="11">
        <v>10.0</v>
      </c>
      <c r="C431" s="11" t="s">
        <v>1140</v>
      </c>
      <c r="D431" s="11" t="s">
        <v>1107</v>
      </c>
    </row>
    <row r="432">
      <c r="A432" s="24">
        <v>45938.0</v>
      </c>
      <c r="B432" s="11">
        <v>84.0</v>
      </c>
      <c r="C432" s="11" t="s">
        <v>1104</v>
      </c>
      <c r="D432" s="11" t="s">
        <v>1105</v>
      </c>
    </row>
    <row r="433">
      <c r="A433" s="24">
        <v>45940.0</v>
      </c>
      <c r="B433" s="11">
        <v>39.0</v>
      </c>
      <c r="C433" s="11" t="s">
        <v>1141</v>
      </c>
      <c r="D433" s="11" t="s">
        <v>1107</v>
      </c>
    </row>
    <row r="434">
      <c r="A434" s="24">
        <v>45944.0</v>
      </c>
      <c r="B434" s="11">
        <v>15.0</v>
      </c>
      <c r="C434" s="11" t="s">
        <v>1116</v>
      </c>
      <c r="D434" s="11" t="s">
        <v>1142</v>
      </c>
    </row>
    <row r="435">
      <c r="A435" s="24">
        <v>45945.0</v>
      </c>
      <c r="B435" s="11">
        <v>25.0</v>
      </c>
      <c r="C435" s="11" t="s">
        <v>1143</v>
      </c>
      <c r="D435" s="11" t="s">
        <v>1107</v>
      </c>
    </row>
    <row r="436">
      <c r="A436" s="24">
        <v>45945.0</v>
      </c>
      <c r="B436" s="11">
        <v>20.0</v>
      </c>
      <c r="C436" s="11" t="s">
        <v>1123</v>
      </c>
      <c r="D436" s="11" t="s">
        <v>1107</v>
      </c>
    </row>
    <row r="437">
      <c r="A437" s="24">
        <v>45945.0</v>
      </c>
      <c r="B437" s="11">
        <v>5.0</v>
      </c>
      <c r="C437" s="11" t="s">
        <v>1126</v>
      </c>
      <c r="D437" s="11" t="s">
        <v>1107</v>
      </c>
    </row>
    <row r="438">
      <c r="A438" s="24">
        <v>45945.0</v>
      </c>
      <c r="B438" s="11">
        <v>89.0</v>
      </c>
      <c r="C438" s="11" t="s">
        <v>1104</v>
      </c>
      <c r="D438" s="11" t="s">
        <v>1105</v>
      </c>
    </row>
    <row r="439">
      <c r="A439" s="24">
        <v>45952.0</v>
      </c>
      <c r="B439" s="11">
        <v>94.0</v>
      </c>
      <c r="C439" s="11" t="s">
        <v>1104</v>
      </c>
      <c r="D439" s="11" t="s">
        <v>1105</v>
      </c>
    </row>
    <row r="440">
      <c r="A440" s="24">
        <v>45954.0</v>
      </c>
      <c r="B440" s="11">
        <v>29.99</v>
      </c>
      <c r="C440" s="11" t="s">
        <v>1136</v>
      </c>
      <c r="D440" s="11" t="s">
        <v>1107</v>
      </c>
    </row>
    <row r="441">
      <c r="A441" s="24">
        <v>45956.0</v>
      </c>
      <c r="B441" s="11">
        <v>16.99</v>
      </c>
      <c r="C441" s="11" t="s">
        <v>1121</v>
      </c>
      <c r="D441" s="11" t="s">
        <v>1107</v>
      </c>
    </row>
    <row r="442">
      <c r="A442" s="24">
        <v>45957.0</v>
      </c>
      <c r="B442" s="11">
        <v>99.0</v>
      </c>
      <c r="C442" s="11" t="s">
        <v>1104</v>
      </c>
      <c r="D442" s="11" t="s">
        <v>1105</v>
      </c>
    </row>
    <row r="443">
      <c r="A443" s="24">
        <v>45961.0</v>
      </c>
      <c r="B443" s="11">
        <v>37.5</v>
      </c>
      <c r="C443" s="11" t="s">
        <v>1104</v>
      </c>
      <c r="D443" s="11" t="s">
        <v>1105</v>
      </c>
    </row>
    <row r="444">
      <c r="A444" s="24">
        <v>45961.0</v>
      </c>
      <c r="B444" s="11">
        <v>6.0</v>
      </c>
      <c r="C444" s="11" t="s">
        <v>1110</v>
      </c>
      <c r="D444" s="11" t="s">
        <v>1138</v>
      </c>
    </row>
    <row r="445">
      <c r="A445" s="24">
        <v>45962.0</v>
      </c>
      <c r="B445" s="11">
        <v>117.6</v>
      </c>
      <c r="C445" s="11" t="s">
        <v>1137</v>
      </c>
      <c r="D445" s="11" t="s">
        <v>1107</v>
      </c>
    </row>
    <row r="446">
      <c r="A446" s="24">
        <v>45963.0</v>
      </c>
      <c r="B446" s="11">
        <v>15.65</v>
      </c>
      <c r="C446" s="11" t="s">
        <v>1144</v>
      </c>
      <c r="D446" s="11" t="s">
        <v>1107</v>
      </c>
    </row>
    <row r="447">
      <c r="A447" s="24">
        <v>45965.0</v>
      </c>
      <c r="B447" s="11">
        <v>5.0</v>
      </c>
      <c r="C447" s="11" t="s">
        <v>1135</v>
      </c>
      <c r="D447" s="11" t="s">
        <v>1113</v>
      </c>
    </row>
    <row r="448">
      <c r="A448" s="24">
        <v>45966.0</v>
      </c>
      <c r="B448" s="11">
        <v>39.6</v>
      </c>
      <c r="C448" s="11" t="s">
        <v>1110</v>
      </c>
      <c r="D448" s="11" t="s">
        <v>1113</v>
      </c>
    </row>
    <row r="449">
      <c r="A449" s="24">
        <v>45971.0</v>
      </c>
      <c r="B449" s="11">
        <v>39.0</v>
      </c>
      <c r="C449" s="11" t="s">
        <v>1141</v>
      </c>
      <c r="D449" s="11" t="s">
        <v>1107</v>
      </c>
    </row>
    <row r="450">
      <c r="A450" s="24">
        <v>45976.0</v>
      </c>
      <c r="B450" s="11">
        <v>105.0</v>
      </c>
      <c r="C450" s="11" t="s">
        <v>1104</v>
      </c>
      <c r="D450" s="11" t="s">
        <v>1105</v>
      </c>
    </row>
    <row r="451">
      <c r="A451" s="24">
        <v>45976.0</v>
      </c>
      <c r="B451" s="11">
        <v>25.0</v>
      </c>
      <c r="C451" s="11" t="s">
        <v>1143</v>
      </c>
      <c r="D451" s="11" t="s">
        <v>1107</v>
      </c>
    </row>
    <row r="452">
      <c r="A452" s="24">
        <v>45976.0</v>
      </c>
      <c r="B452" s="11">
        <v>20.0</v>
      </c>
      <c r="C452" s="11" t="s">
        <v>1123</v>
      </c>
      <c r="D452" s="11" t="s">
        <v>1107</v>
      </c>
    </row>
    <row r="453">
      <c r="A453" s="24">
        <v>45976.0</v>
      </c>
      <c r="B453" s="11">
        <v>5.0</v>
      </c>
      <c r="C453" s="11" t="s">
        <v>1126</v>
      </c>
      <c r="D453" s="11" t="s">
        <v>1107</v>
      </c>
    </row>
    <row r="454">
      <c r="A454" s="24">
        <v>45985.0</v>
      </c>
      <c r="B454" s="11">
        <v>111.0</v>
      </c>
      <c r="C454" s="11" t="s">
        <v>1104</v>
      </c>
      <c r="D454" s="11" t="s">
        <v>1105</v>
      </c>
    </row>
    <row r="455">
      <c r="A455" s="24">
        <v>45985.0</v>
      </c>
      <c r="B455" s="11">
        <v>29.99</v>
      </c>
      <c r="C455" s="11" t="s">
        <v>1136</v>
      </c>
      <c r="D455" s="11" t="s">
        <v>1107</v>
      </c>
    </row>
    <row r="456">
      <c r="A456" s="24">
        <v>45987.0</v>
      </c>
      <c r="B456" s="11">
        <v>16.99</v>
      </c>
      <c r="C456" s="11" t="s">
        <v>1121</v>
      </c>
      <c r="D456" s="11" t="s">
        <v>1107</v>
      </c>
    </row>
    <row r="457">
      <c r="A457" s="24">
        <v>45989.0</v>
      </c>
      <c r="B457" s="11">
        <v>6.0</v>
      </c>
      <c r="C457" s="11" t="s">
        <v>1110</v>
      </c>
      <c r="D457" s="11" t="s">
        <v>1138</v>
      </c>
    </row>
    <row r="458">
      <c r="A458" s="24">
        <v>45991.0</v>
      </c>
      <c r="B458" s="11">
        <v>58.18</v>
      </c>
      <c r="C458" s="11" t="s">
        <v>1104</v>
      </c>
      <c r="D458" s="11" t="s">
        <v>1105</v>
      </c>
    </row>
    <row r="459">
      <c r="A459" s="24">
        <v>45992.0</v>
      </c>
      <c r="B459" s="11">
        <v>117.6</v>
      </c>
      <c r="C459" s="11" t="s">
        <v>1137</v>
      </c>
      <c r="D459" s="11" t="s">
        <v>1107</v>
      </c>
    </row>
    <row r="460">
      <c r="A460" s="24">
        <v>45993.0</v>
      </c>
      <c r="B460" s="11">
        <v>15.76</v>
      </c>
      <c r="C460" s="11" t="s">
        <v>1144</v>
      </c>
      <c r="D460" s="11" t="s">
        <v>1107</v>
      </c>
    </row>
    <row r="461">
      <c r="A461" s="24">
        <v>45993.0</v>
      </c>
      <c r="B461" s="11">
        <v>210.0</v>
      </c>
      <c r="C461" s="11" t="s">
        <v>1119</v>
      </c>
      <c r="D461" s="11" t="s">
        <v>1107</v>
      </c>
    </row>
    <row r="462">
      <c r="A462" s="24">
        <v>45996.0</v>
      </c>
      <c r="B462" s="11">
        <v>7.2</v>
      </c>
      <c r="C462" s="11" t="s">
        <v>1135</v>
      </c>
      <c r="D462" s="11" t="s">
        <v>1113</v>
      </c>
    </row>
    <row r="463">
      <c r="A463" s="24">
        <v>45996.0</v>
      </c>
      <c r="B463" s="11">
        <v>7.7</v>
      </c>
      <c r="C463" s="11" t="s">
        <v>1135</v>
      </c>
      <c r="D463" s="11" t="s">
        <v>1113</v>
      </c>
    </row>
    <row r="464">
      <c r="A464" s="24">
        <v>45999.0</v>
      </c>
      <c r="B464" s="11">
        <v>10.0</v>
      </c>
      <c r="C464" s="11" t="s">
        <v>1140</v>
      </c>
      <c r="D464" s="11" t="s">
        <v>1107</v>
      </c>
    </row>
    <row r="465">
      <c r="A465" s="24">
        <v>45999.0</v>
      </c>
      <c r="B465" s="11">
        <v>39.6</v>
      </c>
      <c r="C465" s="11" t="s">
        <v>1110</v>
      </c>
      <c r="D465" s="11" t="s">
        <v>1113</v>
      </c>
    </row>
    <row r="466">
      <c r="A466" s="24">
        <v>46001.0</v>
      </c>
      <c r="B466" s="11">
        <v>39.0</v>
      </c>
      <c r="C466" s="11" t="s">
        <v>1141</v>
      </c>
      <c r="D466" s="11" t="s">
        <v>1107</v>
      </c>
    </row>
    <row r="467">
      <c r="A467" s="24">
        <v>46002.0</v>
      </c>
      <c r="B467" s="11">
        <v>117.0</v>
      </c>
      <c r="C467" s="11" t="s">
        <v>1104</v>
      </c>
      <c r="D467" s="11" t="s">
        <v>1105</v>
      </c>
    </row>
    <row r="468">
      <c r="A468" s="24">
        <v>46006.0</v>
      </c>
      <c r="B468" s="11">
        <v>25.0</v>
      </c>
      <c r="C468" s="11" t="s">
        <v>1143</v>
      </c>
      <c r="D468" s="11" t="s">
        <v>1107</v>
      </c>
    </row>
    <row r="469">
      <c r="A469" s="24">
        <v>46006.0</v>
      </c>
      <c r="B469" s="11">
        <v>20.0</v>
      </c>
      <c r="C469" s="11" t="s">
        <v>1123</v>
      </c>
      <c r="D469" s="11" t="s">
        <v>1107</v>
      </c>
    </row>
    <row r="470">
      <c r="A470" s="24">
        <v>46006.0</v>
      </c>
      <c r="B470" s="11">
        <v>5.0</v>
      </c>
      <c r="C470" s="11" t="s">
        <v>1126</v>
      </c>
      <c r="D470" s="11" t="s">
        <v>1107</v>
      </c>
    </row>
    <row r="471">
      <c r="A471" s="24">
        <v>46015.0</v>
      </c>
      <c r="B471" s="11">
        <v>124.0</v>
      </c>
      <c r="C471" s="11" t="s">
        <v>1104</v>
      </c>
      <c r="D471" s="11" t="s">
        <v>1105</v>
      </c>
    </row>
    <row r="472">
      <c r="A472" s="24">
        <v>46015.0</v>
      </c>
      <c r="B472" s="11">
        <v>29.99</v>
      </c>
      <c r="C472" s="11" t="s">
        <v>1136</v>
      </c>
      <c r="D472" s="11" t="s">
        <v>1107</v>
      </c>
    </row>
    <row r="473">
      <c r="A473" s="24">
        <v>46017.0</v>
      </c>
      <c r="B473" s="11">
        <v>16.99</v>
      </c>
      <c r="C473" s="11" t="s">
        <v>1121</v>
      </c>
      <c r="D473" s="11" t="s">
        <v>1107</v>
      </c>
    </row>
    <row r="474">
      <c r="A474" s="24">
        <v>46022.0</v>
      </c>
      <c r="B474" s="11">
        <v>70.24</v>
      </c>
      <c r="C474" s="11" t="s">
        <v>1104</v>
      </c>
      <c r="D474" s="11" t="s">
        <v>1105</v>
      </c>
    </row>
    <row r="475">
      <c r="A475" s="24">
        <v>46023.0</v>
      </c>
      <c r="B475" s="11">
        <v>117.6</v>
      </c>
      <c r="C475" s="11" t="s">
        <v>1137</v>
      </c>
      <c r="D475" s="11" t="s">
        <v>1107</v>
      </c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" t="s">
        <v>1191</v>
      </c>
      <c r="B1" s="30" t="s">
        <v>14</v>
      </c>
      <c r="C1" s="31" t="s">
        <v>17</v>
      </c>
      <c r="D1" s="31" t="s">
        <v>1192</v>
      </c>
      <c r="E1" s="32" t="s">
        <v>1193</v>
      </c>
    </row>
    <row r="2">
      <c r="A2" s="33" t="s">
        <v>1194</v>
      </c>
      <c r="B2" s="34">
        <v>42063.0</v>
      </c>
      <c r="C2" s="35" t="s">
        <v>42</v>
      </c>
      <c r="D2" s="36">
        <v>4.54</v>
      </c>
      <c r="E2" s="21">
        <f>IFERROR(__xludf.DUMMYFUNCTION("IF(C2=""USD"", D2, 
  IFERROR(
    D2 * INDEX(GOOGLEFINANCE(CONCATENATE(""CURRENCY:"", C2, ""USD""), ""close"", B2), 2, 2),
    IFERROR(
      D2 * INDEX(GOOGLEFINANCE(CONCATENATE(""CURRENCY:"", C2, ""USD""), ""close"", B2 - 1), 2, 2),
      D2 * INDEX(GO"&amp;"OGLEFINANCE(CONCATENATE(""CURRENCY:"", C2, ""USD""), ""close"", B2 + 1), 2, 2)
    )
  )
)"),4.54)</f>
        <v>4.54</v>
      </c>
    </row>
    <row r="3">
      <c r="A3" s="33" t="s">
        <v>1195</v>
      </c>
      <c r="B3" s="34">
        <v>42153.0</v>
      </c>
      <c r="C3" s="35" t="s">
        <v>42</v>
      </c>
      <c r="D3" s="36">
        <v>158.2</v>
      </c>
      <c r="E3" s="21">
        <f>IFERROR(__xludf.DUMMYFUNCTION("IF(C3=""USD"", D3, 
  IFERROR(
    D3 * INDEX(GOOGLEFINANCE(CONCATENATE(""CURRENCY:"", C3, ""USD""), ""close"", B3), 2, 2),
    IFERROR(
      D3 * INDEX(GOOGLEFINANCE(CONCATENATE(""CURRENCY:"", C3, ""USD""), ""close"", B3 - 1), 2, 2),
      D3 * INDEX(GO"&amp;"OGLEFINANCE(CONCATENATE(""CURRENCY:"", C3, ""USD""), ""close"", B3 + 1), 2, 2)
    )
  )
)"),158.2)</f>
        <v>158.2</v>
      </c>
    </row>
    <row r="4">
      <c r="A4" s="33" t="s">
        <v>1196</v>
      </c>
      <c r="B4" s="34">
        <v>42153.0</v>
      </c>
      <c r="C4" s="35" t="s">
        <v>42</v>
      </c>
      <c r="D4" s="36">
        <v>10.08</v>
      </c>
      <c r="E4" s="21">
        <f>IFERROR(__xludf.DUMMYFUNCTION("IF(C4=""USD"", D4, 
  IFERROR(
    D4 * INDEX(GOOGLEFINANCE(CONCATENATE(""CURRENCY:"", C4, ""USD""), ""close"", B4), 2, 2),
    IFERROR(
      D4 * INDEX(GOOGLEFINANCE(CONCATENATE(""CURRENCY:"", C4, ""USD""), ""close"", B4 - 1), 2, 2),
      D4 * INDEX(GO"&amp;"OGLEFINANCE(CONCATENATE(""CURRENCY:"", C4, ""USD""), ""close"", B4 + 1), 2, 2)
    )
  )
)"),10.08)</f>
        <v>10.08</v>
      </c>
    </row>
    <row r="5">
      <c r="A5" s="33" t="s">
        <v>1197</v>
      </c>
      <c r="B5" s="34">
        <v>42153.0</v>
      </c>
      <c r="C5" s="35" t="s">
        <v>42</v>
      </c>
      <c r="D5" s="36">
        <v>85.67</v>
      </c>
      <c r="E5" s="21">
        <f>IFERROR(__xludf.DUMMYFUNCTION("IF(C5=""USD"", D5, 
  IFERROR(
    D5 * INDEX(GOOGLEFINANCE(CONCATENATE(""CURRENCY:"", C5, ""USD""), ""close"", B5), 2, 2),
    IFERROR(
      D5 * INDEX(GOOGLEFINANCE(CONCATENATE(""CURRENCY:"", C5, ""USD""), ""close"", B5 - 1), 2, 2),
      D5 * INDEX(GO"&amp;"OGLEFINANCE(CONCATENATE(""CURRENCY:"", C5, ""USD""), ""close"", B5 + 1), 2, 2)
    )
  )
)"),85.67)</f>
        <v>85.67</v>
      </c>
    </row>
    <row r="6">
      <c r="A6" s="33" t="s">
        <v>1198</v>
      </c>
      <c r="B6" s="34">
        <v>42153.0</v>
      </c>
      <c r="C6" s="35" t="s">
        <v>42</v>
      </c>
      <c r="D6" s="36">
        <v>745.46</v>
      </c>
      <c r="E6" s="21">
        <f>IFERROR(__xludf.DUMMYFUNCTION("IF(C6=""USD"", D6, 
  IFERROR(
    D6 * INDEX(GOOGLEFINANCE(CONCATENATE(""CURRENCY:"", C6, ""USD""), ""close"", B6), 2, 2),
    IFERROR(
      D6 * INDEX(GOOGLEFINANCE(CONCATENATE(""CURRENCY:"", C6, ""USD""), ""close"", B6 - 1), 2, 2),
      D6 * INDEX(GO"&amp;"OGLEFINANCE(CONCATENATE(""CURRENCY:"", C6, ""USD""), ""close"", B6 + 1), 2, 2)
    )
  )
)"),745.46)</f>
        <v>745.46</v>
      </c>
    </row>
    <row r="7">
      <c r="A7" s="33" t="s">
        <v>1199</v>
      </c>
      <c r="B7" s="34">
        <v>42153.0</v>
      </c>
      <c r="C7" s="35" t="s">
        <v>42</v>
      </c>
      <c r="D7" s="36">
        <v>33.58</v>
      </c>
      <c r="E7" s="21">
        <f>IFERROR(__xludf.DUMMYFUNCTION("IF(C7=""USD"", D7, 
  IFERROR(
    D7 * INDEX(GOOGLEFINANCE(CONCATENATE(""CURRENCY:"", C7, ""USD""), ""close"", B7), 2, 2),
    IFERROR(
      D7 * INDEX(GOOGLEFINANCE(CONCATENATE(""CURRENCY:"", C7, ""USD""), ""close"", B7 - 1), 2, 2),
      D7 * INDEX(GO"&amp;"OGLEFINANCE(CONCATENATE(""CURRENCY:"", C7, ""USD""), ""close"", B7 + 1), 2, 2)
    )
  )
)"),33.58)</f>
        <v>33.58</v>
      </c>
    </row>
    <row r="8">
      <c r="A8" s="33" t="s">
        <v>1200</v>
      </c>
      <c r="B8" s="34">
        <v>42153.0</v>
      </c>
      <c r="C8" s="35" t="s">
        <v>42</v>
      </c>
      <c r="D8" s="36">
        <v>14.28</v>
      </c>
      <c r="E8" s="21">
        <f>IFERROR(__xludf.DUMMYFUNCTION("IF(C8=""USD"", D8, 
  IFERROR(
    D8 * INDEX(GOOGLEFINANCE(CONCATENATE(""CURRENCY:"", C8, ""USD""), ""close"", B8), 2, 2),
    IFERROR(
      D8 * INDEX(GOOGLEFINANCE(CONCATENATE(""CURRENCY:"", C8, ""USD""), ""close"", B8 - 1), 2, 2),
      D8 * INDEX(GO"&amp;"OGLEFINANCE(CONCATENATE(""CURRENCY:"", C8, ""USD""), ""close"", B8 + 1), 2, 2)
    )
  )
)"),14.28)</f>
        <v>14.28</v>
      </c>
    </row>
    <row r="9">
      <c r="A9" s="33" t="s">
        <v>1201</v>
      </c>
      <c r="B9" s="34">
        <v>42153.0</v>
      </c>
      <c r="C9" s="35" t="s">
        <v>42</v>
      </c>
      <c r="D9" s="36">
        <v>5.98</v>
      </c>
      <c r="E9" s="21">
        <f>IFERROR(__xludf.DUMMYFUNCTION("IF(C9=""USD"", D9, 
  IFERROR(
    D9 * INDEX(GOOGLEFINANCE(CONCATENATE(""CURRENCY:"", C9, ""USD""), ""close"", B9), 2, 2),
    IFERROR(
      D9 * INDEX(GOOGLEFINANCE(CONCATENATE(""CURRENCY:"", C9, ""USD""), ""close"", B9 - 1), 2, 2),
      D9 * INDEX(GO"&amp;"OGLEFINANCE(CONCATENATE(""CURRENCY:"", C9, ""USD""), ""close"", B9 + 1), 2, 2)
    )
  )
)"),5.98)</f>
        <v>5.98</v>
      </c>
    </row>
    <row r="10">
      <c r="A10" s="33" t="s">
        <v>1202</v>
      </c>
      <c r="B10" s="34">
        <v>42153.0</v>
      </c>
      <c r="C10" s="35" t="s">
        <v>42</v>
      </c>
      <c r="D10" s="36">
        <v>322.74</v>
      </c>
      <c r="E10" s="21">
        <f>IFERROR(__xludf.DUMMYFUNCTION("IF(C10=""USD"", D10, 
  IFERROR(
    D10 * INDEX(GOOGLEFINANCE(CONCATENATE(""CURRENCY:"", C10, ""USD""), ""close"", B10), 2, 2),
    IFERROR(
      D10 * INDEX(GOOGLEFINANCE(CONCATENATE(""CURRENCY:"", C10, ""USD""), ""close"", B10 - 1), 2, 2),
      D10 *"&amp;" INDEX(GOOGLEFINANCE(CONCATENATE(""CURRENCY:"", C10, ""USD""), ""close"", B10 + 1), 2, 2)
    )
  )
)"),322.74)</f>
        <v>322.74</v>
      </c>
    </row>
    <row r="11">
      <c r="A11" s="33" t="s">
        <v>1203</v>
      </c>
      <c r="B11" s="34">
        <v>42153.0</v>
      </c>
      <c r="C11" s="35" t="s">
        <v>42</v>
      </c>
      <c r="D11" s="36">
        <v>33.63</v>
      </c>
      <c r="E11" s="21">
        <f>IFERROR(__xludf.DUMMYFUNCTION("IF(C11=""USD"", D11, 
  IFERROR(
    D11 * INDEX(GOOGLEFINANCE(CONCATENATE(""CURRENCY:"", C11, ""USD""), ""close"", B11), 2, 2),
    IFERROR(
      D11 * INDEX(GOOGLEFINANCE(CONCATENATE(""CURRENCY:"", C11, ""USD""), ""close"", B11 - 1), 2, 2),
      D11 *"&amp;" INDEX(GOOGLEFINANCE(CONCATENATE(""CURRENCY:"", C11, ""USD""), ""close"", B11 + 1), 2, 2)
    )
  )
)"),33.63)</f>
        <v>33.63</v>
      </c>
    </row>
    <row r="12">
      <c r="A12" s="33" t="s">
        <v>1204</v>
      </c>
      <c r="B12" s="34">
        <v>42153.0</v>
      </c>
      <c r="C12" s="35" t="s">
        <v>42</v>
      </c>
      <c r="D12" s="36">
        <v>19.11</v>
      </c>
      <c r="E12" s="21">
        <f>IFERROR(__xludf.DUMMYFUNCTION("IF(C12=""USD"", D12, 
  IFERROR(
    D12 * INDEX(GOOGLEFINANCE(CONCATENATE(""CURRENCY:"", C12, ""USD""), ""close"", B12), 2, 2),
    IFERROR(
      D12 * INDEX(GOOGLEFINANCE(CONCATENATE(""CURRENCY:"", C12, ""USD""), ""close"", B12 - 1), 2, 2),
      D12 *"&amp;" INDEX(GOOGLEFINANCE(CONCATENATE(""CURRENCY:"", C12, ""USD""), ""close"", B12 + 1), 2, 2)
    )
  )
)"),19.11)</f>
        <v>19.11</v>
      </c>
    </row>
    <row r="13">
      <c r="A13" s="33" t="s">
        <v>1194</v>
      </c>
      <c r="B13" s="34">
        <v>42169.0</v>
      </c>
      <c r="C13" s="35" t="s">
        <v>42</v>
      </c>
      <c r="D13" s="36">
        <v>4.5</v>
      </c>
      <c r="E13" s="21">
        <f>IFERROR(__xludf.DUMMYFUNCTION("IF(C13=""USD"", D13, 
  IFERROR(
    D13 * INDEX(GOOGLEFINANCE(CONCATENATE(""CURRENCY:"", C13, ""USD""), ""close"", B13), 2, 2),
    IFERROR(
      D13 * INDEX(GOOGLEFINANCE(CONCATENATE(""CURRENCY:"", C13, ""USD""), ""close"", B13 - 1), 2, 2),
      D13 *"&amp;" INDEX(GOOGLEFINANCE(CONCATENATE(""CURRENCY:"", C13, ""USD""), ""close"", B13 + 1), 2, 2)
    )
  )
)"),4.5)</f>
        <v>4.5</v>
      </c>
    </row>
    <row r="14">
      <c r="A14" s="33" t="s">
        <v>1202</v>
      </c>
      <c r="B14" s="34">
        <v>42184.0</v>
      </c>
      <c r="C14" s="35" t="s">
        <v>42</v>
      </c>
      <c r="D14" s="36">
        <v>32.55</v>
      </c>
      <c r="E14" s="21">
        <f>IFERROR(__xludf.DUMMYFUNCTION("IF(C14=""USD"", D14, 
  IFERROR(
    D14 * INDEX(GOOGLEFINANCE(CONCATENATE(""CURRENCY:"", C14, ""USD""), ""close"", B14), 2, 2),
    IFERROR(
      D14 * INDEX(GOOGLEFINANCE(CONCATENATE(""CURRENCY:"", C14, ""USD""), ""close"", B14 - 1), 2, 2),
      D14 *"&amp;" INDEX(GOOGLEFINANCE(CONCATENATE(""CURRENCY:"", C14, ""USD""), ""close"", B14 + 1), 2, 2)
    )
  )
)"),32.55)</f>
        <v>32.55</v>
      </c>
    </row>
    <row r="15">
      <c r="A15" s="33" t="s">
        <v>1200</v>
      </c>
      <c r="B15" s="34">
        <v>42184.0</v>
      </c>
      <c r="C15" s="35" t="s">
        <v>42</v>
      </c>
      <c r="D15" s="36">
        <v>4.8</v>
      </c>
      <c r="E15" s="21">
        <f>IFERROR(__xludf.DUMMYFUNCTION("IF(C15=""USD"", D15, 
  IFERROR(
    D15 * INDEX(GOOGLEFINANCE(CONCATENATE(""CURRENCY:"", C15, ""USD""), ""close"", B15), 2, 2),
    IFERROR(
      D15 * INDEX(GOOGLEFINANCE(CONCATENATE(""CURRENCY:"", C15, ""USD""), ""close"", B15 - 1), 2, 2),
      D15 *"&amp;" INDEX(GOOGLEFINANCE(CONCATENATE(""CURRENCY:"", C15, ""USD""), ""close"", B15 + 1), 2, 2)
    )
  )
)"),4.8)</f>
        <v>4.8</v>
      </c>
    </row>
    <row r="16">
      <c r="A16" s="33" t="s">
        <v>1204</v>
      </c>
      <c r="B16" s="34">
        <v>42184.0</v>
      </c>
      <c r="C16" s="35" t="s">
        <v>42</v>
      </c>
      <c r="D16" s="36">
        <v>1.33</v>
      </c>
      <c r="E16" s="21">
        <f>IFERROR(__xludf.DUMMYFUNCTION("IF(C16=""USD"", D16, 
  IFERROR(
    D16 * INDEX(GOOGLEFINANCE(CONCATENATE(""CURRENCY:"", C16, ""USD""), ""close"", B16), 2, 2),
    IFERROR(
      D16 * INDEX(GOOGLEFINANCE(CONCATENATE(""CURRENCY:"", C16, ""USD""), ""close"", B16 - 1), 2, 2),
      D16 *"&amp;" INDEX(GOOGLEFINANCE(CONCATENATE(""CURRENCY:"", C16, ""USD""), ""close"", B16 + 1), 2, 2)
    )
  )
)"),1.33)</f>
        <v>1.33</v>
      </c>
    </row>
    <row r="17">
      <c r="A17" s="33" t="s">
        <v>1197</v>
      </c>
      <c r="B17" s="34">
        <v>42184.0</v>
      </c>
      <c r="C17" s="35" t="s">
        <v>42</v>
      </c>
      <c r="D17" s="36">
        <v>5.11</v>
      </c>
      <c r="E17" s="21">
        <f>IFERROR(__xludf.DUMMYFUNCTION("IF(C17=""USD"", D17, 
  IFERROR(
    D17 * INDEX(GOOGLEFINANCE(CONCATENATE(""CURRENCY:"", C17, ""USD""), ""close"", B17), 2, 2),
    IFERROR(
      D17 * INDEX(GOOGLEFINANCE(CONCATENATE(""CURRENCY:"", C17, ""USD""), ""close"", B17 - 1), 2, 2),
      D17 *"&amp;" INDEX(GOOGLEFINANCE(CONCATENATE(""CURRENCY:"", C17, ""USD""), ""close"", B17 + 1), 2, 2)
    )
  )
)"),5.11)</f>
        <v>5.11</v>
      </c>
    </row>
    <row r="18">
      <c r="A18" s="33" t="s">
        <v>1198</v>
      </c>
      <c r="B18" s="34">
        <v>42184.0</v>
      </c>
      <c r="C18" s="35" t="s">
        <v>42</v>
      </c>
      <c r="D18" s="36">
        <v>104.66</v>
      </c>
      <c r="E18" s="21">
        <f>IFERROR(__xludf.DUMMYFUNCTION("IF(C18=""USD"", D18, 
  IFERROR(
    D18 * INDEX(GOOGLEFINANCE(CONCATENATE(""CURRENCY:"", C18, ""USD""), ""close"", B18), 2, 2),
    IFERROR(
      D18 * INDEX(GOOGLEFINANCE(CONCATENATE(""CURRENCY:"", C18, ""USD""), ""close"", B18 - 1), 2, 2),
      D18 *"&amp;" INDEX(GOOGLEFINANCE(CONCATENATE(""CURRENCY:"", C18, ""USD""), ""close"", B18 + 1), 2, 2)
    )
  )
)"),104.66)</f>
        <v>104.66</v>
      </c>
    </row>
    <row r="19">
      <c r="A19" s="33" t="s">
        <v>1195</v>
      </c>
      <c r="B19" s="34">
        <v>42184.0</v>
      </c>
      <c r="C19" s="35" t="s">
        <v>42</v>
      </c>
      <c r="D19" s="36">
        <v>37.6</v>
      </c>
      <c r="E19" s="21">
        <f>IFERROR(__xludf.DUMMYFUNCTION("IF(C19=""USD"", D19, 
  IFERROR(
    D19 * INDEX(GOOGLEFINANCE(CONCATENATE(""CURRENCY:"", C19, ""USD""), ""close"", B19), 2, 2),
    IFERROR(
      D19 * INDEX(GOOGLEFINANCE(CONCATENATE(""CURRENCY:"", C19, ""USD""), ""close"", B19 - 1), 2, 2),
      D19 *"&amp;" INDEX(GOOGLEFINANCE(CONCATENATE(""CURRENCY:"", C19, ""USD""), ""close"", B19 + 1), 2, 2)
    )
  )
)"),37.6)</f>
        <v>37.6</v>
      </c>
    </row>
    <row r="20">
      <c r="A20" s="33" t="s">
        <v>1205</v>
      </c>
      <c r="B20" s="34">
        <v>42184.0</v>
      </c>
      <c r="C20" s="35" t="s">
        <v>42</v>
      </c>
      <c r="D20" s="36">
        <v>2.0</v>
      </c>
      <c r="E20" s="21">
        <f>IFERROR(__xludf.DUMMYFUNCTION("IF(C20=""USD"", D20, 
  IFERROR(
    D20 * INDEX(GOOGLEFINANCE(CONCATENATE(""CURRENCY:"", C20, ""USD""), ""close"", B20), 2, 2),
    IFERROR(
      D20 * INDEX(GOOGLEFINANCE(CONCATENATE(""CURRENCY:"", C20, ""USD""), ""close"", B20 - 1), 2, 2),
      D20 *"&amp;" INDEX(GOOGLEFINANCE(CONCATENATE(""CURRENCY:"", C20, ""USD""), ""close"", B20 + 1), 2, 2)
    )
  )
)"),2.0)</f>
        <v>2</v>
      </c>
    </row>
    <row r="21">
      <c r="A21" s="33" t="s">
        <v>1206</v>
      </c>
      <c r="B21" s="34">
        <v>42214.0</v>
      </c>
      <c r="C21" s="35" t="s">
        <v>42</v>
      </c>
      <c r="D21" s="36">
        <v>4.62</v>
      </c>
      <c r="E21" s="21">
        <f>IFERROR(__xludf.DUMMYFUNCTION("IF(C21=""USD"", D21, 
  IFERROR(
    D21 * INDEX(GOOGLEFINANCE(CONCATENATE(""CURRENCY:"", C21, ""USD""), ""close"", B21), 2, 2),
    IFERROR(
      D21 * INDEX(GOOGLEFINANCE(CONCATENATE(""CURRENCY:"", C21, ""USD""), ""close"", B21 - 1), 2, 2),
      D21 *"&amp;" INDEX(GOOGLEFINANCE(CONCATENATE(""CURRENCY:"", C21, ""USD""), ""close"", B21 + 1), 2, 2)
    )
  )
)"),4.62)</f>
        <v>4.62</v>
      </c>
    </row>
    <row r="22">
      <c r="A22" s="33" t="s">
        <v>1198</v>
      </c>
      <c r="B22" s="34">
        <v>42214.0</v>
      </c>
      <c r="C22" s="35" t="s">
        <v>42</v>
      </c>
      <c r="D22" s="36">
        <v>129.44</v>
      </c>
      <c r="E22" s="21">
        <f>IFERROR(__xludf.DUMMYFUNCTION("IF(C22=""USD"", D22, 
  IFERROR(
    D22 * INDEX(GOOGLEFINANCE(CONCATENATE(""CURRENCY:"", C22, ""USD""), ""close"", B22), 2, 2),
    IFERROR(
      D22 * INDEX(GOOGLEFINANCE(CONCATENATE(""CURRENCY:"", C22, ""USD""), ""close"", B22 - 1), 2, 2),
      D22 *"&amp;" INDEX(GOOGLEFINANCE(CONCATENATE(""CURRENCY:"", C22, ""USD""), ""close"", B22 + 1), 2, 2)
    )
  )
)"),129.44)</f>
        <v>129.44</v>
      </c>
    </row>
    <row r="23">
      <c r="A23" s="33" t="s">
        <v>1195</v>
      </c>
      <c r="B23" s="34">
        <v>42214.0</v>
      </c>
      <c r="C23" s="35" t="s">
        <v>42</v>
      </c>
      <c r="D23" s="36">
        <v>20.8</v>
      </c>
      <c r="E23" s="21">
        <f>IFERROR(__xludf.DUMMYFUNCTION("IF(C23=""USD"", D23, 
  IFERROR(
    D23 * INDEX(GOOGLEFINANCE(CONCATENATE(""CURRENCY:"", C23, ""USD""), ""close"", B23), 2, 2),
    IFERROR(
      D23 * INDEX(GOOGLEFINANCE(CONCATENATE(""CURRENCY:"", C23, ""USD""), ""close"", B23 - 1), 2, 2),
      D23 *"&amp;" INDEX(GOOGLEFINANCE(CONCATENATE(""CURRENCY:"", C23, ""USD""), ""close"", B23 + 1), 2, 2)
    )
  )
)"),20.8)</f>
        <v>20.8</v>
      </c>
    </row>
    <row r="24">
      <c r="A24" s="33" t="s">
        <v>1199</v>
      </c>
      <c r="B24" s="34">
        <v>42214.0</v>
      </c>
      <c r="C24" s="35" t="s">
        <v>42</v>
      </c>
      <c r="D24" s="36">
        <v>9.91</v>
      </c>
      <c r="E24" s="21">
        <f>IFERROR(__xludf.DUMMYFUNCTION("IF(C24=""USD"", D24, 
  IFERROR(
    D24 * INDEX(GOOGLEFINANCE(CONCATENATE(""CURRENCY:"", C24, ""USD""), ""close"", B24), 2, 2),
    IFERROR(
      D24 * INDEX(GOOGLEFINANCE(CONCATENATE(""CURRENCY:"", C24, ""USD""), ""close"", B24 - 1), 2, 2),
      D24 *"&amp;" INDEX(GOOGLEFINANCE(CONCATENATE(""CURRENCY:"", C24, ""USD""), ""close"", B24 + 1), 2, 2)
    )
  )
)"),9.91)</f>
        <v>9.91</v>
      </c>
    </row>
    <row r="25">
      <c r="A25" s="33" t="s">
        <v>1200</v>
      </c>
      <c r="B25" s="34">
        <v>42214.0</v>
      </c>
      <c r="C25" s="35" t="s">
        <v>42</v>
      </c>
      <c r="D25" s="36">
        <v>4.55</v>
      </c>
      <c r="E25" s="21">
        <f>IFERROR(__xludf.DUMMYFUNCTION("IF(C25=""USD"", D25, 
  IFERROR(
    D25 * INDEX(GOOGLEFINANCE(CONCATENATE(""CURRENCY:"", C25, ""USD""), ""close"", B25), 2, 2),
    IFERROR(
      D25 * INDEX(GOOGLEFINANCE(CONCATENATE(""CURRENCY:"", C25, ""USD""), ""close"", B25 - 1), 2, 2),
      D25 *"&amp;" INDEX(GOOGLEFINANCE(CONCATENATE(""CURRENCY:"", C25, ""USD""), ""close"", B25 + 1), 2, 2)
    )
  )
)"),4.55)</f>
        <v>4.55</v>
      </c>
    </row>
    <row r="26">
      <c r="A26" s="33" t="s">
        <v>1197</v>
      </c>
      <c r="B26" s="34">
        <v>42214.0</v>
      </c>
      <c r="C26" s="35" t="s">
        <v>42</v>
      </c>
      <c r="D26" s="36">
        <v>5.07</v>
      </c>
      <c r="E26" s="21">
        <f>IFERROR(__xludf.DUMMYFUNCTION("IF(C26=""USD"", D26, 
  IFERROR(
    D26 * INDEX(GOOGLEFINANCE(CONCATENATE(""CURRENCY:"", C26, ""USD""), ""close"", B26), 2, 2),
    IFERROR(
      D26 * INDEX(GOOGLEFINANCE(CONCATENATE(""CURRENCY:"", C26, ""USD""), ""close"", B26 - 1), 2, 2),
      D26 *"&amp;" INDEX(GOOGLEFINANCE(CONCATENATE(""CURRENCY:"", C26, ""USD""), ""close"", B26 + 1), 2, 2)
    )
  )
)"),5.07)</f>
        <v>5.07</v>
      </c>
    </row>
    <row r="27">
      <c r="A27" s="33" t="s">
        <v>1202</v>
      </c>
      <c r="B27" s="34">
        <v>42214.0</v>
      </c>
      <c r="C27" s="35" t="s">
        <v>42</v>
      </c>
      <c r="D27" s="36">
        <v>37.21</v>
      </c>
      <c r="E27" s="21">
        <f>IFERROR(__xludf.DUMMYFUNCTION("IF(C27=""USD"", D27, 
  IFERROR(
    D27 * INDEX(GOOGLEFINANCE(CONCATENATE(""CURRENCY:"", C27, ""USD""), ""close"", B27), 2, 2),
    IFERROR(
      D27 * INDEX(GOOGLEFINANCE(CONCATENATE(""CURRENCY:"", C27, ""USD""), ""close"", B27 - 1), 2, 2),
      D27 *"&amp;" INDEX(GOOGLEFINANCE(CONCATENATE(""CURRENCY:"", C27, ""USD""), ""close"", B27 + 1), 2, 2)
    )
  )
)"),37.21)</f>
        <v>37.21</v>
      </c>
    </row>
    <row r="28">
      <c r="A28" s="33" t="s">
        <v>1199</v>
      </c>
      <c r="B28" s="34">
        <v>42245.0</v>
      </c>
      <c r="C28" s="35" t="s">
        <v>42</v>
      </c>
      <c r="D28" s="36">
        <v>20.22</v>
      </c>
      <c r="E28" s="21">
        <f>IFERROR(__xludf.DUMMYFUNCTION("IF(C28=""USD"", D28, 
  IFERROR(
    D28 * INDEX(GOOGLEFINANCE(CONCATENATE(""CURRENCY:"", C28, ""USD""), ""close"", B28), 2, 2),
    IFERROR(
      D28 * INDEX(GOOGLEFINANCE(CONCATENATE(""CURRENCY:"", C28, ""USD""), ""close"", B28 - 1), 2, 2),
      D28 *"&amp;" INDEX(GOOGLEFINANCE(CONCATENATE(""CURRENCY:"", C28, ""USD""), ""close"", B28 + 1), 2, 2)
    )
  )
)"),20.22)</f>
        <v>20.22</v>
      </c>
    </row>
    <row r="29">
      <c r="A29" s="33" t="s">
        <v>1197</v>
      </c>
      <c r="B29" s="34">
        <v>42245.0</v>
      </c>
      <c r="C29" s="35" t="s">
        <v>42</v>
      </c>
      <c r="D29" s="36">
        <v>5.0</v>
      </c>
      <c r="E29" s="21">
        <f>IFERROR(__xludf.DUMMYFUNCTION("IF(C29=""USD"", D29, 
  IFERROR(
    D29 * INDEX(GOOGLEFINANCE(CONCATENATE(""CURRENCY:"", C29, ""USD""), ""close"", B29), 2, 2),
    IFERROR(
      D29 * INDEX(GOOGLEFINANCE(CONCATENATE(""CURRENCY:"", C29, ""USD""), ""close"", B29 - 1), 2, 2),
      D29 *"&amp;" INDEX(GOOGLEFINANCE(CONCATENATE(""CURRENCY:"", C29, ""USD""), ""close"", B29 + 1), 2, 2)
    )
  )
)"),5.0)</f>
        <v>5</v>
      </c>
    </row>
    <row r="30">
      <c r="A30" s="33" t="s">
        <v>1202</v>
      </c>
      <c r="B30" s="34">
        <v>42245.0</v>
      </c>
      <c r="C30" s="35" t="s">
        <v>42</v>
      </c>
      <c r="D30" s="36">
        <v>18.04</v>
      </c>
      <c r="E30" s="21">
        <f>IFERROR(__xludf.DUMMYFUNCTION("IF(C30=""USD"", D30, 
  IFERROR(
    D30 * INDEX(GOOGLEFINANCE(CONCATENATE(""CURRENCY:"", C30, ""USD""), ""close"", B30), 2, 2),
    IFERROR(
      D30 * INDEX(GOOGLEFINANCE(CONCATENATE(""CURRENCY:"", C30, ""USD""), ""close"", B30 - 1), 2, 2),
      D30 *"&amp;" INDEX(GOOGLEFINANCE(CONCATENATE(""CURRENCY:"", C30, ""USD""), ""close"", B30 + 1), 2, 2)
    )
  )
)"),18.04)</f>
        <v>18.04</v>
      </c>
    </row>
    <row r="31">
      <c r="A31" s="33" t="s">
        <v>1206</v>
      </c>
      <c r="B31" s="34">
        <v>42245.0</v>
      </c>
      <c r="C31" s="35" t="s">
        <v>42</v>
      </c>
      <c r="D31" s="36">
        <v>2.05</v>
      </c>
      <c r="E31" s="21">
        <f>IFERROR(__xludf.DUMMYFUNCTION("IF(C31=""USD"", D31, 
  IFERROR(
    D31 * INDEX(GOOGLEFINANCE(CONCATENATE(""CURRENCY:"", C31, ""USD""), ""close"", B31), 2, 2),
    IFERROR(
      D31 * INDEX(GOOGLEFINANCE(CONCATENATE(""CURRENCY:"", C31, ""USD""), ""close"", B31 - 1), 2, 2),
      D31 *"&amp;" INDEX(GOOGLEFINANCE(CONCATENATE(""CURRENCY:"", C31, ""USD""), ""close"", B31 + 1), 2, 2)
    )
  )
)"),2.05)</f>
        <v>2.05</v>
      </c>
    </row>
    <row r="32">
      <c r="A32" s="33" t="s">
        <v>1195</v>
      </c>
      <c r="B32" s="34">
        <v>42245.0</v>
      </c>
      <c r="C32" s="35" t="s">
        <v>42</v>
      </c>
      <c r="D32" s="36">
        <v>10.25</v>
      </c>
      <c r="E32" s="21">
        <f>IFERROR(__xludf.DUMMYFUNCTION("IF(C32=""USD"", D32, 
  IFERROR(
    D32 * INDEX(GOOGLEFINANCE(CONCATENATE(""CURRENCY:"", C32, ""USD""), ""close"", B32), 2, 2),
    IFERROR(
      D32 * INDEX(GOOGLEFINANCE(CONCATENATE(""CURRENCY:"", C32, ""USD""), ""close"", B32 - 1), 2, 2),
      D32 *"&amp;" INDEX(GOOGLEFINANCE(CONCATENATE(""CURRENCY:"", C32, ""USD""), ""close"", B32 + 1), 2, 2)
    )
  )
)"),10.25)</f>
        <v>10.25</v>
      </c>
    </row>
    <row r="33">
      <c r="A33" s="33" t="s">
        <v>1198</v>
      </c>
      <c r="B33" s="34">
        <v>42245.0</v>
      </c>
      <c r="C33" s="35" t="s">
        <v>42</v>
      </c>
      <c r="D33" s="36">
        <v>132.92</v>
      </c>
      <c r="E33" s="21">
        <f>IFERROR(__xludf.DUMMYFUNCTION("IF(C33=""USD"", D33, 
  IFERROR(
    D33 * INDEX(GOOGLEFINANCE(CONCATENATE(""CURRENCY:"", C33, ""USD""), ""close"", B33), 2, 2),
    IFERROR(
      D33 * INDEX(GOOGLEFINANCE(CONCATENATE(""CURRENCY:"", C33, ""USD""), ""close"", B33 - 1), 2, 2),
      D33 *"&amp;" INDEX(GOOGLEFINANCE(CONCATENATE(""CURRENCY:"", C33, ""USD""), ""close"", B33 + 1), 2, 2)
    )
  )
)"),132.92)</f>
        <v>132.92</v>
      </c>
    </row>
    <row r="34">
      <c r="A34" s="33" t="s">
        <v>1198</v>
      </c>
      <c r="B34" s="34">
        <v>42276.0</v>
      </c>
      <c r="C34" s="35" t="s">
        <v>42</v>
      </c>
      <c r="D34" s="36">
        <v>86.61</v>
      </c>
      <c r="E34" s="21">
        <f>IFERROR(__xludf.DUMMYFUNCTION("IF(C34=""USD"", D34, 
  IFERROR(
    D34 * INDEX(GOOGLEFINANCE(CONCATENATE(""CURRENCY:"", C34, ""USD""), ""close"", B34), 2, 2),
    IFERROR(
      D34 * INDEX(GOOGLEFINANCE(CONCATENATE(""CURRENCY:"", C34, ""USD""), ""close"", B34 - 1), 2, 2),
      D34 *"&amp;" INDEX(GOOGLEFINANCE(CONCATENATE(""CURRENCY:"", C34, ""USD""), ""close"", B34 + 1), 2, 2)
    )
  )
)"),86.61)</f>
        <v>86.61</v>
      </c>
    </row>
    <row r="35">
      <c r="A35" s="33" t="s">
        <v>1199</v>
      </c>
      <c r="B35" s="34">
        <v>42276.0</v>
      </c>
      <c r="C35" s="35" t="s">
        <v>42</v>
      </c>
      <c r="D35" s="36">
        <v>20.05</v>
      </c>
      <c r="E35" s="21">
        <f>IFERROR(__xludf.DUMMYFUNCTION("IF(C35=""USD"", D35, 
  IFERROR(
    D35 * INDEX(GOOGLEFINANCE(CONCATENATE(""CURRENCY:"", C35, ""USD""), ""close"", B35), 2, 2),
    IFERROR(
      D35 * INDEX(GOOGLEFINANCE(CONCATENATE(""CURRENCY:"", C35, ""USD""), ""close"", B35 - 1), 2, 2),
      D35 *"&amp;" INDEX(GOOGLEFINANCE(CONCATENATE(""CURRENCY:"", C35, ""USD""), ""close"", B35 + 1), 2, 2)
    )
  )
)"),20.05)</f>
        <v>20.05</v>
      </c>
    </row>
    <row r="36">
      <c r="A36" s="33" t="s">
        <v>1203</v>
      </c>
      <c r="B36" s="34">
        <v>42276.0</v>
      </c>
      <c r="C36" s="35" t="s">
        <v>42</v>
      </c>
      <c r="D36" s="36">
        <v>0.27</v>
      </c>
      <c r="E36" s="21">
        <f>IFERROR(__xludf.DUMMYFUNCTION("IF(C36=""USD"", D36, 
  IFERROR(
    D36 * INDEX(GOOGLEFINANCE(CONCATENATE(""CURRENCY:"", C36, ""USD""), ""close"", B36), 2, 2),
    IFERROR(
      D36 * INDEX(GOOGLEFINANCE(CONCATENATE(""CURRENCY:"", C36, ""USD""), ""close"", B36 - 1), 2, 2),
      D36 *"&amp;" INDEX(GOOGLEFINANCE(CONCATENATE(""CURRENCY:"", C36, ""USD""), ""close"", B36 + 1), 2, 2)
    )
  )
)"),0.27)</f>
        <v>0.27</v>
      </c>
    </row>
    <row r="37">
      <c r="A37" s="33" t="s">
        <v>1202</v>
      </c>
      <c r="B37" s="34">
        <v>42276.0</v>
      </c>
      <c r="C37" s="35" t="s">
        <v>42</v>
      </c>
      <c r="D37" s="36">
        <v>27.04</v>
      </c>
      <c r="E37" s="21">
        <f>IFERROR(__xludf.DUMMYFUNCTION("IF(C37=""USD"", D37, 
  IFERROR(
    D37 * INDEX(GOOGLEFINANCE(CONCATENATE(""CURRENCY:"", C37, ""USD""), ""close"", B37), 2, 2),
    IFERROR(
      D37 * INDEX(GOOGLEFINANCE(CONCATENATE(""CURRENCY:"", C37, ""USD""), ""close"", B37 - 1), 2, 2),
      D37 *"&amp;" INDEX(GOOGLEFINANCE(CONCATENATE(""CURRENCY:"", C37, ""USD""), ""close"", B37 + 1), 2, 2)
    )
  )
)"),27.04)</f>
        <v>27.04</v>
      </c>
    </row>
    <row r="38">
      <c r="A38" s="33" t="s">
        <v>1195</v>
      </c>
      <c r="B38" s="34">
        <v>42276.0</v>
      </c>
      <c r="C38" s="35" t="s">
        <v>42</v>
      </c>
      <c r="D38" s="36">
        <v>30.43</v>
      </c>
      <c r="E38" s="21">
        <f>IFERROR(__xludf.DUMMYFUNCTION("IF(C38=""USD"", D38, 
  IFERROR(
    D38 * INDEX(GOOGLEFINANCE(CONCATENATE(""CURRENCY:"", C38, ""USD""), ""close"", B38), 2, 2),
    IFERROR(
      D38 * INDEX(GOOGLEFINANCE(CONCATENATE(""CURRENCY:"", C38, ""USD""), ""close"", B38 - 1), 2, 2),
      D38 *"&amp;" INDEX(GOOGLEFINANCE(CONCATENATE(""CURRENCY:"", C38, ""USD""), ""close"", B38 + 1), 2, 2)
    )
  )
)"),30.43)</f>
        <v>30.43</v>
      </c>
    </row>
    <row r="39">
      <c r="A39" s="33" t="s">
        <v>1204</v>
      </c>
      <c r="B39" s="34">
        <v>42306.0</v>
      </c>
      <c r="C39" s="35" t="s">
        <v>42</v>
      </c>
      <c r="D39" s="36">
        <v>4.48</v>
      </c>
      <c r="E39" s="21">
        <f>IFERROR(__xludf.DUMMYFUNCTION("IF(C39=""USD"", D39, 
  IFERROR(
    D39 * INDEX(GOOGLEFINANCE(CONCATENATE(""CURRENCY:"", C39, ""USD""), ""close"", B39), 2, 2),
    IFERROR(
      D39 * INDEX(GOOGLEFINANCE(CONCATENATE(""CURRENCY:"", C39, ""USD""), ""close"", B39 - 1), 2, 2),
      D39 *"&amp;" INDEX(GOOGLEFINANCE(CONCATENATE(""CURRENCY:"", C39, ""USD""), ""close"", B39 + 1), 2, 2)
    )
  )
)"),4.48)</f>
        <v>4.48</v>
      </c>
    </row>
    <row r="40">
      <c r="A40" s="33" t="s">
        <v>1199</v>
      </c>
      <c r="B40" s="34">
        <v>42306.0</v>
      </c>
      <c r="C40" s="35" t="s">
        <v>42</v>
      </c>
      <c r="D40" s="36">
        <v>9.91</v>
      </c>
      <c r="E40" s="21">
        <f>IFERROR(__xludf.DUMMYFUNCTION("IF(C40=""USD"", D40, 
  IFERROR(
    D40 * INDEX(GOOGLEFINANCE(CONCATENATE(""CURRENCY:"", C40, ""USD""), ""close"", B40), 2, 2),
    IFERROR(
      D40 * INDEX(GOOGLEFINANCE(CONCATENATE(""CURRENCY:"", C40, ""USD""), ""close"", B40 - 1), 2, 2),
      D40 *"&amp;" INDEX(GOOGLEFINANCE(CONCATENATE(""CURRENCY:"", C40, ""USD""), ""close"", B40 + 1), 2, 2)
    )
  )
)"),9.91)</f>
        <v>9.91</v>
      </c>
    </row>
    <row r="41">
      <c r="A41" s="33" t="s">
        <v>1198</v>
      </c>
      <c r="B41" s="34">
        <v>42306.0</v>
      </c>
      <c r="C41" s="35" t="s">
        <v>42</v>
      </c>
      <c r="D41" s="36">
        <v>292.13</v>
      </c>
      <c r="E41" s="21">
        <f>IFERROR(__xludf.DUMMYFUNCTION("IF(C41=""USD"", D41, 
  IFERROR(
    D41 * INDEX(GOOGLEFINANCE(CONCATENATE(""CURRENCY:"", C41, ""USD""), ""close"", B41), 2, 2),
    IFERROR(
      D41 * INDEX(GOOGLEFINANCE(CONCATENATE(""CURRENCY:"", C41, ""USD""), ""close"", B41 - 1), 2, 2),
      D41 *"&amp;" INDEX(GOOGLEFINANCE(CONCATENATE(""CURRENCY:"", C41, ""USD""), ""close"", B41 + 1), 2, 2)
    )
  )
)"),292.13)</f>
        <v>292.13</v>
      </c>
    </row>
    <row r="42">
      <c r="A42" s="33" t="s">
        <v>1202</v>
      </c>
      <c r="B42" s="34">
        <v>42306.0</v>
      </c>
      <c r="C42" s="35" t="s">
        <v>42</v>
      </c>
      <c r="D42" s="36">
        <v>25.85</v>
      </c>
      <c r="E42" s="21">
        <f>IFERROR(__xludf.DUMMYFUNCTION("IF(C42=""USD"", D42, 
  IFERROR(
    D42 * INDEX(GOOGLEFINANCE(CONCATENATE(""CURRENCY:"", C42, ""USD""), ""close"", B42), 2, 2),
    IFERROR(
      D42 * INDEX(GOOGLEFINANCE(CONCATENATE(""CURRENCY:"", C42, ""USD""), ""close"", B42 - 1), 2, 2),
      D42 *"&amp;" INDEX(GOOGLEFINANCE(CONCATENATE(""CURRENCY:"", C42, ""USD""), ""close"", B42 + 1), 2, 2)
    )
  )
)"),25.85)</f>
        <v>25.85</v>
      </c>
    </row>
    <row r="43">
      <c r="A43" s="33" t="s">
        <v>1203</v>
      </c>
      <c r="B43" s="34">
        <v>42306.0</v>
      </c>
      <c r="C43" s="35" t="s">
        <v>42</v>
      </c>
      <c r="D43" s="36">
        <v>0.22</v>
      </c>
      <c r="E43" s="21">
        <f>IFERROR(__xludf.DUMMYFUNCTION("IF(C43=""USD"", D43, 
  IFERROR(
    D43 * INDEX(GOOGLEFINANCE(CONCATENATE(""CURRENCY:"", C43, ""USD""), ""close"", B43), 2, 2),
    IFERROR(
      D43 * INDEX(GOOGLEFINANCE(CONCATENATE(""CURRENCY:"", C43, ""USD""), ""close"", B43 - 1), 2, 2),
      D43 *"&amp;" INDEX(GOOGLEFINANCE(CONCATENATE(""CURRENCY:"", C43, ""USD""), ""close"", B43 + 1), 2, 2)
    )
  )
)"),0.22)</f>
        <v>0.22</v>
      </c>
    </row>
    <row r="44">
      <c r="A44" s="33" t="s">
        <v>1197</v>
      </c>
      <c r="B44" s="34">
        <v>42306.0</v>
      </c>
      <c r="C44" s="35" t="s">
        <v>42</v>
      </c>
      <c r="D44" s="36">
        <v>15.39</v>
      </c>
      <c r="E44" s="21">
        <f>IFERROR(__xludf.DUMMYFUNCTION("IF(C44=""USD"", D44, 
  IFERROR(
    D44 * INDEX(GOOGLEFINANCE(CONCATENATE(""CURRENCY:"", C44, ""USD""), ""close"", B44), 2, 2),
    IFERROR(
      D44 * INDEX(GOOGLEFINANCE(CONCATENATE(""CURRENCY:"", C44, ""USD""), ""close"", B44 - 1), 2, 2),
      D44 *"&amp;" INDEX(GOOGLEFINANCE(CONCATENATE(""CURRENCY:"", C44, ""USD""), ""close"", B44 + 1), 2, 2)
    )
  )
)"),15.39)</f>
        <v>15.39</v>
      </c>
    </row>
    <row r="45">
      <c r="A45" s="33" t="s">
        <v>1199</v>
      </c>
      <c r="B45" s="34">
        <v>42306.0</v>
      </c>
      <c r="C45" s="35" t="s">
        <v>42</v>
      </c>
      <c r="D45" s="36">
        <v>9.91</v>
      </c>
      <c r="E45" s="21">
        <f>IFERROR(__xludf.DUMMYFUNCTION("IF(C45=""USD"", D45, 
  IFERROR(
    D45 * INDEX(GOOGLEFINANCE(CONCATENATE(""CURRENCY:"", C45, ""USD""), ""close"", B45), 2, 2),
    IFERROR(
      D45 * INDEX(GOOGLEFINANCE(CONCATENATE(""CURRENCY:"", C45, ""USD""), ""close"", B45 - 1), 2, 2),
      D45 *"&amp;" INDEX(GOOGLEFINANCE(CONCATENATE(""CURRENCY:"", C45, ""USD""), ""close"", B45 + 1), 2, 2)
    )
  )
)"),9.91)</f>
        <v>9.91</v>
      </c>
    </row>
    <row r="46">
      <c r="A46" s="33" t="s">
        <v>1195</v>
      </c>
      <c r="B46" s="34">
        <v>42306.0</v>
      </c>
      <c r="C46" s="35" t="s">
        <v>42</v>
      </c>
      <c r="D46" s="36">
        <v>40.75</v>
      </c>
      <c r="E46" s="21">
        <f>IFERROR(__xludf.DUMMYFUNCTION("IF(C46=""USD"", D46, 
  IFERROR(
    D46 * INDEX(GOOGLEFINANCE(CONCATENATE(""CURRENCY:"", C46, ""USD""), ""close"", B46), 2, 2),
    IFERROR(
      D46 * INDEX(GOOGLEFINANCE(CONCATENATE(""CURRENCY:"", C46, ""USD""), ""close"", B46 - 1), 2, 2),
      D46 *"&amp;" INDEX(GOOGLEFINANCE(CONCATENATE(""CURRENCY:"", C46, ""USD""), ""close"", B46 + 1), 2, 2)
    )
  )
)"),40.75)</f>
        <v>40.75</v>
      </c>
    </row>
    <row r="47">
      <c r="A47" s="33" t="s">
        <v>1194</v>
      </c>
      <c r="B47" s="34">
        <v>42322.0</v>
      </c>
      <c r="C47" s="35" t="s">
        <v>42</v>
      </c>
      <c r="D47" s="36">
        <v>15.92</v>
      </c>
      <c r="E47" s="21">
        <f>IFERROR(__xludf.DUMMYFUNCTION("IF(C47=""USD"", D47, 
  IFERROR(
    D47 * INDEX(GOOGLEFINANCE(CONCATENATE(""CURRENCY:"", C47, ""USD""), ""close"", B47), 2, 2),
    IFERROR(
      D47 * INDEX(GOOGLEFINANCE(CONCATENATE(""CURRENCY:"", C47, ""USD""), ""close"", B47 - 1), 2, 2),
      D47 *"&amp;" INDEX(GOOGLEFINANCE(CONCATENATE(""CURRENCY:"", C47, ""USD""), ""close"", B47 + 1), 2, 2)
    )
  )
)"),15.92)</f>
        <v>15.92</v>
      </c>
    </row>
    <row r="48">
      <c r="A48" s="33" t="s">
        <v>1205</v>
      </c>
      <c r="B48" s="34">
        <v>42338.0</v>
      </c>
      <c r="C48" s="35" t="s">
        <v>42</v>
      </c>
      <c r="D48" s="36">
        <v>2.34</v>
      </c>
      <c r="E48" s="21">
        <f>IFERROR(__xludf.DUMMYFUNCTION("IF(C48=""USD"", D48, 
  IFERROR(
    D48 * INDEX(GOOGLEFINANCE(CONCATENATE(""CURRENCY:"", C48, ""USD""), ""close"", B48), 2, 2),
    IFERROR(
      D48 * INDEX(GOOGLEFINANCE(CONCATENATE(""CURRENCY:"", C48, ""USD""), ""close"", B48 - 1), 2, 2),
      D48 *"&amp;" INDEX(GOOGLEFINANCE(CONCATENATE(""CURRENCY:"", C48, ""USD""), ""close"", B48 + 1), 2, 2)
    )
  )
)"),2.34)</f>
        <v>2.34</v>
      </c>
    </row>
    <row r="49">
      <c r="A49" s="33" t="s">
        <v>1199</v>
      </c>
      <c r="B49" s="34">
        <v>42338.0</v>
      </c>
      <c r="C49" s="35" t="s">
        <v>42</v>
      </c>
      <c r="D49" s="36">
        <v>18.98</v>
      </c>
      <c r="E49" s="21">
        <f>IFERROR(__xludf.DUMMYFUNCTION("IF(C49=""USD"", D49, 
  IFERROR(
    D49 * INDEX(GOOGLEFINANCE(CONCATENATE(""CURRENCY:"", C49, ""USD""), ""close"", B49), 2, 2),
    IFERROR(
      D49 * INDEX(GOOGLEFINANCE(CONCATENATE(""CURRENCY:"", C49, ""USD""), ""close"", B49 - 1), 2, 2),
      D49 *"&amp;" INDEX(GOOGLEFINANCE(CONCATENATE(""CURRENCY:"", C49, ""USD""), ""close"", B49 + 1), 2, 2)
    )
  )
)"),18.98)</f>
        <v>18.98</v>
      </c>
    </row>
    <row r="50">
      <c r="A50" s="33" t="s">
        <v>1200</v>
      </c>
      <c r="B50" s="34">
        <v>42338.0</v>
      </c>
      <c r="C50" s="35" t="s">
        <v>42</v>
      </c>
      <c r="D50" s="36">
        <v>0.15</v>
      </c>
      <c r="E50" s="21">
        <f>IFERROR(__xludf.DUMMYFUNCTION("IF(C50=""USD"", D50, 
  IFERROR(
    D50 * INDEX(GOOGLEFINANCE(CONCATENATE(""CURRENCY:"", C50, ""USD""), ""close"", B50), 2, 2),
    IFERROR(
      D50 * INDEX(GOOGLEFINANCE(CONCATENATE(""CURRENCY:"", C50, ""USD""), ""close"", B50 - 1), 2, 2),
      D50 *"&amp;" INDEX(GOOGLEFINANCE(CONCATENATE(""CURRENCY:"", C50, ""USD""), ""close"", B50 + 1), 2, 2)
    )
  )
)"),0.15)</f>
        <v>0.15</v>
      </c>
    </row>
    <row r="51">
      <c r="A51" s="33" t="s">
        <v>1202</v>
      </c>
      <c r="B51" s="34">
        <v>42338.0</v>
      </c>
      <c r="C51" s="35" t="s">
        <v>42</v>
      </c>
      <c r="D51" s="36">
        <v>19.79</v>
      </c>
      <c r="E51" s="21">
        <f>IFERROR(__xludf.DUMMYFUNCTION("IF(C51=""USD"", D51, 
  IFERROR(
    D51 * INDEX(GOOGLEFINANCE(CONCATENATE(""CURRENCY:"", C51, ""USD""), ""close"", B51), 2, 2),
    IFERROR(
      D51 * INDEX(GOOGLEFINANCE(CONCATENATE(""CURRENCY:"", C51, ""USD""), ""close"", B51 - 1), 2, 2),
      D51 *"&amp;" INDEX(GOOGLEFINANCE(CONCATENATE(""CURRENCY:"", C51, ""USD""), ""close"", B51 + 1), 2, 2)
    )
  )
)"),19.79)</f>
        <v>19.79</v>
      </c>
    </row>
    <row r="52">
      <c r="A52" s="33" t="s">
        <v>1195</v>
      </c>
      <c r="B52" s="34">
        <v>42338.0</v>
      </c>
      <c r="C52" s="35" t="s">
        <v>42</v>
      </c>
      <c r="D52" s="36">
        <v>10.02</v>
      </c>
      <c r="E52" s="21">
        <f>IFERROR(__xludf.DUMMYFUNCTION("IF(C52=""USD"", D52, 
  IFERROR(
    D52 * INDEX(GOOGLEFINANCE(CONCATENATE(""CURRENCY:"", C52, ""USD""), ""close"", B52), 2, 2),
    IFERROR(
      D52 * INDEX(GOOGLEFINANCE(CONCATENATE(""CURRENCY:"", C52, ""USD""), ""close"", B52 - 1), 2, 2),
      D52 *"&amp;" INDEX(GOOGLEFINANCE(CONCATENATE(""CURRENCY:"", C52, ""USD""), ""close"", B52 + 1), 2, 2)
    )
  )
)"),10.02)</f>
        <v>10.02</v>
      </c>
    </row>
    <row r="53">
      <c r="A53" s="33" t="s">
        <v>1197</v>
      </c>
      <c r="B53" s="34">
        <v>42338.0</v>
      </c>
      <c r="C53" s="35" t="s">
        <v>42</v>
      </c>
      <c r="D53" s="36">
        <v>9.77</v>
      </c>
      <c r="E53" s="21">
        <f>IFERROR(__xludf.DUMMYFUNCTION("IF(C53=""USD"", D53, 
  IFERROR(
    D53 * INDEX(GOOGLEFINANCE(CONCATENATE(""CURRENCY:"", C53, ""USD""), ""close"", B53), 2, 2),
    IFERROR(
      D53 * INDEX(GOOGLEFINANCE(CONCATENATE(""CURRENCY:"", C53, ""USD""), ""close"", B53 - 1), 2, 2),
      D53 *"&amp;" INDEX(GOOGLEFINANCE(CONCATENATE(""CURRENCY:"", C53, ""USD""), ""close"", B53 + 1), 2, 2)
    )
  )
)"),9.77)</f>
        <v>9.77</v>
      </c>
    </row>
    <row r="54">
      <c r="A54" s="33" t="s">
        <v>1198</v>
      </c>
      <c r="B54" s="34">
        <v>42338.0</v>
      </c>
      <c r="C54" s="35" t="s">
        <v>42</v>
      </c>
      <c r="D54" s="36">
        <v>123.86</v>
      </c>
      <c r="E54" s="21">
        <f>IFERROR(__xludf.DUMMYFUNCTION("IF(C54=""USD"", D54, 
  IFERROR(
    D54 * INDEX(GOOGLEFINANCE(CONCATENATE(""CURRENCY:"", C54, ""USD""), ""close"", B54), 2, 2),
    IFERROR(
      D54 * INDEX(GOOGLEFINANCE(CONCATENATE(""CURRENCY:"", C54, ""USD""), ""close"", B54 - 1), 2, 2),
      D54 *"&amp;" INDEX(GOOGLEFINANCE(CONCATENATE(""CURRENCY:"", C54, ""USD""), ""close"", B54 + 1), 2, 2)
    )
  )
)"),123.86)</f>
        <v>123.86</v>
      </c>
    </row>
    <row r="55">
      <c r="A55" s="33" t="s">
        <v>1199</v>
      </c>
      <c r="B55" s="34">
        <v>42367.0</v>
      </c>
      <c r="C55" s="35" t="s">
        <v>42</v>
      </c>
      <c r="D55" s="36">
        <v>19.64</v>
      </c>
      <c r="E55" s="21">
        <f>IFERROR(__xludf.DUMMYFUNCTION("IF(C55=""USD"", D55, 
  IFERROR(
    D55 * INDEX(GOOGLEFINANCE(CONCATENATE(""CURRENCY:"", C55, ""USD""), ""close"", B55), 2, 2),
    IFERROR(
      D55 * INDEX(GOOGLEFINANCE(CONCATENATE(""CURRENCY:"", C55, ""USD""), ""close"", B55 - 1), 2, 2),
      D55 *"&amp;" INDEX(GOOGLEFINANCE(CONCATENATE(""CURRENCY:"", C55, ""USD""), ""close"", B55 + 1), 2, 2)
    )
  )
)"),19.64)</f>
        <v>19.64</v>
      </c>
    </row>
    <row r="56">
      <c r="A56" s="33" t="s">
        <v>1196</v>
      </c>
      <c r="B56" s="34">
        <v>42367.0</v>
      </c>
      <c r="C56" s="35" t="s">
        <v>42</v>
      </c>
      <c r="D56" s="36">
        <v>0.34</v>
      </c>
      <c r="E56" s="21">
        <f>IFERROR(__xludf.DUMMYFUNCTION("IF(C56=""USD"", D56, 
  IFERROR(
    D56 * INDEX(GOOGLEFINANCE(CONCATENATE(""CURRENCY:"", C56, ""USD""), ""close"", B56), 2, 2),
    IFERROR(
      D56 * INDEX(GOOGLEFINANCE(CONCATENATE(""CURRENCY:"", C56, ""USD""), ""close"", B56 - 1), 2, 2),
      D56 *"&amp;" INDEX(GOOGLEFINANCE(CONCATENATE(""CURRENCY:"", C56, ""USD""), ""close"", B56 + 1), 2, 2)
    )
  )
)"),0.34)</f>
        <v>0.34</v>
      </c>
    </row>
    <row r="57">
      <c r="A57" s="33" t="s">
        <v>1197</v>
      </c>
      <c r="B57" s="34">
        <v>42367.0</v>
      </c>
      <c r="C57" s="35" t="s">
        <v>42</v>
      </c>
      <c r="D57" s="36">
        <v>9.69</v>
      </c>
      <c r="E57" s="21">
        <f>IFERROR(__xludf.DUMMYFUNCTION("IF(C57=""USD"", D57, 
  IFERROR(
    D57 * INDEX(GOOGLEFINANCE(CONCATENATE(""CURRENCY:"", C57, ""USD""), ""close"", B57), 2, 2),
    IFERROR(
      D57 * INDEX(GOOGLEFINANCE(CONCATENATE(""CURRENCY:"", C57, ""USD""), ""close"", B57 - 1), 2, 2),
      D57 *"&amp;" INDEX(GOOGLEFINANCE(CONCATENATE(""CURRENCY:"", C57, ""USD""), ""close"", B57 + 1), 2, 2)
    )
  )
)"),9.69)</f>
        <v>9.69</v>
      </c>
    </row>
    <row r="58">
      <c r="A58" s="33" t="s">
        <v>1204</v>
      </c>
      <c r="B58" s="34">
        <v>42367.0</v>
      </c>
      <c r="C58" s="35" t="s">
        <v>42</v>
      </c>
      <c r="D58" s="36">
        <v>4.43</v>
      </c>
      <c r="E58" s="21">
        <f>IFERROR(__xludf.DUMMYFUNCTION("IF(C58=""USD"", D58, 
  IFERROR(
    D58 * INDEX(GOOGLEFINANCE(CONCATENATE(""CURRENCY:"", C58, ""USD""), ""close"", B58), 2, 2),
    IFERROR(
      D58 * INDEX(GOOGLEFINANCE(CONCATENATE(""CURRENCY:"", C58, ""USD""), ""close"", B58 - 1), 2, 2),
      D58 *"&amp;" INDEX(GOOGLEFINANCE(CONCATENATE(""CURRENCY:"", C58, ""USD""), ""close"", B58 + 1), 2, 2)
    )
  )
)"),4.43)</f>
        <v>4.43</v>
      </c>
    </row>
    <row r="59">
      <c r="A59" s="33" t="s">
        <v>1198</v>
      </c>
      <c r="B59" s="34">
        <v>42367.0</v>
      </c>
      <c r="C59" s="35" t="s">
        <v>42</v>
      </c>
      <c r="D59" s="36">
        <v>122.56</v>
      </c>
      <c r="E59" s="21">
        <f>IFERROR(__xludf.DUMMYFUNCTION("IF(C59=""USD"", D59, 
  IFERROR(
    D59 * INDEX(GOOGLEFINANCE(CONCATENATE(""CURRENCY:"", C59, ""USD""), ""close"", B59), 2, 2),
    IFERROR(
      D59 * INDEX(GOOGLEFINANCE(CONCATENATE(""CURRENCY:"", C59, ""USD""), ""close"", B59 - 1), 2, 2),
      D59 *"&amp;" INDEX(GOOGLEFINANCE(CONCATENATE(""CURRENCY:"", C59, ""USD""), ""close"", B59 + 1), 2, 2)
    )
  )
)"),122.56)</f>
        <v>122.56</v>
      </c>
    </row>
    <row r="60">
      <c r="A60" s="33" t="s">
        <v>1202</v>
      </c>
      <c r="B60" s="34">
        <v>42367.0</v>
      </c>
      <c r="C60" s="35" t="s">
        <v>42</v>
      </c>
      <c r="D60" s="36">
        <v>39.77</v>
      </c>
      <c r="E60" s="21">
        <f>IFERROR(__xludf.DUMMYFUNCTION("IF(C60=""USD"", D60, 
  IFERROR(
    D60 * INDEX(GOOGLEFINANCE(CONCATENATE(""CURRENCY:"", C60, ""USD""), ""close"", B60), 2, 2),
    IFERROR(
      D60 * INDEX(GOOGLEFINANCE(CONCATENATE(""CURRENCY:"", C60, ""USD""), ""close"", B60 - 1), 2, 2),
      D60 *"&amp;" INDEX(GOOGLEFINANCE(CONCATENATE(""CURRENCY:"", C60, ""USD""), ""close"", B60 + 1), 2, 2)
    )
  )
)"),39.77)</f>
        <v>39.77</v>
      </c>
    </row>
    <row r="61">
      <c r="A61" s="33" t="s">
        <v>1195</v>
      </c>
      <c r="B61" s="34">
        <v>42367.0</v>
      </c>
      <c r="C61" s="35" t="s">
        <v>42</v>
      </c>
      <c r="D61" s="36">
        <v>19.88</v>
      </c>
      <c r="E61" s="21">
        <f>IFERROR(__xludf.DUMMYFUNCTION("IF(C61=""USD"", D61, 
  IFERROR(
    D61 * INDEX(GOOGLEFINANCE(CONCATENATE(""CURRENCY:"", C61, ""USD""), ""close"", B61), 2, 2),
    IFERROR(
      D61 * INDEX(GOOGLEFINANCE(CONCATENATE(""CURRENCY:"", C61, ""USD""), ""close"", B61 - 1), 2, 2),
      D61 *"&amp;" INDEX(GOOGLEFINANCE(CONCATENATE(""CURRENCY:"", C61, ""USD""), ""close"", B61 + 1), 2, 2)
    )
  )
)"),19.88)</f>
        <v>19.88</v>
      </c>
    </row>
    <row r="62">
      <c r="A62" s="33" t="s">
        <v>1195</v>
      </c>
      <c r="B62" s="34">
        <v>42398.0</v>
      </c>
      <c r="C62" s="35" t="s">
        <v>42</v>
      </c>
      <c r="D62" s="36">
        <v>47.74</v>
      </c>
      <c r="E62" s="21">
        <f>IFERROR(__xludf.DUMMYFUNCTION("IF(C62=""USD"", D62, 
  IFERROR(
    D62 * INDEX(GOOGLEFINANCE(CONCATENATE(""CURRENCY:"", C62, ""USD""), ""close"", B62), 2, 2),
    IFERROR(
      D62 * INDEX(GOOGLEFINANCE(CONCATENATE(""CURRENCY:"", C62, ""USD""), ""close"", B62 - 1), 2, 2),
      D62 *"&amp;" INDEX(GOOGLEFINANCE(CONCATENATE(""CURRENCY:"", C62, ""USD""), ""close"", B62 + 1), 2, 2)
    )
  )
)"),47.74)</f>
        <v>47.74</v>
      </c>
    </row>
    <row r="63">
      <c r="A63" s="33" t="s">
        <v>1202</v>
      </c>
      <c r="B63" s="34">
        <v>42398.0</v>
      </c>
      <c r="C63" s="35" t="s">
        <v>42</v>
      </c>
      <c r="D63" s="36">
        <v>26.56</v>
      </c>
      <c r="E63" s="21">
        <f>IFERROR(__xludf.DUMMYFUNCTION("IF(C63=""USD"", D63, 
  IFERROR(
    D63 * INDEX(GOOGLEFINANCE(CONCATENATE(""CURRENCY:"", C63, ""USD""), ""close"", B63), 2, 2),
    IFERROR(
      D63 * INDEX(GOOGLEFINANCE(CONCATENATE(""CURRENCY:"", C63, ""USD""), ""close"", B63 - 1), 2, 2),
      D63 *"&amp;" INDEX(GOOGLEFINANCE(CONCATENATE(""CURRENCY:"", C63, ""USD""), ""close"", B63 + 1), 2, 2)
    )
  )
)"),26.56)</f>
        <v>26.56</v>
      </c>
    </row>
    <row r="64">
      <c r="A64" s="33" t="s">
        <v>1203</v>
      </c>
      <c r="B64" s="34">
        <v>42398.0</v>
      </c>
      <c r="C64" s="35" t="s">
        <v>42</v>
      </c>
      <c r="D64" s="36">
        <v>4.37</v>
      </c>
      <c r="E64" s="21">
        <f>IFERROR(__xludf.DUMMYFUNCTION("IF(C64=""USD"", D64, 
  IFERROR(
    D64 * INDEX(GOOGLEFINANCE(CONCATENATE(""CURRENCY:"", C64, ""USD""), ""close"", B64), 2, 2),
    IFERROR(
      D64 * INDEX(GOOGLEFINANCE(CONCATENATE(""CURRENCY:"", C64, ""USD""), ""close"", B64 - 1), 2, 2),
      D64 *"&amp;" INDEX(GOOGLEFINANCE(CONCATENATE(""CURRENCY:"", C64, ""USD""), ""close"", B64 + 1), 2, 2)
    )
  )
)"),4.37)</f>
        <v>4.37</v>
      </c>
    </row>
    <row r="65">
      <c r="A65" s="33" t="s">
        <v>1198</v>
      </c>
      <c r="B65" s="34">
        <v>42398.0</v>
      </c>
      <c r="C65" s="35" t="s">
        <v>42</v>
      </c>
      <c r="D65" s="36">
        <v>108.77</v>
      </c>
      <c r="E65" s="21">
        <f>IFERROR(__xludf.DUMMYFUNCTION("IF(C65=""USD"", D65, 
  IFERROR(
    D65 * INDEX(GOOGLEFINANCE(CONCATENATE(""CURRENCY:"", C65, ""USD""), ""close"", B65), 2, 2),
    IFERROR(
      D65 * INDEX(GOOGLEFINANCE(CONCATENATE(""CURRENCY:"", C65, ""USD""), ""close"", B65 - 1), 2, 2),
      D65 *"&amp;" INDEX(GOOGLEFINANCE(CONCATENATE(""CURRENCY:"", C65, ""USD""), ""close"", B65 + 1), 2, 2)
    )
  )
)"),108.77)</f>
        <v>108.77</v>
      </c>
    </row>
    <row r="66">
      <c r="A66" s="33" t="s">
        <v>1203</v>
      </c>
      <c r="B66" s="34">
        <v>42429.0</v>
      </c>
      <c r="C66" s="35" t="s">
        <v>42</v>
      </c>
      <c r="D66" s="36">
        <v>4.35</v>
      </c>
      <c r="E66" s="21">
        <f>IFERROR(__xludf.DUMMYFUNCTION("IF(C66=""USD"", D66, 
  IFERROR(
    D66 * INDEX(GOOGLEFINANCE(CONCATENATE(""CURRENCY:"", C66, ""USD""), ""close"", B66), 2, 2),
    IFERROR(
      D66 * INDEX(GOOGLEFINANCE(CONCATENATE(""CURRENCY:"", C66, ""USD""), ""close"", B66 - 1), 2, 2),
      D66 *"&amp;" INDEX(GOOGLEFINANCE(CONCATENATE(""CURRENCY:"", C66, ""USD""), ""close"", B66 + 1), 2, 2)
    )
  )
)"),4.35)</f>
        <v>4.35</v>
      </c>
    </row>
    <row r="67">
      <c r="A67" s="33" t="s">
        <v>1200</v>
      </c>
      <c r="B67" s="34">
        <v>42429.0</v>
      </c>
      <c r="C67" s="35" t="s">
        <v>42</v>
      </c>
      <c r="D67" s="36">
        <v>0.13</v>
      </c>
      <c r="E67" s="21">
        <f>IFERROR(__xludf.DUMMYFUNCTION("IF(C67=""USD"", D67, 
  IFERROR(
    D67 * INDEX(GOOGLEFINANCE(CONCATENATE(""CURRENCY:"", C67, ""USD""), ""close"", B67), 2, 2),
    IFERROR(
      D67 * INDEX(GOOGLEFINANCE(CONCATENATE(""CURRENCY:"", C67, ""USD""), ""close"", B67 - 1), 2, 2),
      D67 *"&amp;" INDEX(GOOGLEFINANCE(CONCATENATE(""CURRENCY:"", C67, ""USD""), ""close"", B67 + 1), 2, 2)
    )
  )
)"),0.13)</f>
        <v>0.13</v>
      </c>
    </row>
    <row r="68">
      <c r="A68" s="33" t="s">
        <v>1202</v>
      </c>
      <c r="B68" s="34">
        <v>42429.0</v>
      </c>
      <c r="C68" s="35" t="s">
        <v>42</v>
      </c>
      <c r="D68" s="36">
        <v>32.6</v>
      </c>
      <c r="E68" s="21">
        <f>IFERROR(__xludf.DUMMYFUNCTION("IF(C68=""USD"", D68, 
  IFERROR(
    D68 * INDEX(GOOGLEFINANCE(CONCATENATE(""CURRENCY:"", C68, ""USD""), ""close"", B68), 2, 2),
    IFERROR(
      D68 * INDEX(GOOGLEFINANCE(CONCATENATE(""CURRENCY:"", C68, ""USD""), ""close"", B68 - 1), 2, 2),
      D68 *"&amp;" INDEX(GOOGLEFINANCE(CONCATENATE(""CURRENCY:"", C68, ""USD""), ""close"", B68 + 1), 2, 2)
    )
  )
)"),32.6)</f>
        <v>32.6</v>
      </c>
    </row>
    <row r="69">
      <c r="A69" s="33" t="s">
        <v>1204</v>
      </c>
      <c r="B69" s="34">
        <v>42429.0</v>
      </c>
      <c r="C69" s="35" t="s">
        <v>42</v>
      </c>
      <c r="D69" s="36">
        <v>4.58</v>
      </c>
      <c r="E69" s="21">
        <f>IFERROR(__xludf.DUMMYFUNCTION("IF(C69=""USD"", D69, 
  IFERROR(
    D69 * INDEX(GOOGLEFINANCE(CONCATENATE(""CURRENCY:"", C69, ""USD""), ""close"", B69), 2, 2),
    IFERROR(
      D69 * INDEX(GOOGLEFINANCE(CONCATENATE(""CURRENCY:"", C69, ""USD""), ""close"", B69 - 1), 2, 2),
      D69 *"&amp;" INDEX(GOOGLEFINANCE(CONCATENATE(""CURRENCY:"", C69, ""USD""), ""close"", B69 + 1), 2, 2)
    )
  )
)"),4.58)</f>
        <v>4.58</v>
      </c>
    </row>
    <row r="70">
      <c r="A70" s="33" t="s">
        <v>1198</v>
      </c>
      <c r="B70" s="34">
        <v>42429.0</v>
      </c>
      <c r="C70" s="35" t="s">
        <v>42</v>
      </c>
      <c r="D70" s="36">
        <v>155.31</v>
      </c>
      <c r="E70" s="21">
        <f>IFERROR(__xludf.DUMMYFUNCTION("IF(C70=""USD"", D70, 
  IFERROR(
    D70 * INDEX(GOOGLEFINANCE(CONCATENATE(""CURRENCY:"", C70, ""USD""), ""close"", B70), 2, 2),
    IFERROR(
      D70 * INDEX(GOOGLEFINANCE(CONCATENATE(""CURRENCY:"", C70, ""USD""), ""close"", B70 - 1), 2, 2),
      D70 *"&amp;" INDEX(GOOGLEFINANCE(CONCATENATE(""CURRENCY:"", C70, ""USD""), ""close"", B70 + 1), 2, 2)
    )
  )
)"),155.31)</f>
        <v>155.31</v>
      </c>
    </row>
    <row r="71">
      <c r="A71" s="33" t="s">
        <v>1197</v>
      </c>
      <c r="B71" s="34">
        <v>42429.0</v>
      </c>
      <c r="C71" s="35" t="s">
        <v>42</v>
      </c>
      <c r="D71" s="36">
        <v>5.95</v>
      </c>
      <c r="E71" s="21">
        <f>IFERROR(__xludf.DUMMYFUNCTION("IF(C71=""USD"", D71, 
  IFERROR(
    D71 * INDEX(GOOGLEFINANCE(CONCATENATE(""CURRENCY:"", C71, ""USD""), ""close"", B71), 2, 2),
    IFERROR(
      D71 * INDEX(GOOGLEFINANCE(CONCATENATE(""CURRENCY:"", C71, ""USD""), ""close"", B71 - 1), 2, 2),
      D71 *"&amp;" INDEX(GOOGLEFINANCE(CONCATENATE(""CURRENCY:"", C71, ""USD""), ""close"", B71 + 1), 2, 2)
    )
  )
)"),5.95)</f>
        <v>5.95</v>
      </c>
    </row>
    <row r="72">
      <c r="A72" s="33" t="s">
        <v>1199</v>
      </c>
      <c r="B72" s="34">
        <v>42429.0</v>
      </c>
      <c r="C72" s="35" t="s">
        <v>42</v>
      </c>
      <c r="D72" s="36">
        <v>19.75</v>
      </c>
      <c r="E72" s="21">
        <f>IFERROR(__xludf.DUMMYFUNCTION("IF(C72=""USD"", D72, 
  IFERROR(
    D72 * INDEX(GOOGLEFINANCE(CONCATENATE(""CURRENCY:"", C72, ""USD""), ""close"", B72), 2, 2),
    IFERROR(
      D72 * INDEX(GOOGLEFINANCE(CONCATENATE(""CURRENCY:"", C72, ""USD""), ""close"", B72 - 1), 2, 2),
      D72 *"&amp;" INDEX(GOOGLEFINANCE(CONCATENATE(""CURRENCY:"", C72, ""USD""), ""close"", B72 + 1), 2, 2)
    )
  )
)"),19.75)</f>
        <v>19.75</v>
      </c>
    </row>
    <row r="73">
      <c r="A73" s="33" t="s">
        <v>1195</v>
      </c>
      <c r="B73" s="34">
        <v>42429.0</v>
      </c>
      <c r="C73" s="35" t="s">
        <v>42</v>
      </c>
      <c r="D73" s="36">
        <v>18.65</v>
      </c>
      <c r="E73" s="21">
        <f>IFERROR(__xludf.DUMMYFUNCTION("IF(C73=""USD"", D73, 
  IFERROR(
    D73 * INDEX(GOOGLEFINANCE(CONCATENATE(""CURRENCY:"", C73, ""USD""), ""close"", B73), 2, 2),
    IFERROR(
      D73 * INDEX(GOOGLEFINANCE(CONCATENATE(""CURRENCY:"", C73, ""USD""), ""close"", B73 - 1), 2, 2),
      D73 *"&amp;" INDEX(GOOGLEFINANCE(CONCATENATE(""CURRENCY:"", C73, ""USD""), ""close"", B73 + 1), 2, 2)
    )
  )
)"),18.65)</f>
        <v>18.65</v>
      </c>
    </row>
    <row r="74">
      <c r="A74" s="33" t="s">
        <v>1196</v>
      </c>
      <c r="B74" s="34">
        <v>42429.0</v>
      </c>
      <c r="C74" s="35" t="s">
        <v>42</v>
      </c>
      <c r="D74" s="36">
        <v>4.59</v>
      </c>
      <c r="E74" s="21">
        <f>IFERROR(__xludf.DUMMYFUNCTION("IF(C74=""USD"", D74, 
  IFERROR(
    D74 * INDEX(GOOGLEFINANCE(CONCATENATE(""CURRENCY:"", C74, ""USD""), ""close"", B74), 2, 2),
    IFERROR(
      D74 * INDEX(GOOGLEFINANCE(CONCATENATE(""CURRENCY:"", C74, ""USD""), ""close"", B74 - 1), 2, 2),
      D74 *"&amp;" INDEX(GOOGLEFINANCE(CONCATENATE(""CURRENCY:"", C74, ""USD""), ""close"", B74 + 1), 2, 2)
    )
  )
)"),4.59)</f>
        <v>4.59</v>
      </c>
    </row>
    <row r="75">
      <c r="A75" s="33" t="s">
        <v>1200</v>
      </c>
      <c r="B75" s="34">
        <v>42458.0</v>
      </c>
      <c r="C75" s="35" t="s">
        <v>42</v>
      </c>
      <c r="D75" s="36">
        <v>0.06</v>
      </c>
      <c r="E75" s="21">
        <f>IFERROR(__xludf.DUMMYFUNCTION("IF(C75=""USD"", D75, 
  IFERROR(
    D75 * INDEX(GOOGLEFINANCE(CONCATENATE(""CURRENCY:"", C75, ""USD""), ""close"", B75), 2, 2),
    IFERROR(
      D75 * INDEX(GOOGLEFINANCE(CONCATENATE(""CURRENCY:"", C75, ""USD""), ""close"", B75 - 1), 2, 2),
      D75 *"&amp;" INDEX(GOOGLEFINANCE(CONCATENATE(""CURRENCY:"", C75, ""USD""), ""close"", B75 + 1), 2, 2)
    )
  )
)"),0.06)</f>
        <v>0.06</v>
      </c>
    </row>
    <row r="76">
      <c r="A76" s="33" t="s">
        <v>1198</v>
      </c>
      <c r="B76" s="34">
        <v>42458.0</v>
      </c>
      <c r="C76" s="35" t="s">
        <v>42</v>
      </c>
      <c r="D76" s="36">
        <v>74.31</v>
      </c>
      <c r="E76" s="21">
        <f>IFERROR(__xludf.DUMMYFUNCTION("IF(C76=""USD"", D76, 
  IFERROR(
    D76 * INDEX(GOOGLEFINANCE(CONCATENATE(""CURRENCY:"", C76, ""USD""), ""close"", B76), 2, 2),
    IFERROR(
      D76 * INDEX(GOOGLEFINANCE(CONCATENATE(""CURRENCY:"", C76, ""USD""), ""close"", B76 - 1), 2, 2),
      D76 *"&amp;" INDEX(GOOGLEFINANCE(CONCATENATE(""CURRENCY:"", C76, ""USD""), ""close"", B76 + 1), 2, 2)
    )
  )
)"),74.31)</f>
        <v>74.31</v>
      </c>
    </row>
    <row r="77">
      <c r="A77" s="33" t="s">
        <v>1197</v>
      </c>
      <c r="B77" s="34">
        <v>42458.0</v>
      </c>
      <c r="C77" s="35" t="s">
        <v>42</v>
      </c>
      <c r="D77" s="36">
        <v>4.59</v>
      </c>
      <c r="E77" s="21">
        <f>IFERROR(__xludf.DUMMYFUNCTION("IF(C77=""USD"", D77, 
  IFERROR(
    D77 * INDEX(GOOGLEFINANCE(CONCATENATE(""CURRENCY:"", C77, ""USD""), ""close"", B77), 2, 2),
    IFERROR(
      D77 * INDEX(GOOGLEFINANCE(CONCATENATE(""CURRENCY:"", C77, ""USD""), ""close"", B77 - 1), 2, 2),
      D77 *"&amp;" INDEX(GOOGLEFINANCE(CONCATENATE(""CURRENCY:"", C77, ""USD""), ""close"", B77 + 1), 2, 2)
    )
  )
)"),4.59)</f>
        <v>4.59</v>
      </c>
    </row>
    <row r="78">
      <c r="A78" s="33" t="s">
        <v>1202</v>
      </c>
      <c r="B78" s="34">
        <v>42458.0</v>
      </c>
      <c r="C78" s="35" t="s">
        <v>42</v>
      </c>
      <c r="D78" s="36">
        <v>22.24</v>
      </c>
      <c r="E78" s="21">
        <f>IFERROR(__xludf.DUMMYFUNCTION("IF(C78=""USD"", D78, 
  IFERROR(
    D78 * INDEX(GOOGLEFINANCE(CONCATENATE(""CURRENCY:"", C78, ""USD""), ""close"", B78), 2, 2),
    IFERROR(
      D78 * INDEX(GOOGLEFINANCE(CONCATENATE(""CURRENCY:"", C78, ""USD""), ""close"", B78 - 1), 2, 2),
      D78 *"&amp;" INDEX(GOOGLEFINANCE(CONCATENATE(""CURRENCY:"", C78, ""USD""), ""close"", B78 + 1), 2, 2)
    )
  )
)"),22.24)</f>
        <v>22.24</v>
      </c>
    </row>
    <row r="79">
      <c r="A79" s="33" t="s">
        <v>1199</v>
      </c>
      <c r="B79" s="34">
        <v>42458.0</v>
      </c>
      <c r="C79" s="35" t="s">
        <v>42</v>
      </c>
      <c r="D79" s="36">
        <v>15.99</v>
      </c>
      <c r="E79" s="21">
        <f>IFERROR(__xludf.DUMMYFUNCTION("IF(C79=""USD"", D79, 
  IFERROR(
    D79 * INDEX(GOOGLEFINANCE(CONCATENATE(""CURRENCY:"", C79, ""USD""), ""close"", B79), 2, 2),
    IFERROR(
      D79 * INDEX(GOOGLEFINANCE(CONCATENATE(""CURRENCY:"", C79, ""USD""), ""close"", B79 - 1), 2, 2),
      D79 *"&amp;" INDEX(GOOGLEFINANCE(CONCATENATE(""CURRENCY:"", C79, ""USD""), ""close"", B79 + 1), 2, 2)
    )
  )
)"),15.99)</f>
        <v>15.99</v>
      </c>
    </row>
    <row r="80">
      <c r="A80" s="33" t="s">
        <v>1199</v>
      </c>
      <c r="B80" s="34">
        <v>42489.0</v>
      </c>
      <c r="C80" s="35" t="s">
        <v>42</v>
      </c>
      <c r="D80" s="36">
        <v>8.13</v>
      </c>
      <c r="E80" s="21">
        <f>IFERROR(__xludf.DUMMYFUNCTION("IF(C80=""USD"", D80, 
  IFERROR(
    D80 * INDEX(GOOGLEFINANCE(CONCATENATE(""CURRENCY:"", C80, ""USD""), ""close"", B80), 2, 2),
    IFERROR(
      D80 * INDEX(GOOGLEFINANCE(CONCATENATE(""CURRENCY:"", C80, ""USD""), ""close"", B80 - 1), 2, 2),
      D80 *"&amp;" INDEX(GOOGLEFINANCE(CONCATENATE(""CURRENCY:"", C80, ""USD""), ""close"", B80 + 1), 2, 2)
    )
  )
)"),8.13)</f>
        <v>8.13</v>
      </c>
    </row>
    <row r="81">
      <c r="A81" s="33" t="s">
        <v>1197</v>
      </c>
      <c r="B81" s="34">
        <v>42489.0</v>
      </c>
      <c r="C81" s="35" t="s">
        <v>42</v>
      </c>
      <c r="D81" s="36">
        <v>9.42</v>
      </c>
      <c r="E81" s="21">
        <f>IFERROR(__xludf.DUMMYFUNCTION("IF(C81=""USD"", D81, 
  IFERROR(
    D81 * INDEX(GOOGLEFINANCE(CONCATENATE(""CURRENCY:"", C81, ""USD""), ""close"", B81), 2, 2),
    IFERROR(
      D81 * INDEX(GOOGLEFINANCE(CONCATENATE(""CURRENCY:"", C81, ""USD""), ""close"", B81 - 1), 2, 2),
      D81 *"&amp;" INDEX(GOOGLEFINANCE(CONCATENATE(""CURRENCY:"", C81, ""USD""), ""close"", B81 + 1), 2, 2)
    )
  )
)"),9.42)</f>
        <v>9.42</v>
      </c>
    </row>
    <row r="82">
      <c r="A82" s="33" t="s">
        <v>1202</v>
      </c>
      <c r="B82" s="34">
        <v>42489.0</v>
      </c>
      <c r="C82" s="35" t="s">
        <v>42</v>
      </c>
      <c r="D82" s="36">
        <v>22.83</v>
      </c>
      <c r="E82" s="21">
        <f>IFERROR(__xludf.DUMMYFUNCTION("IF(C82=""USD"", D82, 
  IFERROR(
    D82 * INDEX(GOOGLEFINANCE(CONCATENATE(""CURRENCY:"", C82, ""USD""), ""close"", B82), 2, 2),
    IFERROR(
      D82 * INDEX(GOOGLEFINANCE(CONCATENATE(""CURRENCY:"", C82, ""USD""), ""close"", B82 - 1), 2, 2),
      D82 *"&amp;" INDEX(GOOGLEFINANCE(CONCATENATE(""CURRENCY:"", C82, ""USD""), ""close"", B82 + 1), 2, 2)
    )
  )
)"),22.83)</f>
        <v>22.83</v>
      </c>
    </row>
    <row r="83">
      <c r="A83" s="33" t="s">
        <v>1198</v>
      </c>
      <c r="B83" s="34">
        <v>42489.0</v>
      </c>
      <c r="C83" s="35" t="s">
        <v>42</v>
      </c>
      <c r="D83" s="36">
        <v>110.07</v>
      </c>
      <c r="E83" s="21">
        <f>IFERROR(__xludf.DUMMYFUNCTION("IF(C83=""USD"", D83, 
  IFERROR(
    D83 * INDEX(GOOGLEFINANCE(CONCATENATE(""CURRENCY:"", C83, ""USD""), ""close"", B83), 2, 2),
    IFERROR(
      D83 * INDEX(GOOGLEFINANCE(CONCATENATE(""CURRENCY:"", C83, ""USD""), ""close"", B83 - 1), 2, 2),
      D83 *"&amp;" INDEX(GOOGLEFINANCE(CONCATENATE(""CURRENCY:"", C83, ""USD""), ""close"", B83 + 1), 2, 2)
    )
  )
)"),110.07)</f>
        <v>110.07</v>
      </c>
    </row>
    <row r="84">
      <c r="A84" s="33" t="s">
        <v>1198</v>
      </c>
      <c r="B84" s="34">
        <v>42519.0</v>
      </c>
      <c r="C84" s="35" t="s">
        <v>42</v>
      </c>
      <c r="D84" s="36">
        <v>60.51</v>
      </c>
      <c r="E84" s="21">
        <f>IFERROR(__xludf.DUMMYFUNCTION("IF(C84=""USD"", D84, 
  IFERROR(
    D84 * INDEX(GOOGLEFINANCE(CONCATENATE(""CURRENCY:"", C84, ""USD""), ""close"", B84), 2, 2),
    IFERROR(
      D84 * INDEX(GOOGLEFINANCE(CONCATENATE(""CURRENCY:"", C84, ""USD""), ""close"", B84 - 1), 2, 2),
      D84 *"&amp;" INDEX(GOOGLEFINANCE(CONCATENATE(""CURRENCY:"", C84, ""USD""), ""close"", B84 + 1), 2, 2)
    )
  )
)"),60.51)</f>
        <v>60.51</v>
      </c>
    </row>
    <row r="85">
      <c r="A85" s="33" t="s">
        <v>1204</v>
      </c>
      <c r="B85" s="34">
        <v>42519.0</v>
      </c>
      <c r="C85" s="35" t="s">
        <v>42</v>
      </c>
      <c r="D85" s="36">
        <v>4.52</v>
      </c>
      <c r="E85" s="21">
        <f>IFERROR(__xludf.DUMMYFUNCTION("IF(C85=""USD"", D85, 
  IFERROR(
    D85 * INDEX(GOOGLEFINANCE(CONCATENATE(""CURRENCY:"", C85, ""USD""), ""close"", B85), 2, 2),
    IFERROR(
      D85 * INDEX(GOOGLEFINANCE(CONCATENATE(""CURRENCY:"", C85, ""USD""), ""close"", B85 - 1), 2, 2),
      D85 *"&amp;" INDEX(GOOGLEFINANCE(CONCATENATE(""CURRENCY:"", C85, ""USD""), ""close"", B85 + 1), 2, 2)
    )
  )
)"),4.52)</f>
        <v>4.52</v>
      </c>
    </row>
    <row r="86">
      <c r="A86" s="33" t="s">
        <v>1197</v>
      </c>
      <c r="B86" s="34">
        <v>42519.0</v>
      </c>
      <c r="C86" s="35" t="s">
        <v>42</v>
      </c>
      <c r="D86" s="36">
        <v>4.87</v>
      </c>
      <c r="E86" s="21">
        <f>IFERROR(__xludf.DUMMYFUNCTION("IF(C86=""USD"", D86, 
  IFERROR(
    D86 * INDEX(GOOGLEFINANCE(CONCATENATE(""CURRENCY:"", C86, ""USD""), ""close"", B86), 2, 2),
    IFERROR(
      D86 * INDEX(GOOGLEFINANCE(CONCATENATE(""CURRENCY:"", C86, ""USD""), ""close"", B86 - 1), 2, 2),
      D86 *"&amp;" INDEX(GOOGLEFINANCE(CONCATENATE(""CURRENCY:"", C86, ""USD""), ""close"", B86 + 1), 2, 2)
    )
  )
)"),4.87)</f>
        <v>4.87</v>
      </c>
    </row>
    <row r="87">
      <c r="A87" s="33" t="s">
        <v>1202</v>
      </c>
      <c r="B87" s="34">
        <v>42519.0</v>
      </c>
      <c r="C87" s="35" t="s">
        <v>42</v>
      </c>
      <c r="D87" s="36">
        <v>29.67</v>
      </c>
      <c r="E87" s="21">
        <f>IFERROR(__xludf.DUMMYFUNCTION("IF(C87=""USD"", D87, 
  IFERROR(
    D87 * INDEX(GOOGLEFINANCE(CONCATENATE(""CURRENCY:"", C87, ""USD""), ""close"", B87), 2, 2),
    IFERROR(
      D87 * INDEX(GOOGLEFINANCE(CONCATENATE(""CURRENCY:"", C87, ""USD""), ""close"", B87 - 1), 2, 2),
      D87 *"&amp;" INDEX(GOOGLEFINANCE(CONCATENATE(""CURRENCY:"", C87, ""USD""), ""close"", B87 + 1), 2, 2)
    )
  )
)"),29.67)</f>
        <v>29.67</v>
      </c>
    </row>
    <row r="88">
      <c r="A88" s="33" t="s">
        <v>1195</v>
      </c>
      <c r="B88" s="34">
        <v>42519.0</v>
      </c>
      <c r="C88" s="35" t="s">
        <v>42</v>
      </c>
      <c r="D88" s="36">
        <v>24.02</v>
      </c>
      <c r="E88" s="21">
        <f>IFERROR(__xludf.DUMMYFUNCTION("IF(C88=""USD"", D88, 
  IFERROR(
    D88 * INDEX(GOOGLEFINANCE(CONCATENATE(""CURRENCY:"", C88, ""USD""), ""close"", B88), 2, 2),
    IFERROR(
      D88 * INDEX(GOOGLEFINANCE(CONCATENATE(""CURRENCY:"", C88, ""USD""), ""close"", B88 - 1), 2, 2),
      D88 *"&amp;" INDEX(GOOGLEFINANCE(CONCATENATE(""CURRENCY:"", C88, ""USD""), ""close"", B88 + 1), 2, 2)
    )
  )
)"),24.02)</f>
        <v>24.02</v>
      </c>
    </row>
    <row r="89">
      <c r="A89" s="33" t="s">
        <v>1199</v>
      </c>
      <c r="B89" s="34">
        <v>42519.0</v>
      </c>
      <c r="C89" s="35" t="s">
        <v>42</v>
      </c>
      <c r="D89" s="36">
        <v>8.0</v>
      </c>
      <c r="E89" s="21">
        <f>IFERROR(__xludf.DUMMYFUNCTION("IF(C89=""USD"", D89, 
  IFERROR(
    D89 * INDEX(GOOGLEFINANCE(CONCATENATE(""CURRENCY:"", C89, ""USD""), ""close"", B89), 2, 2),
    IFERROR(
      D89 * INDEX(GOOGLEFINANCE(CONCATENATE(""CURRENCY:"", C89, ""USD""), ""close"", B89 - 1), 2, 2),
      D89 *"&amp;" INDEX(GOOGLEFINANCE(CONCATENATE(""CURRENCY:"", C89, ""USD""), ""close"", B89 + 1), 2, 2)
    )
  )
)"),8.0)</f>
        <v>8</v>
      </c>
    </row>
    <row r="90">
      <c r="A90" s="33" t="s">
        <v>1199</v>
      </c>
      <c r="B90" s="34">
        <v>42550.0</v>
      </c>
      <c r="C90" s="35" t="s">
        <v>42</v>
      </c>
      <c r="D90" s="36">
        <v>7.95</v>
      </c>
      <c r="E90" s="21">
        <f>IFERROR(__xludf.DUMMYFUNCTION("IF(C90=""USD"", D90, 
  IFERROR(
    D90 * INDEX(GOOGLEFINANCE(CONCATENATE(""CURRENCY:"", C90, ""USD""), ""close"", B90), 2, 2),
    IFERROR(
      D90 * INDEX(GOOGLEFINANCE(CONCATENATE(""CURRENCY:"", C90, ""USD""), ""close"", B90 - 1), 2, 2),
      D90 *"&amp;" INDEX(GOOGLEFINANCE(CONCATENATE(""CURRENCY:"", C90, ""USD""), ""close"", B90 + 1), 2, 2)
    )
  )
)"),7.95)</f>
        <v>7.95</v>
      </c>
    </row>
    <row r="91">
      <c r="A91" s="33" t="s">
        <v>1198</v>
      </c>
      <c r="B91" s="34">
        <v>42550.0</v>
      </c>
      <c r="C91" s="35" t="s">
        <v>42</v>
      </c>
      <c r="D91" s="36">
        <v>60.51</v>
      </c>
      <c r="E91" s="21">
        <f>IFERROR(__xludf.DUMMYFUNCTION("IF(C91=""USD"", D91, 
  IFERROR(
    D91 * INDEX(GOOGLEFINANCE(CONCATENATE(""CURRENCY:"", C91, ""USD""), ""close"", B91), 2, 2),
    IFERROR(
      D91 * INDEX(GOOGLEFINANCE(CONCATENATE(""CURRENCY:"", C91, ""USD""), ""close"", B91 - 1), 2, 2),
      D91 *"&amp;" INDEX(GOOGLEFINANCE(CONCATENATE(""CURRENCY:"", C91, ""USD""), ""close"", B91 + 1), 2, 2)
    )
  )
)"),60.51)</f>
        <v>60.51</v>
      </c>
    </row>
    <row r="92">
      <c r="A92" s="33" t="s">
        <v>1204</v>
      </c>
      <c r="B92" s="34">
        <v>42550.0</v>
      </c>
      <c r="C92" s="35" t="s">
        <v>42</v>
      </c>
      <c r="D92" s="36">
        <v>4.49</v>
      </c>
      <c r="E92" s="21">
        <f>IFERROR(__xludf.DUMMYFUNCTION("IF(C92=""USD"", D92, 
  IFERROR(
    D92 * INDEX(GOOGLEFINANCE(CONCATENATE(""CURRENCY:"", C92, ""USD""), ""close"", B92), 2, 2),
    IFERROR(
      D92 * INDEX(GOOGLEFINANCE(CONCATENATE(""CURRENCY:"", C92, ""USD""), ""close"", B92 - 1), 2, 2),
      D92 *"&amp;" INDEX(GOOGLEFINANCE(CONCATENATE(""CURRENCY:"", C92, ""USD""), ""close"", B92 + 1), 2, 2)
    )
  )
)"),4.49)</f>
        <v>4.49</v>
      </c>
    </row>
    <row r="93">
      <c r="A93" s="33" t="s">
        <v>1197</v>
      </c>
      <c r="B93" s="34">
        <v>42550.0</v>
      </c>
      <c r="C93" s="35" t="s">
        <v>42</v>
      </c>
      <c r="D93" s="36">
        <v>13.18</v>
      </c>
      <c r="E93" s="21">
        <f>IFERROR(__xludf.DUMMYFUNCTION("IF(C93=""USD"", D93, 
  IFERROR(
    D93 * INDEX(GOOGLEFINANCE(CONCATENATE(""CURRENCY:"", C93, ""USD""), ""close"", B93), 2, 2),
    IFERROR(
      D93 * INDEX(GOOGLEFINANCE(CONCATENATE(""CURRENCY:"", C93, ""USD""), ""close"", B93 - 1), 2, 2),
      D93 *"&amp;" INDEX(GOOGLEFINANCE(CONCATENATE(""CURRENCY:"", C93, ""USD""), ""close"", B93 + 1), 2, 2)
    )
  )
)"),13.18)</f>
        <v>13.18</v>
      </c>
    </row>
    <row r="94">
      <c r="A94" s="33" t="s">
        <v>1195</v>
      </c>
      <c r="B94" s="34">
        <v>42550.0</v>
      </c>
      <c r="C94" s="35" t="s">
        <v>42</v>
      </c>
      <c r="D94" s="36">
        <v>7.29</v>
      </c>
      <c r="E94" s="21">
        <f>IFERROR(__xludf.DUMMYFUNCTION("IF(C94=""USD"", D94, 
  IFERROR(
    D94 * INDEX(GOOGLEFINANCE(CONCATENATE(""CURRENCY:"", C94, ""USD""), ""close"", B94), 2, 2),
    IFERROR(
      D94 * INDEX(GOOGLEFINANCE(CONCATENATE(""CURRENCY:"", C94, ""USD""), ""close"", B94 - 1), 2, 2),
      D94 *"&amp;" INDEX(GOOGLEFINANCE(CONCATENATE(""CURRENCY:"", C94, ""USD""), ""close"", B94 + 1), 2, 2)
    )
  )
)"),7.29)</f>
        <v>7.29</v>
      </c>
    </row>
    <row r="95">
      <c r="A95" s="33" t="s">
        <v>1200</v>
      </c>
      <c r="B95" s="34">
        <v>42550.0</v>
      </c>
      <c r="C95" s="35" t="s">
        <v>42</v>
      </c>
      <c r="D95" s="36">
        <v>4.55</v>
      </c>
      <c r="E95" s="21">
        <f>IFERROR(__xludf.DUMMYFUNCTION("IF(C95=""USD"", D95, 
  IFERROR(
    D95 * INDEX(GOOGLEFINANCE(CONCATENATE(""CURRENCY:"", C95, ""USD""), ""close"", B95), 2, 2),
    IFERROR(
      D95 * INDEX(GOOGLEFINANCE(CONCATENATE(""CURRENCY:"", C95, ""USD""), ""close"", B95 - 1), 2, 2),
      D95 *"&amp;" INDEX(GOOGLEFINANCE(CONCATENATE(""CURRENCY:"", C95, ""USD""), ""close"", B95 + 1), 2, 2)
    )
  )
)"),4.55)</f>
        <v>4.55</v>
      </c>
    </row>
    <row r="96">
      <c r="A96" s="33" t="s">
        <v>1202</v>
      </c>
      <c r="B96" s="34">
        <v>42550.0</v>
      </c>
      <c r="C96" s="35" t="s">
        <v>42</v>
      </c>
      <c r="D96" s="36">
        <v>36.29</v>
      </c>
      <c r="E96" s="21">
        <f>IFERROR(__xludf.DUMMYFUNCTION("IF(C96=""USD"", D96, 
  IFERROR(
    D96 * INDEX(GOOGLEFINANCE(CONCATENATE(""CURRENCY:"", C96, ""USD""), ""close"", B96), 2, 2),
    IFERROR(
      D96 * INDEX(GOOGLEFINANCE(CONCATENATE(""CURRENCY:"", C96, ""USD""), ""close"", B96 - 1), 2, 2),
      D96 *"&amp;" INDEX(GOOGLEFINANCE(CONCATENATE(""CURRENCY:"", C96, ""USD""), ""close"", B96 + 1), 2, 2)
    )
  )
)"),36.29)</f>
        <v>36.29</v>
      </c>
    </row>
    <row r="97">
      <c r="A97" s="33" t="s">
        <v>1194</v>
      </c>
      <c r="B97" s="34">
        <v>42550.0</v>
      </c>
      <c r="C97" s="35" t="s">
        <v>42</v>
      </c>
      <c r="D97" s="36">
        <v>4.29</v>
      </c>
      <c r="E97" s="21">
        <f>IFERROR(__xludf.DUMMYFUNCTION("IF(C97=""USD"", D97, 
  IFERROR(
    D97 * INDEX(GOOGLEFINANCE(CONCATENATE(""CURRENCY:"", C97, ""USD""), ""close"", B97), 2, 2),
    IFERROR(
      D97 * INDEX(GOOGLEFINANCE(CONCATENATE(""CURRENCY:"", C97, ""USD""), ""close"", B97 - 1), 2, 2),
      D97 *"&amp;" INDEX(GOOGLEFINANCE(CONCATENATE(""CURRENCY:"", C97, ""USD""), ""close"", B97 + 1), 2, 2)
    )
  )
)"),4.29)</f>
        <v>4.29</v>
      </c>
    </row>
    <row r="98">
      <c r="A98" s="33" t="s">
        <v>1199</v>
      </c>
      <c r="B98" s="34">
        <v>42580.0</v>
      </c>
      <c r="C98" s="35" t="s">
        <v>42</v>
      </c>
      <c r="D98" s="36">
        <v>7.94</v>
      </c>
      <c r="E98" s="21">
        <f>IFERROR(__xludf.DUMMYFUNCTION("IF(C98=""USD"", D98, 
  IFERROR(
    D98 * INDEX(GOOGLEFINANCE(CONCATENATE(""CURRENCY:"", C98, ""USD""), ""close"", B98), 2, 2),
    IFERROR(
      D98 * INDEX(GOOGLEFINANCE(CONCATENATE(""CURRENCY:"", C98, ""USD""), ""close"", B98 - 1), 2, 2),
      D98 *"&amp;" INDEX(GOOGLEFINANCE(CONCATENATE(""CURRENCY:"", C98, ""USD""), ""close"", B98 + 1), 2, 2)
    )
  )
)"),7.94)</f>
        <v>7.94</v>
      </c>
    </row>
    <row r="99">
      <c r="A99" s="33" t="s">
        <v>1197</v>
      </c>
      <c r="B99" s="34">
        <v>42580.0</v>
      </c>
      <c r="C99" s="35" t="s">
        <v>42</v>
      </c>
      <c r="D99" s="36">
        <v>8.55</v>
      </c>
      <c r="E99" s="21">
        <f>IFERROR(__xludf.DUMMYFUNCTION("IF(C99=""USD"", D99, 
  IFERROR(
    D99 * INDEX(GOOGLEFINANCE(CONCATENATE(""CURRENCY:"", C99, ""USD""), ""close"", B99), 2, 2),
    IFERROR(
      D99 * INDEX(GOOGLEFINANCE(CONCATENATE(""CURRENCY:"", C99, ""USD""), ""close"", B99 - 1), 2, 2),
      D99 *"&amp;" INDEX(GOOGLEFINANCE(CONCATENATE(""CURRENCY:"", C99, ""USD""), ""close"", B99 + 1), 2, 2)
    )
  )
)"),8.55)</f>
        <v>8.55</v>
      </c>
    </row>
    <row r="100">
      <c r="A100" s="33" t="s">
        <v>1202</v>
      </c>
      <c r="B100" s="34">
        <v>42580.0</v>
      </c>
      <c r="C100" s="35" t="s">
        <v>42</v>
      </c>
      <c r="D100" s="36">
        <v>23.58</v>
      </c>
      <c r="E100" s="21">
        <f>IFERROR(__xludf.DUMMYFUNCTION("IF(C100=""USD"", D100, 
  IFERROR(
    D100 * INDEX(GOOGLEFINANCE(CONCATENATE(""CURRENCY:"", C100, ""USD""), ""close"", B100), 2, 2),
    IFERROR(
      D100 * INDEX(GOOGLEFINANCE(CONCATENATE(""CURRENCY:"", C100, ""USD""), ""close"", B100 - 1), 2, 2),
   "&amp;"   D100 * INDEX(GOOGLEFINANCE(CONCATENATE(""CURRENCY:"", C100, ""USD""), ""close"", B100 + 1), 2, 2)
    )
  )
)"),23.58)</f>
        <v>23.58</v>
      </c>
    </row>
    <row r="101">
      <c r="A101" s="33" t="s">
        <v>1198</v>
      </c>
      <c r="B101" s="34">
        <v>42580.0</v>
      </c>
      <c r="C101" s="35" t="s">
        <v>42</v>
      </c>
      <c r="D101" s="36">
        <v>70.21</v>
      </c>
      <c r="E101" s="21">
        <f>IFERROR(__xludf.DUMMYFUNCTION("IF(C101=""USD"", D101, 
  IFERROR(
    D101 * INDEX(GOOGLEFINANCE(CONCATENATE(""CURRENCY:"", C101, ""USD""), ""close"", B101), 2, 2),
    IFERROR(
      D101 * INDEX(GOOGLEFINANCE(CONCATENATE(""CURRENCY:"", C101, ""USD""), ""close"", B101 - 1), 2, 2),
   "&amp;"   D101 * INDEX(GOOGLEFINANCE(CONCATENATE(""CURRENCY:"", C101, ""USD""), ""close"", B101 + 1), 2, 2)
    )
  )
)"),70.21)</f>
        <v>70.21</v>
      </c>
    </row>
    <row r="102">
      <c r="A102" s="33" t="s">
        <v>1203</v>
      </c>
      <c r="B102" s="34">
        <v>42580.0</v>
      </c>
      <c r="C102" s="35" t="s">
        <v>42</v>
      </c>
      <c r="D102" s="36">
        <v>4.49</v>
      </c>
      <c r="E102" s="21">
        <f>IFERROR(__xludf.DUMMYFUNCTION("IF(C102=""USD"", D102, 
  IFERROR(
    D102 * INDEX(GOOGLEFINANCE(CONCATENATE(""CURRENCY:"", C102, ""USD""), ""close"", B102), 2, 2),
    IFERROR(
      D102 * INDEX(GOOGLEFINANCE(CONCATENATE(""CURRENCY:"", C102, ""USD""), ""close"", B102 - 1), 2, 2),
   "&amp;"   D102 * INDEX(GOOGLEFINANCE(CONCATENATE(""CURRENCY:"", C102, ""USD""), ""close"", B102 + 1), 2, 2)
    )
  )
)"),4.49)</f>
        <v>4.49</v>
      </c>
    </row>
    <row r="103">
      <c r="A103" s="33" t="s">
        <v>1196</v>
      </c>
      <c r="B103" s="34">
        <v>42580.0</v>
      </c>
      <c r="C103" s="35" t="s">
        <v>42</v>
      </c>
      <c r="D103" s="36">
        <v>4.49</v>
      </c>
      <c r="E103" s="21">
        <f>IFERROR(__xludf.DUMMYFUNCTION("IF(C103=""USD"", D103, 
  IFERROR(
    D103 * INDEX(GOOGLEFINANCE(CONCATENATE(""CURRENCY:"", C103, ""USD""), ""close"", B103), 2, 2),
    IFERROR(
      D103 * INDEX(GOOGLEFINANCE(CONCATENATE(""CURRENCY:"", C103, ""USD""), ""close"", B103 - 1), 2, 2),
   "&amp;"   D103 * INDEX(GOOGLEFINANCE(CONCATENATE(""CURRENCY:"", C103, ""USD""), ""close"", B103 + 1), 2, 2)
    )
  )
)"),4.49)</f>
        <v>4.49</v>
      </c>
    </row>
    <row r="104">
      <c r="A104" s="33" t="s">
        <v>1195</v>
      </c>
      <c r="B104" s="34">
        <v>42580.0</v>
      </c>
      <c r="C104" s="35" t="s">
        <v>42</v>
      </c>
      <c r="D104" s="36">
        <v>43.18</v>
      </c>
      <c r="E104" s="21">
        <f>IFERROR(__xludf.DUMMYFUNCTION("IF(C104=""USD"", D104, 
  IFERROR(
    D104 * INDEX(GOOGLEFINANCE(CONCATENATE(""CURRENCY:"", C104, ""USD""), ""close"", B104), 2, 2),
    IFERROR(
      D104 * INDEX(GOOGLEFINANCE(CONCATENATE(""CURRENCY:"", C104, ""USD""), ""close"", B104 - 1), 2, 2),
   "&amp;"   D104 * INDEX(GOOGLEFINANCE(CONCATENATE(""CURRENCY:"", C104, ""USD""), ""close"", B104 + 1), 2, 2)
    )
  )
)"),43.18)</f>
        <v>43.18</v>
      </c>
    </row>
    <row r="105">
      <c r="A105" s="33" t="s">
        <v>1203</v>
      </c>
      <c r="B105" s="34">
        <v>42611.0</v>
      </c>
      <c r="C105" s="35" t="s">
        <v>42</v>
      </c>
      <c r="D105" s="36">
        <v>4.57</v>
      </c>
      <c r="E105" s="21">
        <f>IFERROR(__xludf.DUMMYFUNCTION("IF(C105=""USD"", D105, 
  IFERROR(
    D105 * INDEX(GOOGLEFINANCE(CONCATENATE(""CURRENCY:"", C105, ""USD""), ""close"", B105), 2, 2),
    IFERROR(
      D105 * INDEX(GOOGLEFINANCE(CONCATENATE(""CURRENCY:"", C105, ""USD""), ""close"", B105 - 1), 2, 2),
   "&amp;"   D105 * INDEX(GOOGLEFINANCE(CONCATENATE(""CURRENCY:"", C105, ""USD""), ""close"", B105 + 1), 2, 2)
    )
  )
)"),4.57)</f>
        <v>4.57</v>
      </c>
    </row>
    <row r="106">
      <c r="A106" s="33" t="s">
        <v>1199</v>
      </c>
      <c r="B106" s="34">
        <v>42611.0</v>
      </c>
      <c r="C106" s="35" t="s">
        <v>42</v>
      </c>
      <c r="D106" s="36">
        <v>24.26</v>
      </c>
      <c r="E106" s="21">
        <f>IFERROR(__xludf.DUMMYFUNCTION("IF(C106=""USD"", D106, 
  IFERROR(
    D106 * INDEX(GOOGLEFINANCE(CONCATENATE(""CURRENCY:"", C106, ""USD""), ""close"", B106), 2, 2),
    IFERROR(
      D106 * INDEX(GOOGLEFINANCE(CONCATENATE(""CURRENCY:"", C106, ""USD""), ""close"", B106 - 1), 2, 2),
   "&amp;"   D106 * INDEX(GOOGLEFINANCE(CONCATENATE(""CURRENCY:"", C106, ""USD""), ""close"", B106 + 1), 2, 2)
    )
  )
)"),24.26)</f>
        <v>24.26</v>
      </c>
    </row>
    <row r="107">
      <c r="A107" s="33" t="s">
        <v>1197</v>
      </c>
      <c r="B107" s="34">
        <v>42611.0</v>
      </c>
      <c r="C107" s="35" t="s">
        <v>42</v>
      </c>
      <c r="D107" s="36">
        <v>4.28</v>
      </c>
      <c r="E107" s="21">
        <f>IFERROR(__xludf.DUMMYFUNCTION("IF(C107=""USD"", D107, 
  IFERROR(
    D107 * INDEX(GOOGLEFINANCE(CONCATENATE(""CURRENCY:"", C107, ""USD""), ""close"", B107), 2, 2),
    IFERROR(
      D107 * INDEX(GOOGLEFINANCE(CONCATENATE(""CURRENCY:"", C107, ""USD""), ""close"", B107 - 1), 2, 2),
   "&amp;"   D107 * INDEX(GOOGLEFINANCE(CONCATENATE(""CURRENCY:"", C107, ""USD""), ""close"", B107 + 1), 2, 2)
    )
  )
)"),4.28)</f>
        <v>4.28</v>
      </c>
    </row>
    <row r="108">
      <c r="A108" s="33" t="s">
        <v>1202</v>
      </c>
      <c r="B108" s="34">
        <v>42611.0</v>
      </c>
      <c r="C108" s="35" t="s">
        <v>42</v>
      </c>
      <c r="D108" s="36">
        <v>40.04</v>
      </c>
      <c r="E108" s="21">
        <f>IFERROR(__xludf.DUMMYFUNCTION("IF(C108=""USD"", D108, 
  IFERROR(
    D108 * INDEX(GOOGLEFINANCE(CONCATENATE(""CURRENCY:"", C108, ""USD""), ""close"", B108), 2, 2),
    IFERROR(
      D108 * INDEX(GOOGLEFINANCE(CONCATENATE(""CURRENCY:"", C108, ""USD""), ""close"", B108 - 1), 2, 2),
   "&amp;"   D108 * INDEX(GOOGLEFINANCE(CONCATENATE(""CURRENCY:"", C108, ""USD""), ""close"", B108 + 1), 2, 2)
    )
  )
)"),40.04)</f>
        <v>40.04</v>
      </c>
    </row>
    <row r="109">
      <c r="A109" s="33" t="s">
        <v>1198</v>
      </c>
      <c r="B109" s="34">
        <v>42611.0</v>
      </c>
      <c r="C109" s="35" t="s">
        <v>42</v>
      </c>
      <c r="D109" s="36">
        <v>86.78</v>
      </c>
      <c r="E109" s="21">
        <f>IFERROR(__xludf.DUMMYFUNCTION("IF(C109=""USD"", D109, 
  IFERROR(
    D109 * INDEX(GOOGLEFINANCE(CONCATENATE(""CURRENCY:"", C109, ""USD""), ""close"", B109), 2, 2),
    IFERROR(
      D109 * INDEX(GOOGLEFINANCE(CONCATENATE(""CURRENCY:"", C109, ""USD""), ""close"", B109 - 1), 2, 2),
   "&amp;"   D109 * INDEX(GOOGLEFINANCE(CONCATENATE(""CURRENCY:"", C109, ""USD""), ""close"", B109 + 1), 2, 2)
    )
  )
)"),86.78)</f>
        <v>86.78</v>
      </c>
    </row>
    <row r="110">
      <c r="A110" s="33" t="s">
        <v>1206</v>
      </c>
      <c r="B110" s="34">
        <v>42642.0</v>
      </c>
      <c r="C110" s="35" t="s">
        <v>42</v>
      </c>
      <c r="D110" s="36">
        <v>2.63</v>
      </c>
      <c r="E110" s="21">
        <f>IFERROR(__xludf.DUMMYFUNCTION("IF(C110=""USD"", D110, 
  IFERROR(
    D110 * INDEX(GOOGLEFINANCE(CONCATENATE(""CURRENCY:"", C110, ""USD""), ""close"", B110), 2, 2),
    IFERROR(
      D110 * INDEX(GOOGLEFINANCE(CONCATENATE(""CURRENCY:"", C110, ""USD""), ""close"", B110 - 1), 2, 2),
   "&amp;"   D110 * INDEX(GOOGLEFINANCE(CONCATENATE(""CURRENCY:"", C110, ""USD""), ""close"", B110 + 1), 2, 2)
    )
  )
)"),2.63)</f>
        <v>2.63</v>
      </c>
    </row>
    <row r="111">
      <c r="A111" s="33" t="s">
        <v>1203</v>
      </c>
      <c r="B111" s="34">
        <v>42642.0</v>
      </c>
      <c r="C111" s="35" t="s">
        <v>42</v>
      </c>
      <c r="D111" s="36">
        <v>4.54</v>
      </c>
      <c r="E111" s="21">
        <f>IFERROR(__xludf.DUMMYFUNCTION("IF(C111=""USD"", D111, 
  IFERROR(
    D111 * INDEX(GOOGLEFINANCE(CONCATENATE(""CURRENCY:"", C111, ""USD""), ""close"", B111), 2, 2),
    IFERROR(
      D111 * INDEX(GOOGLEFINANCE(CONCATENATE(""CURRENCY:"", C111, ""USD""), ""close"", B111 - 1), 2, 2),
   "&amp;"   D111 * INDEX(GOOGLEFINANCE(CONCATENATE(""CURRENCY:"", C111, ""USD""), ""close"", B111 + 1), 2, 2)
    )
  )
)"),4.54)</f>
        <v>4.54</v>
      </c>
    </row>
    <row r="112">
      <c r="A112" s="33" t="s">
        <v>1194</v>
      </c>
      <c r="B112" s="34">
        <v>42642.0</v>
      </c>
      <c r="C112" s="35" t="s">
        <v>42</v>
      </c>
      <c r="D112" s="36">
        <v>4.46</v>
      </c>
      <c r="E112" s="21">
        <f>IFERROR(__xludf.DUMMYFUNCTION("IF(C112=""USD"", D112, 
  IFERROR(
    D112 * INDEX(GOOGLEFINANCE(CONCATENATE(""CURRENCY:"", C112, ""USD""), ""close"", B112), 2, 2),
    IFERROR(
      D112 * INDEX(GOOGLEFINANCE(CONCATENATE(""CURRENCY:"", C112, ""USD""), ""close"", B112 - 1), 2, 2),
   "&amp;"   D112 * INDEX(GOOGLEFINANCE(CONCATENATE(""CURRENCY:"", C112, ""USD""), ""close"", B112 + 1), 2, 2)
    )
  )
)"),4.46)</f>
        <v>4.46</v>
      </c>
    </row>
    <row r="113">
      <c r="A113" s="33" t="s">
        <v>1197</v>
      </c>
      <c r="B113" s="34">
        <v>42642.0</v>
      </c>
      <c r="C113" s="35" t="s">
        <v>42</v>
      </c>
      <c r="D113" s="36">
        <v>8.44</v>
      </c>
      <c r="E113" s="21">
        <f>IFERROR(__xludf.DUMMYFUNCTION("IF(C113=""USD"", D113, 
  IFERROR(
    D113 * INDEX(GOOGLEFINANCE(CONCATENATE(""CURRENCY:"", C113, ""USD""), ""close"", B113), 2, 2),
    IFERROR(
      D113 * INDEX(GOOGLEFINANCE(CONCATENATE(""CURRENCY:"", C113, ""USD""), ""close"", B113 - 1), 2, 2),
   "&amp;"   D113 * INDEX(GOOGLEFINANCE(CONCATENATE(""CURRENCY:"", C113, ""USD""), ""close"", B113 + 1), 2, 2)
    )
  )
)"),8.44)</f>
        <v>8.44</v>
      </c>
    </row>
    <row r="114">
      <c r="A114" s="33" t="s">
        <v>1202</v>
      </c>
      <c r="B114" s="34">
        <v>42642.0</v>
      </c>
      <c r="C114" s="35" t="s">
        <v>42</v>
      </c>
      <c r="D114" s="36">
        <v>33.97</v>
      </c>
      <c r="E114" s="21">
        <f>IFERROR(__xludf.DUMMYFUNCTION("IF(C114=""USD"", D114, 
  IFERROR(
    D114 * INDEX(GOOGLEFINANCE(CONCATENATE(""CURRENCY:"", C114, ""USD""), ""close"", B114), 2, 2),
    IFERROR(
      D114 * INDEX(GOOGLEFINANCE(CONCATENATE(""CURRENCY:"", C114, ""USD""), ""close"", B114 - 1), 2, 2),
   "&amp;"   D114 * INDEX(GOOGLEFINANCE(CONCATENATE(""CURRENCY:"", C114, ""USD""), ""close"", B114 + 1), 2, 2)
    )
  )
)"),33.97)</f>
        <v>33.97</v>
      </c>
    </row>
    <row r="115">
      <c r="A115" s="33" t="s">
        <v>1198</v>
      </c>
      <c r="B115" s="34">
        <v>42642.0</v>
      </c>
      <c r="C115" s="35" t="s">
        <v>42</v>
      </c>
      <c r="D115" s="36">
        <v>122.55</v>
      </c>
      <c r="E115" s="21">
        <f>IFERROR(__xludf.DUMMYFUNCTION("IF(C115=""USD"", D115, 
  IFERROR(
    D115 * INDEX(GOOGLEFINANCE(CONCATENATE(""CURRENCY:"", C115, ""USD""), ""close"", B115), 2, 2),
    IFERROR(
      D115 * INDEX(GOOGLEFINANCE(CONCATENATE(""CURRENCY:"", C115, ""USD""), ""close"", B115 - 1), 2, 2),
   "&amp;"   D115 * INDEX(GOOGLEFINANCE(CONCATENATE(""CURRENCY:"", C115, ""USD""), ""close"", B115 + 1), 2, 2)
    )
  )
)"),122.55)</f>
        <v>122.55</v>
      </c>
    </row>
    <row r="116">
      <c r="A116" s="33" t="s">
        <v>1205</v>
      </c>
      <c r="B116" s="34">
        <v>42642.0</v>
      </c>
      <c r="C116" s="35" t="s">
        <v>42</v>
      </c>
      <c r="D116" s="36">
        <v>1.95</v>
      </c>
      <c r="E116" s="21">
        <f>IFERROR(__xludf.DUMMYFUNCTION("IF(C116=""USD"", D116, 
  IFERROR(
    D116 * INDEX(GOOGLEFINANCE(CONCATENATE(""CURRENCY:"", C116, ""USD""), ""close"", B116), 2, 2),
    IFERROR(
      D116 * INDEX(GOOGLEFINANCE(CONCATENATE(""CURRENCY:"", C116, ""USD""), ""close"", B116 - 1), 2, 2),
   "&amp;"   D116 * INDEX(GOOGLEFINANCE(CONCATENATE(""CURRENCY:"", C116, ""USD""), ""close"", B116 + 1), 2, 2)
    )
  )
)"),1.95)</f>
        <v>1.95</v>
      </c>
    </row>
    <row r="117">
      <c r="A117" s="33" t="s">
        <v>1199</v>
      </c>
      <c r="B117" s="34">
        <v>42642.0</v>
      </c>
      <c r="C117" s="35" t="s">
        <v>42</v>
      </c>
      <c r="D117" s="36">
        <v>24.1</v>
      </c>
      <c r="E117" s="21">
        <f>IFERROR(__xludf.DUMMYFUNCTION("IF(C117=""USD"", D117, 
  IFERROR(
    D117 * INDEX(GOOGLEFINANCE(CONCATENATE(""CURRENCY:"", C117, ""USD""), ""close"", B117), 2, 2),
    IFERROR(
      D117 * INDEX(GOOGLEFINANCE(CONCATENATE(""CURRENCY:"", C117, ""USD""), ""close"", B117 - 1), 2, 2),
   "&amp;"   D117 * INDEX(GOOGLEFINANCE(CONCATENATE(""CURRENCY:"", C117, ""USD""), ""close"", B117 + 1), 2, 2)
    )
  )
)"),24.1)</f>
        <v>24.1</v>
      </c>
    </row>
    <row r="118">
      <c r="A118" s="33" t="s">
        <v>1199</v>
      </c>
      <c r="B118" s="34">
        <v>42672.0</v>
      </c>
      <c r="C118" s="35" t="s">
        <v>42</v>
      </c>
      <c r="D118" s="36">
        <v>15.63</v>
      </c>
      <c r="E118" s="21">
        <f>IFERROR(__xludf.DUMMYFUNCTION("IF(C118=""USD"", D118, 
  IFERROR(
    D118 * INDEX(GOOGLEFINANCE(CONCATENATE(""CURRENCY:"", C118, ""USD""), ""close"", B118), 2, 2),
    IFERROR(
      D118 * INDEX(GOOGLEFINANCE(CONCATENATE(""CURRENCY:"", C118, ""USD""), ""close"", B118 - 1), 2, 2),
   "&amp;"   D118 * INDEX(GOOGLEFINANCE(CONCATENATE(""CURRENCY:"", C118, ""USD""), ""close"", B118 + 1), 2, 2)
    )
  )
)"),15.63)</f>
        <v>15.63</v>
      </c>
    </row>
    <row r="119">
      <c r="A119" s="33" t="s">
        <v>1198</v>
      </c>
      <c r="B119" s="34">
        <v>42672.0</v>
      </c>
      <c r="C119" s="35" t="s">
        <v>42</v>
      </c>
      <c r="D119" s="36">
        <v>94.98</v>
      </c>
      <c r="E119" s="21">
        <f>IFERROR(__xludf.DUMMYFUNCTION("IF(C119=""USD"", D119, 
  IFERROR(
    D119 * INDEX(GOOGLEFINANCE(CONCATENATE(""CURRENCY:"", C119, ""USD""), ""close"", B119), 2, 2),
    IFERROR(
      D119 * INDEX(GOOGLEFINANCE(CONCATENATE(""CURRENCY:"", C119, ""USD""), ""close"", B119 - 1), 2, 2),
   "&amp;"   D119 * INDEX(GOOGLEFINANCE(CONCATENATE(""CURRENCY:"", C119, ""USD""), ""close"", B119 + 1), 2, 2)
    )
  )
)"),94.98)</f>
        <v>94.98</v>
      </c>
    </row>
    <row r="120">
      <c r="A120" s="33" t="s">
        <v>1195</v>
      </c>
      <c r="B120" s="34">
        <v>42672.0</v>
      </c>
      <c r="C120" s="35" t="s">
        <v>42</v>
      </c>
      <c r="D120" s="36">
        <v>19.9</v>
      </c>
      <c r="E120" s="21">
        <f>IFERROR(__xludf.DUMMYFUNCTION("IF(C120=""USD"", D120, 
  IFERROR(
    D120 * INDEX(GOOGLEFINANCE(CONCATENATE(""CURRENCY:"", C120, ""USD""), ""close"", B120), 2, 2),
    IFERROR(
      D120 * INDEX(GOOGLEFINANCE(CONCATENATE(""CURRENCY:"", C120, ""USD""), ""close"", B120 - 1), 2, 2),
   "&amp;"   D120 * INDEX(GOOGLEFINANCE(CONCATENATE(""CURRENCY:"", C120, ""USD""), ""close"", B120 + 1), 2, 2)
    )
  )
)"),19.9)</f>
        <v>19.9</v>
      </c>
    </row>
    <row r="121">
      <c r="A121" s="33" t="s">
        <v>1197</v>
      </c>
      <c r="B121" s="34">
        <v>42672.0</v>
      </c>
      <c r="C121" s="35" t="s">
        <v>42</v>
      </c>
      <c r="D121" s="36">
        <v>3.94</v>
      </c>
      <c r="E121" s="21">
        <f>IFERROR(__xludf.DUMMYFUNCTION("IF(C121=""USD"", D121, 
  IFERROR(
    D121 * INDEX(GOOGLEFINANCE(CONCATENATE(""CURRENCY:"", C121, ""USD""), ""close"", B121), 2, 2),
    IFERROR(
      D121 * INDEX(GOOGLEFINANCE(CONCATENATE(""CURRENCY:"", C121, ""USD""), ""close"", B121 - 1), 2, 2),
   "&amp;"   D121 * INDEX(GOOGLEFINANCE(CONCATENATE(""CURRENCY:"", C121, ""USD""), ""close"", B121 + 1), 2, 2)
    )
  )
)"),3.94)</f>
        <v>3.94</v>
      </c>
    </row>
    <row r="122">
      <c r="A122" s="33" t="s">
        <v>1202</v>
      </c>
      <c r="B122" s="34">
        <v>42672.0</v>
      </c>
      <c r="C122" s="35" t="s">
        <v>42</v>
      </c>
      <c r="D122" s="36">
        <v>11.4</v>
      </c>
      <c r="E122" s="21">
        <f>IFERROR(__xludf.DUMMYFUNCTION("IF(C122=""USD"", D122, 
  IFERROR(
    D122 * INDEX(GOOGLEFINANCE(CONCATENATE(""CURRENCY:"", C122, ""USD""), ""close"", B122), 2, 2),
    IFERROR(
      D122 * INDEX(GOOGLEFINANCE(CONCATENATE(""CURRENCY:"", C122, ""USD""), ""close"", B122 - 1), 2, 2),
   "&amp;"   D122 * INDEX(GOOGLEFINANCE(CONCATENATE(""CURRENCY:"", C122, ""USD""), ""close"", B122 + 1), 2, 2)
    )
  )
)"),11.4)</f>
        <v>11.4</v>
      </c>
    </row>
    <row r="123">
      <c r="A123" s="33" t="s">
        <v>1204</v>
      </c>
      <c r="B123" s="34">
        <v>42672.0</v>
      </c>
      <c r="C123" s="35" t="s">
        <v>42</v>
      </c>
      <c r="D123" s="36">
        <v>8.83</v>
      </c>
      <c r="E123" s="21">
        <f>IFERROR(__xludf.DUMMYFUNCTION("IF(C123=""USD"", D123, 
  IFERROR(
    D123 * INDEX(GOOGLEFINANCE(CONCATENATE(""CURRENCY:"", C123, ""USD""), ""close"", B123), 2, 2),
    IFERROR(
      D123 * INDEX(GOOGLEFINANCE(CONCATENATE(""CURRENCY:"", C123, ""USD""), ""close"", B123 - 1), 2, 2),
   "&amp;"   D123 * INDEX(GOOGLEFINANCE(CONCATENATE(""CURRENCY:"", C123, ""USD""), ""close"", B123 + 1), 2, 2)
    )
  )
)"),8.83)</f>
        <v>8.83</v>
      </c>
    </row>
    <row r="124">
      <c r="A124" s="33" t="s">
        <v>1207</v>
      </c>
      <c r="B124" s="34">
        <v>42672.0</v>
      </c>
      <c r="C124" s="35" t="s">
        <v>42</v>
      </c>
      <c r="D124" s="36">
        <v>2.09</v>
      </c>
      <c r="E124" s="21">
        <f>IFERROR(__xludf.DUMMYFUNCTION("IF(C124=""USD"", D124, 
  IFERROR(
    D124 * INDEX(GOOGLEFINANCE(CONCATENATE(""CURRENCY:"", C124, ""USD""), ""close"", B124), 2, 2),
    IFERROR(
      D124 * INDEX(GOOGLEFINANCE(CONCATENATE(""CURRENCY:"", C124, ""USD""), ""close"", B124 - 1), 2, 2),
   "&amp;"   D124 * INDEX(GOOGLEFINANCE(CONCATENATE(""CURRENCY:"", C124, ""USD""), ""close"", B124 + 1), 2, 2)
    )
  )
)"),2.09)</f>
        <v>2.09</v>
      </c>
    </row>
    <row r="125">
      <c r="A125" s="33" t="s">
        <v>1203</v>
      </c>
      <c r="B125" s="34">
        <v>42672.0</v>
      </c>
      <c r="C125" s="35" t="s">
        <v>42</v>
      </c>
      <c r="D125" s="36">
        <v>8.78</v>
      </c>
      <c r="E125" s="21">
        <f>IFERROR(__xludf.DUMMYFUNCTION("IF(C125=""USD"", D125, 
  IFERROR(
    D125 * INDEX(GOOGLEFINANCE(CONCATENATE(""CURRENCY:"", C125, ""USD""), ""close"", B125), 2, 2),
    IFERROR(
      D125 * INDEX(GOOGLEFINANCE(CONCATENATE(""CURRENCY:"", C125, ""USD""), ""close"", B125 - 1), 2, 2),
   "&amp;"   D125 * INDEX(GOOGLEFINANCE(CONCATENATE(""CURRENCY:"", C125, ""USD""), ""close"", B125 + 1), 2, 2)
    )
  )
)"),8.78)</f>
        <v>8.78</v>
      </c>
    </row>
    <row r="126">
      <c r="A126" s="33" t="s">
        <v>1200</v>
      </c>
      <c r="B126" s="34">
        <v>42703.0</v>
      </c>
      <c r="C126" s="35" t="s">
        <v>42</v>
      </c>
      <c r="D126" s="36">
        <v>4.39</v>
      </c>
      <c r="E126" s="21">
        <f>IFERROR(__xludf.DUMMYFUNCTION("IF(C126=""USD"", D126, 
  IFERROR(
    D126 * INDEX(GOOGLEFINANCE(CONCATENATE(""CURRENCY:"", C126, ""USD""), ""close"", B126), 2, 2),
    IFERROR(
      D126 * INDEX(GOOGLEFINANCE(CONCATENATE(""CURRENCY:"", C126, ""USD""), ""close"", B126 - 1), 2, 2),
   "&amp;"   D126 * INDEX(GOOGLEFINANCE(CONCATENATE(""CURRENCY:"", C126, ""USD""), ""close"", B126 + 1), 2, 2)
    )
  )
)"),4.39)</f>
        <v>4.39</v>
      </c>
    </row>
    <row r="127">
      <c r="A127" s="33" t="s">
        <v>1198</v>
      </c>
      <c r="B127" s="34">
        <v>42703.0</v>
      </c>
      <c r="C127" s="35" t="s">
        <v>42</v>
      </c>
      <c r="D127" s="36">
        <v>86.59</v>
      </c>
      <c r="E127" s="21">
        <f>IFERROR(__xludf.DUMMYFUNCTION("IF(C127=""USD"", D127, 
  IFERROR(
    D127 * INDEX(GOOGLEFINANCE(CONCATENATE(""CURRENCY:"", C127, ""USD""), ""close"", B127), 2, 2),
    IFERROR(
      D127 * INDEX(GOOGLEFINANCE(CONCATENATE(""CURRENCY:"", C127, ""USD""), ""close"", B127 - 1), 2, 2),
   "&amp;"   D127 * INDEX(GOOGLEFINANCE(CONCATENATE(""CURRENCY:"", C127, ""USD""), ""close"", B127 + 1), 2, 2)
    )
  )
)"),86.59)</f>
        <v>86.59</v>
      </c>
    </row>
    <row r="128">
      <c r="A128" s="33" t="s">
        <v>1202</v>
      </c>
      <c r="B128" s="34">
        <v>42703.0</v>
      </c>
      <c r="C128" s="35" t="s">
        <v>42</v>
      </c>
      <c r="D128" s="36">
        <v>24.88</v>
      </c>
      <c r="E128" s="21">
        <f>IFERROR(__xludf.DUMMYFUNCTION("IF(C128=""USD"", D128, 
  IFERROR(
    D128 * INDEX(GOOGLEFINANCE(CONCATENATE(""CURRENCY:"", C128, ""USD""), ""close"", B128), 2, 2),
    IFERROR(
      D128 * INDEX(GOOGLEFINANCE(CONCATENATE(""CURRENCY:"", C128, ""USD""), ""close"", B128 - 1), 2, 2),
   "&amp;"   D128 * INDEX(GOOGLEFINANCE(CONCATENATE(""CURRENCY:"", C128, ""USD""), ""close"", B128 + 1), 2, 2)
    )
  )
)"),24.88)</f>
        <v>24.88</v>
      </c>
    </row>
    <row r="129">
      <c r="A129" s="33" t="s">
        <v>1194</v>
      </c>
      <c r="B129" s="34">
        <v>42703.0</v>
      </c>
      <c r="C129" s="35" t="s">
        <v>42</v>
      </c>
      <c r="D129" s="36">
        <v>4.34</v>
      </c>
      <c r="E129" s="21">
        <f>IFERROR(__xludf.DUMMYFUNCTION("IF(C129=""USD"", D129, 
  IFERROR(
    D129 * INDEX(GOOGLEFINANCE(CONCATENATE(""CURRENCY:"", C129, ""USD""), ""close"", B129), 2, 2),
    IFERROR(
      D129 * INDEX(GOOGLEFINANCE(CONCATENATE(""CURRENCY:"", C129, ""USD""), ""close"", B129 - 1), 2, 2),
   "&amp;"   D129 * INDEX(GOOGLEFINANCE(CONCATENATE(""CURRENCY:"", C129, ""USD""), ""close"", B129 + 1), 2, 2)
    )
  )
)"),4.34)</f>
        <v>4.34</v>
      </c>
    </row>
    <row r="130">
      <c r="A130" s="33" t="s">
        <v>1199</v>
      </c>
      <c r="B130" s="34">
        <v>42703.0</v>
      </c>
      <c r="C130" s="35" t="s">
        <v>42</v>
      </c>
      <c r="D130" s="36">
        <v>38.0</v>
      </c>
      <c r="E130" s="21">
        <f>IFERROR(__xludf.DUMMYFUNCTION("IF(C130=""USD"", D130, 
  IFERROR(
    D130 * INDEX(GOOGLEFINANCE(CONCATENATE(""CURRENCY:"", C130, ""USD""), ""close"", B130), 2, 2),
    IFERROR(
      D130 * INDEX(GOOGLEFINANCE(CONCATENATE(""CURRENCY:"", C130, ""USD""), ""close"", B130 - 1), 2, 2),
   "&amp;"   D130 * INDEX(GOOGLEFINANCE(CONCATENATE(""CURRENCY:"", C130, ""USD""), ""close"", B130 + 1), 2, 2)
    )
  )
)"),38.0)</f>
        <v>38</v>
      </c>
    </row>
    <row r="131">
      <c r="A131" s="33" t="s">
        <v>1195</v>
      </c>
      <c r="B131" s="34">
        <v>42703.0</v>
      </c>
      <c r="C131" s="35" t="s">
        <v>42</v>
      </c>
      <c r="D131" s="36">
        <v>20.33</v>
      </c>
      <c r="E131" s="21">
        <f>IFERROR(__xludf.DUMMYFUNCTION("IF(C131=""USD"", D131, 
  IFERROR(
    D131 * INDEX(GOOGLEFINANCE(CONCATENATE(""CURRENCY:"", C131, ""USD""), ""close"", B131), 2, 2),
    IFERROR(
      D131 * INDEX(GOOGLEFINANCE(CONCATENATE(""CURRENCY:"", C131, ""USD""), ""close"", B131 - 1), 2, 2),
   "&amp;"   D131 * INDEX(GOOGLEFINANCE(CONCATENATE(""CURRENCY:"", C131, ""USD""), ""close"", B131 + 1), 2, 2)
    )
  )
)"),20.33)</f>
        <v>20.33</v>
      </c>
    </row>
    <row r="132">
      <c r="A132" s="33" t="s">
        <v>1199</v>
      </c>
      <c r="B132" s="34">
        <v>42733.0</v>
      </c>
      <c r="C132" s="35" t="s">
        <v>42</v>
      </c>
      <c r="D132" s="36">
        <v>14.95</v>
      </c>
      <c r="E132" s="21">
        <f>IFERROR(__xludf.DUMMYFUNCTION("IF(C132=""USD"", D132, 
  IFERROR(
    D132 * INDEX(GOOGLEFINANCE(CONCATENATE(""CURRENCY:"", C132, ""USD""), ""close"", B132), 2, 2),
    IFERROR(
      D132 * INDEX(GOOGLEFINANCE(CONCATENATE(""CURRENCY:"", C132, ""USD""), ""close"", B132 - 1), 2, 2),
   "&amp;"   D132 * INDEX(GOOGLEFINANCE(CONCATENATE(""CURRENCY:"", C132, ""USD""), ""close"", B132 + 1), 2, 2)
    )
  )
)"),14.95)</f>
        <v>14.95</v>
      </c>
    </row>
    <row r="133">
      <c r="A133" s="33" t="s">
        <v>1202</v>
      </c>
      <c r="B133" s="34">
        <v>42733.0</v>
      </c>
      <c r="C133" s="35" t="s">
        <v>42</v>
      </c>
      <c r="D133" s="36">
        <v>30.41</v>
      </c>
      <c r="E133" s="21">
        <f>IFERROR(__xludf.DUMMYFUNCTION("IF(C133=""USD"", D133, 
  IFERROR(
    D133 * INDEX(GOOGLEFINANCE(CONCATENATE(""CURRENCY:"", C133, ""USD""), ""close"", B133), 2, 2),
    IFERROR(
      D133 * INDEX(GOOGLEFINANCE(CONCATENATE(""CURRENCY:"", C133, ""USD""), ""close"", B133 - 1), 2, 2),
   "&amp;"   D133 * INDEX(GOOGLEFINANCE(CONCATENATE(""CURRENCY:"", C133, ""USD""), ""close"", B133 + 1), 2, 2)
    )
  )
)"),30.41)</f>
        <v>30.41</v>
      </c>
    </row>
    <row r="134">
      <c r="A134" s="33" t="s">
        <v>1198</v>
      </c>
      <c r="B134" s="34">
        <v>42733.0</v>
      </c>
      <c r="C134" s="35" t="s">
        <v>42</v>
      </c>
      <c r="D134" s="36">
        <v>104.45</v>
      </c>
      <c r="E134" s="21">
        <f>IFERROR(__xludf.DUMMYFUNCTION("IF(C134=""USD"", D134, 
  IFERROR(
    D134 * INDEX(GOOGLEFINANCE(CONCATENATE(""CURRENCY:"", C134, ""USD""), ""close"", B134), 2, 2),
    IFERROR(
      D134 * INDEX(GOOGLEFINANCE(CONCATENATE(""CURRENCY:"", C134, ""USD""), ""close"", B134 - 1), 2, 2),
   "&amp;"   D134 * INDEX(GOOGLEFINANCE(CONCATENATE(""CURRENCY:"", C134, ""USD""), ""close"", B134 + 1), 2, 2)
    )
  )
)"),104.45)</f>
        <v>104.45</v>
      </c>
    </row>
    <row r="135">
      <c r="A135" s="33" t="s">
        <v>1200</v>
      </c>
      <c r="B135" s="34">
        <v>42733.0</v>
      </c>
      <c r="C135" s="35" t="s">
        <v>42</v>
      </c>
      <c r="D135" s="36">
        <v>4.36</v>
      </c>
      <c r="E135" s="21">
        <f>IFERROR(__xludf.DUMMYFUNCTION("IF(C135=""USD"", D135, 
  IFERROR(
    D135 * INDEX(GOOGLEFINANCE(CONCATENATE(""CURRENCY:"", C135, ""USD""), ""close"", B135), 2, 2),
    IFERROR(
      D135 * INDEX(GOOGLEFINANCE(CONCATENATE(""CURRENCY:"", C135, ""USD""), ""close"", B135 - 1), 2, 2),
   "&amp;"   D135 * INDEX(GOOGLEFINANCE(CONCATENATE(""CURRENCY:"", C135, ""USD""), ""close"", B135 + 1), 2, 2)
    )
  )
)"),4.36)</f>
        <v>4.36</v>
      </c>
    </row>
    <row r="136">
      <c r="A136" s="33" t="s">
        <v>1198</v>
      </c>
      <c r="B136" s="34">
        <v>42764.0</v>
      </c>
      <c r="C136" s="35" t="s">
        <v>42</v>
      </c>
      <c r="D136" s="36">
        <v>128.17</v>
      </c>
      <c r="E136" s="21">
        <f>IFERROR(__xludf.DUMMYFUNCTION("IF(C136=""USD"", D136, 
  IFERROR(
    D136 * INDEX(GOOGLEFINANCE(CONCATENATE(""CURRENCY:"", C136, ""USD""), ""close"", B136), 2, 2),
    IFERROR(
      D136 * INDEX(GOOGLEFINANCE(CONCATENATE(""CURRENCY:"", C136, ""USD""), ""close"", B136 - 1), 2, 2),
   "&amp;"   D136 * INDEX(GOOGLEFINANCE(CONCATENATE(""CURRENCY:"", C136, ""USD""), ""close"", B136 + 1), 2, 2)
    )
  )
)"),128.17)</f>
        <v>128.17</v>
      </c>
    </row>
    <row r="137">
      <c r="A137" s="33" t="s">
        <v>1195</v>
      </c>
      <c r="B137" s="34">
        <v>42764.0</v>
      </c>
      <c r="C137" s="35" t="s">
        <v>42</v>
      </c>
      <c r="D137" s="36">
        <v>47.9</v>
      </c>
      <c r="E137" s="21">
        <f>IFERROR(__xludf.DUMMYFUNCTION("IF(C137=""USD"", D137, 
  IFERROR(
    D137 * INDEX(GOOGLEFINANCE(CONCATENATE(""CURRENCY:"", C137, ""USD""), ""close"", B137), 2, 2),
    IFERROR(
      D137 * INDEX(GOOGLEFINANCE(CONCATENATE(""CURRENCY:"", C137, ""USD""), ""close"", B137 - 1), 2, 2),
   "&amp;"   D137 * INDEX(GOOGLEFINANCE(CONCATENATE(""CURRENCY:"", C137, ""USD""), ""close"", B137 + 1), 2, 2)
    )
  )
)"),47.9)</f>
        <v>47.9</v>
      </c>
    </row>
    <row r="138">
      <c r="A138" s="33" t="s">
        <v>1203</v>
      </c>
      <c r="B138" s="34">
        <v>42764.0</v>
      </c>
      <c r="C138" s="35" t="s">
        <v>42</v>
      </c>
      <c r="D138" s="36">
        <v>4.32</v>
      </c>
      <c r="E138" s="21">
        <f>IFERROR(__xludf.DUMMYFUNCTION("IF(C138=""USD"", D138, 
  IFERROR(
    D138 * INDEX(GOOGLEFINANCE(CONCATENATE(""CURRENCY:"", C138, ""USD""), ""close"", B138), 2, 2),
    IFERROR(
      D138 * INDEX(GOOGLEFINANCE(CONCATENATE(""CURRENCY:"", C138, ""USD""), ""close"", B138 - 1), 2, 2),
   "&amp;"   D138 * INDEX(GOOGLEFINANCE(CONCATENATE(""CURRENCY:"", C138, ""USD""), ""close"", B138 + 1), 2, 2)
    )
  )
)"),4.32)</f>
        <v>4.32</v>
      </c>
    </row>
    <row r="139">
      <c r="A139" s="33" t="s">
        <v>1199</v>
      </c>
      <c r="B139" s="34">
        <v>42764.0</v>
      </c>
      <c r="C139" s="35" t="s">
        <v>42</v>
      </c>
      <c r="D139" s="36">
        <v>15.31</v>
      </c>
      <c r="E139" s="21">
        <f>IFERROR(__xludf.DUMMYFUNCTION("IF(C139=""USD"", D139, 
  IFERROR(
    D139 * INDEX(GOOGLEFINANCE(CONCATENATE(""CURRENCY:"", C139, ""USD""), ""close"", B139), 2, 2),
    IFERROR(
      D139 * INDEX(GOOGLEFINANCE(CONCATENATE(""CURRENCY:"", C139, ""USD""), ""close"", B139 - 1), 2, 2),
   "&amp;"   D139 * INDEX(GOOGLEFINANCE(CONCATENATE(""CURRENCY:"", C139, ""USD""), ""close"", B139 + 1), 2, 2)
    )
  )
)"),15.31)</f>
        <v>15.31</v>
      </c>
    </row>
    <row r="140">
      <c r="A140" s="33" t="s">
        <v>1197</v>
      </c>
      <c r="B140" s="34">
        <v>42764.0</v>
      </c>
      <c r="C140" s="35" t="s">
        <v>42</v>
      </c>
      <c r="D140" s="36">
        <v>4.2</v>
      </c>
      <c r="E140" s="21">
        <f>IFERROR(__xludf.DUMMYFUNCTION("IF(C140=""USD"", D140, 
  IFERROR(
    D140 * INDEX(GOOGLEFINANCE(CONCATENATE(""CURRENCY:"", C140, ""USD""), ""close"", B140), 2, 2),
    IFERROR(
      D140 * INDEX(GOOGLEFINANCE(CONCATENATE(""CURRENCY:"", C140, ""USD""), ""close"", B140 - 1), 2, 2),
   "&amp;"   D140 * INDEX(GOOGLEFINANCE(CONCATENATE(""CURRENCY:"", C140, ""USD""), ""close"", B140 + 1), 2, 2)
    )
  )
)"),4.2)</f>
        <v>4.2</v>
      </c>
    </row>
    <row r="141">
      <c r="A141" s="33" t="s">
        <v>1202</v>
      </c>
      <c r="B141" s="34">
        <v>42764.0</v>
      </c>
      <c r="C141" s="35" t="s">
        <v>42</v>
      </c>
      <c r="D141" s="36">
        <v>13.36</v>
      </c>
      <c r="E141" s="21">
        <f>IFERROR(__xludf.DUMMYFUNCTION("IF(C141=""USD"", D141, 
  IFERROR(
    D141 * INDEX(GOOGLEFINANCE(CONCATENATE(""CURRENCY:"", C141, ""USD""), ""close"", B141), 2, 2),
    IFERROR(
      D141 * INDEX(GOOGLEFINANCE(CONCATENATE(""CURRENCY:"", C141, ""USD""), ""close"", B141 - 1), 2, 2),
   "&amp;"   D141 * INDEX(GOOGLEFINANCE(CONCATENATE(""CURRENCY:"", C141, ""USD""), ""close"", B141 + 1), 2, 2)
    )
  )
)"),13.36)</f>
        <v>13.36</v>
      </c>
    </row>
    <row r="142">
      <c r="A142" s="33" t="s">
        <v>1200</v>
      </c>
      <c r="B142" s="34">
        <v>42764.0</v>
      </c>
      <c r="C142" s="35" t="s">
        <v>42</v>
      </c>
      <c r="D142" s="36">
        <v>9.01</v>
      </c>
      <c r="E142" s="21">
        <f>IFERROR(__xludf.DUMMYFUNCTION("IF(C142=""USD"", D142, 
  IFERROR(
    D142 * INDEX(GOOGLEFINANCE(CONCATENATE(""CURRENCY:"", C142, ""USD""), ""close"", B142), 2, 2),
    IFERROR(
      D142 * INDEX(GOOGLEFINANCE(CONCATENATE(""CURRENCY:"", C142, ""USD""), ""close"", B142 - 1), 2, 2),
   "&amp;"   D142 * INDEX(GOOGLEFINANCE(CONCATENATE(""CURRENCY:"", C142, ""USD""), ""close"", B142 + 1), 2, 2)
    )
  )
)"),9.01)</f>
        <v>9.01</v>
      </c>
    </row>
    <row r="143">
      <c r="A143" s="33" t="s">
        <v>1202</v>
      </c>
      <c r="B143" s="34">
        <v>42794.0</v>
      </c>
      <c r="C143" s="35" t="s">
        <v>42</v>
      </c>
      <c r="D143" s="36">
        <v>39.19</v>
      </c>
      <c r="E143" s="21">
        <f>IFERROR(__xludf.DUMMYFUNCTION("IF(C143=""USD"", D143, 
  IFERROR(
    D143 * INDEX(GOOGLEFINANCE(CONCATENATE(""CURRENCY:"", C143, ""USD""), ""close"", B143), 2, 2),
    IFERROR(
      D143 * INDEX(GOOGLEFINANCE(CONCATENATE(""CURRENCY:"", C143, ""USD""), ""close"", B143 - 1), 2, 2),
   "&amp;"   D143 * INDEX(GOOGLEFINANCE(CONCATENATE(""CURRENCY:"", C143, ""USD""), ""close"", B143 + 1), 2, 2)
    )
  )
)"),39.19)</f>
        <v>39.19</v>
      </c>
    </row>
    <row r="144">
      <c r="A144" s="33" t="s">
        <v>1199</v>
      </c>
      <c r="B144" s="34">
        <v>42794.0</v>
      </c>
      <c r="C144" s="35" t="s">
        <v>42</v>
      </c>
      <c r="D144" s="36">
        <v>7.58</v>
      </c>
      <c r="E144" s="21">
        <f>IFERROR(__xludf.DUMMYFUNCTION("IF(C144=""USD"", D144, 
  IFERROR(
    D144 * INDEX(GOOGLEFINANCE(CONCATENATE(""CURRENCY:"", C144, ""USD""), ""close"", B144), 2, 2),
    IFERROR(
      D144 * INDEX(GOOGLEFINANCE(CONCATENATE(""CURRENCY:"", C144, ""USD""), ""close"", B144 - 1), 2, 2),
   "&amp;"   D144 * INDEX(GOOGLEFINANCE(CONCATENATE(""CURRENCY:"", C144, ""USD""), ""close"", B144 + 1), 2, 2)
    )
  )
)"),7.58)</f>
        <v>7.58</v>
      </c>
    </row>
    <row r="145">
      <c r="A145" s="33" t="s">
        <v>1203</v>
      </c>
      <c r="B145" s="34">
        <v>42794.0</v>
      </c>
      <c r="C145" s="35" t="s">
        <v>42</v>
      </c>
      <c r="D145" s="36">
        <v>12.85</v>
      </c>
      <c r="E145" s="21">
        <f>IFERROR(__xludf.DUMMYFUNCTION("IF(C145=""USD"", D145, 
  IFERROR(
    D145 * INDEX(GOOGLEFINANCE(CONCATENATE(""CURRENCY:"", C145, ""USD""), ""close"", B145), 2, 2),
    IFERROR(
      D145 * INDEX(GOOGLEFINANCE(CONCATENATE(""CURRENCY:"", C145, ""USD""), ""close"", B145 - 1), 2, 2),
   "&amp;"   D145 * INDEX(GOOGLEFINANCE(CONCATENATE(""CURRENCY:"", C145, ""USD""), ""close"", B145 + 1), 2, 2)
    )
  )
)"),12.85)</f>
        <v>12.85</v>
      </c>
    </row>
    <row r="146">
      <c r="A146" s="33" t="s">
        <v>1198</v>
      </c>
      <c r="B146" s="34">
        <v>42794.0</v>
      </c>
      <c r="C146" s="35" t="s">
        <v>42</v>
      </c>
      <c r="D146" s="36">
        <v>115.67</v>
      </c>
      <c r="E146" s="21">
        <f>IFERROR(__xludf.DUMMYFUNCTION("IF(C146=""USD"", D146, 
  IFERROR(
    D146 * INDEX(GOOGLEFINANCE(CONCATENATE(""CURRENCY:"", C146, ""USD""), ""close"", B146), 2, 2),
    IFERROR(
      D146 * INDEX(GOOGLEFINANCE(CONCATENATE(""CURRENCY:"", C146, ""USD""), ""close"", B146 - 1), 2, 2),
   "&amp;"   D146 * INDEX(GOOGLEFINANCE(CONCATENATE(""CURRENCY:"", C146, ""USD""), ""close"", B146 + 1), 2, 2)
    )
  )
)"),115.67)</f>
        <v>115.67</v>
      </c>
    </row>
    <row r="147">
      <c r="A147" s="33" t="s">
        <v>1200</v>
      </c>
      <c r="B147" s="34">
        <v>42794.0</v>
      </c>
      <c r="C147" s="35" t="s">
        <v>42</v>
      </c>
      <c r="D147" s="36">
        <v>4.51</v>
      </c>
      <c r="E147" s="21">
        <f>IFERROR(__xludf.DUMMYFUNCTION("IF(C147=""USD"", D147, 
  IFERROR(
    D147 * INDEX(GOOGLEFINANCE(CONCATENATE(""CURRENCY:"", C147, ""USD""), ""close"", B147), 2, 2),
    IFERROR(
      D147 * INDEX(GOOGLEFINANCE(CONCATENATE(""CURRENCY:"", C147, ""USD""), ""close"", B147 - 1), 2, 2),
   "&amp;"   D147 * INDEX(GOOGLEFINANCE(CONCATENATE(""CURRENCY:"", C147, ""USD""), ""close"", B147 + 1), 2, 2)
    )
  )
)"),4.51)</f>
        <v>4.51</v>
      </c>
    </row>
    <row r="148">
      <c r="A148" s="33" t="s">
        <v>1195</v>
      </c>
      <c r="B148" s="34">
        <v>42794.0</v>
      </c>
      <c r="C148" s="35" t="s">
        <v>42</v>
      </c>
      <c r="D148" s="36">
        <v>47.49</v>
      </c>
      <c r="E148" s="21">
        <f>IFERROR(__xludf.DUMMYFUNCTION("IF(C148=""USD"", D148, 
  IFERROR(
    D148 * INDEX(GOOGLEFINANCE(CONCATENATE(""CURRENCY:"", C148, ""USD""), ""close"", B148), 2, 2),
    IFERROR(
      D148 * INDEX(GOOGLEFINANCE(CONCATENATE(""CURRENCY:"", C148, ""USD""), ""close"", B148 - 1), 2, 2),
   "&amp;"   D148 * INDEX(GOOGLEFINANCE(CONCATENATE(""CURRENCY:"", C148, ""USD""), ""close"", B148 + 1), 2, 2)
    )
  )
)"),47.49)</f>
        <v>47.49</v>
      </c>
    </row>
    <row r="149">
      <c r="A149" s="33" t="s">
        <v>1199</v>
      </c>
      <c r="B149" s="34">
        <v>42823.0</v>
      </c>
      <c r="C149" s="35" t="s">
        <v>42</v>
      </c>
      <c r="D149" s="36">
        <v>7.78</v>
      </c>
      <c r="E149" s="21">
        <f>IFERROR(__xludf.DUMMYFUNCTION("IF(C149=""USD"", D149, 
  IFERROR(
    D149 * INDEX(GOOGLEFINANCE(CONCATENATE(""CURRENCY:"", C149, ""USD""), ""close"", B149), 2, 2),
    IFERROR(
      D149 * INDEX(GOOGLEFINANCE(CONCATENATE(""CURRENCY:"", C149, ""USD""), ""close"", B149 - 1), 2, 2),
   "&amp;"   D149 * INDEX(GOOGLEFINANCE(CONCATENATE(""CURRENCY:"", C149, ""USD""), ""close"", B149 + 1), 2, 2)
    )
  )
)"),7.78)</f>
        <v>7.78</v>
      </c>
    </row>
    <row r="150">
      <c r="A150" s="33" t="s">
        <v>1198</v>
      </c>
      <c r="B150" s="34">
        <v>42823.0</v>
      </c>
      <c r="C150" s="35" t="s">
        <v>42</v>
      </c>
      <c r="D150" s="36">
        <v>94.97</v>
      </c>
      <c r="E150" s="21">
        <f>IFERROR(__xludf.DUMMYFUNCTION("IF(C150=""USD"", D150, 
  IFERROR(
    D150 * INDEX(GOOGLEFINANCE(CONCATENATE(""CURRENCY:"", C150, ""USD""), ""close"", B150), 2, 2),
    IFERROR(
      D150 * INDEX(GOOGLEFINANCE(CONCATENATE(""CURRENCY:"", C150, ""USD""), ""close"", B150 - 1), 2, 2),
   "&amp;"   D150 * INDEX(GOOGLEFINANCE(CONCATENATE(""CURRENCY:"", C150, ""USD""), ""close"", B150 + 1), 2, 2)
    )
  )
)"),94.97)</f>
        <v>94.97</v>
      </c>
    </row>
    <row r="151">
      <c r="A151" s="33" t="s">
        <v>1195</v>
      </c>
      <c r="B151" s="34">
        <v>42823.0</v>
      </c>
      <c r="C151" s="35" t="s">
        <v>42</v>
      </c>
      <c r="D151" s="36">
        <v>20.6</v>
      </c>
      <c r="E151" s="21">
        <f>IFERROR(__xludf.DUMMYFUNCTION("IF(C151=""USD"", D151, 
  IFERROR(
    D151 * INDEX(GOOGLEFINANCE(CONCATENATE(""CURRENCY:"", C151, ""USD""), ""close"", B151), 2, 2),
    IFERROR(
      D151 * INDEX(GOOGLEFINANCE(CONCATENATE(""CURRENCY:"", C151, ""USD""), ""close"", B151 - 1), 2, 2),
   "&amp;"   D151 * INDEX(GOOGLEFINANCE(CONCATENATE(""CURRENCY:"", C151, ""USD""), ""close"", B151 + 1), 2, 2)
    )
  )
)"),20.6)</f>
        <v>20.6</v>
      </c>
    </row>
    <row r="152">
      <c r="A152" s="33" t="s">
        <v>1202</v>
      </c>
      <c r="B152" s="34">
        <v>42825.0</v>
      </c>
      <c r="C152" s="35" t="s">
        <v>42</v>
      </c>
      <c r="D152" s="36">
        <v>23.88</v>
      </c>
      <c r="E152" s="21">
        <f>IFERROR(__xludf.DUMMYFUNCTION("IF(C152=""USD"", D152, 
  IFERROR(
    D152 * INDEX(GOOGLEFINANCE(CONCATENATE(""CURRENCY:"", C152, ""USD""), ""close"", B152), 2, 2),
    IFERROR(
      D152 * INDEX(GOOGLEFINANCE(CONCATENATE(""CURRENCY:"", C152, ""USD""), ""close"", B152 - 1), 2, 2),
   "&amp;"   D152 * INDEX(GOOGLEFINANCE(CONCATENATE(""CURRENCY:"", C152, ""USD""), ""close"", B152 + 1), 2, 2)
    )
  )
)"),23.88)</f>
        <v>23.88</v>
      </c>
    </row>
    <row r="153">
      <c r="A153" s="33" t="s">
        <v>1204</v>
      </c>
      <c r="B153" s="34">
        <v>42825.0</v>
      </c>
      <c r="C153" s="35" t="s">
        <v>42</v>
      </c>
      <c r="D153" s="36">
        <v>4.33</v>
      </c>
      <c r="E153" s="21">
        <f>IFERROR(__xludf.DUMMYFUNCTION("IF(C153=""USD"", D153, 
  IFERROR(
    D153 * INDEX(GOOGLEFINANCE(CONCATENATE(""CURRENCY:"", C153, ""USD""), ""close"", B153), 2, 2),
    IFERROR(
      D153 * INDEX(GOOGLEFINANCE(CONCATENATE(""CURRENCY:"", C153, ""USD""), ""close"", B153 - 1), 2, 2),
   "&amp;"   D153 * INDEX(GOOGLEFINANCE(CONCATENATE(""CURRENCY:"", C153, ""USD""), ""close"", B153 + 1), 2, 2)
    )
  )
)"),4.33)</f>
        <v>4.33</v>
      </c>
    </row>
    <row r="154">
      <c r="A154" s="33" t="s">
        <v>1200</v>
      </c>
      <c r="B154" s="34">
        <v>42825.0</v>
      </c>
      <c r="C154" s="35" t="s">
        <v>42</v>
      </c>
      <c r="D154" s="36">
        <v>4.43</v>
      </c>
      <c r="E154" s="21">
        <f>IFERROR(__xludf.DUMMYFUNCTION("IF(C154=""USD"", D154, 
  IFERROR(
    D154 * INDEX(GOOGLEFINANCE(CONCATENATE(""CURRENCY:"", C154, ""USD""), ""close"", B154), 2, 2),
    IFERROR(
      D154 * INDEX(GOOGLEFINANCE(CONCATENATE(""CURRENCY:"", C154, ""USD""), ""close"", B154 - 1), 2, 2),
   "&amp;"   D154 * INDEX(GOOGLEFINANCE(CONCATENATE(""CURRENCY:"", C154, ""USD""), ""close"", B154 + 1), 2, 2)
    )
  )
)"),4.43)</f>
        <v>4.43</v>
      </c>
    </row>
    <row r="155">
      <c r="A155" s="33" t="s">
        <v>1197</v>
      </c>
      <c r="B155" s="34">
        <v>42825.0</v>
      </c>
      <c r="C155" s="35" t="s">
        <v>42</v>
      </c>
      <c r="D155" s="36">
        <v>8.08</v>
      </c>
      <c r="E155" s="21">
        <f>IFERROR(__xludf.DUMMYFUNCTION("IF(C155=""USD"", D155, 
  IFERROR(
    D155 * INDEX(GOOGLEFINANCE(CONCATENATE(""CURRENCY:"", C155, ""USD""), ""close"", B155), 2, 2),
    IFERROR(
      D155 * INDEX(GOOGLEFINANCE(CONCATENATE(""CURRENCY:"", C155, ""USD""), ""close"", B155 - 1), 2, 2),
   "&amp;"   D155 * INDEX(GOOGLEFINANCE(CONCATENATE(""CURRENCY:"", C155, ""USD""), ""close"", B155 + 1), 2, 2)
    )
  )
)"),8.08)</f>
        <v>8.08</v>
      </c>
    </row>
    <row r="156">
      <c r="A156" s="33" t="s">
        <v>1203</v>
      </c>
      <c r="B156" s="34">
        <v>42825.0</v>
      </c>
      <c r="C156" s="35" t="s">
        <v>42</v>
      </c>
      <c r="D156" s="36">
        <v>4.33</v>
      </c>
      <c r="E156" s="21">
        <f>IFERROR(__xludf.DUMMYFUNCTION("IF(C156=""USD"", D156, 
  IFERROR(
    D156 * INDEX(GOOGLEFINANCE(CONCATENATE(""CURRENCY:"", C156, ""USD""), ""close"", B156), 2, 2),
    IFERROR(
      D156 * INDEX(GOOGLEFINANCE(CONCATENATE(""CURRENCY:"", C156, ""USD""), ""close"", B156 - 1), 2, 2),
   "&amp;"   D156 * INDEX(GOOGLEFINANCE(CONCATENATE(""CURRENCY:"", C156, ""USD""), ""close"", B156 + 1), 2, 2)
    )
  )
)"),4.33)</f>
        <v>4.33</v>
      </c>
    </row>
    <row r="157">
      <c r="A157" s="33" t="s">
        <v>1195</v>
      </c>
      <c r="B157" s="34">
        <v>42854.0</v>
      </c>
      <c r="C157" s="35" t="s">
        <v>42</v>
      </c>
      <c r="D157" s="36">
        <v>28.29</v>
      </c>
      <c r="E157" s="21">
        <f>IFERROR(__xludf.DUMMYFUNCTION("IF(C157=""USD"", D157, 
  IFERROR(
    D157 * INDEX(GOOGLEFINANCE(CONCATENATE(""CURRENCY:"", C157, ""USD""), ""close"", B157), 2, 2),
    IFERROR(
      D157 * INDEX(GOOGLEFINANCE(CONCATENATE(""CURRENCY:"", C157, ""USD""), ""close"", B157 - 1), 2, 2),
   "&amp;"   D157 * INDEX(GOOGLEFINANCE(CONCATENATE(""CURRENCY:"", C157, ""USD""), ""close"", B157 + 1), 2, 2)
    )
  )
)"),28.29)</f>
        <v>28.29</v>
      </c>
    </row>
    <row r="158">
      <c r="A158" s="33" t="s">
        <v>1196</v>
      </c>
      <c r="B158" s="34">
        <v>42854.0</v>
      </c>
      <c r="C158" s="35" t="s">
        <v>42</v>
      </c>
      <c r="D158" s="36">
        <v>8.75</v>
      </c>
      <c r="E158" s="21">
        <f>IFERROR(__xludf.DUMMYFUNCTION("IF(C158=""USD"", D158, 
  IFERROR(
    D158 * INDEX(GOOGLEFINANCE(CONCATENATE(""CURRENCY:"", C158, ""USD""), ""close"", B158), 2, 2),
    IFERROR(
      D158 * INDEX(GOOGLEFINANCE(CONCATENATE(""CURRENCY:"", C158, ""USD""), ""close"", B158 - 1), 2, 2),
   "&amp;"   D158 * INDEX(GOOGLEFINANCE(CONCATENATE(""CURRENCY:"", C158, ""USD""), ""close"", B158 + 1), 2, 2)
    )
  )
)"),8.75)</f>
        <v>8.75</v>
      </c>
    </row>
    <row r="159">
      <c r="A159" s="33" t="s">
        <v>1202</v>
      </c>
      <c r="B159" s="34">
        <v>42854.0</v>
      </c>
      <c r="C159" s="35" t="s">
        <v>42</v>
      </c>
      <c r="D159" s="36">
        <v>22.11</v>
      </c>
      <c r="E159" s="21">
        <f>IFERROR(__xludf.DUMMYFUNCTION("IF(C159=""USD"", D159, 
  IFERROR(
    D159 * INDEX(GOOGLEFINANCE(CONCATENATE(""CURRENCY:"", C159, ""USD""), ""close"", B159), 2, 2),
    IFERROR(
      D159 * INDEX(GOOGLEFINANCE(CONCATENATE(""CURRENCY:"", C159, ""USD""), ""close"", B159 - 1), 2, 2),
   "&amp;"   D159 * INDEX(GOOGLEFINANCE(CONCATENATE(""CURRENCY:"", C159, ""USD""), ""close"", B159 + 1), 2, 2)
    )
  )
)"),22.11)</f>
        <v>22.11</v>
      </c>
    </row>
    <row r="160">
      <c r="A160" s="33" t="s">
        <v>1206</v>
      </c>
      <c r="B160" s="34">
        <v>42854.0</v>
      </c>
      <c r="C160" s="35" t="s">
        <v>42</v>
      </c>
      <c r="D160" s="36">
        <v>2.37</v>
      </c>
      <c r="E160" s="21">
        <f>IFERROR(__xludf.DUMMYFUNCTION("IF(C160=""USD"", D160, 
  IFERROR(
    D160 * INDEX(GOOGLEFINANCE(CONCATENATE(""CURRENCY:"", C160, ""USD""), ""close"", B160), 2, 2),
    IFERROR(
      D160 * INDEX(GOOGLEFINANCE(CONCATENATE(""CURRENCY:"", C160, ""USD""), ""close"", B160 - 1), 2, 2),
   "&amp;"   D160 * INDEX(GOOGLEFINANCE(CONCATENATE(""CURRENCY:"", C160, ""USD""), ""close"", B160 + 1), 2, 2)
    )
  )
)"),2.37)</f>
        <v>2.37</v>
      </c>
    </row>
    <row r="161">
      <c r="A161" s="33" t="s">
        <v>1200</v>
      </c>
      <c r="B161" s="34">
        <v>42854.0</v>
      </c>
      <c r="C161" s="35" t="s">
        <v>42</v>
      </c>
      <c r="D161" s="36">
        <v>8.81</v>
      </c>
      <c r="E161" s="21">
        <f>IFERROR(__xludf.DUMMYFUNCTION("IF(C161=""USD"", D161, 
  IFERROR(
    D161 * INDEX(GOOGLEFINANCE(CONCATENATE(""CURRENCY:"", C161, ""USD""), ""close"", B161), 2, 2),
    IFERROR(
      D161 * INDEX(GOOGLEFINANCE(CONCATENATE(""CURRENCY:"", C161, ""USD""), ""close"", B161 - 1), 2, 2),
   "&amp;"   D161 * INDEX(GOOGLEFINANCE(CONCATENATE(""CURRENCY:"", C161, ""USD""), ""close"", B161 + 1), 2, 2)
    )
  )
)"),8.81)</f>
        <v>8.81</v>
      </c>
    </row>
    <row r="162">
      <c r="A162" s="33" t="s">
        <v>1199</v>
      </c>
      <c r="B162" s="34">
        <v>42854.0</v>
      </c>
      <c r="C162" s="35" t="s">
        <v>42</v>
      </c>
      <c r="D162" s="36">
        <v>38.75</v>
      </c>
      <c r="E162" s="21">
        <f>IFERROR(__xludf.DUMMYFUNCTION("IF(C162=""USD"", D162, 
  IFERROR(
    D162 * INDEX(GOOGLEFINANCE(CONCATENATE(""CURRENCY:"", C162, ""USD""), ""close"", B162), 2, 2),
    IFERROR(
      D162 * INDEX(GOOGLEFINANCE(CONCATENATE(""CURRENCY:"", C162, ""USD""), ""close"", B162 - 1), 2, 2),
   "&amp;"   D162 * INDEX(GOOGLEFINANCE(CONCATENATE(""CURRENCY:"", C162, ""USD""), ""close"", B162 + 1), 2, 2)
    )
  )
)"),38.75)</f>
        <v>38.75</v>
      </c>
    </row>
    <row r="163">
      <c r="A163" s="33" t="s">
        <v>1198</v>
      </c>
      <c r="B163" s="34">
        <v>42854.0</v>
      </c>
      <c r="C163" s="35" t="s">
        <v>42</v>
      </c>
      <c r="D163" s="36">
        <v>84.0</v>
      </c>
      <c r="E163" s="21">
        <f>IFERROR(__xludf.DUMMYFUNCTION("IF(C163=""USD"", D163, 
  IFERROR(
    D163 * INDEX(GOOGLEFINANCE(CONCATENATE(""CURRENCY:"", C163, ""USD""), ""close"", B163), 2, 2),
    IFERROR(
      D163 * INDEX(GOOGLEFINANCE(CONCATENATE(""CURRENCY:"", C163, ""USD""), ""close"", B163 - 1), 2, 2),
   "&amp;"   D163 * INDEX(GOOGLEFINANCE(CONCATENATE(""CURRENCY:"", C163, ""USD""), ""close"", B163 + 1), 2, 2)
    )
  )
)"),84.0)</f>
        <v>84</v>
      </c>
    </row>
    <row r="164">
      <c r="A164" s="33" t="s">
        <v>1199</v>
      </c>
      <c r="B164" s="34">
        <v>42884.0</v>
      </c>
      <c r="C164" s="35" t="s">
        <v>42</v>
      </c>
      <c r="D164" s="36">
        <v>23.96</v>
      </c>
      <c r="E164" s="21">
        <f>IFERROR(__xludf.DUMMYFUNCTION("IF(C164=""USD"", D164, 
  IFERROR(
    D164 * INDEX(GOOGLEFINANCE(CONCATENATE(""CURRENCY:"", C164, ""USD""), ""close"", B164), 2, 2),
    IFERROR(
      D164 * INDEX(GOOGLEFINANCE(CONCATENATE(""CURRENCY:"", C164, ""USD""), ""close"", B164 - 1), 2, 2),
   "&amp;"   D164 * INDEX(GOOGLEFINANCE(CONCATENATE(""CURRENCY:"", C164, ""USD""), ""close"", B164 + 1), 2, 2)
    )
  )
)"),23.96)</f>
        <v>23.96</v>
      </c>
    </row>
    <row r="165">
      <c r="A165" s="33" t="s">
        <v>1200</v>
      </c>
      <c r="B165" s="34">
        <v>42884.0</v>
      </c>
      <c r="C165" s="35" t="s">
        <v>42</v>
      </c>
      <c r="D165" s="36">
        <v>4.38</v>
      </c>
      <c r="E165" s="21">
        <f>IFERROR(__xludf.DUMMYFUNCTION("IF(C165=""USD"", D165, 
  IFERROR(
    D165 * INDEX(GOOGLEFINANCE(CONCATENATE(""CURRENCY:"", C165, ""USD""), ""close"", B165), 2, 2),
    IFERROR(
      D165 * INDEX(GOOGLEFINANCE(CONCATENATE(""CURRENCY:"", C165, ""USD""), ""close"", B165 - 1), 2, 2),
   "&amp;"   D165 * INDEX(GOOGLEFINANCE(CONCATENATE(""CURRENCY:"", C165, ""USD""), ""close"", B165 + 1), 2, 2)
    )
  )
)"),4.38)</f>
        <v>4.38</v>
      </c>
    </row>
    <row r="166">
      <c r="A166" s="33" t="s">
        <v>1195</v>
      </c>
      <c r="B166" s="34">
        <v>42884.0</v>
      </c>
      <c r="C166" s="35" t="s">
        <v>42</v>
      </c>
      <c r="D166" s="36">
        <v>42.21</v>
      </c>
      <c r="E166" s="21">
        <f>IFERROR(__xludf.DUMMYFUNCTION("IF(C166=""USD"", D166, 
  IFERROR(
    D166 * INDEX(GOOGLEFINANCE(CONCATENATE(""CURRENCY:"", C166, ""USD""), ""close"", B166), 2, 2),
    IFERROR(
      D166 * INDEX(GOOGLEFINANCE(CONCATENATE(""CURRENCY:"", C166, ""USD""), ""close"", B166 - 1), 2, 2),
   "&amp;"   D166 * INDEX(GOOGLEFINANCE(CONCATENATE(""CURRENCY:"", C166, ""USD""), ""close"", B166 + 1), 2, 2)
    )
  )
)"),42.21)</f>
        <v>42.21</v>
      </c>
    </row>
    <row r="167">
      <c r="A167" s="33" t="s">
        <v>1202</v>
      </c>
      <c r="B167" s="34">
        <v>42884.0</v>
      </c>
      <c r="C167" s="35" t="s">
        <v>42</v>
      </c>
      <c r="D167" s="36">
        <v>14.44</v>
      </c>
      <c r="E167" s="21">
        <f>IFERROR(__xludf.DUMMYFUNCTION("IF(C167=""USD"", D167, 
  IFERROR(
    D167 * INDEX(GOOGLEFINANCE(CONCATENATE(""CURRENCY:"", C167, ""USD""), ""close"", B167), 2, 2),
    IFERROR(
      D167 * INDEX(GOOGLEFINANCE(CONCATENATE(""CURRENCY:"", C167, ""USD""), ""close"", B167 - 1), 2, 2),
   "&amp;"   D167 * INDEX(GOOGLEFINANCE(CONCATENATE(""CURRENCY:"", C167, ""USD""), ""close"", B167 + 1), 2, 2)
    )
  )
)"),14.44)</f>
        <v>14.44</v>
      </c>
    </row>
    <row r="168">
      <c r="A168" s="33" t="s">
        <v>1198</v>
      </c>
      <c r="B168" s="34">
        <v>42884.0</v>
      </c>
      <c r="C168" s="35" t="s">
        <v>42</v>
      </c>
      <c r="D168" s="36">
        <v>103.4</v>
      </c>
      <c r="E168" s="21">
        <f>IFERROR(__xludf.DUMMYFUNCTION("IF(C168=""USD"", D168, 
  IFERROR(
    D168 * INDEX(GOOGLEFINANCE(CONCATENATE(""CURRENCY:"", C168, ""USD""), ""close"", B168), 2, 2),
    IFERROR(
      D168 * INDEX(GOOGLEFINANCE(CONCATENATE(""CURRENCY:"", C168, ""USD""), ""close"", B168 - 1), 2, 2),
   "&amp;"   D168 * INDEX(GOOGLEFINANCE(CONCATENATE(""CURRENCY:"", C168, ""USD""), ""close"", B168 + 1), 2, 2)
    )
  )
)"),103.4)</f>
        <v>103.4</v>
      </c>
    </row>
    <row r="169">
      <c r="A169" s="33" t="s">
        <v>1198</v>
      </c>
      <c r="B169" s="34">
        <v>42915.0</v>
      </c>
      <c r="C169" s="35" t="s">
        <v>42</v>
      </c>
      <c r="D169" s="36">
        <v>146.03</v>
      </c>
      <c r="E169" s="21">
        <f>IFERROR(__xludf.DUMMYFUNCTION("IF(C169=""USD"", D169, 
  IFERROR(
    D169 * INDEX(GOOGLEFINANCE(CONCATENATE(""CURRENCY:"", C169, ""USD""), ""close"", B169), 2, 2),
    IFERROR(
      D169 * INDEX(GOOGLEFINANCE(CONCATENATE(""CURRENCY:"", C169, ""USD""), ""close"", B169 - 1), 2, 2),
   "&amp;"   D169 * INDEX(GOOGLEFINANCE(CONCATENATE(""CURRENCY:"", C169, ""USD""), ""close"", B169 + 1), 2, 2)
    )
  )
)"),146.03)</f>
        <v>146.03</v>
      </c>
    </row>
    <row r="170">
      <c r="A170" s="33" t="s">
        <v>1202</v>
      </c>
      <c r="B170" s="34">
        <v>42915.0</v>
      </c>
      <c r="C170" s="35" t="s">
        <v>42</v>
      </c>
      <c r="D170" s="36">
        <v>7.6</v>
      </c>
      <c r="E170" s="21">
        <f>IFERROR(__xludf.DUMMYFUNCTION("IF(C170=""USD"", D170, 
  IFERROR(
    D170 * INDEX(GOOGLEFINANCE(CONCATENATE(""CURRENCY:"", C170, ""USD""), ""close"", B170), 2, 2),
    IFERROR(
      D170 * INDEX(GOOGLEFINANCE(CONCATENATE(""CURRENCY:"", C170, ""USD""), ""close"", B170 - 1), 2, 2),
   "&amp;"   D170 * INDEX(GOOGLEFINANCE(CONCATENATE(""CURRENCY:"", C170, ""USD""), ""close"", B170 + 1), 2, 2)
    )
  )
)"),7.6)</f>
        <v>7.6</v>
      </c>
    </row>
    <row r="171">
      <c r="A171" s="33" t="s">
        <v>1195</v>
      </c>
      <c r="B171" s="34">
        <v>42915.0</v>
      </c>
      <c r="C171" s="35" t="s">
        <v>42</v>
      </c>
      <c r="D171" s="36">
        <v>7.01</v>
      </c>
      <c r="E171" s="21">
        <f>IFERROR(__xludf.DUMMYFUNCTION("IF(C171=""USD"", D171, 
  IFERROR(
    D171 * INDEX(GOOGLEFINANCE(CONCATENATE(""CURRENCY:"", C171, ""USD""), ""close"", B171), 2, 2),
    IFERROR(
      D171 * INDEX(GOOGLEFINANCE(CONCATENATE(""CURRENCY:"", C171, ""USD""), ""close"", B171 - 1), 2, 2),
   "&amp;"   D171 * INDEX(GOOGLEFINANCE(CONCATENATE(""CURRENCY:"", C171, ""USD""), ""close"", B171 + 1), 2, 2)
    )
  )
)"),7.01)</f>
        <v>7.01</v>
      </c>
    </row>
    <row r="172">
      <c r="A172" s="33" t="s">
        <v>1203</v>
      </c>
      <c r="B172" s="34">
        <v>42915.0</v>
      </c>
      <c r="C172" s="35" t="s">
        <v>42</v>
      </c>
      <c r="D172" s="36">
        <v>13.74</v>
      </c>
      <c r="E172" s="21">
        <f>IFERROR(__xludf.DUMMYFUNCTION("IF(C172=""USD"", D172, 
  IFERROR(
    D172 * INDEX(GOOGLEFINANCE(CONCATENATE(""CURRENCY:"", C172, ""USD""), ""close"", B172), 2, 2),
    IFERROR(
      D172 * INDEX(GOOGLEFINANCE(CONCATENATE(""CURRENCY:"", C172, ""USD""), ""close"", B172 - 1), 2, 2),
   "&amp;"   D172 * INDEX(GOOGLEFINANCE(CONCATENATE(""CURRENCY:"", C172, ""USD""), ""close"", B172 + 1), 2, 2)
    )
  )
)"),13.74)</f>
        <v>13.74</v>
      </c>
    </row>
    <row r="173">
      <c r="A173" s="33" t="s">
        <v>1199</v>
      </c>
      <c r="B173" s="34">
        <v>42915.0</v>
      </c>
      <c r="C173" s="35" t="s">
        <v>42</v>
      </c>
      <c r="D173" s="36">
        <v>32.44</v>
      </c>
      <c r="E173" s="21">
        <f>IFERROR(__xludf.DUMMYFUNCTION("IF(C173=""USD"", D173, 
  IFERROR(
    D173 * INDEX(GOOGLEFINANCE(CONCATENATE(""CURRENCY:"", C173, ""USD""), ""close"", B173), 2, 2),
    IFERROR(
      D173 * INDEX(GOOGLEFINANCE(CONCATENATE(""CURRENCY:"", C173, ""USD""), ""close"", B173 - 1), 2, 2),
   "&amp;"   D173 * INDEX(GOOGLEFINANCE(CONCATENATE(""CURRENCY:"", C173, ""USD""), ""close"", B173 + 1), 2, 2)
    )
  )
)"),32.44)</f>
        <v>32.44</v>
      </c>
    </row>
    <row r="174">
      <c r="A174" s="33" t="s">
        <v>1205</v>
      </c>
      <c r="B174" s="34">
        <v>42915.0</v>
      </c>
      <c r="C174" s="35" t="s">
        <v>42</v>
      </c>
      <c r="D174" s="36">
        <v>1.49</v>
      </c>
      <c r="E174" s="21">
        <f>IFERROR(__xludf.DUMMYFUNCTION("IF(C174=""USD"", D174, 
  IFERROR(
    D174 * INDEX(GOOGLEFINANCE(CONCATENATE(""CURRENCY:"", C174, ""USD""), ""close"", B174), 2, 2),
    IFERROR(
      D174 * INDEX(GOOGLEFINANCE(CONCATENATE(""CURRENCY:"", C174, ""USD""), ""close"", B174 - 1), 2, 2),
   "&amp;"   D174 * INDEX(GOOGLEFINANCE(CONCATENATE(""CURRENCY:"", C174, ""USD""), ""close"", B174 + 1), 2, 2)
    )
  )
)"),1.49)</f>
        <v>1.49</v>
      </c>
    </row>
    <row r="175">
      <c r="A175" s="33" t="s">
        <v>1197</v>
      </c>
      <c r="B175" s="34">
        <v>42915.0</v>
      </c>
      <c r="C175" s="35" t="s">
        <v>42</v>
      </c>
      <c r="D175" s="36">
        <v>8.33</v>
      </c>
      <c r="E175" s="21">
        <f>IFERROR(__xludf.DUMMYFUNCTION("IF(C175=""USD"", D175, 
  IFERROR(
    D175 * INDEX(GOOGLEFINANCE(CONCATENATE(""CURRENCY:"", C175, ""USD""), ""close"", B175), 2, 2),
    IFERROR(
      D175 * INDEX(GOOGLEFINANCE(CONCATENATE(""CURRENCY:"", C175, ""USD""), ""close"", B175 - 1), 2, 2),
   "&amp;"   D175 * INDEX(GOOGLEFINANCE(CONCATENATE(""CURRENCY:"", C175, ""USD""), ""close"", B175 + 1), 2, 2)
    )
  )
)"),8.33)</f>
        <v>8.33</v>
      </c>
    </row>
    <row r="176">
      <c r="A176" s="33" t="s">
        <v>1203</v>
      </c>
      <c r="B176" s="34">
        <v>42945.0</v>
      </c>
      <c r="C176" s="35" t="s">
        <v>42</v>
      </c>
      <c r="D176" s="36">
        <v>4.72</v>
      </c>
      <c r="E176" s="21">
        <f>IFERROR(__xludf.DUMMYFUNCTION("IF(C176=""USD"", D176, 
  IFERROR(
    D176 * INDEX(GOOGLEFINANCE(CONCATENATE(""CURRENCY:"", C176, ""USD""), ""close"", B176), 2, 2),
    IFERROR(
      D176 * INDEX(GOOGLEFINANCE(CONCATENATE(""CURRENCY:"", C176, ""USD""), ""close"", B176 - 1), 2, 2),
   "&amp;"   D176 * INDEX(GOOGLEFINANCE(CONCATENATE(""CURRENCY:"", C176, ""USD""), ""close"", B176 + 1), 2, 2)
    )
  )
)"),4.72)</f>
        <v>4.72</v>
      </c>
    </row>
    <row r="177">
      <c r="A177" s="33" t="s">
        <v>1199</v>
      </c>
      <c r="B177" s="34">
        <v>42945.0</v>
      </c>
      <c r="C177" s="35" t="s">
        <v>42</v>
      </c>
      <c r="D177" s="36">
        <v>25.04</v>
      </c>
      <c r="E177" s="21">
        <f>IFERROR(__xludf.DUMMYFUNCTION("IF(C177=""USD"", D177, 
  IFERROR(
    D177 * INDEX(GOOGLEFINANCE(CONCATENATE(""CURRENCY:"", C177, ""USD""), ""close"", B177), 2, 2),
    IFERROR(
      D177 * INDEX(GOOGLEFINANCE(CONCATENATE(""CURRENCY:"", C177, ""USD""), ""close"", B177 - 1), 2, 2),
   "&amp;"   D177 * INDEX(GOOGLEFINANCE(CONCATENATE(""CURRENCY:"", C177, ""USD""), ""close"", B177 + 1), 2, 2)
    )
  )
)"),25.04)</f>
        <v>25.04</v>
      </c>
    </row>
    <row r="178">
      <c r="A178" s="33" t="s">
        <v>1195</v>
      </c>
      <c r="B178" s="34">
        <v>42945.0</v>
      </c>
      <c r="C178" s="35" t="s">
        <v>42</v>
      </c>
      <c r="D178" s="36">
        <v>28.58</v>
      </c>
      <c r="E178" s="21">
        <f>IFERROR(__xludf.DUMMYFUNCTION("IF(C178=""USD"", D178, 
  IFERROR(
    D178 * INDEX(GOOGLEFINANCE(CONCATENATE(""CURRENCY:"", C178, ""USD""), ""close"", B178), 2, 2),
    IFERROR(
      D178 * INDEX(GOOGLEFINANCE(CONCATENATE(""CURRENCY:"", C178, ""USD""), ""close"", B178 - 1), 2, 2),
   "&amp;"   D178 * INDEX(GOOGLEFINANCE(CONCATENATE(""CURRENCY:"", C178, ""USD""), ""close"", B178 + 1), 2, 2)
    )
  )
)"),28.58)</f>
        <v>28.58</v>
      </c>
    </row>
    <row r="179">
      <c r="A179" s="33" t="s">
        <v>1197</v>
      </c>
      <c r="B179" s="34">
        <v>42945.0</v>
      </c>
      <c r="C179" s="35" t="s">
        <v>42</v>
      </c>
      <c r="D179" s="36">
        <v>4.25</v>
      </c>
      <c r="E179" s="21">
        <f>IFERROR(__xludf.DUMMYFUNCTION("IF(C179=""USD"", D179, 
  IFERROR(
    D179 * INDEX(GOOGLEFINANCE(CONCATENATE(""CURRENCY:"", C179, ""USD""), ""close"", B179), 2, 2),
    IFERROR(
      D179 * INDEX(GOOGLEFINANCE(CONCATENATE(""CURRENCY:"", C179, ""USD""), ""close"", B179 - 1), 2, 2),
   "&amp;"   D179 * INDEX(GOOGLEFINANCE(CONCATENATE(""CURRENCY:"", C179, ""USD""), ""close"", B179 + 1), 2, 2)
    )
  )
)"),4.25)</f>
        <v>4.25</v>
      </c>
    </row>
    <row r="180">
      <c r="A180" s="33" t="s">
        <v>1204</v>
      </c>
      <c r="B180" s="34">
        <v>42945.0</v>
      </c>
      <c r="C180" s="35" t="s">
        <v>42</v>
      </c>
      <c r="D180" s="36">
        <v>4.72</v>
      </c>
      <c r="E180" s="21">
        <f>IFERROR(__xludf.DUMMYFUNCTION("IF(C180=""USD"", D180, 
  IFERROR(
    D180 * INDEX(GOOGLEFINANCE(CONCATENATE(""CURRENCY:"", C180, ""USD""), ""close"", B180), 2, 2),
    IFERROR(
      D180 * INDEX(GOOGLEFINANCE(CONCATENATE(""CURRENCY:"", C180, ""USD""), ""close"", B180 - 1), 2, 2),
   "&amp;"   D180 * INDEX(GOOGLEFINANCE(CONCATENATE(""CURRENCY:"", C180, ""USD""), ""close"", B180 + 1), 2, 2)
    )
  )
)"),4.72)</f>
        <v>4.72</v>
      </c>
    </row>
    <row r="181">
      <c r="A181" s="33" t="s">
        <v>1202</v>
      </c>
      <c r="B181" s="34">
        <v>42945.0</v>
      </c>
      <c r="C181" s="35" t="s">
        <v>42</v>
      </c>
      <c r="D181" s="36">
        <v>26.61</v>
      </c>
      <c r="E181" s="21">
        <f>IFERROR(__xludf.DUMMYFUNCTION("IF(C181=""USD"", D181, 
  IFERROR(
    D181 * INDEX(GOOGLEFINANCE(CONCATENATE(""CURRENCY:"", C181, ""USD""), ""close"", B181), 2, 2),
    IFERROR(
      D181 * INDEX(GOOGLEFINANCE(CONCATENATE(""CURRENCY:"", C181, ""USD""), ""close"", B181 - 1), 2, 2),
   "&amp;"   D181 * INDEX(GOOGLEFINANCE(CONCATENATE(""CURRENCY:"", C181, ""USD""), ""close"", B181 + 1), 2, 2)
    )
  )
)"),26.61)</f>
        <v>26.61</v>
      </c>
    </row>
    <row r="182">
      <c r="A182" s="33" t="s">
        <v>1198</v>
      </c>
      <c r="B182" s="34">
        <v>42945.0</v>
      </c>
      <c r="C182" s="35" t="s">
        <v>42</v>
      </c>
      <c r="D182" s="36">
        <v>110.26</v>
      </c>
      <c r="E182" s="21">
        <f>IFERROR(__xludf.DUMMYFUNCTION("IF(C182=""USD"", D182, 
  IFERROR(
    D182 * INDEX(GOOGLEFINANCE(CONCATENATE(""CURRENCY:"", C182, ""USD""), ""close"", B182), 2, 2),
    IFERROR(
      D182 * INDEX(GOOGLEFINANCE(CONCATENATE(""CURRENCY:"", C182, ""USD""), ""close"", B182 - 1), 2, 2),
   "&amp;"   D182 * INDEX(GOOGLEFINANCE(CONCATENATE(""CURRENCY:"", C182, ""USD""), ""close"", B182 + 1), 2, 2)
    )
  )
)"),110.26)</f>
        <v>110.26</v>
      </c>
    </row>
    <row r="183">
      <c r="A183" s="33" t="s">
        <v>1199</v>
      </c>
      <c r="B183" s="34">
        <v>42976.0</v>
      </c>
      <c r="C183" s="35" t="s">
        <v>42</v>
      </c>
      <c r="D183" s="36">
        <v>25.27</v>
      </c>
      <c r="E183" s="21">
        <f>IFERROR(__xludf.DUMMYFUNCTION("IF(C183=""USD"", D183, 
  IFERROR(
    D183 * INDEX(GOOGLEFINANCE(CONCATENATE(""CURRENCY:"", C183, ""USD""), ""close"", B183), 2, 2),
    IFERROR(
      D183 * INDEX(GOOGLEFINANCE(CONCATENATE(""CURRENCY:"", C183, ""USD""), ""close"", B183 - 1), 2, 2),
   "&amp;"   D183 * INDEX(GOOGLEFINANCE(CONCATENATE(""CURRENCY:"", C183, ""USD""), ""close"", B183 + 1), 2, 2)
    )
  )
)"),25.27)</f>
        <v>25.27</v>
      </c>
    </row>
    <row r="184">
      <c r="A184" s="33" t="s">
        <v>1200</v>
      </c>
      <c r="B184" s="34">
        <v>42976.0</v>
      </c>
      <c r="C184" s="35" t="s">
        <v>42</v>
      </c>
      <c r="D184" s="36">
        <v>4.73</v>
      </c>
      <c r="E184" s="21">
        <f>IFERROR(__xludf.DUMMYFUNCTION("IF(C184=""USD"", D184, 
  IFERROR(
    D184 * INDEX(GOOGLEFINANCE(CONCATENATE(""CURRENCY:"", C184, ""USD""), ""close"", B184), 2, 2),
    IFERROR(
      D184 * INDEX(GOOGLEFINANCE(CONCATENATE(""CURRENCY:"", C184, ""USD""), ""close"", B184 - 1), 2, 2),
   "&amp;"   D184 * INDEX(GOOGLEFINANCE(CONCATENATE(""CURRENCY:"", C184, ""USD""), ""close"", B184 + 1), 2, 2)
    )
  )
)"),4.73)</f>
        <v>4.73</v>
      </c>
    </row>
    <row r="185">
      <c r="A185" s="33" t="s">
        <v>1204</v>
      </c>
      <c r="B185" s="34">
        <v>42976.0</v>
      </c>
      <c r="C185" s="35" t="s">
        <v>42</v>
      </c>
      <c r="D185" s="36">
        <v>4.76</v>
      </c>
      <c r="E185" s="21">
        <f>IFERROR(__xludf.DUMMYFUNCTION("IF(C185=""USD"", D185, 
  IFERROR(
    D185 * INDEX(GOOGLEFINANCE(CONCATENATE(""CURRENCY:"", C185, ""USD""), ""close"", B185), 2, 2),
    IFERROR(
      D185 * INDEX(GOOGLEFINANCE(CONCATENATE(""CURRENCY:"", C185, ""USD""), ""close"", B185 - 1), 2, 2),
   "&amp;"   D185 * INDEX(GOOGLEFINANCE(CONCATENATE(""CURRENCY:"", C185, ""USD""), ""close"", B185 + 1), 2, 2)
    )
  )
)"),4.76)</f>
        <v>4.76</v>
      </c>
    </row>
    <row r="186">
      <c r="A186" s="33" t="s">
        <v>1202</v>
      </c>
      <c r="B186" s="34">
        <v>42976.0</v>
      </c>
      <c r="C186" s="35" t="s">
        <v>42</v>
      </c>
      <c r="D186" s="36">
        <v>19.0</v>
      </c>
      <c r="E186" s="21">
        <f>IFERROR(__xludf.DUMMYFUNCTION("IF(C186=""USD"", D186, 
  IFERROR(
    D186 * INDEX(GOOGLEFINANCE(CONCATENATE(""CURRENCY:"", C186, ""USD""), ""close"", B186), 2, 2),
    IFERROR(
      D186 * INDEX(GOOGLEFINANCE(CONCATENATE(""CURRENCY:"", C186, ""USD""), ""close"", B186 - 1), 2, 2),
   "&amp;"   D186 * INDEX(GOOGLEFINANCE(CONCATENATE(""CURRENCY:"", C186, ""USD""), ""close"", B186 + 1), 2, 2)
    )
  )
)"),19.0)</f>
        <v>19</v>
      </c>
    </row>
    <row r="187">
      <c r="A187" s="33" t="s">
        <v>1194</v>
      </c>
      <c r="B187" s="34">
        <v>42976.0</v>
      </c>
      <c r="C187" s="35" t="s">
        <v>42</v>
      </c>
      <c r="D187" s="36">
        <v>4.59</v>
      </c>
      <c r="E187" s="21">
        <f>IFERROR(__xludf.DUMMYFUNCTION("IF(C187=""USD"", D187, 
  IFERROR(
    D187 * INDEX(GOOGLEFINANCE(CONCATENATE(""CURRENCY:"", C187, ""USD""), ""close"", B187), 2, 2),
    IFERROR(
      D187 * INDEX(GOOGLEFINANCE(CONCATENATE(""CURRENCY:"", C187, ""USD""), ""close"", B187 - 1), 2, 2),
   "&amp;"   D187 * INDEX(GOOGLEFINANCE(CONCATENATE(""CURRENCY:"", C187, ""USD""), ""close"", B187 + 1), 2, 2)
    )
  )
)"),4.59)</f>
        <v>4.59</v>
      </c>
    </row>
    <row r="188">
      <c r="A188" s="33" t="s">
        <v>1197</v>
      </c>
      <c r="B188" s="34">
        <v>42976.0</v>
      </c>
      <c r="C188" s="35" t="s">
        <v>42</v>
      </c>
      <c r="D188" s="36">
        <v>4.17</v>
      </c>
      <c r="E188" s="21">
        <f>IFERROR(__xludf.DUMMYFUNCTION("IF(C188=""USD"", D188, 
  IFERROR(
    D188 * INDEX(GOOGLEFINANCE(CONCATENATE(""CURRENCY:"", C188, ""USD""), ""close"", B188), 2, 2),
    IFERROR(
      D188 * INDEX(GOOGLEFINANCE(CONCATENATE(""CURRENCY:"", C188, ""USD""), ""close"", B188 - 1), 2, 2),
   "&amp;"   D188 * INDEX(GOOGLEFINANCE(CONCATENATE(""CURRENCY:"", C188, ""USD""), ""close"", B188 + 1), 2, 2)
    )
  )
)"),4.17)</f>
        <v>4.17</v>
      </c>
    </row>
    <row r="189">
      <c r="A189" s="33" t="s">
        <v>1206</v>
      </c>
      <c r="B189" s="34">
        <v>42976.0</v>
      </c>
      <c r="C189" s="35" t="s">
        <v>42</v>
      </c>
      <c r="D189" s="36">
        <v>2.4</v>
      </c>
      <c r="E189" s="21">
        <f>IFERROR(__xludf.DUMMYFUNCTION("IF(C189=""USD"", D189, 
  IFERROR(
    D189 * INDEX(GOOGLEFINANCE(CONCATENATE(""CURRENCY:"", C189, ""USD""), ""close"", B189), 2, 2),
    IFERROR(
      D189 * INDEX(GOOGLEFINANCE(CONCATENATE(""CURRENCY:"", C189, ""USD""), ""close"", B189 - 1), 2, 2),
   "&amp;"   D189 * INDEX(GOOGLEFINANCE(CONCATENATE(""CURRENCY:"", C189, ""USD""), ""close"", B189 + 1), 2, 2)
    )
  )
)"),2.4)</f>
        <v>2.4</v>
      </c>
    </row>
    <row r="190">
      <c r="A190" s="33" t="s">
        <v>1195</v>
      </c>
      <c r="B190" s="34">
        <v>42976.0</v>
      </c>
      <c r="C190" s="35" t="s">
        <v>42</v>
      </c>
      <c r="D190" s="36">
        <v>28.04</v>
      </c>
      <c r="E190" s="21">
        <f>IFERROR(__xludf.DUMMYFUNCTION("IF(C190=""USD"", D190, 
  IFERROR(
    D190 * INDEX(GOOGLEFINANCE(CONCATENATE(""CURRENCY:"", C190, ""USD""), ""close"", B190), 2, 2),
    IFERROR(
      D190 * INDEX(GOOGLEFINANCE(CONCATENATE(""CURRENCY:"", C190, ""USD""), ""close"", B190 - 1), 2, 2),
   "&amp;"   D190 * INDEX(GOOGLEFINANCE(CONCATENATE(""CURRENCY:"", C190, ""USD""), ""close"", B190 + 1), 2, 2)
    )
  )
)"),28.04)</f>
        <v>28.04</v>
      </c>
    </row>
    <row r="191">
      <c r="A191" s="33" t="s">
        <v>1198</v>
      </c>
      <c r="B191" s="34">
        <v>42976.0</v>
      </c>
      <c r="C191" s="35" t="s">
        <v>42</v>
      </c>
      <c r="D191" s="36">
        <v>114.35</v>
      </c>
      <c r="E191" s="21">
        <f>IFERROR(__xludf.DUMMYFUNCTION("IF(C191=""USD"", D191, 
  IFERROR(
    D191 * INDEX(GOOGLEFINANCE(CONCATENATE(""CURRENCY:"", C191, ""USD""), ""close"", B191), 2, 2),
    IFERROR(
      D191 * INDEX(GOOGLEFINANCE(CONCATENATE(""CURRENCY:"", C191, ""USD""), ""close"", B191 - 1), 2, 2),
   "&amp;"   D191 * INDEX(GOOGLEFINANCE(CONCATENATE(""CURRENCY:"", C191, ""USD""), ""close"", B191 + 1), 2, 2)
    )
  )
)"),114.35)</f>
        <v>114.35</v>
      </c>
    </row>
    <row r="192">
      <c r="A192" s="33" t="s">
        <v>1198</v>
      </c>
      <c r="B192" s="34">
        <v>43007.0</v>
      </c>
      <c r="C192" s="35" t="s">
        <v>42</v>
      </c>
      <c r="D192" s="36">
        <v>88.1</v>
      </c>
      <c r="E192" s="21">
        <f>IFERROR(__xludf.DUMMYFUNCTION("IF(C192=""USD"", D192, 
  IFERROR(
    D192 * INDEX(GOOGLEFINANCE(CONCATENATE(""CURRENCY:"", C192, ""USD""), ""close"", B192), 2, 2),
    IFERROR(
      D192 * INDEX(GOOGLEFINANCE(CONCATENATE(""CURRENCY:"", C192, ""USD""), ""close"", B192 - 1), 2, 2),
   "&amp;"   D192 * INDEX(GOOGLEFINANCE(CONCATENATE(""CURRENCY:"", C192, ""USD""), ""close"", B192 + 1), 2, 2)
    )
  )
)"),88.1)</f>
        <v>88.1</v>
      </c>
    </row>
    <row r="193">
      <c r="A193" s="33" t="s">
        <v>1202</v>
      </c>
      <c r="B193" s="34">
        <v>43007.0</v>
      </c>
      <c r="C193" s="35" t="s">
        <v>42</v>
      </c>
      <c r="D193" s="36">
        <v>33.36</v>
      </c>
      <c r="E193" s="21">
        <f>IFERROR(__xludf.DUMMYFUNCTION("IF(C193=""USD"", D193, 
  IFERROR(
    D193 * INDEX(GOOGLEFINANCE(CONCATENATE(""CURRENCY:"", C193, ""USD""), ""close"", B193), 2, 2),
    IFERROR(
      D193 * INDEX(GOOGLEFINANCE(CONCATENATE(""CURRENCY:"", C193, ""USD""), ""close"", B193 - 1), 2, 2),
   "&amp;"   D193 * INDEX(GOOGLEFINANCE(CONCATENATE(""CURRENCY:"", C193, ""USD""), ""close"", B193 + 1), 2, 2)
    )
  )
)"),33.36)</f>
        <v>33.36</v>
      </c>
    </row>
    <row r="194">
      <c r="A194" s="33" t="s">
        <v>1194</v>
      </c>
      <c r="B194" s="34">
        <v>43007.0</v>
      </c>
      <c r="C194" s="35" t="s">
        <v>42</v>
      </c>
      <c r="D194" s="36">
        <v>4.54</v>
      </c>
      <c r="E194" s="21">
        <f>IFERROR(__xludf.DUMMYFUNCTION("IF(C194=""USD"", D194, 
  IFERROR(
    D194 * INDEX(GOOGLEFINANCE(CONCATENATE(""CURRENCY:"", C194, ""USD""), ""close"", B194), 2, 2),
    IFERROR(
      D194 * INDEX(GOOGLEFINANCE(CONCATENATE(""CURRENCY:"", C194, ""USD""), ""close"", B194 - 1), 2, 2),
   "&amp;"   D194 * INDEX(GOOGLEFINANCE(CONCATENATE(""CURRENCY:"", C194, ""USD""), ""close"", B194 + 1), 2, 2)
    )
  )
)"),4.54)</f>
        <v>4.54</v>
      </c>
    </row>
    <row r="195">
      <c r="A195" s="33" t="s">
        <v>1195</v>
      </c>
      <c r="B195" s="34">
        <v>43007.0</v>
      </c>
      <c r="C195" s="35" t="s">
        <v>42</v>
      </c>
      <c r="D195" s="36">
        <v>29.22</v>
      </c>
      <c r="E195" s="21">
        <f>IFERROR(__xludf.DUMMYFUNCTION("IF(C195=""USD"", D195, 
  IFERROR(
    D195 * INDEX(GOOGLEFINANCE(CONCATENATE(""CURRENCY:"", C195, ""USD""), ""close"", B195), 2, 2),
    IFERROR(
      D195 * INDEX(GOOGLEFINANCE(CONCATENATE(""CURRENCY:"", C195, ""USD""), ""close"", B195 - 1), 2, 2),
   "&amp;"   D195 * INDEX(GOOGLEFINANCE(CONCATENATE(""CURRENCY:"", C195, ""USD""), ""close"", B195 + 1), 2, 2)
    )
  )
)"),29.22)</f>
        <v>29.22</v>
      </c>
    </row>
    <row r="196">
      <c r="A196" s="33" t="s">
        <v>1197</v>
      </c>
      <c r="B196" s="34">
        <v>43007.0</v>
      </c>
      <c r="C196" s="35" t="s">
        <v>42</v>
      </c>
      <c r="D196" s="36">
        <v>4.34</v>
      </c>
      <c r="E196" s="21">
        <f>IFERROR(__xludf.DUMMYFUNCTION("IF(C196=""USD"", D196, 
  IFERROR(
    D196 * INDEX(GOOGLEFINANCE(CONCATENATE(""CURRENCY:"", C196, ""USD""), ""close"", B196), 2, 2),
    IFERROR(
      D196 * INDEX(GOOGLEFINANCE(CONCATENATE(""CURRENCY:"", C196, ""USD""), ""close"", B196 - 1), 2, 2),
   "&amp;"   D196 * INDEX(GOOGLEFINANCE(CONCATENATE(""CURRENCY:"", C196, ""USD""), ""close"", B196 + 1), 2, 2)
    )
  )
)"),4.34)</f>
        <v>4.34</v>
      </c>
    </row>
    <row r="197">
      <c r="A197" s="33" t="s">
        <v>1203</v>
      </c>
      <c r="B197" s="34">
        <v>43007.0</v>
      </c>
      <c r="C197" s="35" t="s">
        <v>42</v>
      </c>
      <c r="D197" s="36">
        <v>4.76</v>
      </c>
      <c r="E197" s="21">
        <f>IFERROR(__xludf.DUMMYFUNCTION("IF(C197=""USD"", D197, 
  IFERROR(
    D197 * INDEX(GOOGLEFINANCE(CONCATENATE(""CURRENCY:"", C197, ""USD""), ""close"", B197), 2, 2),
    IFERROR(
      D197 * INDEX(GOOGLEFINANCE(CONCATENATE(""CURRENCY:"", C197, ""USD""), ""close"", B197 - 1), 2, 2),
   "&amp;"   D197 * INDEX(GOOGLEFINANCE(CONCATENATE(""CURRENCY:"", C197, ""USD""), ""close"", B197 + 1), 2, 2)
    )
  )
)"),4.76)</f>
        <v>4.76</v>
      </c>
    </row>
    <row r="198">
      <c r="A198" s="33" t="s">
        <v>1208</v>
      </c>
      <c r="B198" s="34">
        <v>43007.0</v>
      </c>
      <c r="C198" s="35" t="s">
        <v>42</v>
      </c>
      <c r="D198" s="36">
        <v>4.68</v>
      </c>
      <c r="E198" s="21">
        <f>IFERROR(__xludf.DUMMYFUNCTION("IF(C198=""USD"", D198, 
  IFERROR(
    D198 * INDEX(GOOGLEFINANCE(CONCATENATE(""CURRENCY:"", C198, ""USD""), ""close"", B198), 2, 2),
    IFERROR(
      D198 * INDEX(GOOGLEFINANCE(CONCATENATE(""CURRENCY:"", C198, ""USD""), ""close"", B198 - 1), 2, 2),
   "&amp;"   D198 * INDEX(GOOGLEFINANCE(CONCATENATE(""CURRENCY:"", C198, ""USD""), ""close"", B198 + 1), 2, 2)
    )
  )
)"),4.68)</f>
        <v>4.68</v>
      </c>
    </row>
    <row r="199">
      <c r="A199" s="33" t="s">
        <v>1199</v>
      </c>
      <c r="B199" s="34">
        <v>43007.0</v>
      </c>
      <c r="C199" s="35" t="s">
        <v>42</v>
      </c>
      <c r="D199" s="36">
        <v>16.86</v>
      </c>
      <c r="E199" s="21">
        <f>IFERROR(__xludf.DUMMYFUNCTION("IF(C199=""USD"", D199, 
  IFERROR(
    D199 * INDEX(GOOGLEFINANCE(CONCATENATE(""CURRENCY:"", C199, ""USD""), ""close"", B199), 2, 2),
    IFERROR(
      D199 * INDEX(GOOGLEFINANCE(CONCATENATE(""CURRENCY:"", C199, ""USD""), ""close"", B199 - 1), 2, 2),
   "&amp;"   D199 * INDEX(GOOGLEFINANCE(CONCATENATE(""CURRENCY:"", C199, ""USD""), ""close"", B199 + 1), 2, 2)
    )
  )
)"),16.86)</f>
        <v>16.86</v>
      </c>
    </row>
    <row r="200">
      <c r="A200" s="33" t="s">
        <v>1203</v>
      </c>
      <c r="B200" s="34">
        <v>43037.0</v>
      </c>
      <c r="C200" s="35" t="s">
        <v>42</v>
      </c>
      <c r="D200" s="36">
        <v>4.69</v>
      </c>
      <c r="E200" s="21">
        <f>IFERROR(__xludf.DUMMYFUNCTION("IF(C200=""USD"", D200, 
  IFERROR(
    D200 * INDEX(GOOGLEFINANCE(CONCATENATE(""CURRENCY:"", C200, ""USD""), ""close"", B200), 2, 2),
    IFERROR(
      D200 * INDEX(GOOGLEFINANCE(CONCATENATE(""CURRENCY:"", C200, ""USD""), ""close"", B200 - 1), 2, 2),
   "&amp;"   D200 * INDEX(GOOGLEFINANCE(CONCATENATE(""CURRENCY:"", C200, ""USD""), ""close"", B200 + 1), 2, 2)
    )
  )
)"),4.69)</f>
        <v>4.69</v>
      </c>
    </row>
    <row r="201">
      <c r="A201" s="33" t="s">
        <v>1200</v>
      </c>
      <c r="B201" s="34">
        <v>43037.0</v>
      </c>
      <c r="C201" s="35" t="s">
        <v>42</v>
      </c>
      <c r="D201" s="36">
        <v>4.59</v>
      </c>
      <c r="E201" s="21">
        <f>IFERROR(__xludf.DUMMYFUNCTION("IF(C201=""USD"", D201, 
  IFERROR(
    D201 * INDEX(GOOGLEFINANCE(CONCATENATE(""CURRENCY:"", C201, ""USD""), ""close"", B201), 2, 2),
    IFERROR(
      D201 * INDEX(GOOGLEFINANCE(CONCATENATE(""CURRENCY:"", C201, ""USD""), ""close"", B201 - 1), 2, 2),
   "&amp;"   D201 * INDEX(GOOGLEFINANCE(CONCATENATE(""CURRENCY:"", C201, ""USD""), ""close"", B201 + 1), 2, 2)
    )
  )
)"),4.59)</f>
        <v>4.59</v>
      </c>
    </row>
    <row r="202">
      <c r="A202" s="33" t="s">
        <v>1199</v>
      </c>
      <c r="B202" s="34">
        <v>43037.0</v>
      </c>
      <c r="C202" s="35" t="s">
        <v>42</v>
      </c>
      <c r="D202" s="36">
        <v>16.62</v>
      </c>
      <c r="E202" s="21">
        <f>IFERROR(__xludf.DUMMYFUNCTION("IF(C202=""USD"", D202, 
  IFERROR(
    D202 * INDEX(GOOGLEFINANCE(CONCATENATE(""CURRENCY:"", C202, ""USD""), ""close"", B202), 2, 2),
    IFERROR(
      D202 * INDEX(GOOGLEFINANCE(CONCATENATE(""CURRENCY:"", C202, ""USD""), ""close"", B202 - 1), 2, 2),
   "&amp;"   D202 * INDEX(GOOGLEFINANCE(CONCATENATE(""CURRENCY:"", C202, ""USD""), ""close"", B202 + 1), 2, 2)
    )
  )
)"),16.62)</f>
        <v>16.62</v>
      </c>
    </row>
    <row r="203">
      <c r="A203" s="33" t="s">
        <v>1198</v>
      </c>
      <c r="B203" s="34">
        <v>43037.0</v>
      </c>
      <c r="C203" s="35" t="s">
        <v>42</v>
      </c>
      <c r="D203" s="36">
        <v>86.74</v>
      </c>
      <c r="E203" s="21">
        <f>IFERROR(__xludf.DUMMYFUNCTION("IF(C203=""USD"", D203, 
  IFERROR(
    D203 * INDEX(GOOGLEFINANCE(CONCATENATE(""CURRENCY:"", C203, ""USD""), ""close"", B203), 2, 2),
    IFERROR(
      D203 * INDEX(GOOGLEFINANCE(CONCATENATE(""CURRENCY:"", C203, ""USD""), ""close"", B203 - 1), 2, 2),
   "&amp;"   D203 * INDEX(GOOGLEFINANCE(CONCATENATE(""CURRENCY:"", C203, ""USD""), ""close"", B203 + 1), 2, 2)
    )
  )
)"),86.74)</f>
        <v>86.74</v>
      </c>
    </row>
    <row r="204">
      <c r="A204" s="33" t="s">
        <v>1195</v>
      </c>
      <c r="B204" s="34">
        <v>43037.0</v>
      </c>
      <c r="C204" s="35" t="s">
        <v>42</v>
      </c>
      <c r="D204" s="36">
        <v>21.47</v>
      </c>
      <c r="E204" s="21">
        <f>IFERROR(__xludf.DUMMYFUNCTION("IF(C204=""USD"", D204, 
  IFERROR(
    D204 * INDEX(GOOGLEFINANCE(CONCATENATE(""CURRENCY:"", C204, ""USD""), ""close"", B204), 2, 2),
    IFERROR(
      D204 * INDEX(GOOGLEFINANCE(CONCATENATE(""CURRENCY:"", C204, ""USD""), ""close"", B204 - 1), 2, 2),
   "&amp;"   D204 * INDEX(GOOGLEFINANCE(CONCATENATE(""CURRENCY:"", C204, ""USD""), ""close"", B204 + 1), 2, 2)
    )
  )
)"),21.47)</f>
        <v>21.47</v>
      </c>
    </row>
    <row r="205">
      <c r="A205" s="33" t="s">
        <v>1202</v>
      </c>
      <c r="B205" s="34">
        <v>43037.0</v>
      </c>
      <c r="C205" s="35" t="s">
        <v>42</v>
      </c>
      <c r="D205" s="36">
        <v>15.2</v>
      </c>
      <c r="E205" s="21">
        <f>IFERROR(__xludf.DUMMYFUNCTION("IF(C205=""USD"", D205, 
  IFERROR(
    D205 * INDEX(GOOGLEFINANCE(CONCATENATE(""CURRENCY:"", C205, ""USD""), ""close"", B205), 2, 2),
    IFERROR(
      D205 * INDEX(GOOGLEFINANCE(CONCATENATE(""CURRENCY:"", C205, ""USD""), ""close"", B205 - 1), 2, 2),
   "&amp;"   D205 * INDEX(GOOGLEFINANCE(CONCATENATE(""CURRENCY:"", C205, ""USD""), ""close"", B205 + 1), 2, 2)
    )
  )
)"),15.2)</f>
        <v>15.2</v>
      </c>
    </row>
    <row r="206">
      <c r="A206" s="33" t="s">
        <v>1204</v>
      </c>
      <c r="B206" s="34">
        <v>43037.0</v>
      </c>
      <c r="C206" s="35" t="s">
        <v>42</v>
      </c>
      <c r="D206" s="36">
        <v>4.69</v>
      </c>
      <c r="E206" s="21">
        <f>IFERROR(__xludf.DUMMYFUNCTION("IF(C206=""USD"", D206, 
  IFERROR(
    D206 * INDEX(GOOGLEFINANCE(CONCATENATE(""CURRENCY:"", C206, ""USD""), ""close"", B206), 2, 2),
    IFERROR(
      D206 * INDEX(GOOGLEFINANCE(CONCATENATE(""CURRENCY:"", C206, ""USD""), ""close"", B206 - 1), 2, 2),
   "&amp;"   D206 * INDEX(GOOGLEFINANCE(CONCATENATE(""CURRENCY:"", C206, ""USD""), ""close"", B206 + 1), 2, 2)
    )
  )
)"),4.69)</f>
        <v>4.69</v>
      </c>
    </row>
    <row r="207">
      <c r="A207" s="33" t="s">
        <v>1196</v>
      </c>
      <c r="B207" s="34">
        <v>43068.0</v>
      </c>
      <c r="C207" s="35" t="s">
        <v>42</v>
      </c>
      <c r="D207" s="36">
        <v>4.81</v>
      </c>
      <c r="E207" s="21">
        <f>IFERROR(__xludf.DUMMYFUNCTION("IF(C207=""USD"", D207, 
  IFERROR(
    D207 * INDEX(GOOGLEFINANCE(CONCATENATE(""CURRENCY:"", C207, ""USD""), ""close"", B207), 2, 2),
    IFERROR(
      D207 * INDEX(GOOGLEFINANCE(CONCATENATE(""CURRENCY:"", C207, ""USD""), ""close"", B207 - 1), 2, 2),
   "&amp;"   D207 * INDEX(GOOGLEFINANCE(CONCATENATE(""CURRENCY:"", C207, ""USD""), ""close"", B207 + 1), 2, 2)
    )
  )
)"),4.81)</f>
        <v>4.81</v>
      </c>
    </row>
    <row r="208">
      <c r="A208" s="33" t="s">
        <v>1195</v>
      </c>
      <c r="B208" s="34">
        <v>43068.0</v>
      </c>
      <c r="C208" s="35" t="s">
        <v>42</v>
      </c>
      <c r="D208" s="36">
        <v>29.08</v>
      </c>
      <c r="E208" s="21">
        <f>IFERROR(__xludf.DUMMYFUNCTION("IF(C208=""USD"", D208, 
  IFERROR(
    D208 * INDEX(GOOGLEFINANCE(CONCATENATE(""CURRENCY:"", C208, ""USD""), ""close"", B208), 2, 2),
    IFERROR(
      D208 * INDEX(GOOGLEFINANCE(CONCATENATE(""CURRENCY:"", C208, ""USD""), ""close"", B208 - 1), 2, 2),
   "&amp;"   D208 * INDEX(GOOGLEFINANCE(CONCATENATE(""CURRENCY:"", C208, ""USD""), ""close"", B208 + 1), 2, 2)
    )
  )
)"),29.08)</f>
        <v>29.08</v>
      </c>
    </row>
    <row r="209">
      <c r="A209" s="33" t="s">
        <v>1198</v>
      </c>
      <c r="B209" s="34">
        <v>43068.0</v>
      </c>
      <c r="C209" s="35" t="s">
        <v>42</v>
      </c>
      <c r="D209" s="36">
        <v>48.25</v>
      </c>
      <c r="E209" s="21">
        <f>IFERROR(__xludf.DUMMYFUNCTION("IF(C209=""USD"", D209, 
  IFERROR(
    D209 * INDEX(GOOGLEFINANCE(CONCATENATE(""CURRENCY:"", C209, ""USD""), ""close"", B209), 2, 2),
    IFERROR(
      D209 * INDEX(GOOGLEFINANCE(CONCATENATE(""CURRENCY:"", C209, ""USD""), ""close"", B209 - 1), 2, 2),
   "&amp;"   D209 * INDEX(GOOGLEFINANCE(CONCATENATE(""CURRENCY:"", C209, ""USD""), ""close"", B209 + 1), 2, 2)
    )
  )
)"),48.25)</f>
        <v>48.25</v>
      </c>
    </row>
    <row r="210">
      <c r="A210" s="33" t="s">
        <v>1199</v>
      </c>
      <c r="B210" s="34">
        <v>43068.0</v>
      </c>
      <c r="C210" s="35" t="s">
        <v>42</v>
      </c>
      <c r="D210" s="36">
        <v>8.5</v>
      </c>
      <c r="E210" s="21">
        <f>IFERROR(__xludf.DUMMYFUNCTION("IF(C210=""USD"", D210, 
  IFERROR(
    D210 * INDEX(GOOGLEFINANCE(CONCATENATE(""CURRENCY:"", C210, ""USD""), ""close"", B210), 2, 2),
    IFERROR(
      D210 * INDEX(GOOGLEFINANCE(CONCATENATE(""CURRENCY:"", C210, ""USD""), ""close"", B210 - 1), 2, 2),
   "&amp;"   D210 * INDEX(GOOGLEFINANCE(CONCATENATE(""CURRENCY:"", C210, ""USD""), ""close"", B210 + 1), 2, 2)
    )
  )
)"),8.5)</f>
        <v>8.5</v>
      </c>
    </row>
    <row r="211">
      <c r="A211" s="33" t="s">
        <v>1202</v>
      </c>
      <c r="B211" s="34">
        <v>43068.0</v>
      </c>
      <c r="C211" s="35" t="s">
        <v>42</v>
      </c>
      <c r="D211" s="36">
        <v>18.86</v>
      </c>
      <c r="E211" s="21">
        <f>IFERROR(__xludf.DUMMYFUNCTION("IF(C211=""USD"", D211, 
  IFERROR(
    D211 * INDEX(GOOGLEFINANCE(CONCATENATE(""CURRENCY:"", C211, ""USD""), ""close"", B211), 2, 2),
    IFERROR(
      D211 * INDEX(GOOGLEFINANCE(CONCATENATE(""CURRENCY:"", C211, ""USD""), ""close"", B211 - 1), 2, 2),
   "&amp;"   D211 * INDEX(GOOGLEFINANCE(CONCATENATE(""CURRENCY:"", C211, ""USD""), ""close"", B211 + 1), 2, 2)
    )
  )
)"),18.86)</f>
        <v>18.86</v>
      </c>
    </row>
    <row r="212">
      <c r="A212" s="33" t="s">
        <v>1202</v>
      </c>
      <c r="B212" s="34">
        <v>43098.0</v>
      </c>
      <c r="C212" s="35" t="s">
        <v>42</v>
      </c>
      <c r="D212" s="36">
        <v>11.4</v>
      </c>
      <c r="E212" s="21">
        <f>IFERROR(__xludf.DUMMYFUNCTION("IF(C212=""USD"", D212, 
  IFERROR(
    D212 * INDEX(GOOGLEFINANCE(CONCATENATE(""CURRENCY:"", C212, ""USD""), ""close"", B212), 2, 2),
    IFERROR(
      D212 * INDEX(GOOGLEFINANCE(CONCATENATE(""CURRENCY:"", C212, ""USD""), ""close"", B212 - 1), 2, 2),
   "&amp;"   D212 * INDEX(GOOGLEFINANCE(CONCATENATE(""CURRENCY:"", C212, ""USD""), ""close"", B212 + 1), 2, 2)
    )
  )
)"),11.4)</f>
        <v>11.4</v>
      </c>
    </row>
    <row r="213">
      <c r="A213" s="33" t="s">
        <v>1194</v>
      </c>
      <c r="B213" s="34">
        <v>43098.0</v>
      </c>
      <c r="C213" s="35" t="s">
        <v>42</v>
      </c>
      <c r="D213" s="36">
        <v>4.53</v>
      </c>
      <c r="E213" s="21">
        <f>IFERROR(__xludf.DUMMYFUNCTION("IF(C213=""USD"", D213, 
  IFERROR(
    D213 * INDEX(GOOGLEFINANCE(CONCATENATE(""CURRENCY:"", C213, ""USD""), ""close"", B213), 2, 2),
    IFERROR(
      D213 * INDEX(GOOGLEFINANCE(CONCATENATE(""CURRENCY:"", C213, ""USD""), ""close"", B213 - 1), 2, 2),
   "&amp;"   D213 * INDEX(GOOGLEFINANCE(CONCATENATE(""CURRENCY:"", C213, ""USD""), ""close"", B213 + 1), 2, 2)
    )
  )
)"),4.53)</f>
        <v>4.53</v>
      </c>
    </row>
    <row r="214">
      <c r="A214" s="33" t="s">
        <v>1203</v>
      </c>
      <c r="B214" s="34">
        <v>43098.0</v>
      </c>
      <c r="C214" s="35" t="s">
        <v>42</v>
      </c>
      <c r="D214" s="36">
        <v>9.62</v>
      </c>
      <c r="E214" s="21">
        <f>IFERROR(__xludf.DUMMYFUNCTION("IF(C214=""USD"", D214, 
  IFERROR(
    D214 * INDEX(GOOGLEFINANCE(CONCATENATE(""CURRENCY:"", C214, ""USD""), ""close"", B214), 2, 2),
    IFERROR(
      D214 * INDEX(GOOGLEFINANCE(CONCATENATE(""CURRENCY:"", C214, ""USD""), ""close"", B214 - 1), 2, 2),
   "&amp;"   D214 * INDEX(GOOGLEFINANCE(CONCATENATE(""CURRENCY:"", C214, ""USD""), ""close"", B214 + 1), 2, 2)
    )
  )
)"),9.62)</f>
        <v>9.62</v>
      </c>
    </row>
    <row r="215">
      <c r="A215" s="33" t="s">
        <v>1199</v>
      </c>
      <c r="B215" s="34">
        <v>43098.0</v>
      </c>
      <c r="C215" s="35" t="s">
        <v>42</v>
      </c>
      <c r="D215" s="36">
        <v>17.04</v>
      </c>
      <c r="E215" s="21">
        <f>IFERROR(__xludf.DUMMYFUNCTION("IF(C215=""USD"", D215, 
  IFERROR(
    D215 * INDEX(GOOGLEFINANCE(CONCATENATE(""CURRENCY:"", C215, ""USD""), ""close"", B215), 2, 2),
    IFERROR(
      D215 * INDEX(GOOGLEFINANCE(CONCATENATE(""CURRENCY:"", C215, ""USD""), ""close"", B215 - 1), 2, 2),
   "&amp;"   D215 * INDEX(GOOGLEFINANCE(CONCATENATE(""CURRENCY:"", C215, ""USD""), ""close"", B215 + 1), 2, 2)
    )
  )
)"),17.04)</f>
        <v>17.04</v>
      </c>
    </row>
    <row r="216">
      <c r="A216" s="33" t="s">
        <v>1198</v>
      </c>
      <c r="B216" s="34">
        <v>43098.0</v>
      </c>
      <c r="C216" s="35" t="s">
        <v>42</v>
      </c>
      <c r="D216" s="36">
        <v>93.68</v>
      </c>
      <c r="E216" s="21">
        <f>IFERROR(__xludf.DUMMYFUNCTION("IF(C216=""USD"", D216, 
  IFERROR(
    D216 * INDEX(GOOGLEFINANCE(CONCATENATE(""CURRENCY:"", C216, ""USD""), ""close"", B216), 2, 2),
    IFERROR(
      D216 * INDEX(GOOGLEFINANCE(CONCATENATE(""CURRENCY:"", C216, ""USD""), ""close"", B216 - 1), 2, 2),
   "&amp;"   D216 * INDEX(GOOGLEFINANCE(CONCATENATE(""CURRENCY:"", C216, ""USD""), ""close"", B216 + 1), 2, 2)
    )
  )
)"),93.68)</f>
        <v>93.68</v>
      </c>
    </row>
    <row r="217">
      <c r="A217" s="33" t="s">
        <v>1197</v>
      </c>
      <c r="B217" s="34">
        <v>43098.0</v>
      </c>
      <c r="C217" s="35" t="s">
        <v>42</v>
      </c>
      <c r="D217" s="36">
        <v>4.36</v>
      </c>
      <c r="E217" s="21">
        <f>IFERROR(__xludf.DUMMYFUNCTION("IF(C217=""USD"", D217, 
  IFERROR(
    D217 * INDEX(GOOGLEFINANCE(CONCATENATE(""CURRENCY:"", C217, ""USD""), ""close"", B217), 2, 2),
    IFERROR(
      D217 * INDEX(GOOGLEFINANCE(CONCATENATE(""CURRENCY:"", C217, ""USD""), ""close"", B217 - 1), 2, 2),
   "&amp;"   D217 * INDEX(GOOGLEFINANCE(CONCATENATE(""CURRENCY:"", C217, ""USD""), ""close"", B217 + 1), 2, 2)
    )
  )
)"),4.36)</f>
        <v>4.36</v>
      </c>
    </row>
    <row r="218">
      <c r="A218" s="33" t="s">
        <v>1196</v>
      </c>
      <c r="B218" s="34">
        <v>43098.0</v>
      </c>
      <c r="C218" s="35" t="s">
        <v>42</v>
      </c>
      <c r="D218" s="36">
        <v>9.62</v>
      </c>
      <c r="E218" s="21">
        <f>IFERROR(__xludf.DUMMYFUNCTION("IF(C218=""USD"", D218, 
  IFERROR(
    D218 * INDEX(GOOGLEFINANCE(CONCATENATE(""CURRENCY:"", C218, ""USD""), ""close"", B218), 2, 2),
    IFERROR(
      D218 * INDEX(GOOGLEFINANCE(CONCATENATE(""CURRENCY:"", C218, ""USD""), ""close"", B218 - 1), 2, 2),
   "&amp;"   D218 * INDEX(GOOGLEFINANCE(CONCATENATE(""CURRENCY:"", C218, ""USD""), ""close"", B218 + 1), 2, 2)
    )
  )
)"),9.62)</f>
        <v>9.62</v>
      </c>
    </row>
    <row r="219">
      <c r="A219" s="33" t="s">
        <v>1195</v>
      </c>
      <c r="B219" s="34">
        <v>43098.0</v>
      </c>
      <c r="C219" s="35" t="s">
        <v>42</v>
      </c>
      <c r="D219" s="36">
        <v>14.68</v>
      </c>
      <c r="E219" s="21">
        <f>IFERROR(__xludf.DUMMYFUNCTION("IF(C219=""USD"", D219, 
  IFERROR(
    D219 * INDEX(GOOGLEFINANCE(CONCATENATE(""CURRENCY:"", C219, ""USD""), ""close"", B219), 2, 2),
    IFERROR(
      D219 * INDEX(GOOGLEFINANCE(CONCATENATE(""CURRENCY:"", C219, ""USD""), ""close"", B219 - 1), 2, 2),
   "&amp;"   D219 * INDEX(GOOGLEFINANCE(CONCATENATE(""CURRENCY:"", C219, ""USD""), ""close"", B219 + 1), 2, 2)
    )
  )
)"),14.68)</f>
        <v>14.68</v>
      </c>
    </row>
    <row r="220">
      <c r="A220" s="33" t="s">
        <v>1197</v>
      </c>
      <c r="B220" s="34">
        <v>43129.0</v>
      </c>
      <c r="C220" s="35" t="s">
        <v>42</v>
      </c>
      <c r="D220" s="36">
        <v>4.63</v>
      </c>
      <c r="E220" s="21">
        <f>IFERROR(__xludf.DUMMYFUNCTION("IF(C220=""USD"", D220, 
  IFERROR(
    D220 * INDEX(GOOGLEFINANCE(CONCATENATE(""CURRENCY:"", C220, ""USD""), ""close"", B220), 2, 2),
    IFERROR(
      D220 * INDEX(GOOGLEFINANCE(CONCATENATE(""CURRENCY:"", C220, ""USD""), ""close"", B220 - 1), 2, 2),
   "&amp;"   D220 * INDEX(GOOGLEFINANCE(CONCATENATE(""CURRENCY:"", C220, ""USD""), ""close"", B220 + 1), 2, 2)
    )
  )
)"),4.63)</f>
        <v>4.63</v>
      </c>
    </row>
    <row r="221">
      <c r="A221" s="33" t="s">
        <v>1195</v>
      </c>
      <c r="B221" s="34">
        <v>43129.0</v>
      </c>
      <c r="C221" s="35" t="s">
        <v>42</v>
      </c>
      <c r="D221" s="36">
        <v>46.77</v>
      </c>
      <c r="E221" s="21">
        <f>IFERROR(__xludf.DUMMYFUNCTION("IF(C221=""USD"", D221, 
  IFERROR(
    D221 * INDEX(GOOGLEFINANCE(CONCATENATE(""CURRENCY:"", C221, ""USD""), ""close"", B221), 2, 2),
    IFERROR(
      D221 * INDEX(GOOGLEFINANCE(CONCATENATE(""CURRENCY:"", C221, ""USD""), ""close"", B221 - 1), 2, 2),
   "&amp;"   D221 * INDEX(GOOGLEFINANCE(CONCATENATE(""CURRENCY:"", C221, ""USD""), ""close"", B221 + 1), 2, 2)
    )
  )
)"),46.77)</f>
        <v>46.77</v>
      </c>
    </row>
    <row r="222">
      <c r="A222" s="33" t="s">
        <v>1194</v>
      </c>
      <c r="B222" s="34">
        <v>43129.0</v>
      </c>
      <c r="C222" s="35" t="s">
        <v>42</v>
      </c>
      <c r="D222" s="36">
        <v>4.69</v>
      </c>
      <c r="E222" s="21">
        <f>IFERROR(__xludf.DUMMYFUNCTION("IF(C222=""USD"", D222, 
  IFERROR(
    D222 * INDEX(GOOGLEFINANCE(CONCATENATE(""CURRENCY:"", C222, ""USD""), ""close"", B222), 2, 2),
    IFERROR(
      D222 * INDEX(GOOGLEFINANCE(CONCATENATE(""CURRENCY:"", C222, ""USD""), ""close"", B222 - 1), 2, 2),
   "&amp;"   D222 * INDEX(GOOGLEFINANCE(CONCATENATE(""CURRENCY:"", C222, ""USD""), ""close"", B222 + 1), 2, 2)
    )
  )
)"),4.69)</f>
        <v>4.69</v>
      </c>
    </row>
    <row r="223">
      <c r="A223" s="33" t="s">
        <v>1199</v>
      </c>
      <c r="B223" s="34">
        <v>43129.0</v>
      </c>
      <c r="C223" s="35" t="s">
        <v>42</v>
      </c>
      <c r="D223" s="36">
        <v>26.78</v>
      </c>
      <c r="E223" s="21">
        <f>IFERROR(__xludf.DUMMYFUNCTION("IF(C223=""USD"", D223, 
  IFERROR(
    D223 * INDEX(GOOGLEFINANCE(CONCATENATE(""CURRENCY:"", C223, ""USD""), ""close"", B223), 2, 2),
    IFERROR(
      D223 * INDEX(GOOGLEFINANCE(CONCATENATE(""CURRENCY:"", C223, ""USD""), ""close"", B223 - 1), 2, 2),
   "&amp;"   D223 * INDEX(GOOGLEFINANCE(CONCATENATE(""CURRENCY:"", C223, ""USD""), ""close"", B223 + 1), 2, 2)
    )
  )
)"),26.78)</f>
        <v>26.78</v>
      </c>
    </row>
    <row r="224">
      <c r="A224" s="33" t="s">
        <v>1202</v>
      </c>
      <c r="B224" s="34">
        <v>43129.0</v>
      </c>
      <c r="C224" s="35" t="s">
        <v>42</v>
      </c>
      <c r="D224" s="36">
        <v>38.31</v>
      </c>
      <c r="E224" s="21">
        <f>IFERROR(__xludf.DUMMYFUNCTION("IF(C224=""USD"", D224, 
  IFERROR(
    D224 * INDEX(GOOGLEFINANCE(CONCATENATE(""CURRENCY:"", C224, ""USD""), ""close"", B224), 2, 2),
    IFERROR(
      D224 * INDEX(GOOGLEFINANCE(CONCATENATE(""CURRENCY:"", C224, ""USD""), ""close"", B224 - 1), 2, 2),
   "&amp;"   D224 * INDEX(GOOGLEFINANCE(CONCATENATE(""CURRENCY:"", C224, ""USD""), ""close"", B224 + 1), 2, 2)
    )
  )
)"),38.31)</f>
        <v>38.31</v>
      </c>
    </row>
    <row r="225">
      <c r="A225" s="33" t="s">
        <v>1200</v>
      </c>
      <c r="B225" s="34">
        <v>43129.0</v>
      </c>
      <c r="C225" s="35" t="s">
        <v>42</v>
      </c>
      <c r="D225" s="36">
        <v>4.79</v>
      </c>
      <c r="E225" s="21">
        <f>IFERROR(__xludf.DUMMYFUNCTION("IF(C225=""USD"", D225, 
  IFERROR(
    D225 * INDEX(GOOGLEFINANCE(CONCATENATE(""CURRENCY:"", C225, ""USD""), ""close"", B225), 2, 2),
    IFERROR(
      D225 * INDEX(GOOGLEFINANCE(CONCATENATE(""CURRENCY:"", C225, ""USD""), ""close"", B225 - 1), 2, 2),
   "&amp;"   D225 * INDEX(GOOGLEFINANCE(CONCATENATE(""CURRENCY:"", C225, ""USD""), ""close"", B225 + 1), 2, 2)
    )
  )
)"),4.79)</f>
        <v>4.79</v>
      </c>
    </row>
    <row r="226">
      <c r="A226" s="33" t="s">
        <v>1198</v>
      </c>
      <c r="B226" s="34">
        <v>43129.0</v>
      </c>
      <c r="C226" s="35" t="s">
        <v>42</v>
      </c>
      <c r="D226" s="36">
        <v>83.99</v>
      </c>
      <c r="E226" s="21">
        <f>IFERROR(__xludf.DUMMYFUNCTION("IF(C226=""USD"", D226, 
  IFERROR(
    D226 * INDEX(GOOGLEFINANCE(CONCATENATE(""CURRENCY:"", C226, ""USD""), ""close"", B226), 2, 2),
    IFERROR(
      D226 * INDEX(GOOGLEFINANCE(CONCATENATE(""CURRENCY:"", C226, ""USD""), ""close"", B226 - 1), 2, 2),
   "&amp;"   D226 * INDEX(GOOGLEFINANCE(CONCATENATE(""CURRENCY:"", C226, ""USD""), ""close"", B226 + 1), 2, 2)
    )
  )
)"),83.99)</f>
        <v>83.99</v>
      </c>
    </row>
    <row r="227">
      <c r="A227" s="33" t="s">
        <v>1202</v>
      </c>
      <c r="B227" s="34">
        <v>43159.0</v>
      </c>
      <c r="C227" s="35" t="s">
        <v>42</v>
      </c>
      <c r="D227" s="36">
        <v>3.8</v>
      </c>
      <c r="E227" s="21">
        <f>IFERROR(__xludf.DUMMYFUNCTION("IF(C227=""USD"", D227, 
  IFERROR(
    D227 * INDEX(GOOGLEFINANCE(CONCATENATE(""CURRENCY:"", C227, ""USD""), ""close"", B227), 2, 2),
    IFERROR(
      D227 * INDEX(GOOGLEFINANCE(CONCATENATE(""CURRENCY:"", C227, ""USD""), ""close"", B227 - 1), 2, 2),
   "&amp;"   D227 * INDEX(GOOGLEFINANCE(CONCATENATE(""CURRENCY:"", C227, ""USD""), ""close"", B227 + 1), 2, 2)
    )
  )
)"),3.8)</f>
        <v>3.8</v>
      </c>
    </row>
    <row r="228">
      <c r="A228" s="33" t="s">
        <v>1194</v>
      </c>
      <c r="B228" s="34">
        <v>43159.0</v>
      </c>
      <c r="C228" s="35" t="s">
        <v>42</v>
      </c>
      <c r="D228" s="36">
        <v>4.56</v>
      </c>
      <c r="E228" s="21">
        <f>IFERROR(__xludf.DUMMYFUNCTION("IF(C228=""USD"", D228, 
  IFERROR(
    D228 * INDEX(GOOGLEFINANCE(CONCATENATE(""CURRENCY:"", C228, ""USD""), ""close"", B228), 2, 2),
    IFERROR(
      D228 * INDEX(GOOGLEFINANCE(CONCATENATE(""CURRENCY:"", C228, ""USD""), ""close"", B228 - 1), 2, 2),
   "&amp;"   D228 * INDEX(GOOGLEFINANCE(CONCATENATE(""CURRENCY:"", C228, ""USD""), ""close"", B228 + 1), 2, 2)
    )
  )
)"),4.56)</f>
        <v>4.56</v>
      </c>
    </row>
    <row r="229">
      <c r="A229" s="33" t="s">
        <v>1198</v>
      </c>
      <c r="B229" s="34">
        <v>43159.0</v>
      </c>
      <c r="C229" s="35" t="s">
        <v>42</v>
      </c>
      <c r="D229" s="36">
        <v>60.51</v>
      </c>
      <c r="E229" s="21">
        <f>IFERROR(__xludf.DUMMYFUNCTION("IF(C229=""USD"", D229, 
  IFERROR(
    D229 * INDEX(GOOGLEFINANCE(CONCATENATE(""CURRENCY:"", C229, ""USD""), ""close"", B229), 2, 2),
    IFERROR(
      D229 * INDEX(GOOGLEFINANCE(CONCATENATE(""CURRENCY:"", C229, ""USD""), ""close"", B229 - 1), 2, 2),
   "&amp;"   D229 * INDEX(GOOGLEFINANCE(CONCATENATE(""CURRENCY:"", C229, ""USD""), ""close"", B229 + 1), 2, 2)
    )
  )
)"),60.51)</f>
        <v>60.51</v>
      </c>
    </row>
    <row r="230">
      <c r="A230" s="33" t="s">
        <v>1195</v>
      </c>
      <c r="B230" s="34">
        <v>43159.0</v>
      </c>
      <c r="C230" s="35" t="s">
        <v>42</v>
      </c>
      <c r="D230" s="36">
        <v>22.9</v>
      </c>
      <c r="E230" s="21">
        <f>IFERROR(__xludf.DUMMYFUNCTION("IF(C230=""USD"", D230, 
  IFERROR(
    D230 * INDEX(GOOGLEFINANCE(CONCATENATE(""CURRENCY:"", C230, ""USD""), ""close"", B230), 2, 2),
    IFERROR(
      D230 * INDEX(GOOGLEFINANCE(CONCATENATE(""CURRENCY:"", C230, ""USD""), ""close"", B230 - 1), 2, 2),
   "&amp;"   D230 * INDEX(GOOGLEFINANCE(CONCATENATE(""CURRENCY:"", C230, ""USD""), ""close"", B230 + 1), 2, 2)
    )
  )
)"),22.9)</f>
        <v>22.9</v>
      </c>
    </row>
    <row r="231">
      <c r="A231" s="33" t="s">
        <v>1199</v>
      </c>
      <c r="B231" s="34">
        <v>43159.0</v>
      </c>
      <c r="C231" s="35" t="s">
        <v>42</v>
      </c>
      <c r="D231" s="36">
        <v>26.39</v>
      </c>
      <c r="E231" s="21">
        <f>IFERROR(__xludf.DUMMYFUNCTION("IF(C231=""USD"", D231, 
  IFERROR(
    D231 * INDEX(GOOGLEFINANCE(CONCATENATE(""CURRENCY:"", C231, ""USD""), ""close"", B231), 2, 2),
    IFERROR(
      D231 * INDEX(GOOGLEFINANCE(CONCATENATE(""CURRENCY:"", C231, ""USD""), ""close"", B231 - 1), 2, 2),
   "&amp;"   D231 * INDEX(GOOGLEFINANCE(CONCATENATE(""CURRENCY:"", C231, ""USD""), ""close"", B231 + 1), 2, 2)
    )
  )
)"),26.39)</f>
        <v>26.39</v>
      </c>
    </row>
    <row r="232">
      <c r="A232" s="33" t="s">
        <v>1206</v>
      </c>
      <c r="B232" s="34">
        <v>43188.0</v>
      </c>
      <c r="C232" s="35" t="s">
        <v>42</v>
      </c>
      <c r="D232" s="36">
        <v>2.5</v>
      </c>
      <c r="E232" s="21">
        <f>IFERROR(__xludf.DUMMYFUNCTION("IF(C232=""USD"", D232, 
  IFERROR(
    D232 * INDEX(GOOGLEFINANCE(CONCATENATE(""CURRENCY:"", C232, ""USD""), ""close"", B232), 2, 2),
    IFERROR(
      D232 * INDEX(GOOGLEFINANCE(CONCATENATE(""CURRENCY:"", C232, ""USD""), ""close"", B232 - 1), 2, 2),
   "&amp;"   D232 * INDEX(GOOGLEFINANCE(CONCATENATE(""CURRENCY:"", C232, ""USD""), ""close"", B232 + 1), 2, 2)
    )
  )
)"),2.5)</f>
        <v>2.5</v>
      </c>
    </row>
    <row r="233">
      <c r="A233" s="33" t="s">
        <v>1205</v>
      </c>
      <c r="B233" s="34">
        <v>43188.0</v>
      </c>
      <c r="C233" s="35" t="s">
        <v>42</v>
      </c>
      <c r="D233" s="36">
        <v>1.49</v>
      </c>
      <c r="E233" s="21">
        <f>IFERROR(__xludf.DUMMYFUNCTION("IF(C233=""USD"", D233, 
  IFERROR(
    D233 * INDEX(GOOGLEFINANCE(CONCATENATE(""CURRENCY:"", C233, ""USD""), ""close"", B233), 2, 2),
    IFERROR(
      D233 * INDEX(GOOGLEFINANCE(CONCATENATE(""CURRENCY:"", C233, ""USD""), ""close"", B233 - 1), 2, 2),
   "&amp;"   D233 * INDEX(GOOGLEFINANCE(CONCATENATE(""CURRENCY:"", C233, ""USD""), ""close"", B233 + 1), 2, 2)
    )
  )
)"),1.49)</f>
        <v>1.49</v>
      </c>
    </row>
    <row r="234">
      <c r="A234" s="33" t="s">
        <v>1198</v>
      </c>
      <c r="B234" s="34">
        <v>43188.0</v>
      </c>
      <c r="C234" s="35" t="s">
        <v>42</v>
      </c>
      <c r="D234" s="36">
        <v>71.52</v>
      </c>
      <c r="E234" s="21">
        <f>IFERROR(__xludf.DUMMYFUNCTION("IF(C234=""USD"", D234, 
  IFERROR(
    D234 * INDEX(GOOGLEFINANCE(CONCATENATE(""CURRENCY:"", C234, ""USD""), ""close"", B234), 2, 2),
    IFERROR(
      D234 * INDEX(GOOGLEFINANCE(CONCATENATE(""CURRENCY:"", C234, ""USD""), ""close"", B234 - 1), 2, 2),
   "&amp;"   D234 * INDEX(GOOGLEFINANCE(CONCATENATE(""CURRENCY:"", C234, ""USD""), ""close"", B234 + 1), 2, 2)
    )
  )
)"),71.52)</f>
        <v>71.52</v>
      </c>
    </row>
    <row r="235">
      <c r="A235" s="33" t="s">
        <v>1203</v>
      </c>
      <c r="B235" s="34">
        <v>43188.0</v>
      </c>
      <c r="C235" s="35" t="s">
        <v>42</v>
      </c>
      <c r="D235" s="36">
        <v>5.15</v>
      </c>
      <c r="E235" s="21">
        <f>IFERROR(__xludf.DUMMYFUNCTION("IF(C235=""USD"", D235, 
  IFERROR(
    D235 * INDEX(GOOGLEFINANCE(CONCATENATE(""CURRENCY:"", C235, ""USD""), ""close"", B235), 2, 2),
    IFERROR(
      D235 * INDEX(GOOGLEFINANCE(CONCATENATE(""CURRENCY:"", C235, ""USD""), ""close"", B235 - 1), 2, 2),
   "&amp;"   D235 * INDEX(GOOGLEFINANCE(CONCATENATE(""CURRENCY:"", C235, ""USD""), ""close"", B235 + 1), 2, 2)
    )
  )
)"),5.15)</f>
        <v>5.15</v>
      </c>
    </row>
    <row r="236">
      <c r="A236" s="33" t="s">
        <v>1197</v>
      </c>
      <c r="B236" s="34">
        <v>43188.0</v>
      </c>
      <c r="C236" s="35" t="s">
        <v>42</v>
      </c>
      <c r="D236" s="36">
        <v>4.59</v>
      </c>
      <c r="E236" s="21">
        <f>IFERROR(__xludf.DUMMYFUNCTION("IF(C236=""USD"", D236, 
  IFERROR(
    D236 * INDEX(GOOGLEFINANCE(CONCATENATE(""CURRENCY:"", C236, ""USD""), ""close"", B236), 2, 2),
    IFERROR(
      D236 * INDEX(GOOGLEFINANCE(CONCATENATE(""CURRENCY:"", C236, ""USD""), ""close"", B236 - 1), 2, 2),
   "&amp;"   D236 * INDEX(GOOGLEFINANCE(CONCATENATE(""CURRENCY:"", C236, ""USD""), ""close"", B236 + 1), 2, 2)
    )
  )
)"),4.59)</f>
        <v>4.59</v>
      </c>
    </row>
    <row r="237">
      <c r="A237" s="33" t="s">
        <v>1195</v>
      </c>
      <c r="B237" s="34">
        <v>43188.0</v>
      </c>
      <c r="C237" s="35" t="s">
        <v>42</v>
      </c>
      <c r="D237" s="36">
        <v>7.73</v>
      </c>
      <c r="E237" s="21">
        <f>IFERROR(__xludf.DUMMYFUNCTION("IF(C237=""USD"", D237, 
  IFERROR(
    D237 * INDEX(GOOGLEFINANCE(CONCATENATE(""CURRENCY:"", C237, ""USD""), ""close"", B237), 2, 2),
    IFERROR(
      D237 * INDEX(GOOGLEFINANCE(CONCATENATE(""CURRENCY:"", C237, ""USD""), ""close"", B237 - 1), 2, 2),
   "&amp;"   D237 * INDEX(GOOGLEFINANCE(CONCATENATE(""CURRENCY:"", C237, ""USD""), ""close"", B237 + 1), 2, 2)
    )
  )
)"),7.73)</f>
        <v>7.73</v>
      </c>
    </row>
    <row r="238">
      <c r="A238" s="33" t="s">
        <v>1202</v>
      </c>
      <c r="B238" s="34">
        <v>43188.0</v>
      </c>
      <c r="C238" s="35" t="s">
        <v>42</v>
      </c>
      <c r="D238" s="36">
        <v>39.97</v>
      </c>
      <c r="E238" s="21">
        <f>IFERROR(__xludf.DUMMYFUNCTION("IF(C238=""USD"", D238, 
  IFERROR(
    D238 * INDEX(GOOGLEFINANCE(CONCATENATE(""CURRENCY:"", C238, ""USD""), ""close"", B238), 2, 2),
    IFERROR(
      D238 * INDEX(GOOGLEFINANCE(CONCATENATE(""CURRENCY:"", C238, ""USD""), ""close"", B238 - 1), 2, 2),
   "&amp;"   D238 * INDEX(GOOGLEFINANCE(CONCATENATE(""CURRENCY:"", C238, ""USD""), ""close"", B238 + 1), 2, 2)
    )
  )
)"),39.97)</f>
        <v>39.97</v>
      </c>
    </row>
    <row r="239">
      <c r="A239" s="33" t="s">
        <v>1198</v>
      </c>
      <c r="B239" s="34">
        <v>43219.0</v>
      </c>
      <c r="C239" s="35" t="s">
        <v>42</v>
      </c>
      <c r="D239" s="36">
        <v>59.23</v>
      </c>
      <c r="E239" s="21">
        <f>IFERROR(__xludf.DUMMYFUNCTION("IF(C239=""USD"", D239, 
  IFERROR(
    D239 * INDEX(GOOGLEFINANCE(CONCATENATE(""CURRENCY:"", C239, ""USD""), ""close"", B239), 2, 2),
    IFERROR(
      D239 * INDEX(GOOGLEFINANCE(CONCATENATE(""CURRENCY:"", C239, ""USD""), ""close"", B239 - 1), 2, 2),
   "&amp;"   D239 * INDEX(GOOGLEFINANCE(CONCATENATE(""CURRENCY:"", C239, ""USD""), ""close"", B239 + 1), 2, 2)
    )
  )
)"),59.23)</f>
        <v>59.23</v>
      </c>
    </row>
    <row r="240">
      <c r="A240" s="33" t="s">
        <v>1194</v>
      </c>
      <c r="B240" s="34">
        <v>43219.0</v>
      </c>
      <c r="C240" s="35" t="s">
        <v>42</v>
      </c>
      <c r="D240" s="36">
        <v>4.38</v>
      </c>
      <c r="E240" s="21">
        <f>IFERROR(__xludf.DUMMYFUNCTION("IF(C240=""USD"", D240, 
  IFERROR(
    D240 * INDEX(GOOGLEFINANCE(CONCATENATE(""CURRENCY:"", C240, ""USD""), ""close"", B240), 2, 2),
    IFERROR(
      D240 * INDEX(GOOGLEFINANCE(CONCATENATE(""CURRENCY:"", C240, ""USD""), ""close"", B240 - 1), 2, 2),
   "&amp;"   D240 * INDEX(GOOGLEFINANCE(CONCATENATE(""CURRENCY:"", C240, ""USD""), ""close"", B240 + 1), 2, 2)
    )
  )
)"),4.38)</f>
        <v>4.38</v>
      </c>
    </row>
    <row r="241">
      <c r="A241" s="33" t="s">
        <v>1199</v>
      </c>
      <c r="B241" s="34">
        <v>43219.0</v>
      </c>
      <c r="C241" s="35" t="s">
        <v>42</v>
      </c>
      <c r="D241" s="36">
        <v>25.94</v>
      </c>
      <c r="E241" s="21">
        <f>IFERROR(__xludf.DUMMYFUNCTION("IF(C241=""USD"", D241, 
  IFERROR(
    D241 * INDEX(GOOGLEFINANCE(CONCATENATE(""CURRENCY:"", C241, ""USD""), ""close"", B241), 2, 2),
    IFERROR(
      D241 * INDEX(GOOGLEFINANCE(CONCATENATE(""CURRENCY:"", C241, ""USD""), ""close"", B241 - 1), 2, 2),
   "&amp;"   D241 * INDEX(GOOGLEFINANCE(CONCATENATE(""CURRENCY:"", C241, ""USD""), ""close"", B241 + 1), 2, 2)
    )
  )
)"),25.94)</f>
        <v>25.94</v>
      </c>
    </row>
    <row r="242">
      <c r="A242" s="33" t="s">
        <v>1195</v>
      </c>
      <c r="B242" s="34">
        <v>43219.0</v>
      </c>
      <c r="C242" s="35" t="s">
        <v>42</v>
      </c>
      <c r="D242" s="36">
        <v>7.53</v>
      </c>
      <c r="E242" s="21">
        <f>IFERROR(__xludf.DUMMYFUNCTION("IF(C242=""USD"", D242, 
  IFERROR(
    D242 * INDEX(GOOGLEFINANCE(CONCATENATE(""CURRENCY:"", C242, ""USD""), ""close"", B242), 2, 2),
    IFERROR(
      D242 * INDEX(GOOGLEFINANCE(CONCATENATE(""CURRENCY:"", C242, ""USD""), ""close"", B242 - 1), 2, 2),
   "&amp;"   D242 * INDEX(GOOGLEFINANCE(CONCATENATE(""CURRENCY:"", C242, ""USD""), ""close"", B242 + 1), 2, 2)
    )
  )
)"),7.53)</f>
        <v>7.53</v>
      </c>
    </row>
    <row r="243">
      <c r="A243" s="33" t="s">
        <v>1202</v>
      </c>
      <c r="B243" s="34">
        <v>43219.0</v>
      </c>
      <c r="C243" s="35" t="s">
        <v>42</v>
      </c>
      <c r="D243" s="36">
        <v>3.8</v>
      </c>
      <c r="E243" s="21">
        <f>IFERROR(__xludf.DUMMYFUNCTION("IF(C243=""USD"", D243, 
  IFERROR(
    D243 * INDEX(GOOGLEFINANCE(CONCATENATE(""CURRENCY:"", C243, ""USD""), ""close"", B243), 2, 2),
    IFERROR(
      D243 * INDEX(GOOGLEFINANCE(CONCATENATE(""CURRENCY:"", C243, ""USD""), ""close"", B243 - 1), 2, 2),
   "&amp;"   D243 * INDEX(GOOGLEFINANCE(CONCATENATE(""CURRENCY:"", C243, ""USD""), ""close"", B243 + 1), 2, 2)
    )
  )
)"),3.8)</f>
        <v>3.8</v>
      </c>
    </row>
    <row r="244">
      <c r="A244" s="33" t="s">
        <v>1203</v>
      </c>
      <c r="B244" s="34">
        <v>43219.0</v>
      </c>
      <c r="C244" s="35" t="s">
        <v>42</v>
      </c>
      <c r="D244" s="36">
        <v>5.03</v>
      </c>
      <c r="E244" s="21">
        <f>IFERROR(__xludf.DUMMYFUNCTION("IF(C244=""USD"", D244, 
  IFERROR(
    D244 * INDEX(GOOGLEFINANCE(CONCATENATE(""CURRENCY:"", C244, ""USD""), ""close"", B244), 2, 2),
    IFERROR(
      D244 * INDEX(GOOGLEFINANCE(CONCATENATE(""CURRENCY:"", C244, ""USD""), ""close"", B244 - 1), 2, 2),
   "&amp;"   D244 * INDEX(GOOGLEFINANCE(CONCATENATE(""CURRENCY:"", C244, ""USD""), ""close"", B244 + 1), 2, 2)
    )
  )
)"),5.03)</f>
        <v>5.03</v>
      </c>
    </row>
    <row r="245">
      <c r="A245" s="33" t="s">
        <v>1195</v>
      </c>
      <c r="B245" s="34">
        <v>43249.0</v>
      </c>
      <c r="C245" s="35" t="s">
        <v>42</v>
      </c>
      <c r="D245" s="36">
        <v>29.18</v>
      </c>
      <c r="E245" s="21">
        <f>IFERROR(__xludf.DUMMYFUNCTION("IF(C245=""USD"", D245, 
  IFERROR(
    D245 * INDEX(GOOGLEFINANCE(CONCATENATE(""CURRENCY:"", C245, ""USD""), ""close"", B245), 2, 2),
    IFERROR(
      D245 * INDEX(GOOGLEFINANCE(CONCATENATE(""CURRENCY:"", C245, ""USD""), ""close"", B245 - 1), 2, 2),
   "&amp;"   D245 * INDEX(GOOGLEFINANCE(CONCATENATE(""CURRENCY:"", C245, ""USD""), ""close"", B245 + 1), 2, 2)
    )
  )
)"),29.18)</f>
        <v>29.18</v>
      </c>
    </row>
    <row r="246">
      <c r="A246" s="33" t="s">
        <v>1199</v>
      </c>
      <c r="B246" s="34">
        <v>43249.0</v>
      </c>
      <c r="C246" s="35" t="s">
        <v>42</v>
      </c>
      <c r="D246" s="36">
        <v>8.36</v>
      </c>
      <c r="E246" s="21">
        <f>IFERROR(__xludf.DUMMYFUNCTION("IF(C246=""USD"", D246, 
  IFERROR(
    D246 * INDEX(GOOGLEFINANCE(CONCATENATE(""CURRENCY:"", C246, ""USD""), ""close"", B246), 2, 2),
    IFERROR(
      D246 * INDEX(GOOGLEFINANCE(CONCATENATE(""CURRENCY:"", C246, ""USD""), ""close"", B246 - 1), 2, 2),
   "&amp;"   D246 * INDEX(GOOGLEFINANCE(CONCATENATE(""CURRENCY:"", C246, ""USD""), ""close"", B246 + 1), 2, 2)
    )
  )
)"),8.36)</f>
        <v>8.36</v>
      </c>
    </row>
    <row r="247">
      <c r="A247" s="33" t="s">
        <v>1202</v>
      </c>
      <c r="B247" s="34">
        <v>43249.0</v>
      </c>
      <c r="C247" s="35" t="s">
        <v>42</v>
      </c>
      <c r="D247" s="36">
        <v>20.96</v>
      </c>
      <c r="E247" s="21">
        <f>IFERROR(__xludf.DUMMYFUNCTION("IF(C247=""USD"", D247, 
  IFERROR(
    D247 * INDEX(GOOGLEFINANCE(CONCATENATE(""CURRENCY:"", C247, ""USD""), ""close"", B247), 2, 2),
    IFERROR(
      D247 * INDEX(GOOGLEFINANCE(CONCATENATE(""CURRENCY:"", C247, ""USD""), ""close"", B247 - 1), 2, 2),
   "&amp;"   D247 * INDEX(GOOGLEFINANCE(CONCATENATE(""CURRENCY:"", C247, ""USD""), ""close"", B247 + 1), 2, 2)
    )
  )
)"),20.96)</f>
        <v>20.96</v>
      </c>
    </row>
    <row r="248">
      <c r="A248" s="33" t="s">
        <v>1198</v>
      </c>
      <c r="B248" s="34">
        <v>43249.0</v>
      </c>
      <c r="C248" s="35" t="s">
        <v>42</v>
      </c>
      <c r="D248" s="36">
        <v>72.8</v>
      </c>
      <c r="E248" s="21">
        <f>IFERROR(__xludf.DUMMYFUNCTION("IF(C248=""USD"", D248, 
  IFERROR(
    D248 * INDEX(GOOGLEFINANCE(CONCATENATE(""CURRENCY:"", C248, ""USD""), ""close"", B248), 2, 2),
    IFERROR(
      D248 * INDEX(GOOGLEFINANCE(CONCATENATE(""CURRENCY:"", C248, ""USD""), ""close"", B248 - 1), 2, 2),
   "&amp;"   D248 * INDEX(GOOGLEFINANCE(CONCATENATE(""CURRENCY:"", C248, ""USD""), ""close"", B248 + 1), 2, 2)
    )
  )
)"),72.8)</f>
        <v>72.8</v>
      </c>
    </row>
    <row r="249">
      <c r="A249" s="33" t="s">
        <v>1203</v>
      </c>
      <c r="B249" s="34">
        <v>43249.0</v>
      </c>
      <c r="C249" s="35" t="s">
        <v>42</v>
      </c>
      <c r="D249" s="36">
        <v>4.72</v>
      </c>
      <c r="E249" s="21">
        <f>IFERROR(__xludf.DUMMYFUNCTION("IF(C249=""USD"", D249, 
  IFERROR(
    D249 * INDEX(GOOGLEFINANCE(CONCATENATE(""CURRENCY:"", C249, ""USD""), ""close"", B249), 2, 2),
    IFERROR(
      D249 * INDEX(GOOGLEFINANCE(CONCATENATE(""CURRENCY:"", C249, ""USD""), ""close"", B249 - 1), 2, 2),
   "&amp;"   D249 * INDEX(GOOGLEFINANCE(CONCATENATE(""CURRENCY:"", C249, ""USD""), ""close"", B249 + 1), 2, 2)
    )
  )
)"),4.72)</f>
        <v>4.72</v>
      </c>
    </row>
    <row r="250">
      <c r="A250" s="33" t="s">
        <v>1195</v>
      </c>
      <c r="B250" s="34">
        <v>43280.0</v>
      </c>
      <c r="C250" s="35" t="s">
        <v>42</v>
      </c>
      <c r="D250" s="36">
        <v>35.78</v>
      </c>
      <c r="E250" s="21">
        <f>IFERROR(__xludf.DUMMYFUNCTION("IF(C250=""USD"", D250, 
  IFERROR(
    D250 * INDEX(GOOGLEFINANCE(CONCATENATE(""CURRENCY:"", C250, ""USD""), ""close"", B250), 2, 2),
    IFERROR(
      D250 * INDEX(GOOGLEFINANCE(CONCATENATE(""CURRENCY:"", C250, ""USD""), ""close"", B250 - 1), 2, 2),
   "&amp;"   D250 * INDEX(GOOGLEFINANCE(CONCATENATE(""CURRENCY:"", C250, ""USD""), ""close"", B250 + 1), 2, 2)
    )
  )
)"),35.78)</f>
        <v>35.78</v>
      </c>
    </row>
    <row r="251">
      <c r="A251" s="33" t="s">
        <v>1197</v>
      </c>
      <c r="B251" s="34">
        <v>43280.0</v>
      </c>
      <c r="C251" s="35" t="s">
        <v>42</v>
      </c>
      <c r="D251" s="36">
        <v>8.5</v>
      </c>
      <c r="E251" s="21">
        <f>IFERROR(__xludf.DUMMYFUNCTION("IF(C251=""USD"", D251, 
  IFERROR(
    D251 * INDEX(GOOGLEFINANCE(CONCATENATE(""CURRENCY:"", C251, ""USD""), ""close"", B251), 2, 2),
    IFERROR(
      D251 * INDEX(GOOGLEFINANCE(CONCATENATE(""CURRENCY:"", C251, ""USD""), ""close"", B251 - 1), 2, 2),
   "&amp;"   D251 * INDEX(GOOGLEFINANCE(CONCATENATE(""CURRENCY:"", C251, ""USD""), ""close"", B251 + 1), 2, 2)
    )
  )
)"),8.5)</f>
        <v>8.5</v>
      </c>
    </row>
    <row r="252">
      <c r="A252" s="33" t="s">
        <v>1202</v>
      </c>
      <c r="B252" s="34">
        <v>43280.0</v>
      </c>
      <c r="C252" s="35" t="s">
        <v>42</v>
      </c>
      <c r="D252" s="36">
        <v>17.16</v>
      </c>
      <c r="E252" s="21">
        <f>IFERROR(__xludf.DUMMYFUNCTION("IF(C252=""USD"", D252, 
  IFERROR(
    D252 * INDEX(GOOGLEFINANCE(CONCATENATE(""CURRENCY:"", C252, ""USD""), ""close"", B252), 2, 2),
    IFERROR(
      D252 * INDEX(GOOGLEFINANCE(CONCATENATE(""CURRENCY:"", C252, ""USD""), ""close"", B252 - 1), 2, 2),
   "&amp;"   D252 * INDEX(GOOGLEFINANCE(CONCATENATE(""CURRENCY:"", C252, ""USD""), ""close"", B252 + 1), 2, 2)
    )
  )
)"),17.16)</f>
        <v>17.16</v>
      </c>
    </row>
    <row r="253">
      <c r="A253" s="33" t="s">
        <v>1198</v>
      </c>
      <c r="B253" s="34">
        <v>43280.0</v>
      </c>
      <c r="C253" s="35" t="s">
        <v>42</v>
      </c>
      <c r="D253" s="36">
        <v>110.06</v>
      </c>
      <c r="E253" s="21">
        <f>IFERROR(__xludf.DUMMYFUNCTION("IF(C253=""USD"", D253, 
  IFERROR(
    D253 * INDEX(GOOGLEFINANCE(CONCATENATE(""CURRENCY:"", C253, ""USD""), ""close"", B253), 2, 2),
    IFERROR(
      D253 * INDEX(GOOGLEFINANCE(CONCATENATE(""CURRENCY:"", C253, ""USD""), ""close"", B253 - 1), 2, 2),
   "&amp;"   D253 * INDEX(GOOGLEFINANCE(CONCATENATE(""CURRENCY:"", C253, ""USD""), ""close"", B253 + 1), 2, 2)
    )
  )
)"),110.06)</f>
        <v>110.06</v>
      </c>
    </row>
    <row r="254">
      <c r="A254" s="33" t="s">
        <v>1204</v>
      </c>
      <c r="B254" s="34">
        <v>43280.0</v>
      </c>
      <c r="C254" s="35" t="s">
        <v>42</v>
      </c>
      <c r="D254" s="36">
        <v>9.45</v>
      </c>
      <c r="E254" s="21">
        <f>IFERROR(__xludf.DUMMYFUNCTION("IF(C254=""USD"", D254, 
  IFERROR(
    D254 * INDEX(GOOGLEFINANCE(CONCATENATE(""CURRENCY:"", C254, ""USD""), ""close"", B254), 2, 2),
    IFERROR(
      D254 * INDEX(GOOGLEFINANCE(CONCATENATE(""CURRENCY:"", C254, ""USD""), ""close"", B254 - 1), 2, 2),
   "&amp;"   D254 * INDEX(GOOGLEFINANCE(CONCATENATE(""CURRENCY:"", C254, ""USD""), ""close"", B254 + 1), 2, 2)
    )
  )
)"),9.45)</f>
        <v>9.45</v>
      </c>
    </row>
    <row r="255">
      <c r="A255" s="33" t="s">
        <v>1199</v>
      </c>
      <c r="B255" s="34">
        <v>43280.0</v>
      </c>
      <c r="C255" s="35" t="s">
        <v>42</v>
      </c>
      <c r="D255" s="36">
        <v>49.48</v>
      </c>
      <c r="E255" s="21">
        <f>IFERROR(__xludf.DUMMYFUNCTION("IF(C255=""USD"", D255, 
  IFERROR(
    D255 * INDEX(GOOGLEFINANCE(CONCATENATE(""CURRENCY:"", C255, ""USD""), ""close"", B255), 2, 2),
    IFERROR(
      D255 * INDEX(GOOGLEFINANCE(CONCATENATE(""CURRENCY:"", C255, ""USD""), ""close"", B255 - 1), 2, 2),
   "&amp;"   D255 * INDEX(GOOGLEFINANCE(CONCATENATE(""CURRENCY:"", C255, ""USD""), ""close"", B255 + 1), 2, 2)
    )
  )
)"),49.48)</f>
        <v>49.48</v>
      </c>
    </row>
    <row r="256">
      <c r="A256" s="33" t="s">
        <v>1203</v>
      </c>
      <c r="B256" s="34">
        <v>43280.0</v>
      </c>
      <c r="C256" s="35" t="s">
        <v>42</v>
      </c>
      <c r="D256" s="36">
        <v>4.66</v>
      </c>
      <c r="E256" s="21">
        <f>IFERROR(__xludf.DUMMYFUNCTION("IF(C256=""USD"", D256, 
  IFERROR(
    D256 * INDEX(GOOGLEFINANCE(CONCATENATE(""CURRENCY:"", C256, ""USD""), ""close"", B256), 2, 2),
    IFERROR(
      D256 * INDEX(GOOGLEFINANCE(CONCATENATE(""CURRENCY:"", C256, ""USD""), ""close"", B256 - 1), 2, 2),
   "&amp;"   D256 * INDEX(GOOGLEFINANCE(CONCATENATE(""CURRENCY:"", C256, ""USD""), ""close"", B256 + 1), 2, 2)
    )
  )
)"),4.66)</f>
        <v>4.66</v>
      </c>
    </row>
    <row r="257">
      <c r="A257" s="33" t="s">
        <v>1202</v>
      </c>
      <c r="B257" s="34">
        <v>43310.0</v>
      </c>
      <c r="C257" s="35" t="s">
        <v>42</v>
      </c>
      <c r="D257" s="36">
        <v>11.4</v>
      </c>
      <c r="E257" s="21">
        <f>IFERROR(__xludf.DUMMYFUNCTION("IF(C257=""USD"", D257, 
  IFERROR(
    D257 * INDEX(GOOGLEFINANCE(CONCATENATE(""CURRENCY:"", C257, ""USD""), ""close"", B257), 2, 2),
    IFERROR(
      D257 * INDEX(GOOGLEFINANCE(CONCATENATE(""CURRENCY:"", C257, ""USD""), ""close"", B257 - 1), 2, 2),
   "&amp;"   D257 * INDEX(GOOGLEFINANCE(CONCATENATE(""CURRENCY:"", C257, ""USD""), ""close"", B257 + 1), 2, 2)
    )
  )
)"),11.4)</f>
        <v>11.4</v>
      </c>
    </row>
    <row r="258">
      <c r="A258" s="33" t="s">
        <v>1200</v>
      </c>
      <c r="B258" s="34">
        <v>43310.0</v>
      </c>
      <c r="C258" s="35" t="s">
        <v>42</v>
      </c>
      <c r="D258" s="36">
        <v>4.53</v>
      </c>
      <c r="E258" s="21">
        <f>IFERROR(__xludf.DUMMYFUNCTION("IF(C258=""USD"", D258, 
  IFERROR(
    D258 * INDEX(GOOGLEFINANCE(CONCATENATE(""CURRENCY:"", C258, ""USD""), ""close"", B258), 2, 2),
    IFERROR(
      D258 * INDEX(GOOGLEFINANCE(CONCATENATE(""CURRENCY:"", C258, ""USD""), ""close"", B258 - 1), 2, 2),
   "&amp;"   D258 * INDEX(GOOGLEFINANCE(CONCATENATE(""CURRENCY:"", C258, ""USD""), ""close"", B258 + 1), 2, 2)
    )
  )
)"),4.53)</f>
        <v>4.53</v>
      </c>
    </row>
    <row r="259">
      <c r="A259" s="33" t="s">
        <v>1198</v>
      </c>
      <c r="B259" s="34">
        <v>43310.0</v>
      </c>
      <c r="C259" s="35" t="s">
        <v>42</v>
      </c>
      <c r="D259" s="36">
        <v>86.55</v>
      </c>
      <c r="E259" s="21">
        <f>IFERROR(__xludf.DUMMYFUNCTION("IF(C259=""USD"", D259, 
  IFERROR(
    D259 * INDEX(GOOGLEFINANCE(CONCATENATE(""CURRENCY:"", C259, ""USD""), ""close"", B259), 2, 2),
    IFERROR(
      D259 * INDEX(GOOGLEFINANCE(CONCATENATE(""CURRENCY:"", C259, ""USD""), ""close"", B259 - 1), 2, 2),
   "&amp;"   D259 * INDEX(GOOGLEFINANCE(CONCATENATE(""CURRENCY:"", C259, ""USD""), ""close"", B259 + 1), 2, 2)
    )
  )
)"),86.55)</f>
        <v>86.55</v>
      </c>
    </row>
    <row r="260">
      <c r="A260" s="33" t="s">
        <v>1203</v>
      </c>
      <c r="B260" s="34">
        <v>43310.0</v>
      </c>
      <c r="C260" s="35" t="s">
        <v>42</v>
      </c>
      <c r="D260" s="36">
        <v>4.7</v>
      </c>
      <c r="E260" s="21">
        <f>IFERROR(__xludf.DUMMYFUNCTION("IF(C260=""USD"", D260, 
  IFERROR(
    D260 * INDEX(GOOGLEFINANCE(CONCATENATE(""CURRENCY:"", C260, ""USD""), ""close"", B260), 2, 2),
    IFERROR(
      D260 * INDEX(GOOGLEFINANCE(CONCATENATE(""CURRENCY:"", C260, ""USD""), ""close"", B260 - 1), 2, 2),
   "&amp;"   D260 * INDEX(GOOGLEFINANCE(CONCATENATE(""CURRENCY:"", C260, ""USD""), ""close"", B260 + 1), 2, 2)
    )
  )
)"),4.7)</f>
        <v>4.7</v>
      </c>
    </row>
    <row r="261">
      <c r="A261" s="33" t="s">
        <v>1199</v>
      </c>
      <c r="B261" s="34">
        <v>43310.0</v>
      </c>
      <c r="C261" s="35" t="s">
        <v>42</v>
      </c>
      <c r="D261" s="36">
        <v>16.63</v>
      </c>
      <c r="E261" s="21">
        <f>IFERROR(__xludf.DUMMYFUNCTION("IF(C261=""USD"", D261, 
  IFERROR(
    D261 * INDEX(GOOGLEFINANCE(CONCATENATE(""CURRENCY:"", C261, ""USD""), ""close"", B261), 2, 2),
    IFERROR(
      D261 * INDEX(GOOGLEFINANCE(CONCATENATE(""CURRENCY:"", C261, ""USD""), ""close"", B261 - 1), 2, 2),
   "&amp;"   D261 * INDEX(GOOGLEFINANCE(CONCATENATE(""CURRENCY:"", C261, ""USD""), ""close"", B261 + 1), 2, 2)
    )
  )
)"),16.63)</f>
        <v>16.63</v>
      </c>
    </row>
    <row r="262">
      <c r="A262" s="33" t="s">
        <v>1195</v>
      </c>
      <c r="B262" s="34">
        <v>43310.0</v>
      </c>
      <c r="C262" s="35" t="s">
        <v>42</v>
      </c>
      <c r="D262" s="36">
        <v>37.08</v>
      </c>
      <c r="E262" s="21">
        <f>IFERROR(__xludf.DUMMYFUNCTION("IF(C262=""USD"", D262, 
  IFERROR(
    D262 * INDEX(GOOGLEFINANCE(CONCATENATE(""CURRENCY:"", C262, ""USD""), ""close"", B262), 2, 2),
    IFERROR(
      D262 * INDEX(GOOGLEFINANCE(CONCATENATE(""CURRENCY:"", C262, ""USD""), ""close"", B262 - 1), 2, 2),
   "&amp;"   D262 * INDEX(GOOGLEFINANCE(CONCATENATE(""CURRENCY:"", C262, ""USD""), ""close"", B262 + 1), 2, 2)
    )
  )
)"),37.08)</f>
        <v>37.08</v>
      </c>
    </row>
    <row r="263">
      <c r="A263" s="33" t="s">
        <v>1206</v>
      </c>
      <c r="B263" s="34">
        <v>43310.0</v>
      </c>
      <c r="C263" s="35" t="s">
        <v>42</v>
      </c>
      <c r="D263" s="36">
        <v>2.37</v>
      </c>
      <c r="E263" s="21">
        <f>IFERROR(__xludf.DUMMYFUNCTION("IF(C263=""USD"", D263, 
  IFERROR(
    D263 * INDEX(GOOGLEFINANCE(CONCATENATE(""CURRENCY:"", C263, ""USD""), ""close"", B263), 2, 2),
    IFERROR(
      D263 * INDEX(GOOGLEFINANCE(CONCATENATE(""CURRENCY:"", C263, ""USD""), ""close"", B263 - 1), 2, 2),
   "&amp;"   D263 * INDEX(GOOGLEFINANCE(CONCATENATE(""CURRENCY:"", C263, ""USD""), ""close"", B263 + 1), 2, 2)
    )
  )
)"),2.37)</f>
        <v>2.37</v>
      </c>
    </row>
    <row r="264">
      <c r="A264" s="33" t="s">
        <v>1199</v>
      </c>
      <c r="B264" s="34">
        <v>43341.0</v>
      </c>
      <c r="C264" s="35" t="s">
        <v>42</v>
      </c>
      <c r="D264" s="36">
        <v>8.33</v>
      </c>
      <c r="E264" s="21">
        <f>IFERROR(__xludf.DUMMYFUNCTION("IF(C264=""USD"", D264, 
  IFERROR(
    D264 * INDEX(GOOGLEFINANCE(CONCATENATE(""CURRENCY:"", C264, ""USD""), ""close"", B264), 2, 2),
    IFERROR(
      D264 * INDEX(GOOGLEFINANCE(CONCATENATE(""CURRENCY:"", C264, ""USD""), ""close"", B264 - 1), 2, 2),
   "&amp;"   D264 * INDEX(GOOGLEFINANCE(CONCATENATE(""CURRENCY:"", C264, ""USD""), ""close"", B264 + 1), 2, 2)
    )
  )
)"),8.33)</f>
        <v>8.33</v>
      </c>
    </row>
    <row r="265">
      <c r="A265" s="33" t="s">
        <v>1195</v>
      </c>
      <c r="B265" s="34">
        <v>43341.0</v>
      </c>
      <c r="C265" s="35" t="s">
        <v>42</v>
      </c>
      <c r="D265" s="36">
        <v>51.27</v>
      </c>
      <c r="E265" s="21">
        <f>IFERROR(__xludf.DUMMYFUNCTION("IF(C265=""USD"", D265, 
  IFERROR(
    D265 * INDEX(GOOGLEFINANCE(CONCATENATE(""CURRENCY:"", C265, ""USD""), ""close"", B265), 2, 2),
    IFERROR(
      D265 * INDEX(GOOGLEFINANCE(CONCATENATE(""CURRENCY:"", C265, ""USD""), ""close"", B265 - 1), 2, 2),
   "&amp;"   D265 * INDEX(GOOGLEFINANCE(CONCATENATE(""CURRENCY:"", C265, ""USD""), ""close"", B265 + 1), 2, 2)
    )
  )
)"),51.27)</f>
        <v>51.27</v>
      </c>
    </row>
    <row r="266">
      <c r="A266" s="33" t="s">
        <v>1204</v>
      </c>
      <c r="B266" s="34">
        <v>43341.0</v>
      </c>
      <c r="C266" s="35" t="s">
        <v>42</v>
      </c>
      <c r="D266" s="36">
        <v>8.78</v>
      </c>
      <c r="E266" s="21">
        <f>IFERROR(__xludf.DUMMYFUNCTION("IF(C266=""USD"", D266, 
  IFERROR(
    D266 * INDEX(GOOGLEFINANCE(CONCATENATE(""CURRENCY:"", C266, ""USD""), ""close"", B266), 2, 2),
    IFERROR(
      D266 * INDEX(GOOGLEFINANCE(CONCATENATE(""CURRENCY:"", C266, ""USD""), ""close"", B266 - 1), 2, 2),
   "&amp;"   D266 * INDEX(GOOGLEFINANCE(CONCATENATE(""CURRENCY:"", C266, ""USD""), ""close"", B266 + 1), 2, 2)
    )
  )
)"),8.78)</f>
        <v>8.78</v>
      </c>
    </row>
    <row r="267">
      <c r="A267" s="33" t="s">
        <v>1200</v>
      </c>
      <c r="B267" s="34">
        <v>43341.0</v>
      </c>
      <c r="C267" s="35" t="s">
        <v>42</v>
      </c>
      <c r="D267" s="36">
        <v>4.56</v>
      </c>
      <c r="E267" s="21">
        <f>IFERROR(__xludf.DUMMYFUNCTION("IF(C267=""USD"", D267, 
  IFERROR(
    D267 * INDEX(GOOGLEFINANCE(CONCATENATE(""CURRENCY:"", C267, ""USD""), ""close"", B267), 2, 2),
    IFERROR(
      D267 * INDEX(GOOGLEFINANCE(CONCATENATE(""CURRENCY:"", C267, ""USD""), ""close"", B267 - 1), 2, 2),
   "&amp;"   D267 * INDEX(GOOGLEFINANCE(CONCATENATE(""CURRENCY:"", C267, ""USD""), ""close"", B267 + 1), 2, 2)
    )
  )
)"),4.56)</f>
        <v>4.56</v>
      </c>
    </row>
    <row r="268">
      <c r="A268" s="33" t="s">
        <v>1202</v>
      </c>
      <c r="B268" s="34">
        <v>43341.0</v>
      </c>
      <c r="C268" s="35" t="s">
        <v>42</v>
      </c>
      <c r="D268" s="36">
        <v>22.81</v>
      </c>
      <c r="E268" s="21">
        <f>IFERROR(__xludf.DUMMYFUNCTION("IF(C268=""USD"", D268, 
  IFERROR(
    D268 * INDEX(GOOGLEFINANCE(CONCATENATE(""CURRENCY:"", C268, ""USD""), ""close"", B268), 2, 2),
    IFERROR(
      D268 * INDEX(GOOGLEFINANCE(CONCATENATE(""CURRENCY:"", C268, ""USD""), ""close"", B268 - 1), 2, 2),
   "&amp;"   D268 * INDEX(GOOGLEFINANCE(CONCATENATE(""CURRENCY:"", C268, ""USD""), ""close"", B268 + 1), 2, 2)
    )
  )
)"),22.81)</f>
        <v>22.81</v>
      </c>
    </row>
    <row r="269">
      <c r="A269" s="33" t="s">
        <v>1194</v>
      </c>
      <c r="B269" s="34">
        <v>43341.0</v>
      </c>
      <c r="C269" s="35" t="s">
        <v>42</v>
      </c>
      <c r="D269" s="36">
        <v>4.26</v>
      </c>
      <c r="E269" s="21">
        <f>IFERROR(__xludf.DUMMYFUNCTION("IF(C269=""USD"", D269, 
  IFERROR(
    D269 * INDEX(GOOGLEFINANCE(CONCATENATE(""CURRENCY:"", C269, ""USD""), ""close"", B269), 2, 2),
    IFERROR(
      D269 * INDEX(GOOGLEFINANCE(CONCATENATE(""CURRENCY:"", C269, ""USD""), ""close"", B269 - 1), 2, 2),
   "&amp;"   D269 * INDEX(GOOGLEFINANCE(CONCATENATE(""CURRENCY:"", C269, ""USD""), ""close"", B269 + 1), 2, 2)
    )
  )
)"),4.26)</f>
        <v>4.26</v>
      </c>
    </row>
    <row r="270">
      <c r="A270" s="33" t="s">
        <v>1198</v>
      </c>
      <c r="B270" s="34">
        <v>43341.0</v>
      </c>
      <c r="C270" s="35" t="s">
        <v>42</v>
      </c>
      <c r="D270" s="36">
        <v>143.09</v>
      </c>
      <c r="E270" s="21">
        <f>IFERROR(__xludf.DUMMYFUNCTION("IF(C270=""USD"", D270, 
  IFERROR(
    D270 * INDEX(GOOGLEFINANCE(CONCATENATE(""CURRENCY:"", C270, ""USD""), ""close"", B270), 2, 2),
    IFERROR(
      D270 * INDEX(GOOGLEFINANCE(CONCATENATE(""CURRENCY:"", C270, ""USD""), ""close"", B270 - 1), 2, 2),
   "&amp;"   D270 * INDEX(GOOGLEFINANCE(CONCATENATE(""CURRENCY:"", C270, ""USD""), ""close"", B270 + 1), 2, 2)
    )
  )
)"),143.09)</f>
        <v>143.09</v>
      </c>
    </row>
    <row r="271">
      <c r="A271" s="33" t="s">
        <v>1203</v>
      </c>
      <c r="B271" s="34">
        <v>43341.0</v>
      </c>
      <c r="C271" s="35" t="s">
        <v>42</v>
      </c>
      <c r="D271" s="36">
        <v>4.66</v>
      </c>
      <c r="E271" s="21">
        <f>IFERROR(__xludf.DUMMYFUNCTION("IF(C271=""USD"", D271, 
  IFERROR(
    D271 * INDEX(GOOGLEFINANCE(CONCATENATE(""CURRENCY:"", C271, ""USD""), ""close"", B271), 2, 2),
    IFERROR(
      D271 * INDEX(GOOGLEFINANCE(CONCATENATE(""CURRENCY:"", C271, ""USD""), ""close"", B271 - 1), 2, 2),
   "&amp;"   D271 * INDEX(GOOGLEFINANCE(CONCATENATE(""CURRENCY:"", C271, ""USD""), ""close"", B271 + 1), 2, 2)
    )
  )
)"),4.66)</f>
        <v>4.66</v>
      </c>
    </row>
    <row r="272">
      <c r="A272" s="33" t="s">
        <v>1199</v>
      </c>
      <c r="B272" s="34">
        <v>43372.0</v>
      </c>
      <c r="C272" s="35" t="s">
        <v>42</v>
      </c>
      <c r="D272" s="36">
        <v>16.49</v>
      </c>
      <c r="E272" s="21">
        <f>IFERROR(__xludf.DUMMYFUNCTION("IF(C272=""USD"", D272, 
  IFERROR(
    D272 * INDEX(GOOGLEFINANCE(CONCATENATE(""CURRENCY:"", C272, ""USD""), ""close"", B272), 2, 2),
    IFERROR(
      D272 * INDEX(GOOGLEFINANCE(CONCATENATE(""CURRENCY:"", C272, ""USD""), ""close"", B272 - 1), 2, 2),
   "&amp;"   D272 * INDEX(GOOGLEFINANCE(CONCATENATE(""CURRENCY:"", C272, ""USD""), ""close"", B272 + 1), 2, 2)
    )
  )
)"),16.49)</f>
        <v>16.49</v>
      </c>
    </row>
    <row r="273">
      <c r="A273" s="33" t="s">
        <v>1203</v>
      </c>
      <c r="B273" s="34">
        <v>43372.0</v>
      </c>
      <c r="C273" s="35" t="s">
        <v>42</v>
      </c>
      <c r="D273" s="36">
        <v>9.39</v>
      </c>
      <c r="E273" s="21">
        <f>IFERROR(__xludf.DUMMYFUNCTION("IF(C273=""USD"", D273, 
  IFERROR(
    D273 * INDEX(GOOGLEFINANCE(CONCATENATE(""CURRENCY:"", C273, ""USD""), ""close"", B273), 2, 2),
    IFERROR(
      D273 * INDEX(GOOGLEFINANCE(CONCATENATE(""CURRENCY:"", C273, ""USD""), ""close"", B273 - 1), 2, 2),
   "&amp;"   D273 * INDEX(GOOGLEFINANCE(CONCATENATE(""CURRENCY:"", C273, ""USD""), ""close"", B273 + 1), 2, 2)
    )
  )
)"),9.39)</f>
        <v>9.39</v>
      </c>
    </row>
    <row r="274">
      <c r="A274" s="33" t="s">
        <v>1194</v>
      </c>
      <c r="B274" s="34">
        <v>43372.0</v>
      </c>
      <c r="C274" s="35" t="s">
        <v>42</v>
      </c>
      <c r="D274" s="36">
        <v>4.19</v>
      </c>
      <c r="E274" s="21">
        <f>IFERROR(__xludf.DUMMYFUNCTION("IF(C274=""USD"", D274, 
  IFERROR(
    D274 * INDEX(GOOGLEFINANCE(CONCATENATE(""CURRENCY:"", C274, ""USD""), ""close"", B274), 2, 2),
    IFERROR(
      D274 * INDEX(GOOGLEFINANCE(CONCATENATE(""CURRENCY:"", C274, ""USD""), ""close"", B274 - 1), 2, 2),
   "&amp;"   D274 * INDEX(GOOGLEFINANCE(CONCATENATE(""CURRENCY:"", C274, ""USD""), ""close"", B274 + 1), 2, 2)
    )
  )
)"),4.19)</f>
        <v>4.19</v>
      </c>
    </row>
    <row r="275">
      <c r="A275" s="33" t="s">
        <v>1208</v>
      </c>
      <c r="B275" s="34">
        <v>43372.0</v>
      </c>
      <c r="C275" s="35" t="s">
        <v>42</v>
      </c>
      <c r="D275" s="36">
        <v>4.61</v>
      </c>
      <c r="E275" s="21">
        <f>IFERROR(__xludf.DUMMYFUNCTION("IF(C275=""USD"", D275, 
  IFERROR(
    D275 * INDEX(GOOGLEFINANCE(CONCATENATE(""CURRENCY:"", C275, ""USD""), ""close"", B275), 2, 2),
    IFERROR(
      D275 * INDEX(GOOGLEFINANCE(CONCATENATE(""CURRENCY:"", C275, ""USD""), ""close"", B275 - 1), 2, 2),
   "&amp;"   D275 * INDEX(GOOGLEFINANCE(CONCATENATE(""CURRENCY:"", C275, ""USD""), ""close"", B275 + 1), 2, 2)
    )
  )
)"),4.61)</f>
        <v>4.61</v>
      </c>
    </row>
    <row r="276">
      <c r="A276" s="33" t="s">
        <v>1197</v>
      </c>
      <c r="B276" s="34">
        <v>43372.0</v>
      </c>
      <c r="C276" s="35" t="s">
        <v>42</v>
      </c>
      <c r="D276" s="36">
        <v>4.23</v>
      </c>
      <c r="E276" s="21">
        <f>IFERROR(__xludf.DUMMYFUNCTION("IF(C276=""USD"", D276, 
  IFERROR(
    D276 * INDEX(GOOGLEFINANCE(CONCATENATE(""CURRENCY:"", C276, ""USD""), ""close"", B276), 2, 2),
    IFERROR(
      D276 * INDEX(GOOGLEFINANCE(CONCATENATE(""CURRENCY:"", C276, ""USD""), ""close"", B276 - 1), 2, 2),
   "&amp;"   D276 * INDEX(GOOGLEFINANCE(CONCATENATE(""CURRENCY:"", C276, ""USD""), ""close"", B276 + 1), 2, 2)
    )
  )
)"),4.23)</f>
        <v>4.23</v>
      </c>
    </row>
    <row r="277">
      <c r="A277" s="33" t="s">
        <v>1195</v>
      </c>
      <c r="B277" s="34">
        <v>43372.0</v>
      </c>
      <c r="C277" s="35" t="s">
        <v>42</v>
      </c>
      <c r="D277" s="36">
        <v>14.91</v>
      </c>
      <c r="E277" s="21">
        <f>IFERROR(__xludf.DUMMYFUNCTION("IF(C277=""USD"", D277, 
  IFERROR(
    D277 * INDEX(GOOGLEFINANCE(CONCATENATE(""CURRENCY:"", C277, ""USD""), ""close"", B277), 2, 2),
    IFERROR(
      D277 * INDEX(GOOGLEFINANCE(CONCATENATE(""CURRENCY:"", C277, ""USD""), ""close"", B277 - 1), 2, 2),
   "&amp;"   D277 * INDEX(GOOGLEFINANCE(CONCATENATE(""CURRENCY:"", C277, ""USD""), ""close"", B277 + 1), 2, 2)
    )
  )
)"),14.91)</f>
        <v>14.91</v>
      </c>
    </row>
    <row r="278">
      <c r="A278" s="33" t="s">
        <v>1198</v>
      </c>
      <c r="B278" s="34">
        <v>43372.0</v>
      </c>
      <c r="C278" s="35" t="s">
        <v>42</v>
      </c>
      <c r="D278" s="36">
        <v>112.74</v>
      </c>
      <c r="E278" s="21">
        <f>IFERROR(__xludf.DUMMYFUNCTION("IF(C278=""USD"", D278, 
  IFERROR(
    D278 * INDEX(GOOGLEFINANCE(CONCATENATE(""CURRENCY:"", C278, ""USD""), ""close"", B278), 2, 2),
    IFERROR(
      D278 * INDEX(GOOGLEFINANCE(CONCATENATE(""CURRENCY:"", C278, ""USD""), ""close"", B278 - 1), 2, 2),
   "&amp;"   D278 * INDEX(GOOGLEFINANCE(CONCATENATE(""CURRENCY:"", C278, ""USD""), ""close"", B278 + 1), 2, 2)
    )
  )
)"),112.74)</f>
        <v>112.74</v>
      </c>
    </row>
    <row r="279">
      <c r="A279" s="33" t="s">
        <v>1202</v>
      </c>
      <c r="B279" s="34">
        <v>43372.0</v>
      </c>
      <c r="C279" s="35" t="s">
        <v>42</v>
      </c>
      <c r="D279" s="36">
        <v>20.96</v>
      </c>
      <c r="E279" s="21">
        <f>IFERROR(__xludf.DUMMYFUNCTION("IF(C279=""USD"", D279, 
  IFERROR(
    D279 * INDEX(GOOGLEFINANCE(CONCATENATE(""CURRENCY:"", C279, ""USD""), ""close"", B279), 2, 2),
    IFERROR(
      D279 * INDEX(GOOGLEFINANCE(CONCATENATE(""CURRENCY:"", C279, ""USD""), ""close"", B279 - 1), 2, 2),
   "&amp;"   D279 * INDEX(GOOGLEFINANCE(CONCATENATE(""CURRENCY:"", C279, ""USD""), ""close"", B279 + 1), 2, 2)
    )
  )
)"),20.96)</f>
        <v>20.96</v>
      </c>
    </row>
    <row r="280">
      <c r="A280" s="33" t="s">
        <v>1198</v>
      </c>
      <c r="B280" s="34">
        <v>43402.0</v>
      </c>
      <c r="C280" s="35" t="s">
        <v>42</v>
      </c>
      <c r="D280" s="36">
        <v>50.73</v>
      </c>
      <c r="E280" s="21">
        <f>IFERROR(__xludf.DUMMYFUNCTION("IF(C280=""USD"", D280, 
  IFERROR(
    D280 * INDEX(GOOGLEFINANCE(CONCATENATE(""CURRENCY:"", C280, ""USD""), ""close"", B280), 2, 2),
    IFERROR(
      D280 * INDEX(GOOGLEFINANCE(CONCATENATE(""CURRENCY:"", C280, ""USD""), ""close"", B280 - 1), 2, 2),
   "&amp;"   D280 * INDEX(GOOGLEFINANCE(CONCATENATE(""CURRENCY:"", C280, ""USD""), ""close"", B280 + 1), 2, 2)
    )
  )
)"),50.73)</f>
        <v>50.73</v>
      </c>
    </row>
    <row r="281">
      <c r="A281" s="33" t="s">
        <v>1194</v>
      </c>
      <c r="B281" s="34">
        <v>43402.0</v>
      </c>
      <c r="C281" s="35" t="s">
        <v>42</v>
      </c>
      <c r="D281" s="36">
        <v>8.17</v>
      </c>
      <c r="E281" s="21">
        <f>IFERROR(__xludf.DUMMYFUNCTION("IF(C281=""USD"", D281, 
  IFERROR(
    D281 * INDEX(GOOGLEFINANCE(CONCATENATE(""CURRENCY:"", C281, ""USD""), ""close"", B281), 2, 2),
    IFERROR(
      D281 * INDEX(GOOGLEFINANCE(CONCATENATE(""CURRENCY:"", C281, ""USD""), ""close"", B281 - 1), 2, 2),
   "&amp;"   D281 * INDEX(GOOGLEFINANCE(CONCATENATE(""CURRENCY:"", C281, ""USD""), ""close"", B281 + 1), 2, 2)
    )
  )
)"),8.17)</f>
        <v>8.17</v>
      </c>
    </row>
    <row r="282">
      <c r="A282" s="33" t="s">
        <v>1199</v>
      </c>
      <c r="B282" s="34">
        <v>43402.0</v>
      </c>
      <c r="C282" s="35" t="s">
        <v>42</v>
      </c>
      <c r="D282" s="36">
        <v>32.18</v>
      </c>
      <c r="E282" s="21">
        <f>IFERROR(__xludf.DUMMYFUNCTION("IF(C282=""USD"", D282, 
  IFERROR(
    D282 * INDEX(GOOGLEFINANCE(CONCATENATE(""CURRENCY:"", C282, ""USD""), ""close"", B282), 2, 2),
    IFERROR(
      D282 * INDEX(GOOGLEFINANCE(CONCATENATE(""CURRENCY:"", C282, ""USD""), ""close"", B282 - 1), 2, 2),
   "&amp;"   D282 * INDEX(GOOGLEFINANCE(CONCATENATE(""CURRENCY:"", C282, ""USD""), ""close"", B282 + 1), 2, 2)
    )
  )
)"),32.18)</f>
        <v>32.18</v>
      </c>
    </row>
    <row r="283">
      <c r="A283" s="33" t="s">
        <v>1197</v>
      </c>
      <c r="B283" s="34">
        <v>43402.0</v>
      </c>
      <c r="C283" s="35" t="s">
        <v>42</v>
      </c>
      <c r="D283" s="36">
        <v>8.31</v>
      </c>
      <c r="E283" s="21">
        <f>IFERROR(__xludf.DUMMYFUNCTION("IF(C283=""USD"", D283, 
  IFERROR(
    D283 * INDEX(GOOGLEFINANCE(CONCATENATE(""CURRENCY:"", C283, ""USD""), ""close"", B283), 2, 2),
    IFERROR(
      D283 * INDEX(GOOGLEFINANCE(CONCATENATE(""CURRENCY:"", C283, ""USD""), ""close"", B283 - 1), 2, 2),
   "&amp;"   D283 * INDEX(GOOGLEFINANCE(CONCATENATE(""CURRENCY:"", C283, ""USD""), ""close"", B283 + 1), 2, 2)
    )
  )
)"),8.31)</f>
        <v>8.31</v>
      </c>
    </row>
    <row r="284">
      <c r="A284" s="33" t="s">
        <v>1202</v>
      </c>
      <c r="B284" s="34">
        <v>43402.0</v>
      </c>
      <c r="C284" s="35" t="s">
        <v>42</v>
      </c>
      <c r="D284" s="36">
        <v>25.02</v>
      </c>
      <c r="E284" s="21">
        <f>IFERROR(__xludf.DUMMYFUNCTION("IF(C284=""USD"", D284, 
  IFERROR(
    D284 * INDEX(GOOGLEFINANCE(CONCATENATE(""CURRENCY:"", C284, ""USD""), ""close"", B284), 2, 2),
    IFERROR(
      D284 * INDEX(GOOGLEFINANCE(CONCATENATE(""CURRENCY:"", C284, ""USD""), ""close"", B284 - 1), 2, 2),
   "&amp;"   D284 * INDEX(GOOGLEFINANCE(CONCATENATE(""CURRENCY:"", C284, ""USD""), ""close"", B284 + 1), 2, 2)
    )
  )
)"),25.02)</f>
        <v>25.02</v>
      </c>
    </row>
    <row r="285">
      <c r="A285" s="33" t="s">
        <v>1200</v>
      </c>
      <c r="B285" s="34">
        <v>43433.0</v>
      </c>
      <c r="C285" s="35" t="s">
        <v>42</v>
      </c>
      <c r="D285" s="36">
        <v>8.89</v>
      </c>
      <c r="E285" s="21">
        <f>IFERROR(__xludf.DUMMYFUNCTION("IF(C285=""USD"", D285, 
  IFERROR(
    D285 * INDEX(GOOGLEFINANCE(CONCATENATE(""CURRENCY:"", C285, ""USD""), ""close"", B285), 2, 2),
    IFERROR(
      D285 * INDEX(GOOGLEFINANCE(CONCATENATE(""CURRENCY:"", C285, ""USD""), ""close"", B285 - 1), 2, 2),
   "&amp;"   D285 * INDEX(GOOGLEFINANCE(CONCATENATE(""CURRENCY:"", C285, ""USD""), ""close"", B285 + 1), 2, 2)
    )
  )
)"),8.89)</f>
        <v>8.89</v>
      </c>
    </row>
    <row r="286">
      <c r="A286" s="33" t="s">
        <v>1198</v>
      </c>
      <c r="B286" s="34">
        <v>43433.0</v>
      </c>
      <c r="C286" s="35" t="s">
        <v>42</v>
      </c>
      <c r="D286" s="36">
        <v>32.73</v>
      </c>
      <c r="E286" s="21">
        <f>IFERROR(__xludf.DUMMYFUNCTION("IF(C286=""USD"", D286, 
  IFERROR(
    D286 * INDEX(GOOGLEFINANCE(CONCATENATE(""CURRENCY:"", C286, ""USD""), ""close"", B286), 2, 2),
    IFERROR(
      D286 * INDEX(GOOGLEFINANCE(CONCATENATE(""CURRENCY:"", C286, ""USD""), ""close"", B286 - 1), 2, 2),
   "&amp;"   D286 * INDEX(GOOGLEFINANCE(CONCATENATE(""CURRENCY:"", C286, ""USD""), ""close"", B286 + 1), 2, 2)
    )
  )
)"),32.73)</f>
        <v>32.73</v>
      </c>
    </row>
    <row r="287">
      <c r="A287" s="33" t="s">
        <v>1194</v>
      </c>
      <c r="B287" s="34">
        <v>43433.0</v>
      </c>
      <c r="C287" s="35" t="s">
        <v>42</v>
      </c>
      <c r="D287" s="36">
        <v>4.2</v>
      </c>
      <c r="E287" s="21">
        <f>IFERROR(__xludf.DUMMYFUNCTION("IF(C287=""USD"", D287, 
  IFERROR(
    D287 * INDEX(GOOGLEFINANCE(CONCATENATE(""CURRENCY:"", C287, ""USD""), ""close"", B287), 2, 2),
    IFERROR(
      D287 * INDEX(GOOGLEFINANCE(CONCATENATE(""CURRENCY:"", C287, ""USD""), ""close"", B287 - 1), 2, 2),
   "&amp;"   D287 * INDEX(GOOGLEFINANCE(CONCATENATE(""CURRENCY:"", C287, ""USD""), ""close"", B287 + 1), 2, 2)
    )
  )
)"),4.2)</f>
        <v>4.2</v>
      </c>
    </row>
    <row r="288">
      <c r="A288" s="33" t="s">
        <v>1202</v>
      </c>
      <c r="B288" s="34">
        <v>43433.0</v>
      </c>
      <c r="C288" s="35" t="s">
        <v>42</v>
      </c>
      <c r="D288" s="36">
        <v>21.51</v>
      </c>
      <c r="E288" s="21">
        <f>IFERROR(__xludf.DUMMYFUNCTION("IF(C288=""USD"", D288, 
  IFERROR(
    D288 * INDEX(GOOGLEFINANCE(CONCATENATE(""CURRENCY:"", C288, ""USD""), ""close"", B288), 2, 2),
    IFERROR(
      D288 * INDEX(GOOGLEFINANCE(CONCATENATE(""CURRENCY:"", C288, ""USD""), ""close"", B288 - 1), 2, 2),
   "&amp;"   D288 * INDEX(GOOGLEFINANCE(CONCATENATE(""CURRENCY:"", C288, ""USD""), ""close"", B288 + 1), 2, 2)
    )
  )
)"),21.51)</f>
        <v>21.51</v>
      </c>
    </row>
    <row r="289">
      <c r="A289" s="33" t="s">
        <v>1197</v>
      </c>
      <c r="B289" s="34">
        <v>43433.0</v>
      </c>
      <c r="C289" s="35" t="s">
        <v>42</v>
      </c>
      <c r="D289" s="36">
        <v>15.92</v>
      </c>
      <c r="E289" s="21">
        <f>IFERROR(__xludf.DUMMYFUNCTION("IF(C289=""USD"", D289, 
  IFERROR(
    D289 * INDEX(GOOGLEFINANCE(CONCATENATE(""CURRENCY:"", C289, ""USD""), ""close"", B289), 2, 2),
    IFERROR(
      D289 * INDEX(GOOGLEFINANCE(CONCATENATE(""CURRENCY:"", C289, ""USD""), ""close"", B289 - 1), 2, 2),
   "&amp;"   D289 * INDEX(GOOGLEFINANCE(CONCATENATE(""CURRENCY:"", C289, ""USD""), ""close"", B289 + 1), 2, 2)
    )
  )
)"),15.92)</f>
        <v>15.92</v>
      </c>
    </row>
    <row r="290">
      <c r="A290" s="33" t="s">
        <v>1196</v>
      </c>
      <c r="B290" s="34">
        <v>43433.0</v>
      </c>
      <c r="C290" s="35" t="s">
        <v>42</v>
      </c>
      <c r="D290" s="36">
        <v>9.11</v>
      </c>
      <c r="E290" s="21">
        <f>IFERROR(__xludf.DUMMYFUNCTION("IF(C290=""USD"", D290, 
  IFERROR(
    D290 * INDEX(GOOGLEFINANCE(CONCATENATE(""CURRENCY:"", C290, ""USD""), ""close"", B290), 2, 2),
    IFERROR(
      D290 * INDEX(GOOGLEFINANCE(CONCATENATE(""CURRENCY:"", C290, ""USD""), ""close"", B290 - 1), 2, 2),
   "&amp;"   D290 * INDEX(GOOGLEFINANCE(CONCATENATE(""CURRENCY:"", C290, ""USD""), ""close"", B290 + 1), 2, 2)
    )
  )
)"),9.11)</f>
        <v>9.11</v>
      </c>
    </row>
    <row r="291">
      <c r="A291" s="33" t="s">
        <v>1206</v>
      </c>
      <c r="B291" s="34">
        <v>43433.0</v>
      </c>
      <c r="C291" s="35" t="s">
        <v>42</v>
      </c>
      <c r="D291" s="36">
        <v>2.32</v>
      </c>
      <c r="E291" s="21">
        <f>IFERROR(__xludf.DUMMYFUNCTION("IF(C291=""USD"", D291, 
  IFERROR(
    D291 * INDEX(GOOGLEFINANCE(CONCATENATE(""CURRENCY:"", C291, ""USD""), ""close"", B291), 2, 2),
    IFERROR(
      D291 * INDEX(GOOGLEFINANCE(CONCATENATE(""CURRENCY:"", C291, ""USD""), ""close"", B291 - 1), 2, 2),
   "&amp;"   D291 * INDEX(GOOGLEFINANCE(CONCATENATE(""CURRENCY:"", C291, ""USD""), ""close"", B291 + 1), 2, 2)
    )
  )
)"),2.32)</f>
        <v>2.32</v>
      </c>
    </row>
    <row r="292">
      <c r="A292" s="33" t="s">
        <v>1203</v>
      </c>
      <c r="B292" s="34">
        <v>43463.0</v>
      </c>
      <c r="C292" s="35" t="s">
        <v>42</v>
      </c>
      <c r="D292" s="36">
        <v>8.09</v>
      </c>
      <c r="E292" s="21">
        <f>IFERROR(__xludf.DUMMYFUNCTION("IF(C292=""USD"", D292, 
  IFERROR(
    D292 * INDEX(GOOGLEFINANCE(CONCATENATE(""CURRENCY:"", C292, ""USD""), ""close"", B292), 2, 2),
    IFERROR(
      D292 * INDEX(GOOGLEFINANCE(CONCATENATE(""CURRENCY:"", C292, ""USD""), ""close"", B292 - 1), 2, 2),
   "&amp;"   D292 * INDEX(GOOGLEFINANCE(CONCATENATE(""CURRENCY:"", C292, ""USD""), ""close"", B292 + 1), 2, 2)
    )
  )
)"),8.09)</f>
        <v>8.09</v>
      </c>
    </row>
    <row r="293">
      <c r="A293" s="33" t="s">
        <v>1197</v>
      </c>
      <c r="B293" s="34">
        <v>43463.0</v>
      </c>
      <c r="C293" s="35" t="s">
        <v>42</v>
      </c>
      <c r="D293" s="36">
        <v>35.41</v>
      </c>
      <c r="E293" s="21">
        <f>IFERROR(__xludf.DUMMYFUNCTION("IF(C293=""USD"", D293, 
  IFERROR(
    D293 * INDEX(GOOGLEFINANCE(CONCATENATE(""CURRENCY:"", C293, ""USD""), ""close"", B293), 2, 2),
    IFERROR(
      D293 * INDEX(GOOGLEFINANCE(CONCATENATE(""CURRENCY:"", C293, ""USD""), ""close"", B293 - 1), 2, 2),
   "&amp;"   D293 * INDEX(GOOGLEFINANCE(CONCATENATE(""CURRENCY:"", C293, ""USD""), ""close"", B293 + 1), 2, 2)
    )
  )
)"),35.41)</f>
        <v>35.41</v>
      </c>
    </row>
    <row r="294">
      <c r="A294" s="33" t="s">
        <v>1204</v>
      </c>
      <c r="B294" s="34">
        <v>43463.0</v>
      </c>
      <c r="C294" s="35" t="s">
        <v>42</v>
      </c>
      <c r="D294" s="36">
        <v>8.09</v>
      </c>
      <c r="E294" s="21">
        <f>IFERROR(__xludf.DUMMYFUNCTION("IF(C294=""USD"", D294, 
  IFERROR(
    D294 * INDEX(GOOGLEFINANCE(CONCATENATE(""CURRENCY:"", C294, ""USD""), ""close"", B294), 2, 2),
    IFERROR(
      D294 * INDEX(GOOGLEFINANCE(CONCATENATE(""CURRENCY:"", C294, ""USD""), ""close"", B294 - 1), 2, 2),
   "&amp;"   D294 * INDEX(GOOGLEFINANCE(CONCATENATE(""CURRENCY:"", C294, ""USD""), ""close"", B294 + 1), 2, 2)
    )
  )
)"),8.09)</f>
        <v>8.09</v>
      </c>
    </row>
    <row r="295">
      <c r="A295" s="33" t="s">
        <v>1202</v>
      </c>
      <c r="B295" s="34">
        <v>43463.0</v>
      </c>
      <c r="C295" s="35" t="s">
        <v>42</v>
      </c>
      <c r="D295" s="36">
        <v>128.77</v>
      </c>
      <c r="E295" s="21">
        <f>IFERROR(__xludf.DUMMYFUNCTION("IF(C295=""USD"", D295, 
  IFERROR(
    D295 * INDEX(GOOGLEFINANCE(CONCATENATE(""CURRENCY:"", C295, ""USD""), ""close"", B295), 2, 2),
    IFERROR(
      D295 * INDEX(GOOGLEFINANCE(CONCATENATE(""CURRENCY:"", C295, ""USD""), ""close"", B295 - 1), 2, 2),
   "&amp;"   D295 * INDEX(GOOGLEFINANCE(CONCATENATE(""CURRENCY:"", C295, ""USD""), ""close"", B295 + 1), 2, 2)
    )
  )
)"),128.77)</f>
        <v>128.77</v>
      </c>
    </row>
    <row r="296">
      <c r="A296" s="33" t="s">
        <v>1202</v>
      </c>
      <c r="B296" s="34">
        <v>43494.0</v>
      </c>
      <c r="C296" s="35" t="s">
        <v>42</v>
      </c>
      <c r="D296" s="36">
        <v>113.75</v>
      </c>
      <c r="E296" s="21">
        <f>IFERROR(__xludf.DUMMYFUNCTION("IF(C296=""USD"", D296, 
  IFERROR(
    D296 * INDEX(GOOGLEFINANCE(CONCATENATE(""CURRENCY:"", C296, ""USD""), ""close"", B296), 2, 2),
    IFERROR(
      D296 * INDEX(GOOGLEFINANCE(CONCATENATE(""CURRENCY:"", C296, ""USD""), ""close"", B296 - 1), 2, 2),
   "&amp;"   D296 * INDEX(GOOGLEFINANCE(CONCATENATE(""CURRENCY:"", C296, ""USD""), ""close"", B296 + 1), 2, 2)
    )
  )
)"),113.75)</f>
        <v>113.75</v>
      </c>
    </row>
    <row r="297">
      <c r="A297" s="33" t="s">
        <v>1204</v>
      </c>
      <c r="B297" s="34">
        <v>43494.0</v>
      </c>
      <c r="C297" s="35" t="s">
        <v>42</v>
      </c>
      <c r="D297" s="36">
        <v>13.18</v>
      </c>
      <c r="E297" s="21">
        <f>IFERROR(__xludf.DUMMYFUNCTION("IF(C297=""USD"", D297, 
  IFERROR(
    D297 * INDEX(GOOGLEFINANCE(CONCATENATE(""CURRENCY:"", C297, ""USD""), ""close"", B297), 2, 2),
    IFERROR(
      D297 * INDEX(GOOGLEFINANCE(CONCATENATE(""CURRENCY:"", C297, ""USD""), ""close"", B297 - 1), 2, 2),
   "&amp;"   D297 * INDEX(GOOGLEFINANCE(CONCATENATE(""CURRENCY:"", C297, ""USD""), ""close"", B297 + 1), 2, 2)
    )
  )
)"),13.18)</f>
        <v>13.18</v>
      </c>
    </row>
    <row r="298">
      <c r="A298" s="33" t="s">
        <v>1197</v>
      </c>
      <c r="B298" s="34">
        <v>43494.0</v>
      </c>
      <c r="C298" s="35" t="s">
        <v>42</v>
      </c>
      <c r="D298" s="36">
        <v>15.06</v>
      </c>
      <c r="E298" s="21">
        <f>IFERROR(__xludf.DUMMYFUNCTION("IF(C298=""USD"", D298, 
  IFERROR(
    D298 * INDEX(GOOGLEFINANCE(CONCATENATE(""CURRENCY:"", C298, ""USD""), ""close"", B298), 2, 2),
    IFERROR(
      D298 * INDEX(GOOGLEFINANCE(CONCATENATE(""CURRENCY:"", C298, ""USD""), ""close"", B298 - 1), 2, 2),
   "&amp;"   D298 * INDEX(GOOGLEFINANCE(CONCATENATE(""CURRENCY:"", C298, ""USD""), ""close"", B298 + 1), 2, 2)
    )
  )
)"),15.06)</f>
        <v>15.06</v>
      </c>
    </row>
    <row r="299">
      <c r="A299" s="33" t="s">
        <v>1204</v>
      </c>
      <c r="B299" s="34">
        <v>43494.0</v>
      </c>
      <c r="C299" s="35" t="s">
        <v>42</v>
      </c>
      <c r="D299" s="36">
        <v>8.05</v>
      </c>
      <c r="E299" s="21">
        <f>IFERROR(__xludf.DUMMYFUNCTION("IF(C299=""USD"", D299, 
  IFERROR(
    D299 * INDEX(GOOGLEFINANCE(CONCATENATE(""CURRENCY:"", C299, ""USD""), ""close"", B299), 2, 2),
    IFERROR(
      D299 * INDEX(GOOGLEFINANCE(CONCATENATE(""CURRENCY:"", C299, ""USD""), ""close"", B299 - 1), 2, 2),
   "&amp;"   D299 * INDEX(GOOGLEFINANCE(CONCATENATE(""CURRENCY:"", C299, ""USD""), ""close"", B299 + 1), 2, 2)
    )
  )
)"),8.05)</f>
        <v>8.05</v>
      </c>
    </row>
    <row r="300">
      <c r="A300" s="33" t="s">
        <v>1203</v>
      </c>
      <c r="B300" s="34">
        <v>43494.0</v>
      </c>
      <c r="C300" s="35" t="s">
        <v>42</v>
      </c>
      <c r="D300" s="36">
        <v>8.05</v>
      </c>
      <c r="E300" s="21">
        <f>IFERROR(__xludf.DUMMYFUNCTION("IF(C300=""USD"", D300, 
  IFERROR(
    D300 * INDEX(GOOGLEFINANCE(CONCATENATE(""CURRENCY:"", C300, ""USD""), ""close"", B300), 2, 2),
    IFERROR(
      D300 * INDEX(GOOGLEFINANCE(CONCATENATE(""CURRENCY:"", C300, ""USD""), ""close"", B300 - 1), 2, 2),
   "&amp;"   D300 * INDEX(GOOGLEFINANCE(CONCATENATE(""CURRENCY:"", C300, ""USD""), ""close"", B300 + 1), 2, 2)
    )
  )
)"),8.05)</f>
        <v>8.05</v>
      </c>
    </row>
    <row r="301">
      <c r="A301" s="33" t="s">
        <v>1202</v>
      </c>
      <c r="B301" s="34">
        <v>43524.0</v>
      </c>
      <c r="C301" s="35" t="s">
        <v>42</v>
      </c>
      <c r="D301" s="36">
        <v>185.33</v>
      </c>
      <c r="E301" s="21">
        <f>IFERROR(__xludf.DUMMYFUNCTION("IF(C301=""USD"", D301, 
  IFERROR(
    D301 * INDEX(GOOGLEFINANCE(CONCATENATE(""CURRENCY:"", C301, ""USD""), ""close"", B301), 2, 2),
    IFERROR(
      D301 * INDEX(GOOGLEFINANCE(CONCATENATE(""CURRENCY:"", C301, ""USD""), ""close"", B301 - 1), 2, 2),
   "&amp;"   D301 * INDEX(GOOGLEFINANCE(CONCATENATE(""CURRENCY:"", C301, ""USD""), ""close"", B301 + 1), 2, 2)
    )
  )
)"),185.33)</f>
        <v>185.33</v>
      </c>
    </row>
    <row r="302">
      <c r="A302" s="33" t="s">
        <v>1197</v>
      </c>
      <c r="B302" s="34">
        <v>43524.0</v>
      </c>
      <c r="C302" s="35" t="s">
        <v>42</v>
      </c>
      <c r="D302" s="36">
        <v>23.0</v>
      </c>
      <c r="E302" s="21">
        <f>IFERROR(__xludf.DUMMYFUNCTION("IF(C302=""USD"", D302, 
  IFERROR(
    D302 * INDEX(GOOGLEFINANCE(CONCATENATE(""CURRENCY:"", C302, ""USD""), ""close"", B302), 2, 2),
    IFERROR(
      D302 * INDEX(GOOGLEFINANCE(CONCATENATE(""CURRENCY:"", C302, ""USD""), ""close"", B302 - 1), 2, 2),
   "&amp;"   D302 * INDEX(GOOGLEFINANCE(CONCATENATE(""CURRENCY:"", C302, ""USD""), ""close"", B302 + 1), 2, 2)
    )
  )
)"),23.0)</f>
        <v>23</v>
      </c>
    </row>
    <row r="303">
      <c r="A303" s="33" t="s">
        <v>1204</v>
      </c>
      <c r="B303" s="34">
        <v>43524.0</v>
      </c>
      <c r="C303" s="35" t="s">
        <v>42</v>
      </c>
      <c r="D303" s="36">
        <v>16.06</v>
      </c>
      <c r="E303" s="21">
        <f>IFERROR(__xludf.DUMMYFUNCTION("IF(C303=""USD"", D303, 
  IFERROR(
    D303 * INDEX(GOOGLEFINANCE(CONCATENATE(""CURRENCY:"", C303, ""USD""), ""close"", B303), 2, 2),
    IFERROR(
      D303 * INDEX(GOOGLEFINANCE(CONCATENATE(""CURRENCY:"", C303, ""USD""), ""close"", B303 - 1), 2, 2),
   "&amp;"   D303 * INDEX(GOOGLEFINANCE(CONCATENATE(""CURRENCY:"", C303, ""USD""), ""close"", B303 + 1), 2, 2)
    )
  )
)"),16.06)</f>
        <v>16.06</v>
      </c>
    </row>
    <row r="304">
      <c r="A304" s="33" t="s">
        <v>1194</v>
      </c>
      <c r="B304" s="34">
        <v>43524.0</v>
      </c>
      <c r="C304" s="35" t="s">
        <v>42</v>
      </c>
      <c r="D304" s="36">
        <v>0.1</v>
      </c>
      <c r="E304" s="21">
        <f>IFERROR(__xludf.DUMMYFUNCTION("IF(C304=""USD"", D304, 
  IFERROR(
    D304 * INDEX(GOOGLEFINANCE(CONCATENATE(""CURRENCY:"", C304, ""USD""), ""close"", B304), 2, 2),
    IFERROR(
      D304 * INDEX(GOOGLEFINANCE(CONCATENATE(""CURRENCY:"", C304, ""USD""), ""close"", B304 - 1), 2, 2),
   "&amp;"   D304 * INDEX(GOOGLEFINANCE(CONCATENATE(""CURRENCY:"", C304, ""USD""), ""close"", B304 + 1), 2, 2)
    )
  )
)"),0.1)</f>
        <v>0.1</v>
      </c>
    </row>
    <row r="305">
      <c r="A305" s="33" t="s">
        <v>1203</v>
      </c>
      <c r="B305" s="34">
        <v>43524.0</v>
      </c>
      <c r="C305" s="35" t="s">
        <v>42</v>
      </c>
      <c r="D305" s="36">
        <v>4.59</v>
      </c>
      <c r="E305" s="21">
        <f>IFERROR(__xludf.DUMMYFUNCTION("IF(C305=""USD"", D305, 
  IFERROR(
    D305 * INDEX(GOOGLEFINANCE(CONCATENATE(""CURRENCY:"", C305, ""USD""), ""close"", B305), 2, 2),
    IFERROR(
      D305 * INDEX(GOOGLEFINANCE(CONCATENATE(""CURRENCY:"", C305, ""USD""), ""close"", B305 - 1), 2, 2),
   "&amp;"   D305 * INDEX(GOOGLEFINANCE(CONCATENATE(""CURRENCY:"", C305, ""USD""), ""close"", B305 + 1), 2, 2)
    )
  )
)"),4.59)</f>
        <v>4.59</v>
      </c>
    </row>
    <row r="306">
      <c r="A306" s="33" t="s">
        <v>1206</v>
      </c>
      <c r="B306" s="34">
        <v>43524.0</v>
      </c>
      <c r="C306" s="35" t="s">
        <v>42</v>
      </c>
      <c r="D306" s="36">
        <v>0.53</v>
      </c>
      <c r="E306" s="21">
        <f>IFERROR(__xludf.DUMMYFUNCTION("IF(C306=""USD"", D306, 
  IFERROR(
    D306 * INDEX(GOOGLEFINANCE(CONCATENATE(""CURRENCY:"", C306, ""USD""), ""close"", B306), 2, 2),
    IFERROR(
      D306 * INDEX(GOOGLEFINANCE(CONCATENATE(""CURRENCY:"", C306, ""USD""), ""close"", B306 - 1), 2, 2),
   "&amp;"   D306 * INDEX(GOOGLEFINANCE(CONCATENATE(""CURRENCY:"", C306, ""USD""), ""close"", B306 + 1), 2, 2)
    )
  )
)"),0.53)</f>
        <v>0.53</v>
      </c>
    </row>
    <row r="307">
      <c r="A307" s="33" t="s">
        <v>1197</v>
      </c>
      <c r="B307" s="34">
        <v>43553.0</v>
      </c>
      <c r="C307" s="35" t="s">
        <v>42</v>
      </c>
      <c r="D307" s="36">
        <v>22.54</v>
      </c>
      <c r="E307" s="21">
        <f>IFERROR(__xludf.DUMMYFUNCTION("IF(C307=""USD"", D307, 
  IFERROR(
    D307 * INDEX(GOOGLEFINANCE(CONCATENATE(""CURRENCY:"", C307, ""USD""), ""close"", B307), 2, 2),
    IFERROR(
      D307 * INDEX(GOOGLEFINANCE(CONCATENATE(""CURRENCY:"", C307, ""USD""), ""close"", B307 - 1), 2, 2),
   "&amp;"   D307 * INDEX(GOOGLEFINANCE(CONCATENATE(""CURRENCY:"", C307, ""USD""), ""close"", B307 + 1), 2, 2)
    )
  )
)"),22.54)</f>
        <v>22.54</v>
      </c>
    </row>
    <row r="308">
      <c r="A308" s="33" t="s">
        <v>1200</v>
      </c>
      <c r="B308" s="34">
        <v>43553.0</v>
      </c>
      <c r="C308" s="35" t="s">
        <v>42</v>
      </c>
      <c r="D308" s="36">
        <v>0.13</v>
      </c>
      <c r="E308" s="21">
        <f>IFERROR(__xludf.DUMMYFUNCTION("IF(C308=""USD"", D308, 
  IFERROR(
    D308 * INDEX(GOOGLEFINANCE(CONCATENATE(""CURRENCY:"", C308, ""USD""), ""close"", B308), 2, 2),
    IFERROR(
      D308 * INDEX(GOOGLEFINANCE(CONCATENATE(""CURRENCY:"", C308, ""USD""), ""close"", B308 - 1), 2, 2),
   "&amp;"   D308 * INDEX(GOOGLEFINANCE(CONCATENATE(""CURRENCY:"", C308, ""USD""), ""close"", B308 + 1), 2, 2)
    )
  )
)"),0.13)</f>
        <v>0.13</v>
      </c>
    </row>
    <row r="309">
      <c r="A309" s="33" t="s">
        <v>1204</v>
      </c>
      <c r="B309" s="34">
        <v>43553.0</v>
      </c>
      <c r="C309" s="35" t="s">
        <v>42</v>
      </c>
      <c r="D309" s="36">
        <v>24.97</v>
      </c>
      <c r="E309" s="21">
        <f>IFERROR(__xludf.DUMMYFUNCTION("IF(C309=""USD"", D309, 
  IFERROR(
    D309 * INDEX(GOOGLEFINANCE(CONCATENATE(""CURRENCY:"", C309, ""USD""), ""close"", B309), 2, 2),
    IFERROR(
      D309 * INDEX(GOOGLEFINANCE(CONCATENATE(""CURRENCY:"", C309, ""USD""), ""close"", B309 - 1), 2, 2),
   "&amp;"   D309 * INDEX(GOOGLEFINANCE(CONCATENATE(""CURRENCY:"", C309, ""USD""), ""close"", B309 + 1), 2, 2)
    )
  )
)"),24.97)</f>
        <v>24.97</v>
      </c>
    </row>
    <row r="310">
      <c r="A310" s="33" t="s">
        <v>1207</v>
      </c>
      <c r="B310" s="34">
        <v>43553.0</v>
      </c>
      <c r="C310" s="35" t="s">
        <v>42</v>
      </c>
      <c r="D310" s="36">
        <v>0.1</v>
      </c>
      <c r="E310" s="21">
        <f>IFERROR(__xludf.DUMMYFUNCTION("IF(C310=""USD"", D310, 
  IFERROR(
    D310 * INDEX(GOOGLEFINANCE(CONCATENATE(""CURRENCY:"", C310, ""USD""), ""close"", B310), 2, 2),
    IFERROR(
      D310 * INDEX(GOOGLEFINANCE(CONCATENATE(""CURRENCY:"", C310, ""USD""), ""close"", B310 - 1), 2, 2),
   "&amp;"   D310 * INDEX(GOOGLEFINANCE(CONCATENATE(""CURRENCY:"", C310, ""USD""), ""close"", B310 + 1), 2, 2)
    )
  )
)"),0.1)</f>
        <v>0.1</v>
      </c>
    </row>
    <row r="311">
      <c r="A311" s="33" t="s">
        <v>1201</v>
      </c>
      <c r="B311" s="34">
        <v>43553.0</v>
      </c>
      <c r="C311" s="35" t="s">
        <v>42</v>
      </c>
      <c r="D311" s="36">
        <v>4.58</v>
      </c>
      <c r="E311" s="21">
        <f>IFERROR(__xludf.DUMMYFUNCTION("IF(C311=""USD"", D311, 
  IFERROR(
    D311 * INDEX(GOOGLEFINANCE(CONCATENATE(""CURRENCY:"", C311, ""USD""), ""close"", B311), 2, 2),
    IFERROR(
      D311 * INDEX(GOOGLEFINANCE(CONCATENATE(""CURRENCY:"", C311, ""USD""), ""close"", B311 - 1), 2, 2),
   "&amp;"   D311 * INDEX(GOOGLEFINANCE(CONCATENATE(""CURRENCY:"", C311, ""USD""), ""close"", B311 + 1), 2, 2)
    )
  )
)"),4.58)</f>
        <v>4.58</v>
      </c>
    </row>
    <row r="312">
      <c r="A312" s="33" t="s">
        <v>1196</v>
      </c>
      <c r="B312" s="34">
        <v>43553.0</v>
      </c>
      <c r="C312" s="35" t="s">
        <v>42</v>
      </c>
      <c r="D312" s="36">
        <v>4.54</v>
      </c>
      <c r="E312" s="21">
        <f>IFERROR(__xludf.DUMMYFUNCTION("IF(C312=""USD"", D312, 
  IFERROR(
    D312 * INDEX(GOOGLEFINANCE(CONCATENATE(""CURRENCY:"", C312, ""USD""), ""close"", B312), 2, 2),
    IFERROR(
      D312 * INDEX(GOOGLEFINANCE(CONCATENATE(""CURRENCY:"", C312, ""USD""), ""close"", B312 - 1), 2, 2),
   "&amp;"   D312 * INDEX(GOOGLEFINANCE(CONCATENATE(""CURRENCY:"", C312, ""USD""), ""close"", B312 + 1), 2, 2)
    )
  )
)"),4.54)</f>
        <v>4.54</v>
      </c>
    </row>
    <row r="313">
      <c r="A313" s="33" t="s">
        <v>1203</v>
      </c>
      <c r="B313" s="34">
        <v>43553.0</v>
      </c>
      <c r="C313" s="35" t="s">
        <v>42</v>
      </c>
      <c r="D313" s="36">
        <v>4.86</v>
      </c>
      <c r="E313" s="21">
        <f>IFERROR(__xludf.DUMMYFUNCTION("IF(C313=""USD"", D313, 
  IFERROR(
    D313 * INDEX(GOOGLEFINANCE(CONCATENATE(""CURRENCY:"", C313, ""USD""), ""close"", B313), 2, 2),
    IFERROR(
      D313 * INDEX(GOOGLEFINANCE(CONCATENATE(""CURRENCY:"", C313, ""USD""), ""close"", B313 - 1), 2, 2),
   "&amp;"   D313 * INDEX(GOOGLEFINANCE(CONCATENATE(""CURRENCY:"", C313, ""USD""), ""close"", B313 + 1), 2, 2)
    )
  )
)"),4.86)</f>
        <v>4.86</v>
      </c>
    </row>
    <row r="314">
      <c r="A314" s="33" t="s">
        <v>1202</v>
      </c>
      <c r="B314" s="34">
        <v>43553.0</v>
      </c>
      <c r="C314" s="35" t="s">
        <v>42</v>
      </c>
      <c r="D314" s="36">
        <v>247.77</v>
      </c>
      <c r="E314" s="21">
        <f>IFERROR(__xludf.DUMMYFUNCTION("IF(C314=""USD"", D314, 
  IFERROR(
    D314 * INDEX(GOOGLEFINANCE(CONCATENATE(""CURRENCY:"", C314, ""USD""), ""close"", B314), 2, 2),
    IFERROR(
      D314 * INDEX(GOOGLEFINANCE(CONCATENATE(""CURRENCY:"", C314, ""USD""), ""close"", B314 - 1), 2, 2),
   "&amp;"   D314 * INDEX(GOOGLEFINANCE(CONCATENATE(""CURRENCY:"", C314, ""USD""), ""close"", B314 + 1), 2, 2)
    )
  )
)"),247.77)</f>
        <v>247.77</v>
      </c>
    </row>
    <row r="315">
      <c r="A315" s="33" t="s">
        <v>1204</v>
      </c>
      <c r="B315" s="34">
        <v>43581.0</v>
      </c>
      <c r="C315" s="35" t="s">
        <v>42</v>
      </c>
      <c r="D315" s="36">
        <v>36.2</v>
      </c>
      <c r="E315" s="21">
        <f>IFERROR(__xludf.DUMMYFUNCTION("IF(C315=""USD"", D315, 
  IFERROR(
    D315 * INDEX(GOOGLEFINANCE(CONCATENATE(""CURRENCY:"", C315, ""USD""), ""close"", B315), 2, 2),
    IFERROR(
      D315 * INDEX(GOOGLEFINANCE(CONCATENATE(""CURRENCY:"", C315, ""USD""), ""close"", B315 - 1), 2, 2),
   "&amp;"   D315 * INDEX(GOOGLEFINANCE(CONCATENATE(""CURRENCY:"", C315, ""USD""), ""close"", B315 + 1), 2, 2)
    )
  )
)"),36.2)</f>
        <v>36.2</v>
      </c>
    </row>
    <row r="316">
      <c r="A316" s="33" t="s">
        <v>1203</v>
      </c>
      <c r="B316" s="34">
        <v>43581.0</v>
      </c>
      <c r="C316" s="35" t="s">
        <v>42</v>
      </c>
      <c r="D316" s="36">
        <v>18.04</v>
      </c>
      <c r="E316" s="21">
        <f>IFERROR(__xludf.DUMMYFUNCTION("IF(C316=""USD"", D316, 
  IFERROR(
    D316 * INDEX(GOOGLEFINANCE(CONCATENATE(""CURRENCY:"", C316, ""USD""), ""close"", B316), 2, 2),
    IFERROR(
      D316 * INDEX(GOOGLEFINANCE(CONCATENATE(""CURRENCY:"", C316, ""USD""), ""close"", B316 - 1), 2, 2),
   "&amp;"   D316 * INDEX(GOOGLEFINANCE(CONCATENATE(""CURRENCY:"", C316, ""USD""), ""close"", B316 + 1), 2, 2)
    )
  )
)"),18.04)</f>
        <v>18.04</v>
      </c>
    </row>
    <row r="317">
      <c r="A317" s="33" t="s">
        <v>1200</v>
      </c>
      <c r="B317" s="34">
        <v>43581.0</v>
      </c>
      <c r="C317" s="35" t="s">
        <v>42</v>
      </c>
      <c r="D317" s="36">
        <v>0.44</v>
      </c>
      <c r="E317" s="21">
        <f>IFERROR(__xludf.DUMMYFUNCTION("IF(C317=""USD"", D317, 
  IFERROR(
    D317 * INDEX(GOOGLEFINANCE(CONCATENATE(""CURRENCY:"", C317, ""USD""), ""close"", B317), 2, 2),
    IFERROR(
      D317 * INDEX(GOOGLEFINANCE(CONCATENATE(""CURRENCY:"", C317, ""USD""), ""close"", B317 - 1), 2, 2),
   "&amp;"   D317 * INDEX(GOOGLEFINANCE(CONCATENATE(""CURRENCY:"", C317, ""USD""), ""close"", B317 + 1), 2, 2)
    )
  )
)"),0.44)</f>
        <v>0.44</v>
      </c>
    </row>
    <row r="318">
      <c r="A318" s="33" t="s">
        <v>1196</v>
      </c>
      <c r="B318" s="34">
        <v>43581.0</v>
      </c>
      <c r="C318" s="35" t="s">
        <v>42</v>
      </c>
      <c r="D318" s="36">
        <v>4.5</v>
      </c>
      <c r="E318" s="21">
        <f>IFERROR(__xludf.DUMMYFUNCTION("IF(C318=""USD"", D318, 
  IFERROR(
    D318 * INDEX(GOOGLEFINANCE(CONCATENATE(""CURRENCY:"", C318, ""USD""), ""close"", B318), 2, 2),
    IFERROR(
      D318 * INDEX(GOOGLEFINANCE(CONCATENATE(""CURRENCY:"", C318, ""USD""), ""close"", B318 - 1), 2, 2),
   "&amp;"   D318 * INDEX(GOOGLEFINANCE(CONCATENATE(""CURRENCY:"", C318, ""USD""), ""close"", B318 + 1), 2, 2)
    )
  )
)"),4.5)</f>
        <v>4.5</v>
      </c>
    </row>
    <row r="319">
      <c r="A319" s="33" t="s">
        <v>1202</v>
      </c>
      <c r="B319" s="34">
        <v>43584.0</v>
      </c>
      <c r="C319" s="35" t="s">
        <v>42</v>
      </c>
      <c r="D319" s="36">
        <v>107.13</v>
      </c>
      <c r="E319" s="21">
        <f>IFERROR(__xludf.DUMMYFUNCTION("IF(C319=""USD"", D319, 
  IFERROR(
    D319 * INDEX(GOOGLEFINANCE(CONCATENATE(""CURRENCY:"", C319, ""USD""), ""close"", B319), 2, 2),
    IFERROR(
      D319 * INDEX(GOOGLEFINANCE(CONCATENATE(""CURRENCY:"", C319, ""USD""), ""close"", B319 - 1), 2, 2),
   "&amp;"   D319 * INDEX(GOOGLEFINANCE(CONCATENATE(""CURRENCY:"", C319, ""USD""), ""close"", B319 + 1), 2, 2)
    )
  )
)"),107.13)</f>
        <v>107.13</v>
      </c>
    </row>
    <row r="320">
      <c r="A320" s="33" t="s">
        <v>1197</v>
      </c>
      <c r="B320" s="34">
        <v>43584.0</v>
      </c>
      <c r="C320" s="35" t="s">
        <v>42</v>
      </c>
      <c r="D320" s="36">
        <v>0.62</v>
      </c>
      <c r="E320" s="21">
        <f>IFERROR(__xludf.DUMMYFUNCTION("IF(C320=""USD"", D320, 
  IFERROR(
    D320 * INDEX(GOOGLEFINANCE(CONCATENATE(""CURRENCY:"", C320, ""USD""), ""close"", B320), 2, 2),
    IFERROR(
      D320 * INDEX(GOOGLEFINANCE(CONCATENATE(""CURRENCY:"", C320, ""USD""), ""close"", B320 - 1), 2, 2),
   "&amp;"   D320 * INDEX(GOOGLEFINANCE(CONCATENATE(""CURRENCY:"", C320, ""USD""), ""close"", B320 + 1), 2, 2)
    )
  )
)"),0.62)</f>
        <v>0.62</v>
      </c>
    </row>
    <row r="321">
      <c r="A321" s="33" t="s">
        <v>1202</v>
      </c>
      <c r="B321" s="34">
        <v>43614.0</v>
      </c>
      <c r="C321" s="35" t="s">
        <v>42</v>
      </c>
      <c r="D321" s="36">
        <v>149.27</v>
      </c>
      <c r="E321" s="21">
        <f>IFERROR(__xludf.DUMMYFUNCTION("IF(C321=""USD"", D321, 
  IFERROR(
    D321 * INDEX(GOOGLEFINANCE(CONCATENATE(""CURRENCY:"", C321, ""USD""), ""close"", B321), 2, 2),
    IFERROR(
      D321 * INDEX(GOOGLEFINANCE(CONCATENATE(""CURRENCY:"", C321, ""USD""), ""close"", B321 - 1), 2, 2),
   "&amp;"   D321 * INDEX(GOOGLEFINANCE(CONCATENATE(""CURRENCY:"", C321, ""USD""), ""close"", B321 + 1), 2, 2)
    )
  )
)"),149.27)</f>
        <v>149.27</v>
      </c>
    </row>
    <row r="322">
      <c r="A322" s="33" t="s">
        <v>1205</v>
      </c>
      <c r="B322" s="34">
        <v>43614.0</v>
      </c>
      <c r="C322" s="35" t="s">
        <v>42</v>
      </c>
      <c r="D322" s="36">
        <v>2.4</v>
      </c>
      <c r="E322" s="21">
        <f>IFERROR(__xludf.DUMMYFUNCTION("IF(C322=""USD"", D322, 
  IFERROR(
    D322 * INDEX(GOOGLEFINANCE(CONCATENATE(""CURRENCY:"", C322, ""USD""), ""close"", B322), 2, 2),
    IFERROR(
      D322 * INDEX(GOOGLEFINANCE(CONCATENATE(""CURRENCY:"", C322, ""USD""), ""close"", B322 - 1), 2, 2),
   "&amp;"   D322 * INDEX(GOOGLEFINANCE(CONCATENATE(""CURRENCY:"", C322, ""USD""), ""close"", B322 + 1), 2, 2)
    )
  )
)"),2.4)</f>
        <v>2.4</v>
      </c>
    </row>
    <row r="323">
      <c r="A323" s="33" t="s">
        <v>1194</v>
      </c>
      <c r="B323" s="34">
        <v>43614.0</v>
      </c>
      <c r="C323" s="35" t="s">
        <v>42</v>
      </c>
      <c r="D323" s="36">
        <v>3.76</v>
      </c>
      <c r="E323" s="21">
        <f>IFERROR(__xludf.DUMMYFUNCTION("IF(C323=""USD"", D323, 
  IFERROR(
    D323 * INDEX(GOOGLEFINANCE(CONCATENATE(""CURRENCY:"", C323, ""USD""), ""close"", B323), 2, 2),
    IFERROR(
      D323 * INDEX(GOOGLEFINANCE(CONCATENATE(""CURRENCY:"", C323, ""USD""), ""close"", B323 - 1), 2, 2),
   "&amp;"   D323 * INDEX(GOOGLEFINANCE(CONCATENATE(""CURRENCY:"", C323, ""USD""), ""close"", B323 + 1), 2, 2)
    )
  )
)"),3.76)</f>
        <v>3.76</v>
      </c>
    </row>
    <row r="324">
      <c r="A324" s="33" t="s">
        <v>1206</v>
      </c>
      <c r="B324" s="34">
        <v>43614.0</v>
      </c>
      <c r="C324" s="35" t="s">
        <v>42</v>
      </c>
      <c r="D324" s="36">
        <v>5.04</v>
      </c>
      <c r="E324" s="21">
        <f>IFERROR(__xludf.DUMMYFUNCTION("IF(C324=""USD"", D324, 
  IFERROR(
    D324 * INDEX(GOOGLEFINANCE(CONCATENATE(""CURRENCY:"", C324, ""USD""), ""close"", B324), 2, 2),
    IFERROR(
      D324 * INDEX(GOOGLEFINANCE(CONCATENATE(""CURRENCY:"", C324, ""USD""), ""close"", B324 - 1), 2, 2),
   "&amp;"   D324 * INDEX(GOOGLEFINANCE(CONCATENATE(""CURRENCY:"", C324, ""USD""), ""close"", B324 + 1), 2, 2)
    )
  )
)"),5.04)</f>
        <v>5.04</v>
      </c>
    </row>
    <row r="325">
      <c r="A325" s="33" t="s">
        <v>1200</v>
      </c>
      <c r="B325" s="34">
        <v>43614.0</v>
      </c>
      <c r="C325" s="35" t="s">
        <v>42</v>
      </c>
      <c r="D325" s="36">
        <v>4.4</v>
      </c>
      <c r="E325" s="21">
        <f>IFERROR(__xludf.DUMMYFUNCTION("IF(C325=""USD"", D325, 
  IFERROR(
    D325 * INDEX(GOOGLEFINANCE(CONCATENATE(""CURRENCY:"", C325, ""USD""), ""close"", B325), 2, 2),
    IFERROR(
      D325 * INDEX(GOOGLEFINANCE(CONCATENATE(""CURRENCY:"", C325, ""USD""), ""close"", B325 - 1), 2, 2),
   "&amp;"   D325 * INDEX(GOOGLEFINANCE(CONCATENATE(""CURRENCY:"", C325, ""USD""), ""close"", B325 + 1), 2, 2)
    )
  )
)"),4.4)</f>
        <v>4.4</v>
      </c>
    </row>
    <row r="326">
      <c r="A326" s="33" t="s">
        <v>1204</v>
      </c>
      <c r="B326" s="34">
        <v>43614.0</v>
      </c>
      <c r="C326" s="35" t="s">
        <v>42</v>
      </c>
      <c r="D326" s="36">
        <v>13.58</v>
      </c>
      <c r="E326" s="21">
        <f>IFERROR(__xludf.DUMMYFUNCTION("IF(C326=""USD"", D326, 
  IFERROR(
    D326 * INDEX(GOOGLEFINANCE(CONCATENATE(""CURRENCY:"", C326, ""USD""), ""close"", B326), 2, 2),
    IFERROR(
      D326 * INDEX(GOOGLEFINANCE(CONCATENATE(""CURRENCY:"", C326, ""USD""), ""close"", B326 - 1), 2, 2),
   "&amp;"   D326 * INDEX(GOOGLEFINANCE(CONCATENATE(""CURRENCY:"", C326, ""USD""), ""close"", B326 + 1), 2, 2)
    )
  )
)"),13.58)</f>
        <v>13.58</v>
      </c>
    </row>
    <row r="327">
      <c r="A327" s="33" t="s">
        <v>1203</v>
      </c>
      <c r="B327" s="34">
        <v>43614.0</v>
      </c>
      <c r="C327" s="35" t="s">
        <v>42</v>
      </c>
      <c r="D327" s="36">
        <v>27.56</v>
      </c>
      <c r="E327" s="21">
        <f>IFERROR(__xludf.DUMMYFUNCTION("IF(C327=""USD"", D327, 
  IFERROR(
    D327 * INDEX(GOOGLEFINANCE(CONCATENATE(""CURRENCY:"", C327, ""USD""), ""close"", B327), 2, 2),
    IFERROR(
      D327 * INDEX(GOOGLEFINANCE(CONCATENATE(""CURRENCY:"", C327, ""USD""), ""close"", B327 - 1), 2, 2),
   "&amp;"   D327 * INDEX(GOOGLEFINANCE(CONCATENATE(""CURRENCY:"", C327, ""USD""), ""close"", B327 + 1), 2, 2)
    )
  )
)"),27.56)</f>
        <v>27.56</v>
      </c>
    </row>
    <row r="328">
      <c r="A328" s="33" t="s">
        <v>1203</v>
      </c>
      <c r="B328" s="34">
        <v>43645.0</v>
      </c>
      <c r="C328" s="35" t="s">
        <v>42</v>
      </c>
      <c r="D328" s="36">
        <v>4.19</v>
      </c>
      <c r="E328" s="21">
        <f>IFERROR(__xludf.DUMMYFUNCTION("IF(C328=""USD"", D328, 
  IFERROR(
    D328 * INDEX(GOOGLEFINANCE(CONCATENATE(""CURRENCY:"", C328, ""USD""), ""close"", B328), 2, 2),
    IFERROR(
      D328 * INDEX(GOOGLEFINANCE(CONCATENATE(""CURRENCY:"", C328, ""USD""), ""close"", B328 - 1), 2, 2),
   "&amp;"   D328 * INDEX(GOOGLEFINANCE(CONCATENATE(""CURRENCY:"", C328, ""USD""), ""close"", B328 + 1), 2, 2)
    )
  )
)"),4.19)</f>
        <v>4.19</v>
      </c>
    </row>
    <row r="329">
      <c r="A329" s="33" t="s">
        <v>1197</v>
      </c>
      <c r="B329" s="34">
        <v>43645.0</v>
      </c>
      <c r="C329" s="35" t="s">
        <v>42</v>
      </c>
      <c r="D329" s="36">
        <v>0.22</v>
      </c>
      <c r="E329" s="21">
        <f>IFERROR(__xludf.DUMMYFUNCTION("IF(C329=""USD"", D329, 
  IFERROR(
    D329 * INDEX(GOOGLEFINANCE(CONCATENATE(""CURRENCY:"", C329, ""USD""), ""close"", B329), 2, 2),
    IFERROR(
      D329 * INDEX(GOOGLEFINANCE(CONCATENATE(""CURRENCY:"", C329, ""USD""), ""close"", B329 - 1), 2, 2),
   "&amp;"   D329 * INDEX(GOOGLEFINANCE(CONCATENATE(""CURRENCY:"", C329, ""USD""), ""close"", B329 + 1), 2, 2)
    )
  )
)"),0.22)</f>
        <v>0.22</v>
      </c>
    </row>
    <row r="330">
      <c r="A330" s="33" t="s">
        <v>1201</v>
      </c>
      <c r="B330" s="34">
        <v>43645.0</v>
      </c>
      <c r="C330" s="35" t="s">
        <v>42</v>
      </c>
      <c r="D330" s="36">
        <v>9.21</v>
      </c>
      <c r="E330" s="21">
        <f>IFERROR(__xludf.DUMMYFUNCTION("IF(C330=""USD"", D330, 
  IFERROR(
    D330 * INDEX(GOOGLEFINANCE(CONCATENATE(""CURRENCY:"", C330, ""USD""), ""close"", B330), 2, 2),
    IFERROR(
      D330 * INDEX(GOOGLEFINANCE(CONCATENATE(""CURRENCY:"", C330, ""USD""), ""close"", B330 - 1), 2, 2),
   "&amp;"   D330 * INDEX(GOOGLEFINANCE(CONCATENATE(""CURRENCY:"", C330, ""USD""), ""close"", B330 + 1), 2, 2)
    )
  )
)"),9.21)</f>
        <v>9.21</v>
      </c>
    </row>
    <row r="331">
      <c r="A331" s="33" t="s">
        <v>1196</v>
      </c>
      <c r="B331" s="34">
        <v>43645.0</v>
      </c>
      <c r="C331" s="35" t="s">
        <v>42</v>
      </c>
      <c r="D331" s="36">
        <v>1.88</v>
      </c>
      <c r="E331" s="21">
        <f>IFERROR(__xludf.DUMMYFUNCTION("IF(C331=""USD"", D331, 
  IFERROR(
    D331 * INDEX(GOOGLEFINANCE(CONCATENATE(""CURRENCY:"", C331, ""USD""), ""close"", B331), 2, 2),
    IFERROR(
      D331 * INDEX(GOOGLEFINANCE(CONCATENATE(""CURRENCY:"", C331, ""USD""), ""close"", B331 - 1), 2, 2),
   "&amp;"   D331 * INDEX(GOOGLEFINANCE(CONCATENATE(""CURRENCY:"", C331, ""USD""), ""close"", B331 + 1), 2, 2)
    )
  )
)"),1.88)</f>
        <v>1.88</v>
      </c>
    </row>
    <row r="332">
      <c r="A332" s="33" t="s">
        <v>1206</v>
      </c>
      <c r="B332" s="34">
        <v>43645.0</v>
      </c>
      <c r="C332" s="35" t="s">
        <v>42</v>
      </c>
      <c r="D332" s="36">
        <v>3.8</v>
      </c>
      <c r="E332" s="21">
        <f>IFERROR(__xludf.DUMMYFUNCTION("IF(C332=""USD"", D332, 
  IFERROR(
    D332 * INDEX(GOOGLEFINANCE(CONCATENATE(""CURRENCY:"", C332, ""USD""), ""close"", B332), 2, 2),
    IFERROR(
      D332 * INDEX(GOOGLEFINANCE(CONCATENATE(""CURRENCY:"", C332, ""USD""), ""close"", B332 - 1), 2, 2),
   "&amp;"   D332 * INDEX(GOOGLEFINANCE(CONCATENATE(""CURRENCY:"", C332, ""USD""), ""close"", B332 + 1), 2, 2)
    )
  )
)"),3.8)</f>
        <v>3.8</v>
      </c>
    </row>
    <row r="333">
      <c r="A333" s="33" t="s">
        <v>1202</v>
      </c>
      <c r="B333" s="34">
        <v>43645.0</v>
      </c>
      <c r="C333" s="35" t="s">
        <v>42</v>
      </c>
      <c r="D333" s="36">
        <v>206.93</v>
      </c>
      <c r="E333" s="21">
        <f>IFERROR(__xludf.DUMMYFUNCTION("IF(C333=""USD"", D333, 
  IFERROR(
    D333 * INDEX(GOOGLEFINANCE(CONCATENATE(""CURRENCY:"", C333, ""USD""), ""close"", B333), 2, 2),
    IFERROR(
      D333 * INDEX(GOOGLEFINANCE(CONCATENATE(""CURRENCY:"", C333, ""USD""), ""close"", B333 - 1), 2, 2),
   "&amp;"   D333 * INDEX(GOOGLEFINANCE(CONCATENATE(""CURRENCY:"", C333, ""USD""), ""close"", B333 + 1), 2, 2)
    )
  )
)"),206.93)</f>
        <v>206.93</v>
      </c>
    </row>
    <row r="334">
      <c r="A334" s="33" t="s">
        <v>1204</v>
      </c>
      <c r="B334" s="34">
        <v>43645.0</v>
      </c>
      <c r="C334" s="35" t="s">
        <v>42</v>
      </c>
      <c r="D334" s="36">
        <v>11.45</v>
      </c>
      <c r="E334" s="21">
        <f>IFERROR(__xludf.DUMMYFUNCTION("IF(C334=""USD"", D334, 
  IFERROR(
    D334 * INDEX(GOOGLEFINANCE(CONCATENATE(""CURRENCY:"", C334, ""USD""), ""close"", B334), 2, 2),
    IFERROR(
      D334 * INDEX(GOOGLEFINANCE(CONCATENATE(""CURRENCY:"", C334, ""USD""), ""close"", B334 - 1), 2, 2),
   "&amp;"   D334 * INDEX(GOOGLEFINANCE(CONCATENATE(""CURRENCY:"", C334, ""USD""), ""close"", B334 + 1), 2, 2)
    )
  )
)"),11.45)</f>
        <v>11.45</v>
      </c>
    </row>
    <row r="335">
      <c r="A335" s="33" t="s">
        <v>1200</v>
      </c>
      <c r="B335" s="34">
        <v>43645.0</v>
      </c>
      <c r="C335" s="35" t="s">
        <v>42</v>
      </c>
      <c r="D335" s="36">
        <v>2.38</v>
      </c>
      <c r="E335" s="21">
        <f>IFERROR(__xludf.DUMMYFUNCTION("IF(C335=""USD"", D335, 
  IFERROR(
    D335 * INDEX(GOOGLEFINANCE(CONCATENATE(""CURRENCY:"", C335, ""USD""), ""close"", B335), 2, 2),
    IFERROR(
      D335 * INDEX(GOOGLEFINANCE(CONCATENATE(""CURRENCY:"", C335, ""USD""), ""close"", B335 - 1), 2, 2),
   "&amp;"   D335 * INDEX(GOOGLEFINANCE(CONCATENATE(""CURRENCY:"", C335, ""USD""), ""close"", B335 + 1), 2, 2)
    )
  )
)"),2.38)</f>
        <v>2.38</v>
      </c>
    </row>
    <row r="336">
      <c r="A336" s="33" t="s">
        <v>1194</v>
      </c>
      <c r="B336" s="34">
        <v>43645.0</v>
      </c>
      <c r="C336" s="35" t="s">
        <v>42</v>
      </c>
      <c r="D336" s="36">
        <v>0.12</v>
      </c>
      <c r="E336" s="21">
        <f>IFERROR(__xludf.DUMMYFUNCTION("IF(C336=""USD"", D336, 
  IFERROR(
    D336 * INDEX(GOOGLEFINANCE(CONCATENATE(""CURRENCY:"", C336, ""USD""), ""close"", B336), 2, 2),
    IFERROR(
      D336 * INDEX(GOOGLEFINANCE(CONCATENATE(""CURRENCY:"", C336, ""USD""), ""close"", B336 - 1), 2, 2),
   "&amp;"   D336 * INDEX(GOOGLEFINANCE(CONCATENATE(""CURRENCY:"", C336, ""USD""), ""close"", B336 + 1), 2, 2)
    )
  )
)"),0.12)</f>
        <v>0.12</v>
      </c>
    </row>
    <row r="337">
      <c r="A337" s="33" t="s">
        <v>1194</v>
      </c>
      <c r="B337" s="34">
        <v>43675.0</v>
      </c>
      <c r="C337" s="35" t="s">
        <v>42</v>
      </c>
      <c r="D337" s="36">
        <v>4.15</v>
      </c>
      <c r="E337" s="21">
        <f>IFERROR(__xludf.DUMMYFUNCTION("IF(C337=""USD"", D337, 
  IFERROR(
    D337 * INDEX(GOOGLEFINANCE(CONCATENATE(""CURRENCY:"", C337, ""USD""), ""close"", B337), 2, 2),
    IFERROR(
      D337 * INDEX(GOOGLEFINANCE(CONCATENATE(""CURRENCY:"", C337, ""USD""), ""close"", B337 - 1), 2, 2),
   "&amp;"   D337 * INDEX(GOOGLEFINANCE(CONCATENATE(""CURRENCY:"", C337, ""USD""), ""close"", B337 + 1), 2, 2)
    )
  )
)"),4.15)</f>
        <v>4.15</v>
      </c>
    </row>
    <row r="338">
      <c r="A338" s="33" t="s">
        <v>1202</v>
      </c>
      <c r="B338" s="34">
        <v>43675.0</v>
      </c>
      <c r="C338" s="35" t="s">
        <v>42</v>
      </c>
      <c r="D338" s="36">
        <v>121.97</v>
      </c>
      <c r="E338" s="21">
        <f>IFERROR(__xludf.DUMMYFUNCTION("IF(C338=""USD"", D338, 
  IFERROR(
    D338 * INDEX(GOOGLEFINANCE(CONCATENATE(""CURRENCY:"", C338, ""USD""), ""close"", B338), 2, 2),
    IFERROR(
      D338 * INDEX(GOOGLEFINANCE(CONCATENATE(""CURRENCY:"", C338, ""USD""), ""close"", B338 - 1), 2, 2),
   "&amp;"   D338 * INDEX(GOOGLEFINANCE(CONCATENATE(""CURRENCY:"", C338, ""USD""), ""close"", B338 + 1), 2, 2)
    )
  )
)"),121.97)</f>
        <v>121.97</v>
      </c>
    </row>
    <row r="339">
      <c r="A339" s="33" t="s">
        <v>1197</v>
      </c>
      <c r="B339" s="34">
        <v>43675.0</v>
      </c>
      <c r="C339" s="35" t="s">
        <v>42</v>
      </c>
      <c r="D339" s="36">
        <v>8.71</v>
      </c>
      <c r="E339" s="21">
        <f>IFERROR(__xludf.DUMMYFUNCTION("IF(C339=""USD"", D339, 
  IFERROR(
    D339 * INDEX(GOOGLEFINANCE(CONCATENATE(""CURRENCY:"", C339, ""USD""), ""close"", B339), 2, 2),
    IFERROR(
      D339 * INDEX(GOOGLEFINANCE(CONCATENATE(""CURRENCY:"", C339, ""USD""), ""close"", B339 - 1), 2, 2),
   "&amp;"   D339 * INDEX(GOOGLEFINANCE(CONCATENATE(""CURRENCY:"", C339, ""USD""), ""close"", B339 + 1), 2, 2)
    )
  )
)"),8.71)</f>
        <v>8.71</v>
      </c>
    </row>
    <row r="340">
      <c r="A340" s="33" t="s">
        <v>1203</v>
      </c>
      <c r="B340" s="34">
        <v>43675.0</v>
      </c>
      <c r="C340" s="35" t="s">
        <v>42</v>
      </c>
      <c r="D340" s="36">
        <v>1.92</v>
      </c>
      <c r="E340" s="21">
        <f>IFERROR(__xludf.DUMMYFUNCTION("IF(C340=""USD"", D340, 
  IFERROR(
    D340 * INDEX(GOOGLEFINANCE(CONCATENATE(""CURRENCY:"", C340, ""USD""), ""close"", B340), 2, 2),
    IFERROR(
      D340 * INDEX(GOOGLEFINANCE(CONCATENATE(""CURRENCY:"", C340, ""USD""), ""close"", B340 - 1), 2, 2),
   "&amp;"   D340 * INDEX(GOOGLEFINANCE(CONCATENATE(""CURRENCY:"", C340, ""USD""), ""close"", B340 + 1), 2, 2)
    )
  )
)"),1.92)</f>
        <v>1.92</v>
      </c>
    </row>
    <row r="341">
      <c r="A341" s="33" t="s">
        <v>1206</v>
      </c>
      <c r="B341" s="34">
        <v>43675.0</v>
      </c>
      <c r="C341" s="35" t="s">
        <v>42</v>
      </c>
      <c r="D341" s="36">
        <v>2.28</v>
      </c>
      <c r="E341" s="21">
        <f>IFERROR(__xludf.DUMMYFUNCTION("IF(C341=""USD"", D341, 
  IFERROR(
    D341 * INDEX(GOOGLEFINANCE(CONCATENATE(""CURRENCY:"", C341, ""USD""), ""close"", B341), 2, 2),
    IFERROR(
      D341 * INDEX(GOOGLEFINANCE(CONCATENATE(""CURRENCY:"", C341, ""USD""), ""close"", B341 - 1), 2, 2),
   "&amp;"   D341 * INDEX(GOOGLEFINANCE(CONCATENATE(""CURRENCY:"", C341, ""USD""), ""close"", B341 + 1), 2, 2)
    )
  )
)"),2.28)</f>
        <v>2.28</v>
      </c>
    </row>
    <row r="342">
      <c r="A342" s="33" t="s">
        <v>1197</v>
      </c>
      <c r="B342" s="34">
        <v>43706.0</v>
      </c>
      <c r="C342" s="35" t="s">
        <v>42</v>
      </c>
      <c r="D342" s="36">
        <v>10.95</v>
      </c>
      <c r="E342" s="21">
        <f>IFERROR(__xludf.DUMMYFUNCTION("IF(C342=""USD"", D342, 
  IFERROR(
    D342 * INDEX(GOOGLEFINANCE(CONCATENATE(""CURRENCY:"", C342, ""USD""), ""close"", B342), 2, 2),
    IFERROR(
      D342 * INDEX(GOOGLEFINANCE(CONCATENATE(""CURRENCY:"", C342, ""USD""), ""close"", B342 - 1), 2, 2),
   "&amp;"   D342 * INDEX(GOOGLEFINANCE(CONCATENATE(""CURRENCY:"", C342, ""USD""), ""close"", B342 + 1), 2, 2)
    )
  )
)"),10.95)</f>
        <v>10.95</v>
      </c>
    </row>
    <row r="343">
      <c r="A343" s="33" t="s">
        <v>1196</v>
      </c>
      <c r="B343" s="34">
        <v>43706.0</v>
      </c>
      <c r="C343" s="35" t="s">
        <v>42</v>
      </c>
      <c r="D343" s="36">
        <v>5.67</v>
      </c>
      <c r="E343" s="21">
        <f>IFERROR(__xludf.DUMMYFUNCTION("IF(C343=""USD"", D343, 
  IFERROR(
    D343 * INDEX(GOOGLEFINANCE(CONCATENATE(""CURRENCY:"", C343, ""USD""), ""close"", B343), 2, 2),
    IFERROR(
      D343 * INDEX(GOOGLEFINANCE(CONCATENATE(""CURRENCY:"", C343, ""USD""), ""close"", B343 - 1), 2, 2),
   "&amp;"   D343 * INDEX(GOOGLEFINANCE(CONCATENATE(""CURRENCY:"", C343, ""USD""), ""close"", B343 + 1), 2, 2)
    )
  )
)"),5.67)</f>
        <v>5.67</v>
      </c>
    </row>
    <row r="344">
      <c r="A344" s="33" t="s">
        <v>1200</v>
      </c>
      <c r="B344" s="34">
        <v>43706.0</v>
      </c>
      <c r="C344" s="35" t="s">
        <v>42</v>
      </c>
      <c r="D344" s="36">
        <v>2.35</v>
      </c>
      <c r="E344" s="21">
        <f>IFERROR(__xludf.DUMMYFUNCTION("IF(C344=""USD"", D344, 
  IFERROR(
    D344 * INDEX(GOOGLEFINANCE(CONCATENATE(""CURRENCY:"", C344, ""USD""), ""close"", B344), 2, 2),
    IFERROR(
      D344 * INDEX(GOOGLEFINANCE(CONCATENATE(""CURRENCY:"", C344, ""USD""), ""close"", B344 - 1), 2, 2),
   "&amp;"   D344 * INDEX(GOOGLEFINANCE(CONCATENATE(""CURRENCY:"", C344, ""USD""), ""close"", B344 + 1), 2, 2)
    )
  )
)"),2.35)</f>
        <v>2.35</v>
      </c>
    </row>
    <row r="345">
      <c r="A345" s="33" t="s">
        <v>1202</v>
      </c>
      <c r="B345" s="34">
        <v>43706.0</v>
      </c>
      <c r="C345" s="35" t="s">
        <v>42</v>
      </c>
      <c r="D345" s="36">
        <v>127.89</v>
      </c>
      <c r="E345" s="21">
        <f>IFERROR(__xludf.DUMMYFUNCTION("IF(C345=""USD"", D345, 
  IFERROR(
    D345 * INDEX(GOOGLEFINANCE(CONCATENATE(""CURRENCY:"", C345, ""USD""), ""close"", B345), 2, 2),
    IFERROR(
      D345 * INDEX(GOOGLEFINANCE(CONCATENATE(""CURRENCY:"", C345, ""USD""), ""close"", B345 - 1), 2, 2),
   "&amp;"   D345 * INDEX(GOOGLEFINANCE(CONCATENATE(""CURRENCY:"", C345, ""USD""), ""close"", B345 + 1), 2, 2)
    )
  )
)"),127.89)</f>
        <v>127.89</v>
      </c>
    </row>
    <row r="346">
      <c r="A346" s="33" t="s">
        <v>1204</v>
      </c>
      <c r="B346" s="34">
        <v>43706.0</v>
      </c>
      <c r="C346" s="35" t="s">
        <v>42</v>
      </c>
      <c r="D346" s="36">
        <v>11.58</v>
      </c>
      <c r="E346" s="21">
        <f>IFERROR(__xludf.DUMMYFUNCTION("IF(C346=""USD"", D346, 
  IFERROR(
    D346 * INDEX(GOOGLEFINANCE(CONCATENATE(""CURRENCY:"", C346, ""USD""), ""close"", B346), 2, 2),
    IFERROR(
      D346 * INDEX(GOOGLEFINANCE(CONCATENATE(""CURRENCY:"", C346, ""USD""), ""close"", B346 - 1), 2, 2),
   "&amp;"   D346 * INDEX(GOOGLEFINANCE(CONCATENATE(""CURRENCY:"", C346, ""USD""), ""close"", B346 + 1), 2, 2)
    )
  )
)"),11.58)</f>
        <v>11.58</v>
      </c>
    </row>
    <row r="347">
      <c r="A347" s="33" t="s">
        <v>1203</v>
      </c>
      <c r="B347" s="34">
        <v>43706.0</v>
      </c>
      <c r="C347" s="35" t="s">
        <v>42</v>
      </c>
      <c r="D347" s="36">
        <v>0.15</v>
      </c>
      <c r="E347" s="21">
        <f>IFERROR(__xludf.DUMMYFUNCTION("IF(C347=""USD"", D347, 
  IFERROR(
    D347 * INDEX(GOOGLEFINANCE(CONCATENATE(""CURRENCY:"", C347, ""USD""), ""close"", B347), 2, 2),
    IFERROR(
      D347 * INDEX(GOOGLEFINANCE(CONCATENATE(""CURRENCY:"", C347, ""USD""), ""close"", B347 - 1), 2, 2),
   "&amp;"   D347 * INDEX(GOOGLEFINANCE(CONCATENATE(""CURRENCY:"", C347, ""USD""), ""close"", B347 + 1), 2, 2)
    )
  )
)"),0.15)</f>
        <v>0.15</v>
      </c>
    </row>
    <row r="348">
      <c r="A348" s="33" t="s">
        <v>1194</v>
      </c>
      <c r="B348" s="34">
        <v>43706.0</v>
      </c>
      <c r="C348" s="35" t="s">
        <v>42</v>
      </c>
      <c r="D348" s="36">
        <v>0.03</v>
      </c>
      <c r="E348" s="21">
        <f>IFERROR(__xludf.DUMMYFUNCTION("IF(C348=""USD"", D348, 
  IFERROR(
    D348 * INDEX(GOOGLEFINANCE(CONCATENATE(""CURRENCY:"", C348, ""USD""), ""close"", B348), 2, 2),
    IFERROR(
      D348 * INDEX(GOOGLEFINANCE(CONCATENATE(""CURRENCY:"", C348, ""USD""), ""close"", B348 - 1), 2, 2),
   "&amp;"   D348 * INDEX(GOOGLEFINANCE(CONCATENATE(""CURRENCY:"", C348, ""USD""), ""close"", B348 + 1), 2, 2)
    )
  )
)"),0.03)</f>
        <v>0.03</v>
      </c>
    </row>
    <row r="349">
      <c r="A349" s="33" t="s">
        <v>1194</v>
      </c>
      <c r="B349" s="34">
        <v>43737.0</v>
      </c>
      <c r="C349" s="35" t="s">
        <v>42</v>
      </c>
      <c r="D349" s="36">
        <v>2.16</v>
      </c>
      <c r="E349" s="21">
        <f>IFERROR(__xludf.DUMMYFUNCTION("IF(C349=""USD"", D349, 
  IFERROR(
    D349 * INDEX(GOOGLEFINANCE(CONCATENATE(""CURRENCY:"", C349, ""USD""), ""close"", B349), 2, 2),
    IFERROR(
      D349 * INDEX(GOOGLEFINANCE(CONCATENATE(""CURRENCY:"", C349, ""USD""), ""close"", B349 - 1), 2, 2),
   "&amp;"   D349 * INDEX(GOOGLEFINANCE(CONCATENATE(""CURRENCY:"", C349, ""USD""), ""close"", B349 + 1), 2, 2)
    )
  )
)"),2.16)</f>
        <v>2.16</v>
      </c>
    </row>
    <row r="350">
      <c r="A350" s="33" t="s">
        <v>1197</v>
      </c>
      <c r="B350" s="34">
        <v>43737.0</v>
      </c>
      <c r="C350" s="35" t="s">
        <v>42</v>
      </c>
      <c r="D350" s="36">
        <v>15.84</v>
      </c>
      <c r="E350" s="21">
        <f>IFERROR(__xludf.DUMMYFUNCTION("IF(C350=""USD"", D350, 
  IFERROR(
    D350 * INDEX(GOOGLEFINANCE(CONCATENATE(""CURRENCY:"", C350, ""USD""), ""close"", B350), 2, 2),
    IFERROR(
      D350 * INDEX(GOOGLEFINANCE(CONCATENATE(""CURRENCY:"", C350, ""USD""), ""close"", B350 - 1), 2, 2),
   "&amp;"   D350 * INDEX(GOOGLEFINANCE(CONCATENATE(""CURRENCY:"", C350, ""USD""), ""close"", B350 + 1), 2, 2)
    )
  )
)"),15.84)</f>
        <v>15.84</v>
      </c>
    </row>
    <row r="351">
      <c r="A351" s="33" t="s">
        <v>1203</v>
      </c>
      <c r="B351" s="34">
        <v>43737.0</v>
      </c>
      <c r="C351" s="35" t="s">
        <v>42</v>
      </c>
      <c r="D351" s="36">
        <v>0.35</v>
      </c>
      <c r="E351" s="21">
        <f>IFERROR(__xludf.DUMMYFUNCTION("IF(C351=""USD"", D351, 
  IFERROR(
    D351 * INDEX(GOOGLEFINANCE(CONCATENATE(""CURRENCY:"", C351, ""USD""), ""close"", B351), 2, 2),
    IFERROR(
      D351 * INDEX(GOOGLEFINANCE(CONCATENATE(""CURRENCY:"", C351, ""USD""), ""close"", B351 - 1), 2, 2),
   "&amp;"   D351 * INDEX(GOOGLEFINANCE(CONCATENATE(""CURRENCY:"", C351, ""USD""), ""close"", B351 + 1), 2, 2)
    )
  )
)"),0.35)</f>
        <v>0.35</v>
      </c>
    </row>
    <row r="352">
      <c r="A352" s="33" t="s">
        <v>1205</v>
      </c>
      <c r="B352" s="34">
        <v>43737.0</v>
      </c>
      <c r="C352" s="35" t="s">
        <v>42</v>
      </c>
      <c r="D352" s="36">
        <v>1.8</v>
      </c>
      <c r="E352" s="21">
        <f>IFERROR(__xludf.DUMMYFUNCTION("IF(C352=""USD"", D352, 
  IFERROR(
    D352 * INDEX(GOOGLEFINANCE(CONCATENATE(""CURRENCY:"", C352, ""USD""), ""close"", B352), 2, 2),
    IFERROR(
      D352 * INDEX(GOOGLEFINANCE(CONCATENATE(""CURRENCY:"", C352, ""USD""), ""close"", B352 - 1), 2, 2),
   "&amp;"   D352 * INDEX(GOOGLEFINANCE(CONCATENATE(""CURRENCY:"", C352, ""USD""), ""close"", B352 + 1), 2, 2)
    )
  )
)"),1.8)</f>
        <v>1.8</v>
      </c>
    </row>
    <row r="353">
      <c r="A353" s="33" t="s">
        <v>1206</v>
      </c>
      <c r="B353" s="34">
        <v>43737.0</v>
      </c>
      <c r="C353" s="35" t="s">
        <v>42</v>
      </c>
      <c r="D353" s="36">
        <v>2.46</v>
      </c>
      <c r="E353" s="21">
        <f>IFERROR(__xludf.DUMMYFUNCTION("IF(C353=""USD"", D353, 
  IFERROR(
    D353 * INDEX(GOOGLEFINANCE(CONCATENATE(""CURRENCY:"", C353, ""USD""), ""close"", B353), 2, 2),
    IFERROR(
      D353 * INDEX(GOOGLEFINANCE(CONCATENATE(""CURRENCY:"", C353, ""USD""), ""close"", B353 - 1), 2, 2),
   "&amp;"   D353 * INDEX(GOOGLEFINANCE(CONCATENATE(""CURRENCY:"", C353, ""USD""), ""close"", B353 + 1), 2, 2)
    )
  )
)"),2.46)</f>
        <v>2.46</v>
      </c>
    </row>
    <row r="354">
      <c r="A354" s="33" t="s">
        <v>1204</v>
      </c>
      <c r="B354" s="34">
        <v>43737.0</v>
      </c>
      <c r="C354" s="35" t="s">
        <v>42</v>
      </c>
      <c r="D354" s="36">
        <v>11.22</v>
      </c>
      <c r="E354" s="21">
        <f>IFERROR(__xludf.DUMMYFUNCTION("IF(C354=""USD"", D354, 
  IFERROR(
    D354 * INDEX(GOOGLEFINANCE(CONCATENATE(""CURRENCY:"", C354, ""USD""), ""close"", B354), 2, 2),
    IFERROR(
      D354 * INDEX(GOOGLEFINANCE(CONCATENATE(""CURRENCY:"", C354, ""USD""), ""close"", B354 - 1), 2, 2),
   "&amp;"   D354 * INDEX(GOOGLEFINANCE(CONCATENATE(""CURRENCY:"", C354, ""USD""), ""close"", B354 + 1), 2, 2)
    )
  )
)"),11.22)</f>
        <v>11.22</v>
      </c>
    </row>
    <row r="355">
      <c r="A355" s="33" t="s">
        <v>1200</v>
      </c>
      <c r="B355" s="34">
        <v>43737.0</v>
      </c>
      <c r="C355" s="35" t="s">
        <v>42</v>
      </c>
      <c r="D355" s="36">
        <v>0.17</v>
      </c>
      <c r="E355" s="21">
        <f>IFERROR(__xludf.DUMMYFUNCTION("IF(C355=""USD"", D355, 
  IFERROR(
    D355 * INDEX(GOOGLEFINANCE(CONCATENATE(""CURRENCY:"", C355, ""USD""), ""close"", B355), 2, 2),
    IFERROR(
      D355 * INDEX(GOOGLEFINANCE(CONCATENATE(""CURRENCY:"", C355, ""USD""), ""close"", B355 - 1), 2, 2),
   "&amp;"   D355 * INDEX(GOOGLEFINANCE(CONCATENATE(""CURRENCY:"", C355, ""USD""), ""close"", B355 + 1), 2, 2)
    )
  )
)"),0.17)</f>
        <v>0.17</v>
      </c>
    </row>
    <row r="356">
      <c r="A356" s="33" t="s">
        <v>1202</v>
      </c>
      <c r="B356" s="34">
        <v>43737.0</v>
      </c>
      <c r="C356" s="35" t="s">
        <v>42</v>
      </c>
      <c r="D356" s="36">
        <v>127.62</v>
      </c>
      <c r="E356" s="21">
        <f>IFERROR(__xludf.DUMMYFUNCTION("IF(C356=""USD"", D356, 
  IFERROR(
    D356 * INDEX(GOOGLEFINANCE(CONCATENATE(""CURRENCY:"", C356, ""USD""), ""close"", B356), 2, 2),
    IFERROR(
      D356 * INDEX(GOOGLEFINANCE(CONCATENATE(""CURRENCY:"", C356, ""USD""), ""close"", B356 - 1), 2, 2),
   "&amp;"   D356 * INDEX(GOOGLEFINANCE(CONCATENATE(""CURRENCY:"", C356, ""USD""), ""close"", B356 + 1), 2, 2)
    )
  )
)"),127.62)</f>
        <v>127.62</v>
      </c>
    </row>
    <row r="357">
      <c r="A357" s="33" t="s">
        <v>1207</v>
      </c>
      <c r="B357" s="34">
        <v>43737.0</v>
      </c>
      <c r="C357" s="35" t="s">
        <v>42</v>
      </c>
      <c r="D357" s="36">
        <v>0.04</v>
      </c>
      <c r="E357" s="21">
        <f>IFERROR(__xludf.DUMMYFUNCTION("IF(C357=""USD"", D357, 
  IFERROR(
    D357 * INDEX(GOOGLEFINANCE(CONCATENATE(""CURRENCY:"", C357, ""USD""), ""close"", B357), 2, 2),
    IFERROR(
      D357 * INDEX(GOOGLEFINANCE(CONCATENATE(""CURRENCY:"", C357, ""USD""), ""close"", B357 - 1), 2, 2),
   "&amp;"   D357 * INDEX(GOOGLEFINANCE(CONCATENATE(""CURRENCY:"", C357, ""USD""), ""close"", B357 + 1), 2, 2)
    )
  )
)"),0.04)</f>
        <v>0.04</v>
      </c>
    </row>
    <row r="358">
      <c r="A358" s="33" t="s">
        <v>1203</v>
      </c>
      <c r="B358" s="34">
        <v>43767.0</v>
      </c>
      <c r="C358" s="35" t="s">
        <v>42</v>
      </c>
      <c r="D358" s="36">
        <v>3.74</v>
      </c>
      <c r="E358" s="21">
        <f>IFERROR(__xludf.DUMMYFUNCTION("IF(C358=""USD"", D358, 
  IFERROR(
    D358 * INDEX(GOOGLEFINANCE(CONCATENATE(""CURRENCY:"", C358, ""USD""), ""close"", B358), 2, 2),
    IFERROR(
      D358 * INDEX(GOOGLEFINANCE(CONCATENATE(""CURRENCY:"", C358, ""USD""), ""close"", B358 - 1), 2, 2),
   "&amp;"   D358 * INDEX(GOOGLEFINANCE(CONCATENATE(""CURRENCY:"", C358, ""USD""), ""close"", B358 + 1), 2, 2)
    )
  )
)"),3.74)</f>
        <v>3.74</v>
      </c>
    </row>
    <row r="359">
      <c r="A359" s="33" t="s">
        <v>1197</v>
      </c>
      <c r="B359" s="34">
        <v>43767.0</v>
      </c>
      <c r="C359" s="35" t="s">
        <v>42</v>
      </c>
      <c r="D359" s="36">
        <v>11.38</v>
      </c>
      <c r="E359" s="21">
        <f>IFERROR(__xludf.DUMMYFUNCTION("IF(C359=""USD"", D359, 
  IFERROR(
    D359 * INDEX(GOOGLEFINANCE(CONCATENATE(""CURRENCY:"", C359, ""USD""), ""close"", B359), 2, 2),
    IFERROR(
      D359 * INDEX(GOOGLEFINANCE(CONCATENATE(""CURRENCY:"", C359, ""USD""), ""close"", B359 - 1), 2, 2),
   "&amp;"   D359 * INDEX(GOOGLEFINANCE(CONCATENATE(""CURRENCY:"", C359, ""USD""), ""close"", B359 + 1), 2, 2)
    )
  )
)"),11.38)</f>
        <v>11.38</v>
      </c>
    </row>
    <row r="360">
      <c r="A360" s="33" t="s">
        <v>1200</v>
      </c>
      <c r="B360" s="34">
        <v>43767.0</v>
      </c>
      <c r="C360" s="35" t="s">
        <v>42</v>
      </c>
      <c r="D360" s="36">
        <v>7.13</v>
      </c>
      <c r="E360" s="21">
        <f>IFERROR(__xludf.DUMMYFUNCTION("IF(C360=""USD"", D360, 
  IFERROR(
    D360 * INDEX(GOOGLEFINANCE(CONCATENATE(""CURRENCY:"", C360, ""USD""), ""close"", B360), 2, 2),
    IFERROR(
      D360 * INDEX(GOOGLEFINANCE(CONCATENATE(""CURRENCY:"", C360, ""USD""), ""close"", B360 - 1), 2, 2),
   "&amp;"   D360 * INDEX(GOOGLEFINANCE(CONCATENATE(""CURRENCY:"", C360, ""USD""), ""close"", B360 + 1), 2, 2)
    )
  )
)"),7.13)</f>
        <v>7.13</v>
      </c>
    </row>
    <row r="361">
      <c r="A361" s="33" t="s">
        <v>1206</v>
      </c>
      <c r="B361" s="34">
        <v>43767.0</v>
      </c>
      <c r="C361" s="35" t="s">
        <v>42</v>
      </c>
      <c r="D361" s="36">
        <v>2.44</v>
      </c>
      <c r="E361" s="21">
        <f>IFERROR(__xludf.DUMMYFUNCTION("IF(C361=""USD"", D361, 
  IFERROR(
    D361 * INDEX(GOOGLEFINANCE(CONCATENATE(""CURRENCY:"", C361, ""USD""), ""close"", B361), 2, 2),
    IFERROR(
      D361 * INDEX(GOOGLEFINANCE(CONCATENATE(""CURRENCY:"", C361, ""USD""), ""close"", B361 - 1), 2, 2),
   "&amp;"   D361 * INDEX(GOOGLEFINANCE(CONCATENATE(""CURRENCY:"", C361, ""USD""), ""close"", B361 + 1), 2, 2)
    )
  )
)"),2.44)</f>
        <v>2.44</v>
      </c>
    </row>
    <row r="362">
      <c r="A362" s="33" t="s">
        <v>1209</v>
      </c>
      <c r="B362" s="34">
        <v>43767.0</v>
      </c>
      <c r="C362" s="35" t="s">
        <v>42</v>
      </c>
      <c r="D362" s="36">
        <v>0.19</v>
      </c>
      <c r="E362" s="21">
        <f>IFERROR(__xludf.DUMMYFUNCTION("IF(C362=""USD"", D362, 
  IFERROR(
    D362 * INDEX(GOOGLEFINANCE(CONCATENATE(""CURRENCY:"", C362, ""USD""), ""close"", B362), 2, 2),
    IFERROR(
      D362 * INDEX(GOOGLEFINANCE(CONCATENATE(""CURRENCY:"", C362, ""USD""), ""close"", B362 - 1), 2, 2),
   "&amp;"   D362 * INDEX(GOOGLEFINANCE(CONCATENATE(""CURRENCY:"", C362, ""USD""), ""close"", B362 + 1), 2, 2)
    )
  )
)"),0.19)</f>
        <v>0.19</v>
      </c>
    </row>
    <row r="363">
      <c r="A363" s="33" t="s">
        <v>1202</v>
      </c>
      <c r="B363" s="34">
        <v>43767.0</v>
      </c>
      <c r="C363" s="35" t="s">
        <v>42</v>
      </c>
      <c r="D363" s="36">
        <v>132.95</v>
      </c>
      <c r="E363" s="21">
        <f>IFERROR(__xludf.DUMMYFUNCTION("IF(C363=""USD"", D363, 
  IFERROR(
    D363 * INDEX(GOOGLEFINANCE(CONCATENATE(""CURRENCY:"", C363, ""USD""), ""close"", B363), 2, 2),
    IFERROR(
      D363 * INDEX(GOOGLEFINANCE(CONCATENATE(""CURRENCY:"", C363, ""USD""), ""close"", B363 - 1), 2, 2),
   "&amp;"   D363 * INDEX(GOOGLEFINANCE(CONCATENATE(""CURRENCY:"", C363, ""USD""), ""close"", B363 + 1), 2, 2)
    )
  )
)"),132.95)</f>
        <v>132.95</v>
      </c>
    </row>
    <row r="364">
      <c r="A364" s="33" t="s">
        <v>1194</v>
      </c>
      <c r="B364" s="34">
        <v>43767.0</v>
      </c>
      <c r="C364" s="35" t="s">
        <v>42</v>
      </c>
      <c r="D364" s="36">
        <v>0.25</v>
      </c>
      <c r="E364" s="21">
        <f>IFERROR(__xludf.DUMMYFUNCTION("IF(C364=""USD"", D364, 
  IFERROR(
    D364 * INDEX(GOOGLEFINANCE(CONCATENATE(""CURRENCY:"", C364, ""USD""), ""close"", B364), 2, 2),
    IFERROR(
      D364 * INDEX(GOOGLEFINANCE(CONCATENATE(""CURRENCY:"", C364, ""USD""), ""close"", B364 - 1), 2, 2),
   "&amp;"   D364 * INDEX(GOOGLEFINANCE(CONCATENATE(""CURRENCY:"", C364, ""USD""), ""close"", B364 + 1), 2, 2)
    )
  )
)"),0.25)</f>
        <v>0.25</v>
      </c>
    </row>
    <row r="365">
      <c r="A365" s="33" t="s">
        <v>1204</v>
      </c>
      <c r="B365" s="34">
        <v>43767.0</v>
      </c>
      <c r="C365" s="35" t="s">
        <v>42</v>
      </c>
      <c r="D365" s="36">
        <v>2.03</v>
      </c>
      <c r="E365" s="21">
        <f>IFERROR(__xludf.DUMMYFUNCTION("IF(C365=""USD"", D365, 
  IFERROR(
    D365 * INDEX(GOOGLEFINANCE(CONCATENATE(""CURRENCY:"", C365, ""USD""), ""close"", B365), 2, 2),
    IFERROR(
      D365 * INDEX(GOOGLEFINANCE(CONCATENATE(""CURRENCY:"", C365, ""USD""), ""close"", B365 - 1), 2, 2),
   "&amp;"   D365 * INDEX(GOOGLEFINANCE(CONCATENATE(""CURRENCY:"", C365, ""USD""), ""close"", B365 + 1), 2, 2)
    )
  )
)"),2.03)</f>
        <v>2.03</v>
      </c>
    </row>
    <row r="366">
      <c r="A366" s="33" t="s">
        <v>1205</v>
      </c>
      <c r="B366" s="34">
        <v>43767.0</v>
      </c>
      <c r="C366" s="35" t="s">
        <v>42</v>
      </c>
      <c r="D366" s="36">
        <v>1.7</v>
      </c>
      <c r="E366" s="21">
        <f>IFERROR(__xludf.DUMMYFUNCTION("IF(C366=""USD"", D366, 
  IFERROR(
    D366 * INDEX(GOOGLEFINANCE(CONCATENATE(""CURRENCY:"", C366, ""USD""), ""close"", B366), 2, 2),
    IFERROR(
      D366 * INDEX(GOOGLEFINANCE(CONCATENATE(""CURRENCY:"", C366, ""USD""), ""close"", B366 - 1), 2, 2),
   "&amp;"   D366 * INDEX(GOOGLEFINANCE(CONCATENATE(""CURRENCY:"", C366, ""USD""), ""close"", B366 + 1), 2, 2)
    )
  )
)"),1.7)</f>
        <v>1.7</v>
      </c>
    </row>
    <row r="367">
      <c r="A367" s="33" t="s">
        <v>1196</v>
      </c>
      <c r="B367" s="34">
        <v>43767.0</v>
      </c>
      <c r="C367" s="35" t="s">
        <v>42</v>
      </c>
      <c r="D367" s="36">
        <v>1.87</v>
      </c>
      <c r="E367" s="21">
        <f>IFERROR(__xludf.DUMMYFUNCTION("IF(C367=""USD"", D367, 
  IFERROR(
    D367 * INDEX(GOOGLEFINANCE(CONCATENATE(""CURRENCY:"", C367, ""USD""), ""close"", B367), 2, 2),
    IFERROR(
      D367 * INDEX(GOOGLEFINANCE(CONCATENATE(""CURRENCY:"", C367, ""USD""), ""close"", B367 - 1), 2, 2),
   "&amp;"   D367 * INDEX(GOOGLEFINANCE(CONCATENATE(""CURRENCY:"", C367, ""USD""), ""close"", B367 + 1), 2, 2)
    )
  )
)"),1.87)</f>
        <v>1.87</v>
      </c>
    </row>
    <row r="368">
      <c r="A368" s="33" t="s">
        <v>1206</v>
      </c>
      <c r="B368" s="34">
        <v>43798.0</v>
      </c>
      <c r="C368" s="35" t="s">
        <v>42</v>
      </c>
      <c r="D368" s="36">
        <v>0.17</v>
      </c>
      <c r="E368" s="21">
        <f>IFERROR(__xludf.DUMMYFUNCTION("IF(C368=""USD"", D368, 
  IFERROR(
    D368 * INDEX(GOOGLEFINANCE(CONCATENATE(""CURRENCY:"", C368, ""USD""), ""close"", B368), 2, 2),
    IFERROR(
      D368 * INDEX(GOOGLEFINANCE(CONCATENATE(""CURRENCY:"", C368, ""USD""), ""close"", B368 - 1), 2, 2),
   "&amp;"   D368 * INDEX(GOOGLEFINANCE(CONCATENATE(""CURRENCY:"", C368, ""USD""), ""close"", B368 + 1), 2, 2)
    )
  )
)"),0.17)</f>
        <v>0.17</v>
      </c>
    </row>
    <row r="369">
      <c r="A369" s="33" t="s">
        <v>1203</v>
      </c>
      <c r="B369" s="34">
        <v>43798.0</v>
      </c>
      <c r="C369" s="35" t="s">
        <v>42</v>
      </c>
      <c r="D369" s="36">
        <v>1.85</v>
      </c>
      <c r="E369" s="21">
        <f>IFERROR(__xludf.DUMMYFUNCTION("IF(C369=""USD"", D369, 
  IFERROR(
    D369 * INDEX(GOOGLEFINANCE(CONCATENATE(""CURRENCY:"", C369, ""USD""), ""close"", B369), 2, 2),
    IFERROR(
      D369 * INDEX(GOOGLEFINANCE(CONCATENATE(""CURRENCY:"", C369, ""USD""), ""close"", B369 - 1), 2, 2),
   "&amp;"   D369 * INDEX(GOOGLEFINANCE(CONCATENATE(""CURRENCY:"", C369, ""USD""), ""close"", B369 + 1), 2, 2)
    )
  )
)"),1.85)</f>
        <v>1.85</v>
      </c>
    </row>
    <row r="370">
      <c r="A370" s="33" t="s">
        <v>1197</v>
      </c>
      <c r="B370" s="34">
        <v>43798.0</v>
      </c>
      <c r="C370" s="35" t="s">
        <v>42</v>
      </c>
      <c r="D370" s="36">
        <v>13.57</v>
      </c>
      <c r="E370" s="21">
        <f>IFERROR(__xludf.DUMMYFUNCTION("IF(C370=""USD"", D370, 
  IFERROR(
    D370 * INDEX(GOOGLEFINANCE(CONCATENATE(""CURRENCY:"", C370, ""USD""), ""close"", B370), 2, 2),
    IFERROR(
      D370 * INDEX(GOOGLEFINANCE(CONCATENATE(""CURRENCY:"", C370, ""USD""), ""close"", B370 - 1), 2, 2),
   "&amp;"   D370 * INDEX(GOOGLEFINANCE(CONCATENATE(""CURRENCY:"", C370, ""USD""), ""close"", B370 + 1), 2, 2)
    )
  )
)"),13.57)</f>
        <v>13.57</v>
      </c>
    </row>
    <row r="371">
      <c r="A371" s="33" t="s">
        <v>1204</v>
      </c>
      <c r="B371" s="34">
        <v>43798.0</v>
      </c>
      <c r="C371" s="35" t="s">
        <v>42</v>
      </c>
      <c r="D371" s="36">
        <v>1.85</v>
      </c>
      <c r="E371" s="21">
        <f>IFERROR(__xludf.DUMMYFUNCTION("IF(C371=""USD"", D371, 
  IFERROR(
    D371 * INDEX(GOOGLEFINANCE(CONCATENATE(""CURRENCY:"", C371, ""USD""), ""close"", B371), 2, 2),
    IFERROR(
      D371 * INDEX(GOOGLEFINANCE(CONCATENATE(""CURRENCY:"", C371, ""USD""), ""close"", B371 - 1), 2, 2),
   "&amp;"   D371 * INDEX(GOOGLEFINANCE(CONCATENATE(""CURRENCY:"", C371, ""USD""), ""close"", B371 + 1), 2, 2)
    )
  )
)"),1.85)</f>
        <v>1.85</v>
      </c>
    </row>
    <row r="372">
      <c r="A372" s="33" t="s">
        <v>1200</v>
      </c>
      <c r="B372" s="34">
        <v>43798.0</v>
      </c>
      <c r="C372" s="35" t="s">
        <v>42</v>
      </c>
      <c r="D372" s="36">
        <v>7.01</v>
      </c>
      <c r="E372" s="21">
        <f>IFERROR(__xludf.DUMMYFUNCTION("IF(C372=""USD"", D372, 
  IFERROR(
    D372 * INDEX(GOOGLEFINANCE(CONCATENATE(""CURRENCY:"", C372, ""USD""), ""close"", B372), 2, 2),
    IFERROR(
      D372 * INDEX(GOOGLEFINANCE(CONCATENATE(""CURRENCY:"", C372, ""USD""), ""close"", B372 - 1), 2, 2),
   "&amp;"   D372 * INDEX(GOOGLEFINANCE(CONCATENATE(""CURRENCY:"", C372, ""USD""), ""close"", B372 + 1), 2, 2)
    )
  )
)"),7.01)</f>
        <v>7.01</v>
      </c>
    </row>
    <row r="373">
      <c r="A373" s="33" t="s">
        <v>1202</v>
      </c>
      <c r="B373" s="34">
        <v>43798.0</v>
      </c>
      <c r="C373" s="35" t="s">
        <v>42</v>
      </c>
      <c r="D373" s="36">
        <v>116.04</v>
      </c>
      <c r="E373" s="21">
        <f>IFERROR(__xludf.DUMMYFUNCTION("IF(C373=""USD"", D373, 
  IFERROR(
    D373 * INDEX(GOOGLEFINANCE(CONCATENATE(""CURRENCY:"", C373, ""USD""), ""close"", B373), 2, 2),
    IFERROR(
      D373 * INDEX(GOOGLEFINANCE(CONCATENATE(""CURRENCY:"", C373, ""USD""), ""close"", B373 - 1), 2, 2),
   "&amp;"   D373 * INDEX(GOOGLEFINANCE(CONCATENATE(""CURRENCY:"", C373, ""USD""), ""close"", B373 + 1), 2, 2)
    )
  )
)"),116.04)</f>
        <v>116.04</v>
      </c>
    </row>
    <row r="374">
      <c r="A374" s="33" t="s">
        <v>1203</v>
      </c>
      <c r="B374" s="34">
        <v>43828.0</v>
      </c>
      <c r="C374" s="35" t="s">
        <v>42</v>
      </c>
      <c r="D374" s="36">
        <v>5.72</v>
      </c>
      <c r="E374" s="21">
        <f>IFERROR(__xludf.DUMMYFUNCTION("IF(C374=""USD"", D374, 
  IFERROR(
    D374 * INDEX(GOOGLEFINANCE(CONCATENATE(""CURRENCY:"", C374, ""USD""), ""close"", B374), 2, 2),
    IFERROR(
      D374 * INDEX(GOOGLEFINANCE(CONCATENATE(""CURRENCY:"", C374, ""USD""), ""close"", B374 - 1), 2, 2),
   "&amp;"   D374 * INDEX(GOOGLEFINANCE(CONCATENATE(""CURRENCY:"", C374, ""USD""), ""close"", B374 + 1), 2, 2)
    )
  )
)"),5.72)</f>
        <v>5.72</v>
      </c>
    </row>
    <row r="375">
      <c r="A375" s="33" t="s">
        <v>1200</v>
      </c>
      <c r="B375" s="34">
        <v>43828.0</v>
      </c>
      <c r="C375" s="35" t="s">
        <v>42</v>
      </c>
      <c r="D375" s="36">
        <v>2.59</v>
      </c>
      <c r="E375" s="21">
        <f>IFERROR(__xludf.DUMMYFUNCTION("IF(C375=""USD"", D375, 
  IFERROR(
    D375 * INDEX(GOOGLEFINANCE(CONCATENATE(""CURRENCY:"", C375, ""USD""), ""close"", B375), 2, 2),
    IFERROR(
      D375 * INDEX(GOOGLEFINANCE(CONCATENATE(""CURRENCY:"", C375, ""USD""), ""close"", B375 - 1), 2, 2),
   "&amp;"   D375 * INDEX(GOOGLEFINANCE(CONCATENATE(""CURRENCY:"", C375, ""USD""), ""close"", B375 + 1), 2, 2)
    )
  )
)"),2.59)</f>
        <v>2.59</v>
      </c>
    </row>
    <row r="376">
      <c r="A376" s="33" t="s">
        <v>1204</v>
      </c>
      <c r="B376" s="34">
        <v>43828.0</v>
      </c>
      <c r="C376" s="35" t="s">
        <v>42</v>
      </c>
      <c r="D376" s="36">
        <v>2.16</v>
      </c>
      <c r="E376" s="21">
        <f>IFERROR(__xludf.DUMMYFUNCTION("IF(C376=""USD"", D376, 
  IFERROR(
    D376 * INDEX(GOOGLEFINANCE(CONCATENATE(""CURRENCY:"", C376, ""USD""), ""close"", B376), 2, 2),
    IFERROR(
      D376 * INDEX(GOOGLEFINANCE(CONCATENATE(""CURRENCY:"", C376, ""USD""), ""close"", B376 - 1), 2, 2),
   "&amp;"   D376 * INDEX(GOOGLEFINANCE(CONCATENATE(""CURRENCY:"", C376, ""USD""), ""close"", B376 + 1), 2, 2)
    )
  )
)"),2.16)</f>
        <v>2.16</v>
      </c>
    </row>
    <row r="377">
      <c r="A377" s="33" t="s">
        <v>1197</v>
      </c>
      <c r="B377" s="34">
        <v>43828.0</v>
      </c>
      <c r="C377" s="35" t="s">
        <v>42</v>
      </c>
      <c r="D377" s="36">
        <v>7.18</v>
      </c>
      <c r="E377" s="21">
        <f>IFERROR(__xludf.DUMMYFUNCTION("IF(C377=""USD"", D377, 
  IFERROR(
    D377 * INDEX(GOOGLEFINANCE(CONCATENATE(""CURRENCY:"", C377, ""USD""), ""close"", B377), 2, 2),
    IFERROR(
      D377 * INDEX(GOOGLEFINANCE(CONCATENATE(""CURRENCY:"", C377, ""USD""), ""close"", B377 - 1), 2, 2),
   "&amp;"   D377 * INDEX(GOOGLEFINANCE(CONCATENATE(""CURRENCY:"", C377, ""USD""), ""close"", B377 + 1), 2, 2)
    )
  )
)"),7.18)</f>
        <v>7.18</v>
      </c>
    </row>
    <row r="378">
      <c r="A378" s="33" t="s">
        <v>1202</v>
      </c>
      <c r="B378" s="34">
        <v>43828.0</v>
      </c>
      <c r="C378" s="35" t="s">
        <v>42</v>
      </c>
      <c r="D378" s="36">
        <v>76.86</v>
      </c>
      <c r="E378" s="21">
        <f>IFERROR(__xludf.DUMMYFUNCTION("IF(C378=""USD"", D378, 
  IFERROR(
    D378 * INDEX(GOOGLEFINANCE(CONCATENATE(""CURRENCY:"", C378, ""USD""), ""close"", B378), 2, 2),
    IFERROR(
      D378 * INDEX(GOOGLEFINANCE(CONCATENATE(""CURRENCY:"", C378, ""USD""), ""close"", B378 - 1), 2, 2),
   "&amp;"   D378 * INDEX(GOOGLEFINANCE(CONCATENATE(""CURRENCY:"", C378, ""USD""), ""close"", B378 + 1), 2, 2)
    )
  )
)"),76.86)</f>
        <v>76.86</v>
      </c>
    </row>
    <row r="379">
      <c r="A379" s="33" t="s">
        <v>1194</v>
      </c>
      <c r="B379" s="34">
        <v>43828.0</v>
      </c>
      <c r="C379" s="35" t="s">
        <v>42</v>
      </c>
      <c r="D379" s="36">
        <v>2.06</v>
      </c>
      <c r="E379" s="21">
        <f>IFERROR(__xludf.DUMMYFUNCTION("IF(C379=""USD"", D379, 
  IFERROR(
    D379 * INDEX(GOOGLEFINANCE(CONCATENATE(""CURRENCY:"", C379, ""USD""), ""close"", B379), 2, 2),
    IFERROR(
      D379 * INDEX(GOOGLEFINANCE(CONCATENATE(""CURRENCY:"", C379, ""USD""), ""close"", B379 - 1), 2, 2),
   "&amp;"   D379 * INDEX(GOOGLEFINANCE(CONCATENATE(""CURRENCY:"", C379, ""USD""), ""close"", B379 + 1), 2, 2)
    )
  )
)"),2.06)</f>
        <v>2.06</v>
      </c>
    </row>
    <row r="380">
      <c r="A380" s="33" t="s">
        <v>1205</v>
      </c>
      <c r="B380" s="34">
        <v>43828.0</v>
      </c>
      <c r="C380" s="35" t="s">
        <v>42</v>
      </c>
      <c r="D380" s="36">
        <v>0.07</v>
      </c>
      <c r="E380" s="21">
        <f>IFERROR(__xludf.DUMMYFUNCTION("IF(C380=""USD"", D380, 
  IFERROR(
    D380 * INDEX(GOOGLEFINANCE(CONCATENATE(""CURRENCY:"", C380, ""USD""), ""close"", B380), 2, 2),
    IFERROR(
      D380 * INDEX(GOOGLEFINANCE(CONCATENATE(""CURRENCY:"", C380, ""USD""), ""close"", B380 - 1), 2, 2),
   "&amp;"   D380 * INDEX(GOOGLEFINANCE(CONCATENATE(""CURRENCY:"", C380, ""USD""), ""close"", B380 + 1), 2, 2)
    )
  )
)"),0.07)</f>
        <v>0.07</v>
      </c>
    </row>
    <row r="381">
      <c r="A381" s="33" t="s">
        <v>1206</v>
      </c>
      <c r="B381" s="34">
        <v>43844.0</v>
      </c>
      <c r="C381" s="35" t="s">
        <v>42</v>
      </c>
      <c r="D381" s="36">
        <v>2.06</v>
      </c>
      <c r="E381" s="21">
        <f>IFERROR(__xludf.DUMMYFUNCTION("IF(C381=""USD"", D381, 
  IFERROR(
    D381 * INDEX(GOOGLEFINANCE(CONCATENATE(""CURRENCY:"", C381, ""USD""), ""close"", B381), 2, 2),
    IFERROR(
      D381 * INDEX(GOOGLEFINANCE(CONCATENATE(""CURRENCY:"", C381, ""USD""), ""close"", B381 - 1), 2, 2),
   "&amp;"   D381 * INDEX(GOOGLEFINANCE(CONCATENATE(""CURRENCY:"", C381, ""USD""), ""close"", B381 + 1), 2, 2)
    )
  )
)"),2.06)</f>
        <v>2.06</v>
      </c>
    </row>
    <row r="382">
      <c r="A382" s="33" t="s">
        <v>1197</v>
      </c>
      <c r="B382" s="34">
        <v>43859.0</v>
      </c>
      <c r="C382" s="35" t="s">
        <v>42</v>
      </c>
      <c r="D382" s="36">
        <v>16.14</v>
      </c>
      <c r="E382" s="21">
        <f>IFERROR(__xludf.DUMMYFUNCTION("IF(C382=""USD"", D382, 
  IFERROR(
    D382 * INDEX(GOOGLEFINANCE(CONCATENATE(""CURRENCY:"", C382, ""USD""), ""close"", B382), 2, 2),
    IFERROR(
      D382 * INDEX(GOOGLEFINANCE(CONCATENATE(""CURRENCY:"", C382, ""USD""), ""close"", B382 - 1), 2, 2),
   "&amp;"   D382 * INDEX(GOOGLEFINANCE(CONCATENATE(""CURRENCY:"", C382, ""USD""), ""close"", B382 + 1), 2, 2)
    )
  )
)"),16.14)</f>
        <v>16.14</v>
      </c>
    </row>
    <row r="383">
      <c r="A383" s="33" t="s">
        <v>1200</v>
      </c>
      <c r="B383" s="34">
        <v>43859.0</v>
      </c>
      <c r="C383" s="35" t="s">
        <v>42</v>
      </c>
      <c r="D383" s="36">
        <v>11.89</v>
      </c>
      <c r="E383" s="21">
        <f>IFERROR(__xludf.DUMMYFUNCTION("IF(C383=""USD"", D383, 
  IFERROR(
    D383 * INDEX(GOOGLEFINANCE(CONCATENATE(""CURRENCY:"", C383, ""USD""), ""close"", B383), 2, 2),
    IFERROR(
      D383 * INDEX(GOOGLEFINANCE(CONCATENATE(""CURRENCY:"", C383, ""USD""), ""close"", B383 - 1), 2, 2),
   "&amp;"   D383 * INDEX(GOOGLEFINANCE(CONCATENATE(""CURRENCY:"", C383, ""USD""), ""close"", B383 + 1), 2, 2)
    )
  )
)"),11.89)</f>
        <v>11.89</v>
      </c>
    </row>
    <row r="384">
      <c r="A384" s="33" t="s">
        <v>1194</v>
      </c>
      <c r="B384" s="34">
        <v>43859.0</v>
      </c>
      <c r="C384" s="35" t="s">
        <v>42</v>
      </c>
      <c r="D384" s="36">
        <v>2.0</v>
      </c>
      <c r="E384" s="21">
        <f>IFERROR(__xludf.DUMMYFUNCTION("IF(C384=""USD"", D384, 
  IFERROR(
    D384 * INDEX(GOOGLEFINANCE(CONCATENATE(""CURRENCY:"", C384, ""USD""), ""close"", B384), 2, 2),
    IFERROR(
      D384 * INDEX(GOOGLEFINANCE(CONCATENATE(""CURRENCY:"", C384, ""USD""), ""close"", B384 - 1), 2, 2),
   "&amp;"   D384 * INDEX(GOOGLEFINANCE(CONCATENATE(""CURRENCY:"", C384, ""USD""), ""close"", B384 + 1), 2, 2)
    )
  )
)"),2.0)</f>
        <v>2</v>
      </c>
    </row>
    <row r="385">
      <c r="A385" s="33" t="s">
        <v>1204</v>
      </c>
      <c r="B385" s="34">
        <v>43859.0</v>
      </c>
      <c r="C385" s="35" t="s">
        <v>42</v>
      </c>
      <c r="D385" s="36">
        <v>7.51</v>
      </c>
      <c r="E385" s="21">
        <f>IFERROR(__xludf.DUMMYFUNCTION("IF(C385=""USD"", D385, 
  IFERROR(
    D385 * INDEX(GOOGLEFINANCE(CONCATENATE(""CURRENCY:"", C385, ""USD""), ""close"", B385), 2, 2),
    IFERROR(
      D385 * INDEX(GOOGLEFINANCE(CONCATENATE(""CURRENCY:"", C385, ""USD""), ""close"", B385 - 1), 2, 2),
   "&amp;"   D385 * INDEX(GOOGLEFINANCE(CONCATENATE(""CURRENCY:"", C385, ""USD""), ""close"", B385 + 1), 2, 2)
    )
  )
)"),7.51)</f>
        <v>7.51</v>
      </c>
    </row>
    <row r="386">
      <c r="A386" s="33" t="s">
        <v>1202</v>
      </c>
      <c r="B386" s="34">
        <v>43859.0</v>
      </c>
      <c r="C386" s="35" t="s">
        <v>42</v>
      </c>
      <c r="D386" s="36">
        <v>104.81</v>
      </c>
      <c r="E386" s="21">
        <f>IFERROR(__xludf.DUMMYFUNCTION("IF(C386=""USD"", D386, 
  IFERROR(
    D386 * INDEX(GOOGLEFINANCE(CONCATENATE(""CURRENCY:"", C386, ""USD""), ""close"", B386), 2, 2),
    IFERROR(
      D386 * INDEX(GOOGLEFINANCE(CONCATENATE(""CURRENCY:"", C386, ""USD""), ""close"", B386 - 1), 2, 2),
   "&amp;"   D386 * INDEX(GOOGLEFINANCE(CONCATENATE(""CURRENCY:"", C386, ""USD""), ""close"", B386 + 1), 2, 2)
    )
  )
)"),104.81)</f>
        <v>104.81</v>
      </c>
    </row>
    <row r="387">
      <c r="A387" s="33" t="s">
        <v>1200</v>
      </c>
      <c r="B387" s="34">
        <v>43890.0</v>
      </c>
      <c r="C387" s="35" t="s">
        <v>42</v>
      </c>
      <c r="D387" s="36">
        <v>11.98</v>
      </c>
      <c r="E387" s="21">
        <f>IFERROR(__xludf.DUMMYFUNCTION("IF(C387=""USD"", D387, 
  IFERROR(
    D387 * INDEX(GOOGLEFINANCE(CONCATENATE(""CURRENCY:"", C387, ""USD""), ""close"", B387), 2, 2),
    IFERROR(
      D387 * INDEX(GOOGLEFINANCE(CONCATENATE(""CURRENCY:"", C387, ""USD""), ""close"", B387 - 1), 2, 2),
   "&amp;"   D387 * INDEX(GOOGLEFINANCE(CONCATENATE(""CURRENCY:"", C387, ""USD""), ""close"", B387 + 1), 2, 2)
    )
  )
)"),11.98)</f>
        <v>11.98</v>
      </c>
    </row>
    <row r="388">
      <c r="A388" s="33" t="s">
        <v>1196</v>
      </c>
      <c r="B388" s="34">
        <v>43890.0</v>
      </c>
      <c r="C388" s="35" t="s">
        <v>42</v>
      </c>
      <c r="D388" s="36">
        <v>2.11</v>
      </c>
      <c r="E388" s="21">
        <f>IFERROR(__xludf.DUMMYFUNCTION("IF(C388=""USD"", D388, 
  IFERROR(
    D388 * INDEX(GOOGLEFINANCE(CONCATENATE(""CURRENCY:"", C388, ""USD""), ""close"", B388), 2, 2),
    IFERROR(
      D388 * INDEX(GOOGLEFINANCE(CONCATENATE(""CURRENCY:"", C388, ""USD""), ""close"", B388 - 1), 2, 2),
   "&amp;"   D388 * INDEX(GOOGLEFINANCE(CONCATENATE(""CURRENCY:"", C388, ""USD""), ""close"", B388 + 1), 2, 2)
    )
  )
)"),2.11)</f>
        <v>2.11</v>
      </c>
    </row>
    <row r="389">
      <c r="A389" s="33" t="s">
        <v>1197</v>
      </c>
      <c r="B389" s="34">
        <v>43890.0</v>
      </c>
      <c r="C389" s="35" t="s">
        <v>42</v>
      </c>
      <c r="D389" s="36">
        <v>11.3</v>
      </c>
      <c r="E389" s="21">
        <f>IFERROR(__xludf.DUMMYFUNCTION("IF(C389=""USD"", D389, 
  IFERROR(
    D389 * INDEX(GOOGLEFINANCE(CONCATENATE(""CURRENCY:"", C389, ""USD""), ""close"", B389), 2, 2),
    IFERROR(
      D389 * INDEX(GOOGLEFINANCE(CONCATENATE(""CURRENCY:"", C389, ""USD""), ""close"", B389 - 1), 2, 2),
   "&amp;"   D389 * INDEX(GOOGLEFINANCE(CONCATENATE(""CURRENCY:"", C389, ""USD""), ""close"", B389 + 1), 2, 2)
    )
  )
)"),11.3)</f>
        <v>11.3</v>
      </c>
    </row>
    <row r="390">
      <c r="A390" s="33" t="s">
        <v>1204</v>
      </c>
      <c r="B390" s="34">
        <v>43890.0</v>
      </c>
      <c r="C390" s="35" t="s">
        <v>42</v>
      </c>
      <c r="D390" s="36">
        <v>1.85</v>
      </c>
      <c r="E390" s="21">
        <f>IFERROR(__xludf.DUMMYFUNCTION("IF(C390=""USD"", D390, 
  IFERROR(
    D390 * INDEX(GOOGLEFINANCE(CONCATENATE(""CURRENCY:"", C390, ""USD""), ""close"", B390), 2, 2),
    IFERROR(
      D390 * INDEX(GOOGLEFINANCE(CONCATENATE(""CURRENCY:"", C390, ""USD""), ""close"", B390 - 1), 2, 2),
   "&amp;"   D390 * INDEX(GOOGLEFINANCE(CONCATENATE(""CURRENCY:"", C390, ""USD""), ""close"", B390 + 1), 2, 2)
    )
  )
)"),1.85)</f>
        <v>1.85</v>
      </c>
    </row>
    <row r="391">
      <c r="A391" s="33" t="s">
        <v>1202</v>
      </c>
      <c r="B391" s="34">
        <v>43890.0</v>
      </c>
      <c r="C391" s="35" t="s">
        <v>42</v>
      </c>
      <c r="D391" s="36">
        <v>108.46</v>
      </c>
      <c r="E391" s="21">
        <f>IFERROR(__xludf.DUMMYFUNCTION("IF(C391=""USD"", D391, 
  IFERROR(
    D391 * INDEX(GOOGLEFINANCE(CONCATENATE(""CURRENCY:"", C391, ""USD""), ""close"", B391), 2, 2),
    IFERROR(
      D391 * INDEX(GOOGLEFINANCE(CONCATENATE(""CURRENCY:"", C391, ""USD""), ""close"", B391 - 1), 2, 2),
   "&amp;"   D391 * INDEX(GOOGLEFINANCE(CONCATENATE(""CURRENCY:"", C391, ""USD""), ""close"", B391 + 1), 2, 2)
    )
  )
)"),108.46)</f>
        <v>108.46</v>
      </c>
    </row>
    <row r="392">
      <c r="A392" s="33" t="s">
        <v>1205</v>
      </c>
      <c r="B392" s="34">
        <v>43890.0</v>
      </c>
      <c r="C392" s="35" t="s">
        <v>42</v>
      </c>
      <c r="D392" s="36">
        <v>0.07</v>
      </c>
      <c r="E392" s="21">
        <f>IFERROR(__xludf.DUMMYFUNCTION("IF(C392=""USD"", D392, 
  IFERROR(
    D392 * INDEX(GOOGLEFINANCE(CONCATENATE(""CURRENCY:"", C392, ""USD""), ""close"", B392), 2, 2),
    IFERROR(
      D392 * INDEX(GOOGLEFINANCE(CONCATENATE(""CURRENCY:"", C392, ""USD""), ""close"", B392 - 1), 2, 2),
   "&amp;"   D392 * INDEX(GOOGLEFINANCE(CONCATENATE(""CURRENCY:"", C392, ""USD""), ""close"", B392 + 1), 2, 2)
    )
  )
)"),0.07)</f>
        <v>0.07</v>
      </c>
    </row>
    <row r="393">
      <c r="A393" s="33" t="s">
        <v>1197</v>
      </c>
      <c r="B393" s="34">
        <v>43919.0</v>
      </c>
      <c r="C393" s="35" t="s">
        <v>42</v>
      </c>
      <c r="D393" s="36">
        <v>13.08</v>
      </c>
      <c r="E393" s="21">
        <f>IFERROR(__xludf.DUMMYFUNCTION("IF(C393=""USD"", D393, 
  IFERROR(
    D393 * INDEX(GOOGLEFINANCE(CONCATENATE(""CURRENCY:"", C393, ""USD""), ""close"", B393), 2, 2),
    IFERROR(
      D393 * INDEX(GOOGLEFINANCE(CONCATENATE(""CURRENCY:"", C393, ""USD""), ""close"", B393 - 1), 2, 2),
   "&amp;"   D393 * INDEX(GOOGLEFINANCE(CONCATENATE(""CURRENCY:"", C393, ""USD""), ""close"", B393 + 1), 2, 2)
    )
  )
)"),13.08)</f>
        <v>13.08</v>
      </c>
    </row>
    <row r="394">
      <c r="A394" s="33" t="s">
        <v>1200</v>
      </c>
      <c r="B394" s="34">
        <v>43919.0</v>
      </c>
      <c r="C394" s="35" t="s">
        <v>42</v>
      </c>
      <c r="D394" s="36">
        <v>8.99</v>
      </c>
      <c r="E394" s="21">
        <f>IFERROR(__xludf.DUMMYFUNCTION("IF(C394=""USD"", D394, 
  IFERROR(
    D394 * INDEX(GOOGLEFINANCE(CONCATENATE(""CURRENCY:"", C394, ""USD""), ""close"", B394), 2, 2),
    IFERROR(
      D394 * INDEX(GOOGLEFINANCE(CONCATENATE(""CURRENCY:"", C394, ""USD""), ""close"", B394 - 1), 2, 2),
   "&amp;"   D394 * INDEX(GOOGLEFINANCE(CONCATENATE(""CURRENCY:"", C394, ""USD""), ""close"", B394 + 1), 2, 2)
    )
  )
)"),8.99)</f>
        <v>8.99</v>
      </c>
    </row>
    <row r="395">
      <c r="A395" s="33" t="s">
        <v>1201</v>
      </c>
      <c r="B395" s="34">
        <v>43919.0</v>
      </c>
      <c r="C395" s="35" t="s">
        <v>42</v>
      </c>
      <c r="D395" s="36">
        <v>1.83</v>
      </c>
      <c r="E395" s="21">
        <f>IFERROR(__xludf.DUMMYFUNCTION("IF(C395=""USD"", D395, 
  IFERROR(
    D395 * INDEX(GOOGLEFINANCE(CONCATENATE(""CURRENCY:"", C395, ""USD""), ""close"", B395), 2, 2),
    IFERROR(
      D395 * INDEX(GOOGLEFINANCE(CONCATENATE(""CURRENCY:"", C395, ""USD""), ""close"", B395 - 1), 2, 2),
   "&amp;"   D395 * INDEX(GOOGLEFINANCE(CONCATENATE(""CURRENCY:"", C395, ""USD""), ""close"", B395 + 1), 2, 2)
    )
  )
)"),1.83)</f>
        <v>1.83</v>
      </c>
    </row>
    <row r="396">
      <c r="A396" s="33" t="s">
        <v>1206</v>
      </c>
      <c r="B396" s="34">
        <v>43919.0</v>
      </c>
      <c r="C396" s="35" t="s">
        <v>42</v>
      </c>
      <c r="D396" s="36">
        <v>0.19</v>
      </c>
      <c r="E396" s="21">
        <f>IFERROR(__xludf.DUMMYFUNCTION("IF(C396=""USD"", D396, 
  IFERROR(
    D396 * INDEX(GOOGLEFINANCE(CONCATENATE(""CURRENCY:"", C396, ""USD""), ""close"", B396), 2, 2),
    IFERROR(
      D396 * INDEX(GOOGLEFINANCE(CONCATENATE(""CURRENCY:"", C396, ""USD""), ""close"", B396 - 1), 2, 2),
   "&amp;"   D396 * INDEX(GOOGLEFINANCE(CONCATENATE(""CURRENCY:"", C396, ""USD""), ""close"", B396 + 1), 2, 2)
    )
  )
)"),0.19)</f>
        <v>0.19</v>
      </c>
    </row>
    <row r="397">
      <c r="A397" s="33" t="s">
        <v>1203</v>
      </c>
      <c r="B397" s="34">
        <v>43919.0</v>
      </c>
      <c r="C397" s="35" t="s">
        <v>42</v>
      </c>
      <c r="D397" s="36">
        <v>1.97</v>
      </c>
      <c r="E397" s="21">
        <f>IFERROR(__xludf.DUMMYFUNCTION("IF(C397=""USD"", D397, 
  IFERROR(
    D397 * INDEX(GOOGLEFINANCE(CONCATENATE(""CURRENCY:"", C397, ""USD""), ""close"", B397), 2, 2),
    IFERROR(
      D397 * INDEX(GOOGLEFINANCE(CONCATENATE(""CURRENCY:"", C397, ""USD""), ""close"", B397 - 1), 2, 2),
   "&amp;"   D397 * INDEX(GOOGLEFINANCE(CONCATENATE(""CURRENCY:"", C397, ""USD""), ""close"", B397 + 1), 2, 2)
    )
  )
)"),1.97)</f>
        <v>1.97</v>
      </c>
    </row>
    <row r="398">
      <c r="A398" s="33" t="s">
        <v>1194</v>
      </c>
      <c r="B398" s="34">
        <v>43919.0</v>
      </c>
      <c r="C398" s="35" t="s">
        <v>42</v>
      </c>
      <c r="D398" s="36">
        <v>1.8</v>
      </c>
      <c r="E398" s="21">
        <f>IFERROR(__xludf.DUMMYFUNCTION("IF(C398=""USD"", D398, 
  IFERROR(
    D398 * INDEX(GOOGLEFINANCE(CONCATENATE(""CURRENCY:"", C398, ""USD""), ""close"", B398), 2, 2),
    IFERROR(
      D398 * INDEX(GOOGLEFINANCE(CONCATENATE(""CURRENCY:"", C398, ""USD""), ""close"", B398 - 1), 2, 2),
   "&amp;"   D398 * INDEX(GOOGLEFINANCE(CONCATENATE(""CURRENCY:"", C398, ""USD""), ""close"", B398 + 1), 2, 2)
    )
  )
)"),1.8)</f>
        <v>1.8</v>
      </c>
    </row>
    <row r="399">
      <c r="A399" s="33" t="s">
        <v>1202</v>
      </c>
      <c r="B399" s="34">
        <v>43919.0</v>
      </c>
      <c r="C399" s="35" t="s">
        <v>42</v>
      </c>
      <c r="D399" s="36">
        <v>90.63</v>
      </c>
      <c r="E399" s="21">
        <f>IFERROR(__xludf.DUMMYFUNCTION("IF(C399=""USD"", D399, 
  IFERROR(
    D399 * INDEX(GOOGLEFINANCE(CONCATENATE(""CURRENCY:"", C399, ""USD""), ""close"", B399), 2, 2),
    IFERROR(
      D399 * INDEX(GOOGLEFINANCE(CONCATENATE(""CURRENCY:"", C399, ""USD""), ""close"", B399 - 1), 2, 2),
   "&amp;"   D399 * INDEX(GOOGLEFINANCE(CONCATENATE(""CURRENCY:"", C399, ""USD""), ""close"", B399 + 1), 2, 2)
    )
  )
)"),90.63)</f>
        <v>90.63</v>
      </c>
    </row>
    <row r="400">
      <c r="A400" s="33" t="s">
        <v>1203</v>
      </c>
      <c r="B400" s="34">
        <v>43950.0</v>
      </c>
      <c r="C400" s="35" t="s">
        <v>42</v>
      </c>
      <c r="D400" s="36">
        <v>9.23</v>
      </c>
      <c r="E400" s="21">
        <f>IFERROR(__xludf.DUMMYFUNCTION("IF(C400=""USD"", D400, 
  IFERROR(
    D400 * INDEX(GOOGLEFINANCE(CONCATENATE(""CURRENCY:"", C400, ""USD""), ""close"", B400), 2, 2),
    IFERROR(
      D400 * INDEX(GOOGLEFINANCE(CONCATENATE(""CURRENCY:"", C400, ""USD""), ""close"", B400 - 1), 2, 2),
   "&amp;"   D400 * INDEX(GOOGLEFINANCE(CONCATENATE(""CURRENCY:"", C400, ""USD""), ""close"", B400 + 1), 2, 2)
    )
  )
)"),9.23)</f>
        <v>9.23</v>
      </c>
    </row>
    <row r="401">
      <c r="A401" s="33" t="s">
        <v>1197</v>
      </c>
      <c r="B401" s="34">
        <v>43950.0</v>
      </c>
      <c r="C401" s="35" t="s">
        <v>42</v>
      </c>
      <c r="D401" s="36">
        <v>4.43</v>
      </c>
      <c r="E401" s="21">
        <f>IFERROR(__xludf.DUMMYFUNCTION("IF(C401=""USD"", D401, 
  IFERROR(
    D401 * INDEX(GOOGLEFINANCE(CONCATENATE(""CURRENCY:"", C401, ""USD""), ""close"", B401), 2, 2),
    IFERROR(
      D401 * INDEX(GOOGLEFINANCE(CONCATENATE(""CURRENCY:"", C401, ""USD""), ""close"", B401 - 1), 2, 2),
   "&amp;"   D401 * INDEX(GOOGLEFINANCE(CONCATENATE(""CURRENCY:"", C401, ""USD""), ""close"", B401 + 1), 2, 2)
    )
  )
)"),4.43)</f>
        <v>4.43</v>
      </c>
    </row>
    <row r="402">
      <c r="A402" s="33" t="s">
        <v>1200</v>
      </c>
      <c r="B402" s="34">
        <v>43950.0</v>
      </c>
      <c r="C402" s="35" t="s">
        <v>42</v>
      </c>
      <c r="D402" s="36">
        <v>2.23</v>
      </c>
      <c r="E402" s="21">
        <f>IFERROR(__xludf.DUMMYFUNCTION("IF(C402=""USD"", D402, 
  IFERROR(
    D402 * INDEX(GOOGLEFINANCE(CONCATENATE(""CURRENCY:"", C402, ""USD""), ""close"", B402), 2, 2),
    IFERROR(
      D402 * INDEX(GOOGLEFINANCE(CONCATENATE(""CURRENCY:"", C402, ""USD""), ""close"", B402 - 1), 2, 2),
   "&amp;"   D402 * INDEX(GOOGLEFINANCE(CONCATENATE(""CURRENCY:"", C402, ""USD""), ""close"", B402 + 1), 2, 2)
    )
  )
)"),2.23)</f>
        <v>2.23</v>
      </c>
    </row>
    <row r="403">
      <c r="A403" s="33" t="s">
        <v>1202</v>
      </c>
      <c r="B403" s="34">
        <v>43950.0</v>
      </c>
      <c r="C403" s="35" t="s">
        <v>42</v>
      </c>
      <c r="D403" s="36">
        <v>97.61</v>
      </c>
      <c r="E403" s="21">
        <f>IFERROR(__xludf.DUMMYFUNCTION("IF(C403=""USD"", D403, 
  IFERROR(
    D403 * INDEX(GOOGLEFINANCE(CONCATENATE(""CURRENCY:"", C403, ""USD""), ""close"", B403), 2, 2),
    IFERROR(
      D403 * INDEX(GOOGLEFINANCE(CONCATENATE(""CURRENCY:"", C403, ""USD""), ""close"", B403 - 1), 2, 2),
   "&amp;"   D403 * INDEX(GOOGLEFINANCE(CONCATENATE(""CURRENCY:"", C403, ""USD""), ""close"", B403 + 1), 2, 2)
    )
  )
)"),97.61)</f>
        <v>97.61</v>
      </c>
    </row>
    <row r="404">
      <c r="A404" s="33" t="s">
        <v>1204</v>
      </c>
      <c r="B404" s="34">
        <v>43950.0</v>
      </c>
      <c r="C404" s="35" t="s">
        <v>42</v>
      </c>
      <c r="D404" s="36">
        <v>1.83</v>
      </c>
      <c r="E404" s="21">
        <f>IFERROR(__xludf.DUMMYFUNCTION("IF(C404=""USD"", D404, 
  IFERROR(
    D404 * INDEX(GOOGLEFINANCE(CONCATENATE(""CURRENCY:"", C404, ""USD""), ""close"", B404), 2, 2),
    IFERROR(
      D404 * INDEX(GOOGLEFINANCE(CONCATENATE(""CURRENCY:"", C404, ""USD""), ""close"", B404 - 1), 2, 2),
   "&amp;"   D404 * INDEX(GOOGLEFINANCE(CONCATENATE(""CURRENCY:"", C404, ""USD""), ""close"", B404 + 1), 2, 2)
    )
  )
)"),1.83)</f>
        <v>1.83</v>
      </c>
    </row>
    <row r="405">
      <c r="A405" s="33" t="s">
        <v>1201</v>
      </c>
      <c r="B405" s="34">
        <v>43980.0</v>
      </c>
      <c r="C405" s="35" t="s">
        <v>42</v>
      </c>
      <c r="D405" s="36">
        <v>3.7</v>
      </c>
      <c r="E405" s="21">
        <f>IFERROR(__xludf.DUMMYFUNCTION("IF(C405=""USD"", D405, 
  IFERROR(
    D405 * INDEX(GOOGLEFINANCE(CONCATENATE(""CURRENCY:"", C405, ""USD""), ""close"", B405), 2, 2),
    IFERROR(
      D405 * INDEX(GOOGLEFINANCE(CONCATENATE(""CURRENCY:"", C405, ""USD""), ""close"", B405 - 1), 2, 2),
   "&amp;"   D405 * INDEX(GOOGLEFINANCE(CONCATENATE(""CURRENCY:"", C405, ""USD""), ""close"", B405 + 1), 2, 2)
    )
  )
)"),3.7)</f>
        <v>3.7</v>
      </c>
    </row>
    <row r="406">
      <c r="A406" s="33" t="s">
        <v>1197</v>
      </c>
      <c r="B406" s="34">
        <v>43980.0</v>
      </c>
      <c r="C406" s="35" t="s">
        <v>42</v>
      </c>
      <c r="D406" s="36">
        <v>10.34</v>
      </c>
      <c r="E406" s="21">
        <f>IFERROR(__xludf.DUMMYFUNCTION("IF(C406=""USD"", D406, 
  IFERROR(
    D406 * INDEX(GOOGLEFINANCE(CONCATENATE(""CURRENCY:"", C406, ""USD""), ""close"", B406), 2, 2),
    IFERROR(
      D406 * INDEX(GOOGLEFINANCE(CONCATENATE(""CURRENCY:"", C406, ""USD""), ""close"", B406 - 1), 2, 2),
   "&amp;"   D406 * INDEX(GOOGLEFINANCE(CONCATENATE(""CURRENCY:"", C406, ""USD""), ""close"", B406 + 1), 2, 2)
    )
  )
)"),10.34)</f>
        <v>10.34</v>
      </c>
    </row>
    <row r="407">
      <c r="A407" s="33" t="s">
        <v>1203</v>
      </c>
      <c r="B407" s="34">
        <v>43980.0</v>
      </c>
      <c r="C407" s="35" t="s">
        <v>42</v>
      </c>
      <c r="D407" s="36">
        <v>11.97</v>
      </c>
      <c r="E407" s="21">
        <f>IFERROR(__xludf.DUMMYFUNCTION("IF(C407=""USD"", D407, 
  IFERROR(
    D407 * INDEX(GOOGLEFINANCE(CONCATENATE(""CURRENCY:"", C407, ""USD""), ""close"", B407), 2, 2),
    IFERROR(
      D407 * INDEX(GOOGLEFINANCE(CONCATENATE(""CURRENCY:"", C407, ""USD""), ""close"", B407 - 1), 2, 2),
   "&amp;"   D407 * INDEX(GOOGLEFINANCE(CONCATENATE(""CURRENCY:"", C407, ""USD""), ""close"", B407 + 1), 2, 2)
    )
  )
)"),11.97)</f>
        <v>11.97</v>
      </c>
    </row>
    <row r="408">
      <c r="A408" s="33" t="s">
        <v>1202</v>
      </c>
      <c r="B408" s="34">
        <v>43980.0</v>
      </c>
      <c r="C408" s="35" t="s">
        <v>42</v>
      </c>
      <c r="D408" s="36">
        <v>73.77</v>
      </c>
      <c r="E408" s="21">
        <f>IFERROR(__xludf.DUMMYFUNCTION("IF(C408=""USD"", D408, 
  IFERROR(
    D408 * INDEX(GOOGLEFINANCE(CONCATENATE(""CURRENCY:"", C408, ""USD""), ""close"", B408), 2, 2),
    IFERROR(
      D408 * INDEX(GOOGLEFINANCE(CONCATENATE(""CURRENCY:"", C408, ""USD""), ""close"", B408 - 1), 2, 2),
   "&amp;"   D408 * INDEX(GOOGLEFINANCE(CONCATENATE(""CURRENCY:"", C408, ""USD""), ""close"", B408 + 1), 2, 2)
    )
  )
)"),73.77)</f>
        <v>73.77</v>
      </c>
    </row>
    <row r="409">
      <c r="A409" s="33" t="s">
        <v>1196</v>
      </c>
      <c r="B409" s="34">
        <v>43980.0</v>
      </c>
      <c r="C409" s="35" t="s">
        <v>42</v>
      </c>
      <c r="D409" s="36">
        <v>1.84</v>
      </c>
      <c r="E409" s="21">
        <f>IFERROR(__xludf.DUMMYFUNCTION("IF(C409=""USD"", D409, 
  IFERROR(
    D409 * INDEX(GOOGLEFINANCE(CONCATENATE(""CURRENCY:"", C409, ""USD""), ""close"", B409), 2, 2),
    IFERROR(
      D409 * INDEX(GOOGLEFINANCE(CONCATENATE(""CURRENCY:"", C409, ""USD""), ""close"", B409 - 1), 2, 2),
   "&amp;"   D409 * INDEX(GOOGLEFINANCE(CONCATENATE(""CURRENCY:"", C409, ""USD""), ""close"", B409 + 1), 2, 2)
    )
  )
)"),1.84)</f>
        <v>1.84</v>
      </c>
    </row>
    <row r="410">
      <c r="A410" s="33" t="s">
        <v>1204</v>
      </c>
      <c r="B410" s="34">
        <v>43980.0</v>
      </c>
      <c r="C410" s="35" t="s">
        <v>42</v>
      </c>
      <c r="D410" s="36">
        <v>1.86</v>
      </c>
      <c r="E410" s="21">
        <f>IFERROR(__xludf.DUMMYFUNCTION("IF(C410=""USD"", D410, 
  IFERROR(
    D410 * INDEX(GOOGLEFINANCE(CONCATENATE(""CURRENCY:"", C410, ""USD""), ""close"", B410), 2, 2),
    IFERROR(
      D410 * INDEX(GOOGLEFINANCE(CONCATENATE(""CURRENCY:"", C410, ""USD""), ""close"", B410 - 1), 2, 2),
   "&amp;"   D410 * INDEX(GOOGLEFINANCE(CONCATENATE(""CURRENCY:"", C410, ""USD""), ""close"", B410 + 1), 2, 2)
    )
  )
)"),1.86)</f>
        <v>1.86</v>
      </c>
    </row>
    <row r="411">
      <c r="A411" s="33" t="s">
        <v>1200</v>
      </c>
      <c r="B411" s="34">
        <v>43980.0</v>
      </c>
      <c r="C411" s="35" t="s">
        <v>42</v>
      </c>
      <c r="D411" s="36">
        <v>3.42</v>
      </c>
      <c r="E411" s="21">
        <f>IFERROR(__xludf.DUMMYFUNCTION("IF(C411=""USD"", D411, 
  IFERROR(
    D411 * INDEX(GOOGLEFINANCE(CONCATENATE(""CURRENCY:"", C411, ""USD""), ""close"", B411), 2, 2),
    IFERROR(
      D411 * INDEX(GOOGLEFINANCE(CONCATENATE(""CURRENCY:"", C411, ""USD""), ""close"", B411 - 1), 2, 2),
   "&amp;"   D411 * INDEX(GOOGLEFINANCE(CONCATENATE(""CURRENCY:"", C411, ""USD""), ""close"", B411 + 1), 2, 2)
    )
  )
)"),3.42)</f>
        <v>3.42</v>
      </c>
    </row>
    <row r="412">
      <c r="A412" s="33" t="s">
        <v>1200</v>
      </c>
      <c r="B412" s="34">
        <v>44011.0</v>
      </c>
      <c r="C412" s="35" t="s">
        <v>42</v>
      </c>
      <c r="D412" s="36">
        <v>4.55</v>
      </c>
      <c r="E412" s="21">
        <f>IFERROR(__xludf.DUMMYFUNCTION("IF(C412=""USD"", D412, 
  IFERROR(
    D412 * INDEX(GOOGLEFINANCE(CONCATENATE(""CURRENCY:"", C412, ""USD""), ""close"", B412), 2, 2),
    IFERROR(
      D412 * INDEX(GOOGLEFINANCE(CONCATENATE(""CURRENCY:"", C412, ""USD""), ""close"", B412 - 1), 2, 2),
   "&amp;"   D412 * INDEX(GOOGLEFINANCE(CONCATENATE(""CURRENCY:"", C412, ""USD""), ""close"", B412 + 1), 2, 2)
    )
  )
)"),4.55)</f>
        <v>4.55</v>
      </c>
    </row>
    <row r="413">
      <c r="A413" s="33" t="s">
        <v>1204</v>
      </c>
      <c r="B413" s="34">
        <v>44011.0</v>
      </c>
      <c r="C413" s="35" t="s">
        <v>42</v>
      </c>
      <c r="D413" s="36">
        <v>2.17</v>
      </c>
      <c r="E413" s="21">
        <f>IFERROR(__xludf.DUMMYFUNCTION("IF(C413=""USD"", D413, 
  IFERROR(
    D413 * INDEX(GOOGLEFINANCE(CONCATENATE(""CURRENCY:"", C413, ""USD""), ""close"", B413), 2, 2),
    IFERROR(
      D413 * INDEX(GOOGLEFINANCE(CONCATENATE(""CURRENCY:"", C413, ""USD""), ""close"", B413 - 1), 2, 2),
   "&amp;"   D413 * INDEX(GOOGLEFINANCE(CONCATENATE(""CURRENCY:"", C413, ""USD""), ""close"", B413 + 1), 2, 2)
    )
  )
)"),2.17)</f>
        <v>2.17</v>
      </c>
    </row>
    <row r="414">
      <c r="A414" s="33" t="s">
        <v>1197</v>
      </c>
      <c r="B414" s="34">
        <v>44011.0</v>
      </c>
      <c r="C414" s="35" t="s">
        <v>42</v>
      </c>
      <c r="D414" s="36">
        <v>13.57</v>
      </c>
      <c r="E414" s="21">
        <f>IFERROR(__xludf.DUMMYFUNCTION("IF(C414=""USD"", D414, 
  IFERROR(
    D414 * INDEX(GOOGLEFINANCE(CONCATENATE(""CURRENCY:"", C414, ""USD""), ""close"", B414), 2, 2),
    IFERROR(
      D414 * INDEX(GOOGLEFINANCE(CONCATENATE(""CURRENCY:"", C414, ""USD""), ""close"", B414 - 1), 2, 2),
   "&amp;"   D414 * INDEX(GOOGLEFINANCE(CONCATENATE(""CURRENCY:"", C414, ""USD""), ""close"", B414 + 1), 2, 2)
    )
  )
)"),13.57)</f>
        <v>13.57</v>
      </c>
    </row>
    <row r="415">
      <c r="A415" s="33" t="s">
        <v>1202</v>
      </c>
      <c r="B415" s="34">
        <v>44011.0</v>
      </c>
      <c r="C415" s="35" t="s">
        <v>42</v>
      </c>
      <c r="D415" s="36">
        <v>89.12</v>
      </c>
      <c r="E415" s="21">
        <f>IFERROR(__xludf.DUMMYFUNCTION("IF(C415=""USD"", D415, 
  IFERROR(
    D415 * INDEX(GOOGLEFINANCE(CONCATENATE(""CURRENCY:"", C415, ""USD""), ""close"", B415), 2, 2),
    IFERROR(
      D415 * INDEX(GOOGLEFINANCE(CONCATENATE(""CURRENCY:"", C415, ""USD""), ""close"", B415 - 1), 2, 2),
   "&amp;"   D415 * INDEX(GOOGLEFINANCE(CONCATENATE(""CURRENCY:"", C415, ""USD""), ""close"", B415 + 1), 2, 2)
    )
  )
)"),89.12)</f>
        <v>89.12</v>
      </c>
    </row>
    <row r="416">
      <c r="A416" s="33" t="s">
        <v>1203</v>
      </c>
      <c r="B416" s="34">
        <v>44011.0</v>
      </c>
      <c r="C416" s="35" t="s">
        <v>42</v>
      </c>
      <c r="D416" s="36">
        <v>0.32</v>
      </c>
      <c r="E416" s="21">
        <f>IFERROR(__xludf.DUMMYFUNCTION("IF(C416=""USD"", D416, 
  IFERROR(
    D416 * INDEX(GOOGLEFINANCE(CONCATENATE(""CURRENCY:"", C416, ""USD""), ""close"", B416), 2, 2),
    IFERROR(
      D416 * INDEX(GOOGLEFINANCE(CONCATENATE(""CURRENCY:"", C416, ""USD""), ""close"", B416 - 1), 2, 2),
   "&amp;"   D416 * INDEX(GOOGLEFINANCE(CONCATENATE(""CURRENCY:"", C416, ""USD""), ""close"", B416 + 1), 2, 2)
    )
  )
)"),0.32)</f>
        <v>0.32</v>
      </c>
    </row>
    <row r="417">
      <c r="A417" s="33" t="s">
        <v>1200</v>
      </c>
      <c r="B417" s="34">
        <v>44041.0</v>
      </c>
      <c r="C417" s="35" t="s">
        <v>42</v>
      </c>
      <c r="D417" s="36">
        <v>12.07</v>
      </c>
      <c r="E417" s="21">
        <f>IFERROR(__xludf.DUMMYFUNCTION("IF(C417=""USD"", D417, 
  IFERROR(
    D417 * INDEX(GOOGLEFINANCE(CONCATENATE(""CURRENCY:"", C417, ""USD""), ""close"", B417), 2, 2),
    IFERROR(
      D417 * INDEX(GOOGLEFINANCE(CONCATENATE(""CURRENCY:"", C417, ""USD""), ""close"", B417 - 1), 2, 2),
   "&amp;"   D417 * INDEX(GOOGLEFINANCE(CONCATENATE(""CURRENCY:"", C417, ""USD""), ""close"", B417 + 1), 2, 2)
    )
  )
)"),12.07)</f>
        <v>12.07</v>
      </c>
    </row>
    <row r="418">
      <c r="A418" s="33" t="s">
        <v>1202</v>
      </c>
      <c r="B418" s="34">
        <v>44041.0</v>
      </c>
      <c r="C418" s="35" t="s">
        <v>42</v>
      </c>
      <c r="D418" s="36">
        <v>83.27</v>
      </c>
      <c r="E418" s="21">
        <f>IFERROR(__xludf.DUMMYFUNCTION("IF(C418=""USD"", D418, 
  IFERROR(
    D418 * INDEX(GOOGLEFINANCE(CONCATENATE(""CURRENCY:"", C418, ""USD""), ""close"", B418), 2, 2),
    IFERROR(
      D418 * INDEX(GOOGLEFINANCE(CONCATENATE(""CURRENCY:"", C418, ""USD""), ""close"", B418 - 1), 2, 2),
   "&amp;"   D418 * INDEX(GOOGLEFINANCE(CONCATENATE(""CURRENCY:"", C418, ""USD""), ""close"", B418 + 1), 2, 2)
    )
  )
)"),83.27)</f>
        <v>83.27</v>
      </c>
    </row>
    <row r="419">
      <c r="A419" s="33" t="s">
        <v>1194</v>
      </c>
      <c r="B419" s="34">
        <v>44041.0</v>
      </c>
      <c r="C419" s="35" t="s">
        <v>42</v>
      </c>
      <c r="D419" s="36">
        <v>4.25</v>
      </c>
      <c r="E419" s="21">
        <f>IFERROR(__xludf.DUMMYFUNCTION("IF(C419=""USD"", D419, 
  IFERROR(
    D419 * INDEX(GOOGLEFINANCE(CONCATENATE(""CURRENCY:"", C419, ""USD""), ""close"", B419), 2, 2),
    IFERROR(
      D419 * INDEX(GOOGLEFINANCE(CONCATENATE(""CURRENCY:"", C419, ""USD""), ""close"", B419 - 1), 2, 2),
   "&amp;"   D419 * INDEX(GOOGLEFINANCE(CONCATENATE(""CURRENCY:"", C419, ""USD""), ""close"", B419 + 1), 2, 2)
    )
  )
)"),4.25)</f>
        <v>4.25</v>
      </c>
    </row>
    <row r="420">
      <c r="A420" s="33" t="s">
        <v>1204</v>
      </c>
      <c r="B420" s="34">
        <v>44041.0</v>
      </c>
      <c r="C420" s="35" t="s">
        <v>42</v>
      </c>
      <c r="D420" s="36">
        <v>2.25</v>
      </c>
      <c r="E420" s="21">
        <f>IFERROR(__xludf.DUMMYFUNCTION("IF(C420=""USD"", D420, 
  IFERROR(
    D420 * INDEX(GOOGLEFINANCE(CONCATENATE(""CURRENCY:"", C420, ""USD""), ""close"", B420), 2, 2),
    IFERROR(
      D420 * INDEX(GOOGLEFINANCE(CONCATENATE(""CURRENCY:"", C420, ""USD""), ""close"", B420 - 1), 2, 2),
   "&amp;"   D420 * INDEX(GOOGLEFINANCE(CONCATENATE(""CURRENCY:"", C420, ""USD""), ""close"", B420 + 1), 2, 2)
    )
  )
)"),2.25)</f>
        <v>2.25</v>
      </c>
    </row>
    <row r="421">
      <c r="A421" s="33" t="s">
        <v>1203</v>
      </c>
      <c r="B421" s="34">
        <v>44041.0</v>
      </c>
      <c r="C421" s="35" t="s">
        <v>42</v>
      </c>
      <c r="D421" s="36">
        <v>10.06</v>
      </c>
      <c r="E421" s="21">
        <f>IFERROR(__xludf.DUMMYFUNCTION("IF(C421=""USD"", D421, 
  IFERROR(
    D421 * INDEX(GOOGLEFINANCE(CONCATENATE(""CURRENCY:"", C421, ""USD""), ""close"", B421), 2, 2),
    IFERROR(
      D421 * INDEX(GOOGLEFINANCE(CONCATENATE(""CURRENCY:"", C421, ""USD""), ""close"", B421 - 1), 2, 2),
   "&amp;"   D421 * INDEX(GOOGLEFINANCE(CONCATENATE(""CURRENCY:"", C421, ""USD""), ""close"", B421 + 1), 2, 2)
    )
  )
)"),10.06)</f>
        <v>10.06</v>
      </c>
    </row>
    <row r="422">
      <c r="A422" s="33" t="s">
        <v>1197</v>
      </c>
      <c r="B422" s="34">
        <v>44041.0</v>
      </c>
      <c r="C422" s="35" t="s">
        <v>42</v>
      </c>
      <c r="D422" s="36">
        <v>35.2</v>
      </c>
      <c r="E422" s="21">
        <f>IFERROR(__xludf.DUMMYFUNCTION("IF(C422=""USD"", D422, 
  IFERROR(
    D422 * INDEX(GOOGLEFINANCE(CONCATENATE(""CURRENCY:"", C422, ""USD""), ""close"", B422), 2, 2),
    IFERROR(
      D422 * INDEX(GOOGLEFINANCE(CONCATENATE(""CURRENCY:"", C422, ""USD""), ""close"", B422 - 1), 2, 2),
   "&amp;"   D422 * INDEX(GOOGLEFINANCE(CONCATENATE(""CURRENCY:"", C422, ""USD""), ""close"", B422 + 1), 2, 2)
    )
  )
)"),35.2)</f>
        <v>35.2</v>
      </c>
    </row>
    <row r="423">
      <c r="A423" s="33" t="s">
        <v>1196</v>
      </c>
      <c r="B423" s="34">
        <v>44041.0</v>
      </c>
      <c r="C423" s="35" t="s">
        <v>42</v>
      </c>
      <c r="D423" s="36">
        <v>1.94</v>
      </c>
      <c r="E423" s="21">
        <f>IFERROR(__xludf.DUMMYFUNCTION("IF(C423=""USD"", D423, 
  IFERROR(
    D423 * INDEX(GOOGLEFINANCE(CONCATENATE(""CURRENCY:"", C423, ""USD""), ""close"", B423), 2, 2),
    IFERROR(
      D423 * INDEX(GOOGLEFINANCE(CONCATENATE(""CURRENCY:"", C423, ""USD""), ""close"", B423 - 1), 2, 2),
   "&amp;"   D423 * INDEX(GOOGLEFINANCE(CONCATENATE(""CURRENCY:"", C423, ""USD""), ""close"", B423 + 1), 2, 2)
    )
  )
)"),1.94)</f>
        <v>1.94</v>
      </c>
    </row>
    <row r="424">
      <c r="A424" s="33" t="s">
        <v>1202</v>
      </c>
      <c r="B424" s="34">
        <v>44072.0</v>
      </c>
      <c r="C424" s="35" t="s">
        <v>42</v>
      </c>
      <c r="D424" s="36">
        <v>116.18</v>
      </c>
      <c r="E424" s="21">
        <f>IFERROR(__xludf.DUMMYFUNCTION("IF(C424=""USD"", D424, 
  IFERROR(
    D424 * INDEX(GOOGLEFINANCE(CONCATENATE(""CURRENCY:"", C424, ""USD""), ""close"", B424), 2, 2),
    IFERROR(
      D424 * INDEX(GOOGLEFINANCE(CONCATENATE(""CURRENCY:"", C424, ""USD""), ""close"", B424 - 1), 2, 2),
   "&amp;"   D424 * INDEX(GOOGLEFINANCE(CONCATENATE(""CURRENCY:"", C424, ""USD""), ""close"", B424 + 1), 2, 2)
    )
  )
)"),116.18)</f>
        <v>116.18</v>
      </c>
    </row>
    <row r="425">
      <c r="A425" s="33" t="s">
        <v>1197</v>
      </c>
      <c r="B425" s="34">
        <v>44072.0</v>
      </c>
      <c r="C425" s="35" t="s">
        <v>42</v>
      </c>
      <c r="D425" s="36">
        <v>9.89</v>
      </c>
      <c r="E425" s="21">
        <f>IFERROR(__xludf.DUMMYFUNCTION("IF(C425=""USD"", D425, 
  IFERROR(
    D425 * INDEX(GOOGLEFINANCE(CONCATENATE(""CURRENCY:"", C425, ""USD""), ""close"", B425), 2, 2),
    IFERROR(
      D425 * INDEX(GOOGLEFINANCE(CONCATENATE(""CURRENCY:"", C425, ""USD""), ""close"", B425 - 1), 2, 2),
   "&amp;"   D425 * INDEX(GOOGLEFINANCE(CONCATENATE(""CURRENCY:"", C425, ""USD""), ""close"", B425 + 1), 2, 2)
    )
  )
)"),9.89)</f>
        <v>9.89</v>
      </c>
    </row>
    <row r="426">
      <c r="A426" s="33" t="s">
        <v>1203</v>
      </c>
      <c r="B426" s="34">
        <v>44072.0</v>
      </c>
      <c r="C426" s="35" t="s">
        <v>42</v>
      </c>
      <c r="D426" s="36">
        <v>2.38</v>
      </c>
      <c r="E426" s="21">
        <f>IFERROR(__xludf.DUMMYFUNCTION("IF(C426=""USD"", D426, 
  IFERROR(
    D426 * INDEX(GOOGLEFINANCE(CONCATENATE(""CURRENCY:"", C426, ""USD""), ""close"", B426), 2, 2),
    IFERROR(
      D426 * INDEX(GOOGLEFINANCE(CONCATENATE(""CURRENCY:"", C426, ""USD""), ""close"", B426 - 1), 2, 2),
   "&amp;"   D426 * INDEX(GOOGLEFINANCE(CONCATENATE(""CURRENCY:"", C426, ""USD""), ""close"", B426 + 1), 2, 2)
    )
  )
)"),2.38)</f>
        <v>2.38</v>
      </c>
    </row>
    <row r="427">
      <c r="A427" s="33" t="s">
        <v>1200</v>
      </c>
      <c r="B427" s="34">
        <v>44072.0</v>
      </c>
      <c r="C427" s="35" t="s">
        <v>42</v>
      </c>
      <c r="D427" s="36">
        <v>9.93</v>
      </c>
      <c r="E427" s="21">
        <f>IFERROR(__xludf.DUMMYFUNCTION("IF(C427=""USD"", D427, 
  IFERROR(
    D427 * INDEX(GOOGLEFINANCE(CONCATENATE(""CURRENCY:"", C427, ""USD""), ""close"", B427), 2, 2),
    IFERROR(
      D427 * INDEX(GOOGLEFINANCE(CONCATENATE(""CURRENCY:"", C427, ""USD""), ""close"", B427 - 1), 2, 2),
   "&amp;"   D427 * INDEX(GOOGLEFINANCE(CONCATENATE(""CURRENCY:"", C427, ""USD""), ""close"", B427 + 1), 2, 2)
    )
  )
)"),9.93)</f>
        <v>9.93</v>
      </c>
    </row>
    <row r="428">
      <c r="A428" s="33" t="s">
        <v>1204</v>
      </c>
      <c r="B428" s="34">
        <v>44072.0</v>
      </c>
      <c r="C428" s="35" t="s">
        <v>42</v>
      </c>
      <c r="D428" s="36">
        <v>10.22</v>
      </c>
      <c r="E428" s="21">
        <f>IFERROR(__xludf.DUMMYFUNCTION("IF(C428=""USD"", D428, 
  IFERROR(
    D428 * INDEX(GOOGLEFINANCE(CONCATENATE(""CURRENCY:"", C428, ""USD""), ""close"", B428), 2, 2),
    IFERROR(
      D428 * INDEX(GOOGLEFINANCE(CONCATENATE(""CURRENCY:"", C428, ""USD""), ""close"", B428 - 1), 2, 2),
   "&amp;"   D428 * INDEX(GOOGLEFINANCE(CONCATENATE(""CURRENCY:"", C428, ""USD""), ""close"", B428 + 1), 2, 2)
    )
  )
)"),10.22)</f>
        <v>10.22</v>
      </c>
    </row>
    <row r="429">
      <c r="A429" s="33" t="s">
        <v>1208</v>
      </c>
      <c r="B429" s="34">
        <v>44072.0</v>
      </c>
      <c r="C429" s="35" t="s">
        <v>42</v>
      </c>
      <c r="D429" s="36">
        <v>2.22</v>
      </c>
      <c r="E429" s="21">
        <f>IFERROR(__xludf.DUMMYFUNCTION("IF(C429=""USD"", D429, 
  IFERROR(
    D429 * INDEX(GOOGLEFINANCE(CONCATENATE(""CURRENCY:"", C429, ""USD""), ""close"", B429), 2, 2),
    IFERROR(
      D429 * INDEX(GOOGLEFINANCE(CONCATENATE(""CURRENCY:"", C429, ""USD""), ""close"", B429 - 1), 2, 2),
   "&amp;"   D429 * INDEX(GOOGLEFINANCE(CONCATENATE(""CURRENCY:"", C429, ""USD""), ""close"", B429 + 1), 2, 2)
    )
  )
)"),2.22)</f>
        <v>2.22</v>
      </c>
    </row>
    <row r="430">
      <c r="A430" s="33" t="s">
        <v>1200</v>
      </c>
      <c r="B430" s="34">
        <v>44103.0</v>
      </c>
      <c r="C430" s="35" t="s">
        <v>42</v>
      </c>
      <c r="D430" s="36">
        <v>21.31</v>
      </c>
      <c r="E430" s="21">
        <f>IFERROR(__xludf.DUMMYFUNCTION("IF(C430=""USD"", D430, 
  IFERROR(
    D430 * INDEX(GOOGLEFINANCE(CONCATENATE(""CURRENCY:"", C430, ""USD""), ""close"", B430), 2, 2),
    IFERROR(
      D430 * INDEX(GOOGLEFINANCE(CONCATENATE(""CURRENCY:"", C430, ""USD""), ""close"", B430 - 1), 2, 2),
   "&amp;"   D430 * INDEX(GOOGLEFINANCE(CONCATENATE(""CURRENCY:"", C430, ""USD""), ""close"", B430 + 1), 2, 2)
    )
  )
)"),21.31)</f>
        <v>21.31</v>
      </c>
    </row>
    <row r="431">
      <c r="A431" s="33" t="s">
        <v>1201</v>
      </c>
      <c r="B431" s="34">
        <v>44103.0</v>
      </c>
      <c r="C431" s="35" t="s">
        <v>42</v>
      </c>
      <c r="D431" s="36">
        <v>1.97</v>
      </c>
      <c r="E431" s="21">
        <f>IFERROR(__xludf.DUMMYFUNCTION("IF(C431=""USD"", D431, 
  IFERROR(
    D431 * INDEX(GOOGLEFINANCE(CONCATENATE(""CURRENCY:"", C431, ""USD""), ""close"", B431), 2, 2),
    IFERROR(
      D431 * INDEX(GOOGLEFINANCE(CONCATENATE(""CURRENCY:"", C431, ""USD""), ""close"", B431 - 1), 2, 2),
   "&amp;"   D431 * INDEX(GOOGLEFINANCE(CONCATENATE(""CURRENCY:"", C431, ""USD""), ""close"", B431 + 1), 2, 2)
    )
  )
)"),1.97)</f>
        <v>1.97</v>
      </c>
    </row>
    <row r="432">
      <c r="A432" s="33" t="s">
        <v>1204</v>
      </c>
      <c r="B432" s="34">
        <v>44103.0</v>
      </c>
      <c r="C432" s="35" t="s">
        <v>42</v>
      </c>
      <c r="D432" s="36">
        <v>6.41</v>
      </c>
      <c r="E432" s="21">
        <f>IFERROR(__xludf.DUMMYFUNCTION("IF(C432=""USD"", D432, 
  IFERROR(
    D432 * INDEX(GOOGLEFINANCE(CONCATENATE(""CURRENCY:"", C432, ""USD""), ""close"", B432), 2, 2),
    IFERROR(
      D432 * INDEX(GOOGLEFINANCE(CONCATENATE(""CURRENCY:"", C432, ""USD""), ""close"", B432 - 1), 2, 2),
   "&amp;"   D432 * INDEX(GOOGLEFINANCE(CONCATENATE(""CURRENCY:"", C432, ""USD""), ""close"", B432 + 1), 2, 2)
    )
  )
)"),6.41)</f>
        <v>6.41</v>
      </c>
    </row>
    <row r="433">
      <c r="A433" s="33" t="s">
        <v>1196</v>
      </c>
      <c r="B433" s="34">
        <v>44103.0</v>
      </c>
      <c r="C433" s="35" t="s">
        <v>42</v>
      </c>
      <c r="D433" s="36">
        <v>1.93</v>
      </c>
      <c r="E433" s="21">
        <f>IFERROR(__xludf.DUMMYFUNCTION("IF(C433=""USD"", D433, 
  IFERROR(
    D433 * INDEX(GOOGLEFINANCE(CONCATENATE(""CURRENCY:"", C433, ""USD""), ""close"", B433), 2, 2),
    IFERROR(
      D433 * INDEX(GOOGLEFINANCE(CONCATENATE(""CURRENCY:"", C433, ""USD""), ""close"", B433 - 1), 2, 2),
   "&amp;"   D433 * INDEX(GOOGLEFINANCE(CONCATENATE(""CURRENCY:"", C433, ""USD""), ""close"", B433 + 1), 2, 2)
    )
  )
)"),1.93)</f>
        <v>1.93</v>
      </c>
    </row>
    <row r="434">
      <c r="A434" s="33" t="s">
        <v>1203</v>
      </c>
      <c r="B434" s="34">
        <v>44103.0</v>
      </c>
      <c r="C434" s="35" t="s">
        <v>42</v>
      </c>
      <c r="D434" s="36">
        <v>5.99</v>
      </c>
      <c r="E434" s="21">
        <f>IFERROR(__xludf.DUMMYFUNCTION("IF(C434=""USD"", D434, 
  IFERROR(
    D434 * INDEX(GOOGLEFINANCE(CONCATENATE(""CURRENCY:"", C434, ""USD""), ""close"", B434), 2, 2),
    IFERROR(
      D434 * INDEX(GOOGLEFINANCE(CONCATENATE(""CURRENCY:"", C434, ""USD""), ""close"", B434 - 1), 2, 2),
   "&amp;"   D434 * INDEX(GOOGLEFINANCE(CONCATENATE(""CURRENCY:"", C434, ""USD""), ""close"", B434 + 1), 2, 2)
    )
  )
)"),5.99)</f>
        <v>5.99</v>
      </c>
    </row>
    <row r="435">
      <c r="A435" s="33" t="s">
        <v>1207</v>
      </c>
      <c r="B435" s="34">
        <v>44103.0</v>
      </c>
      <c r="C435" s="35" t="s">
        <v>42</v>
      </c>
      <c r="D435" s="36">
        <v>1.85</v>
      </c>
      <c r="E435" s="21">
        <f>IFERROR(__xludf.DUMMYFUNCTION("IF(C435=""USD"", D435, 
  IFERROR(
    D435 * INDEX(GOOGLEFINANCE(CONCATENATE(""CURRENCY:"", C435, ""USD""), ""close"", B435), 2, 2),
    IFERROR(
      D435 * INDEX(GOOGLEFINANCE(CONCATENATE(""CURRENCY:"", C435, ""USD""), ""close"", B435 - 1), 2, 2),
   "&amp;"   D435 * INDEX(GOOGLEFINANCE(CONCATENATE(""CURRENCY:"", C435, ""USD""), ""close"", B435 + 1), 2, 2)
    )
  )
)"),1.85)</f>
        <v>1.85</v>
      </c>
    </row>
    <row r="436">
      <c r="A436" s="33" t="s">
        <v>1194</v>
      </c>
      <c r="B436" s="34">
        <v>44103.0</v>
      </c>
      <c r="C436" s="35" t="s">
        <v>42</v>
      </c>
      <c r="D436" s="36">
        <v>0.25</v>
      </c>
      <c r="E436" s="21">
        <f>IFERROR(__xludf.DUMMYFUNCTION("IF(C436=""USD"", D436, 
  IFERROR(
    D436 * INDEX(GOOGLEFINANCE(CONCATENATE(""CURRENCY:"", C436, ""USD""), ""close"", B436), 2, 2),
    IFERROR(
      D436 * INDEX(GOOGLEFINANCE(CONCATENATE(""CURRENCY:"", C436, ""USD""), ""close"", B436 - 1), 2, 2),
   "&amp;"   D436 * INDEX(GOOGLEFINANCE(CONCATENATE(""CURRENCY:"", C436, ""USD""), ""close"", B436 + 1), 2, 2)
    )
  )
)"),0.25)</f>
        <v>0.25</v>
      </c>
    </row>
    <row r="437">
      <c r="A437" s="33" t="s">
        <v>1202</v>
      </c>
      <c r="B437" s="34">
        <v>44103.0</v>
      </c>
      <c r="C437" s="35" t="s">
        <v>42</v>
      </c>
      <c r="D437" s="36">
        <v>67.82</v>
      </c>
      <c r="E437" s="21">
        <f>IFERROR(__xludf.DUMMYFUNCTION("IF(C437=""USD"", D437, 
  IFERROR(
    D437 * INDEX(GOOGLEFINANCE(CONCATENATE(""CURRENCY:"", C437, ""USD""), ""close"", B437), 2, 2),
    IFERROR(
      D437 * INDEX(GOOGLEFINANCE(CONCATENATE(""CURRENCY:"", C437, ""USD""), ""close"", B437 - 1), 2, 2),
   "&amp;"   D437 * INDEX(GOOGLEFINANCE(CONCATENATE(""CURRENCY:"", C437, ""USD""), ""close"", B437 + 1), 2, 2)
    )
  )
)"),67.82)</f>
        <v>67.82</v>
      </c>
    </row>
    <row r="438">
      <c r="A438" s="33" t="s">
        <v>1197</v>
      </c>
      <c r="B438" s="34">
        <v>44103.0</v>
      </c>
      <c r="C438" s="35" t="s">
        <v>42</v>
      </c>
      <c r="D438" s="36">
        <v>4.72</v>
      </c>
      <c r="E438" s="21">
        <f>IFERROR(__xludf.DUMMYFUNCTION("IF(C438=""USD"", D438, 
  IFERROR(
    D438 * INDEX(GOOGLEFINANCE(CONCATENATE(""CURRENCY:"", C438, ""USD""), ""close"", B438), 2, 2),
    IFERROR(
      D438 * INDEX(GOOGLEFINANCE(CONCATENATE(""CURRENCY:"", C438, ""USD""), ""close"", B438 - 1), 2, 2),
   "&amp;"   D438 * INDEX(GOOGLEFINANCE(CONCATENATE(""CURRENCY:"", C438, ""USD""), ""close"", B438 + 1), 2, 2)
    )
  )
)"),4.72)</f>
        <v>4.72</v>
      </c>
    </row>
    <row r="439">
      <c r="A439" s="33" t="s">
        <v>1203</v>
      </c>
      <c r="B439" s="34">
        <v>44133.0</v>
      </c>
      <c r="C439" s="35" t="s">
        <v>42</v>
      </c>
      <c r="D439" s="36">
        <v>11.95</v>
      </c>
      <c r="E439" s="21">
        <f>IFERROR(__xludf.DUMMYFUNCTION("IF(C439=""USD"", D439, 
  IFERROR(
    D439 * INDEX(GOOGLEFINANCE(CONCATENATE(""CURRENCY:"", C439, ""USD""), ""close"", B439), 2, 2),
    IFERROR(
      D439 * INDEX(GOOGLEFINANCE(CONCATENATE(""CURRENCY:"", C439, ""USD""), ""close"", B439 - 1), 2, 2),
   "&amp;"   D439 * INDEX(GOOGLEFINANCE(CONCATENATE(""CURRENCY:"", C439, ""USD""), ""close"", B439 + 1), 2, 2)
    )
  )
)"),11.95)</f>
        <v>11.95</v>
      </c>
    </row>
    <row r="440">
      <c r="A440" s="33" t="s">
        <v>1209</v>
      </c>
      <c r="B440" s="34">
        <v>44133.0</v>
      </c>
      <c r="C440" s="35" t="s">
        <v>42</v>
      </c>
      <c r="D440" s="36">
        <v>0.31</v>
      </c>
      <c r="E440" s="21">
        <f>IFERROR(__xludf.DUMMYFUNCTION("IF(C440=""USD"", D440, 
  IFERROR(
    D440 * INDEX(GOOGLEFINANCE(CONCATENATE(""CURRENCY:"", C440, ""USD""), ""close"", B440), 2, 2),
    IFERROR(
      D440 * INDEX(GOOGLEFINANCE(CONCATENATE(""CURRENCY:"", C440, ""USD""), ""close"", B440 - 1), 2, 2),
   "&amp;"   D440 * INDEX(GOOGLEFINANCE(CONCATENATE(""CURRENCY:"", C440, ""USD""), ""close"", B440 + 1), 2, 2)
    )
  )
)"),0.31)</f>
        <v>0.31</v>
      </c>
    </row>
    <row r="441">
      <c r="A441" s="33" t="s">
        <v>1200</v>
      </c>
      <c r="B441" s="34">
        <v>44133.0</v>
      </c>
      <c r="C441" s="35" t="s">
        <v>42</v>
      </c>
      <c r="D441" s="36">
        <v>20.16</v>
      </c>
      <c r="E441" s="21">
        <f>IFERROR(__xludf.DUMMYFUNCTION("IF(C441=""USD"", D441, 
  IFERROR(
    D441 * INDEX(GOOGLEFINANCE(CONCATENATE(""CURRENCY:"", C441, ""USD""), ""close"", B441), 2, 2),
    IFERROR(
      D441 * INDEX(GOOGLEFINANCE(CONCATENATE(""CURRENCY:"", C441, ""USD""), ""close"", B441 - 1), 2, 2),
   "&amp;"   D441 * INDEX(GOOGLEFINANCE(CONCATENATE(""CURRENCY:"", C441, ""USD""), ""close"", B441 + 1), 2, 2)
    )
  )
)"),20.16)</f>
        <v>20.16</v>
      </c>
    </row>
    <row r="442">
      <c r="A442" s="33" t="s">
        <v>1204</v>
      </c>
      <c r="B442" s="34">
        <v>44133.0</v>
      </c>
      <c r="C442" s="35" t="s">
        <v>42</v>
      </c>
      <c r="D442" s="36">
        <v>2.27</v>
      </c>
      <c r="E442" s="21">
        <f>IFERROR(__xludf.DUMMYFUNCTION("IF(C442=""USD"", D442, 
  IFERROR(
    D442 * INDEX(GOOGLEFINANCE(CONCATENATE(""CURRENCY:"", C442, ""USD""), ""close"", B442), 2, 2),
    IFERROR(
      D442 * INDEX(GOOGLEFINANCE(CONCATENATE(""CURRENCY:"", C442, ""USD""), ""close"", B442 - 1), 2, 2),
   "&amp;"   D442 * INDEX(GOOGLEFINANCE(CONCATENATE(""CURRENCY:"", C442, ""USD""), ""close"", B442 + 1), 2, 2)
    )
  )
)"),2.27)</f>
        <v>2.27</v>
      </c>
    </row>
    <row r="443">
      <c r="A443" s="33" t="s">
        <v>1194</v>
      </c>
      <c r="B443" s="34">
        <v>44133.0</v>
      </c>
      <c r="C443" s="35" t="s">
        <v>42</v>
      </c>
      <c r="D443" s="36">
        <v>2.1</v>
      </c>
      <c r="E443" s="21">
        <f>IFERROR(__xludf.DUMMYFUNCTION("IF(C443=""USD"", D443, 
  IFERROR(
    D443 * INDEX(GOOGLEFINANCE(CONCATENATE(""CURRENCY:"", C443, ""USD""), ""close"", B443), 2, 2),
    IFERROR(
      D443 * INDEX(GOOGLEFINANCE(CONCATENATE(""CURRENCY:"", C443, ""USD""), ""close"", B443 - 1), 2, 2),
   "&amp;"   D443 * INDEX(GOOGLEFINANCE(CONCATENATE(""CURRENCY:"", C443, ""USD""), ""close"", B443 + 1), 2, 2)
    )
  )
)"),2.1)</f>
        <v>2.1</v>
      </c>
    </row>
    <row r="444">
      <c r="A444" s="33" t="s">
        <v>1202</v>
      </c>
      <c r="B444" s="34">
        <v>44133.0</v>
      </c>
      <c r="C444" s="35" t="s">
        <v>42</v>
      </c>
      <c r="D444" s="36">
        <v>57.33</v>
      </c>
      <c r="E444" s="21">
        <f>IFERROR(__xludf.DUMMYFUNCTION("IF(C444=""USD"", D444, 
  IFERROR(
    D444 * INDEX(GOOGLEFINANCE(CONCATENATE(""CURRENCY:"", C444, ""USD""), ""close"", B444), 2, 2),
    IFERROR(
      D444 * INDEX(GOOGLEFINANCE(CONCATENATE(""CURRENCY:"", C444, ""USD""), ""close"", B444 - 1), 2, 2),
   "&amp;"   D444 * INDEX(GOOGLEFINANCE(CONCATENATE(""CURRENCY:"", C444, ""USD""), ""close"", B444 + 1), 2, 2)
    )
  )
)"),57.33)</f>
        <v>57.33</v>
      </c>
    </row>
    <row r="445">
      <c r="A445" s="33" t="s">
        <v>1197</v>
      </c>
      <c r="B445" s="34">
        <v>44133.0</v>
      </c>
      <c r="C445" s="35" t="s">
        <v>42</v>
      </c>
      <c r="D445" s="36">
        <v>11.72</v>
      </c>
      <c r="E445" s="21">
        <f>IFERROR(__xludf.DUMMYFUNCTION("IF(C445=""USD"", D445, 
  IFERROR(
    D445 * INDEX(GOOGLEFINANCE(CONCATENATE(""CURRENCY:"", C445, ""USD""), ""close"", B445), 2, 2),
    IFERROR(
      D445 * INDEX(GOOGLEFINANCE(CONCATENATE(""CURRENCY:"", C445, ""USD""), ""close"", B445 - 1), 2, 2),
   "&amp;"   D445 * INDEX(GOOGLEFINANCE(CONCATENATE(""CURRENCY:"", C445, ""USD""), ""close"", B445 + 1), 2, 2)
    )
  )
)"),11.72)</f>
        <v>11.72</v>
      </c>
    </row>
    <row r="446">
      <c r="A446" s="33" t="s">
        <v>1204</v>
      </c>
      <c r="B446" s="34">
        <v>44164.0</v>
      </c>
      <c r="C446" s="35" t="s">
        <v>42</v>
      </c>
      <c r="D446" s="36">
        <v>2.01</v>
      </c>
      <c r="E446" s="21">
        <f>IFERROR(__xludf.DUMMYFUNCTION("IF(C446=""USD"", D446, 
  IFERROR(
    D446 * INDEX(GOOGLEFINANCE(CONCATENATE(""CURRENCY:"", C446, ""USD""), ""close"", B446), 2, 2),
    IFERROR(
      D446 * INDEX(GOOGLEFINANCE(CONCATENATE(""CURRENCY:"", C446, ""USD""), ""close"", B446 - 1), 2, 2),
   "&amp;"   D446 * INDEX(GOOGLEFINANCE(CONCATENATE(""CURRENCY:"", C446, ""USD""), ""close"", B446 + 1), 2, 2)
    )
  )
)"),2.01)</f>
        <v>2.01</v>
      </c>
    </row>
    <row r="447">
      <c r="A447" s="33" t="s">
        <v>1197</v>
      </c>
      <c r="B447" s="34">
        <v>44164.0</v>
      </c>
      <c r="C447" s="35" t="s">
        <v>42</v>
      </c>
      <c r="D447" s="36">
        <v>7.06</v>
      </c>
      <c r="E447" s="21">
        <f>IFERROR(__xludf.DUMMYFUNCTION("IF(C447=""USD"", D447, 
  IFERROR(
    D447 * INDEX(GOOGLEFINANCE(CONCATENATE(""CURRENCY:"", C447, ""USD""), ""close"", B447), 2, 2),
    IFERROR(
      D447 * INDEX(GOOGLEFINANCE(CONCATENATE(""CURRENCY:"", C447, ""USD""), ""close"", B447 - 1), 2, 2),
   "&amp;"   D447 * INDEX(GOOGLEFINANCE(CONCATENATE(""CURRENCY:"", C447, ""USD""), ""close"", B447 + 1), 2, 2)
    )
  )
)"),7.06)</f>
        <v>7.06</v>
      </c>
    </row>
    <row r="448">
      <c r="A448" s="33" t="s">
        <v>1194</v>
      </c>
      <c r="B448" s="34">
        <v>44164.0</v>
      </c>
      <c r="C448" s="35" t="s">
        <v>42</v>
      </c>
      <c r="D448" s="36">
        <v>2.19</v>
      </c>
      <c r="E448" s="21">
        <f>IFERROR(__xludf.DUMMYFUNCTION("IF(C448=""USD"", D448, 
  IFERROR(
    D448 * INDEX(GOOGLEFINANCE(CONCATENATE(""CURRENCY:"", C448, ""USD""), ""close"", B448), 2, 2),
    IFERROR(
      D448 * INDEX(GOOGLEFINANCE(CONCATENATE(""CURRENCY:"", C448, ""USD""), ""close"", B448 - 1), 2, 2),
   "&amp;"   D448 * INDEX(GOOGLEFINANCE(CONCATENATE(""CURRENCY:"", C448, ""USD""), ""close"", B448 + 1), 2, 2)
    )
  )
)"),2.19)</f>
        <v>2.19</v>
      </c>
    </row>
    <row r="449">
      <c r="A449" s="33" t="s">
        <v>1202</v>
      </c>
      <c r="B449" s="34">
        <v>44164.0</v>
      </c>
      <c r="C449" s="35" t="s">
        <v>42</v>
      </c>
      <c r="D449" s="36">
        <v>49.15</v>
      </c>
      <c r="E449" s="21">
        <f>IFERROR(__xludf.DUMMYFUNCTION("IF(C449=""USD"", D449, 
  IFERROR(
    D449 * INDEX(GOOGLEFINANCE(CONCATENATE(""CURRENCY:"", C449, ""USD""), ""close"", B449), 2, 2),
    IFERROR(
      D449 * INDEX(GOOGLEFINANCE(CONCATENATE(""CURRENCY:"", C449, ""USD""), ""close"", B449 - 1), 2, 2),
   "&amp;"   D449 * INDEX(GOOGLEFINANCE(CONCATENATE(""CURRENCY:"", C449, ""USD""), ""close"", B449 + 1), 2, 2)
    )
  )
)"),49.15)</f>
        <v>49.15</v>
      </c>
    </row>
    <row r="450">
      <c r="A450" s="33" t="s">
        <v>1205</v>
      </c>
      <c r="B450" s="34">
        <v>44164.0</v>
      </c>
      <c r="C450" s="35" t="s">
        <v>42</v>
      </c>
      <c r="D450" s="36">
        <v>1.22</v>
      </c>
      <c r="E450" s="21">
        <f>IFERROR(__xludf.DUMMYFUNCTION("IF(C450=""USD"", D450, 
  IFERROR(
    D450 * INDEX(GOOGLEFINANCE(CONCATENATE(""CURRENCY:"", C450, ""USD""), ""close"", B450), 2, 2),
    IFERROR(
      D450 * INDEX(GOOGLEFINANCE(CONCATENATE(""CURRENCY:"", C450, ""USD""), ""close"", B450 - 1), 2, 2),
   "&amp;"   D450 * INDEX(GOOGLEFINANCE(CONCATENATE(""CURRENCY:"", C450, ""USD""), ""close"", B450 + 1), 2, 2)
    )
  )
)"),1.22)</f>
        <v>1.22</v>
      </c>
    </row>
    <row r="451">
      <c r="A451" s="33" t="s">
        <v>1200</v>
      </c>
      <c r="B451" s="34">
        <v>44164.0</v>
      </c>
      <c r="C451" s="35" t="s">
        <v>42</v>
      </c>
      <c r="D451" s="36">
        <v>7.14</v>
      </c>
      <c r="E451" s="21">
        <f>IFERROR(__xludf.DUMMYFUNCTION("IF(C451=""USD"", D451, 
  IFERROR(
    D451 * INDEX(GOOGLEFINANCE(CONCATENATE(""CURRENCY:"", C451, ""USD""), ""close"", B451), 2, 2),
    IFERROR(
      D451 * INDEX(GOOGLEFINANCE(CONCATENATE(""CURRENCY:"", C451, ""USD""), ""close"", B451 - 1), 2, 2),
   "&amp;"   D451 * INDEX(GOOGLEFINANCE(CONCATENATE(""CURRENCY:"", C451, ""USD""), ""close"", B451 + 1), 2, 2)
    )
  )
)"),7.14)</f>
        <v>7.14</v>
      </c>
    </row>
    <row r="452">
      <c r="A452" s="33" t="s">
        <v>1203</v>
      </c>
      <c r="B452" s="34">
        <v>44164.0</v>
      </c>
      <c r="C452" s="35" t="s">
        <v>42</v>
      </c>
      <c r="D452" s="36">
        <v>12.92</v>
      </c>
      <c r="E452" s="21">
        <f>IFERROR(__xludf.DUMMYFUNCTION("IF(C452=""USD"", D452, 
  IFERROR(
    D452 * INDEX(GOOGLEFINANCE(CONCATENATE(""CURRENCY:"", C452, ""USD""), ""close"", B452), 2, 2),
    IFERROR(
      D452 * INDEX(GOOGLEFINANCE(CONCATENATE(""CURRENCY:"", C452, ""USD""), ""close"", B452 - 1), 2, 2),
   "&amp;"   D452 * INDEX(GOOGLEFINANCE(CONCATENATE(""CURRENCY:"", C452, ""USD""), ""close"", B452 + 1), 2, 2)
    )
  )
)"),12.92)</f>
        <v>12.92</v>
      </c>
    </row>
    <row r="453">
      <c r="A453" s="33" t="s">
        <v>1206</v>
      </c>
      <c r="B453" s="34">
        <v>44194.0</v>
      </c>
      <c r="C453" s="35" t="s">
        <v>42</v>
      </c>
      <c r="D453" s="36">
        <v>2.36</v>
      </c>
      <c r="E453" s="21">
        <f>IFERROR(__xludf.DUMMYFUNCTION("IF(C453=""USD"", D453, 
  IFERROR(
    D453 * INDEX(GOOGLEFINANCE(CONCATENATE(""CURRENCY:"", C453, ""USD""), ""close"", B453), 2, 2),
    IFERROR(
      D453 * INDEX(GOOGLEFINANCE(CONCATENATE(""CURRENCY:"", C453, ""USD""), ""close"", B453 - 1), 2, 2),
   "&amp;"   D453 * INDEX(GOOGLEFINANCE(CONCATENATE(""CURRENCY:"", C453, ""USD""), ""close"", B453 + 1), 2, 2)
    )
  )
)"),2.36)</f>
        <v>2.36</v>
      </c>
    </row>
    <row r="454">
      <c r="A454" s="33" t="s">
        <v>1194</v>
      </c>
      <c r="B454" s="34">
        <v>44194.0</v>
      </c>
      <c r="C454" s="35" t="s">
        <v>42</v>
      </c>
      <c r="D454" s="36">
        <v>0.4</v>
      </c>
      <c r="E454" s="21">
        <f>IFERROR(__xludf.DUMMYFUNCTION("IF(C454=""USD"", D454, 
  IFERROR(
    D454 * INDEX(GOOGLEFINANCE(CONCATENATE(""CURRENCY:"", C454, ""USD""), ""close"", B454), 2, 2),
    IFERROR(
      D454 * INDEX(GOOGLEFINANCE(CONCATENATE(""CURRENCY:"", C454, ""USD""), ""close"", B454 - 1), 2, 2),
   "&amp;"   D454 * INDEX(GOOGLEFINANCE(CONCATENATE(""CURRENCY:"", C454, ""USD""), ""close"", B454 + 1), 2, 2)
    )
  )
)"),0.4)</f>
        <v>0.4</v>
      </c>
    </row>
    <row r="455">
      <c r="A455" s="33" t="s">
        <v>1200</v>
      </c>
      <c r="B455" s="34">
        <v>44194.0</v>
      </c>
      <c r="C455" s="35" t="s">
        <v>42</v>
      </c>
      <c r="D455" s="36">
        <v>6.29</v>
      </c>
      <c r="E455" s="21">
        <f>IFERROR(__xludf.DUMMYFUNCTION("IF(C455=""USD"", D455, 
  IFERROR(
    D455 * INDEX(GOOGLEFINANCE(CONCATENATE(""CURRENCY:"", C455, ""USD""), ""close"", B455), 2, 2),
    IFERROR(
      D455 * INDEX(GOOGLEFINANCE(CONCATENATE(""CURRENCY:"", C455, ""USD""), ""close"", B455 - 1), 2, 2),
   "&amp;"   D455 * INDEX(GOOGLEFINANCE(CONCATENATE(""CURRENCY:"", C455, ""USD""), ""close"", B455 + 1), 2, 2)
    )
  )
)"),6.29)</f>
        <v>6.29</v>
      </c>
    </row>
    <row r="456">
      <c r="A456" s="33" t="s">
        <v>1204</v>
      </c>
      <c r="B456" s="34">
        <v>44194.0</v>
      </c>
      <c r="C456" s="35" t="s">
        <v>42</v>
      </c>
      <c r="D456" s="36">
        <v>4.73</v>
      </c>
      <c r="E456" s="21">
        <f>IFERROR(__xludf.DUMMYFUNCTION("IF(C456=""USD"", D456, 
  IFERROR(
    D456 * INDEX(GOOGLEFINANCE(CONCATENATE(""CURRENCY:"", C456, ""USD""), ""close"", B456), 2, 2),
    IFERROR(
      D456 * INDEX(GOOGLEFINANCE(CONCATENATE(""CURRENCY:"", C456, ""USD""), ""close"", B456 - 1), 2, 2),
   "&amp;"   D456 * INDEX(GOOGLEFINANCE(CONCATENATE(""CURRENCY:"", C456, ""USD""), ""close"", B456 + 1), 2, 2)
    )
  )
)"),4.73)</f>
        <v>4.73</v>
      </c>
    </row>
    <row r="457">
      <c r="A457" s="33" t="s">
        <v>1197</v>
      </c>
      <c r="B457" s="34">
        <v>44194.0</v>
      </c>
      <c r="C457" s="35" t="s">
        <v>42</v>
      </c>
      <c r="D457" s="36">
        <v>19.95</v>
      </c>
      <c r="E457" s="21">
        <f>IFERROR(__xludf.DUMMYFUNCTION("IF(C457=""USD"", D457, 
  IFERROR(
    D457 * INDEX(GOOGLEFINANCE(CONCATENATE(""CURRENCY:"", C457, ""USD""), ""close"", B457), 2, 2),
    IFERROR(
      D457 * INDEX(GOOGLEFINANCE(CONCATENATE(""CURRENCY:"", C457, ""USD""), ""close"", B457 - 1), 2, 2),
   "&amp;"   D457 * INDEX(GOOGLEFINANCE(CONCATENATE(""CURRENCY:"", C457, ""USD""), ""close"", B457 + 1), 2, 2)
    )
  )
)"),19.95)</f>
        <v>19.95</v>
      </c>
    </row>
    <row r="458">
      <c r="A458" s="33" t="s">
        <v>1202</v>
      </c>
      <c r="B458" s="34">
        <v>44194.0</v>
      </c>
      <c r="C458" s="35" t="s">
        <v>42</v>
      </c>
      <c r="D458" s="36">
        <v>65.63</v>
      </c>
      <c r="E458" s="21">
        <f>IFERROR(__xludf.DUMMYFUNCTION("IF(C458=""USD"", D458, 
  IFERROR(
    D458 * INDEX(GOOGLEFINANCE(CONCATENATE(""CURRENCY:"", C458, ""USD""), ""close"", B458), 2, 2),
    IFERROR(
      D458 * INDEX(GOOGLEFINANCE(CONCATENATE(""CURRENCY:"", C458, ""USD""), ""close"", B458 - 1), 2, 2),
   "&amp;"   D458 * INDEX(GOOGLEFINANCE(CONCATENATE(""CURRENCY:"", C458, ""USD""), ""close"", B458 + 1), 2, 2)
    )
  )
)"),65.63)</f>
        <v>65.63</v>
      </c>
    </row>
    <row r="459">
      <c r="A459" s="33" t="s">
        <v>1200</v>
      </c>
      <c r="B459" s="34">
        <v>44225.0</v>
      </c>
      <c r="C459" s="35" t="s">
        <v>42</v>
      </c>
      <c r="D459" s="36">
        <v>2.93</v>
      </c>
      <c r="E459" s="21">
        <f>IFERROR(__xludf.DUMMYFUNCTION("IF(C459=""USD"", D459, 
  IFERROR(
    D459 * INDEX(GOOGLEFINANCE(CONCATENATE(""CURRENCY:"", C459, ""USD""), ""close"", B459), 2, 2),
    IFERROR(
      D459 * INDEX(GOOGLEFINANCE(CONCATENATE(""CURRENCY:"", C459, ""USD""), ""close"", B459 - 1), 2, 2),
   "&amp;"   D459 * INDEX(GOOGLEFINANCE(CONCATENATE(""CURRENCY:"", C459, ""USD""), ""close"", B459 + 1), 2, 2)
    )
  )
)"),2.93)</f>
        <v>2.93</v>
      </c>
    </row>
    <row r="460">
      <c r="A460" s="33" t="s">
        <v>1204</v>
      </c>
      <c r="B460" s="34">
        <v>44225.0</v>
      </c>
      <c r="C460" s="35" t="s">
        <v>42</v>
      </c>
      <c r="D460" s="36">
        <v>14.45</v>
      </c>
      <c r="E460" s="21">
        <f>IFERROR(__xludf.DUMMYFUNCTION("IF(C460=""USD"", D460, 
  IFERROR(
    D460 * INDEX(GOOGLEFINANCE(CONCATENATE(""CURRENCY:"", C460, ""USD""), ""close"", B460), 2, 2),
    IFERROR(
      D460 * INDEX(GOOGLEFINANCE(CONCATENATE(""CURRENCY:"", C460, ""USD""), ""close"", B460 - 1), 2, 2),
   "&amp;"   D460 * INDEX(GOOGLEFINANCE(CONCATENATE(""CURRENCY:"", C460, ""USD""), ""close"", B460 + 1), 2, 2)
    )
  )
)"),14.45)</f>
        <v>14.45</v>
      </c>
    </row>
    <row r="461">
      <c r="A461" s="33" t="s">
        <v>1197</v>
      </c>
      <c r="B461" s="34">
        <v>44225.0</v>
      </c>
      <c r="C461" s="35" t="s">
        <v>42</v>
      </c>
      <c r="D461" s="36">
        <v>12.7</v>
      </c>
      <c r="E461" s="21">
        <f>IFERROR(__xludf.DUMMYFUNCTION("IF(C461=""USD"", D461, 
  IFERROR(
    D461 * INDEX(GOOGLEFINANCE(CONCATENATE(""CURRENCY:"", C461, ""USD""), ""close"", B461), 2, 2),
    IFERROR(
      D461 * INDEX(GOOGLEFINANCE(CONCATENATE(""CURRENCY:"", C461, ""USD""), ""close"", B461 - 1), 2, 2),
   "&amp;"   D461 * INDEX(GOOGLEFINANCE(CONCATENATE(""CURRENCY:"", C461, ""USD""), ""close"", B461 + 1), 2, 2)
    )
  )
)"),12.7)</f>
        <v>12.7</v>
      </c>
    </row>
    <row r="462">
      <c r="A462" s="33" t="s">
        <v>1194</v>
      </c>
      <c r="B462" s="34">
        <v>44225.0</v>
      </c>
      <c r="C462" s="35" t="s">
        <v>42</v>
      </c>
      <c r="D462" s="36">
        <v>2.31</v>
      </c>
      <c r="E462" s="21">
        <f>IFERROR(__xludf.DUMMYFUNCTION("IF(C462=""USD"", D462, 
  IFERROR(
    D462 * INDEX(GOOGLEFINANCE(CONCATENATE(""CURRENCY:"", C462, ""USD""), ""close"", B462), 2, 2),
    IFERROR(
      D462 * INDEX(GOOGLEFINANCE(CONCATENATE(""CURRENCY:"", C462, ""USD""), ""close"", B462 - 1), 2, 2),
   "&amp;"   D462 * INDEX(GOOGLEFINANCE(CONCATENATE(""CURRENCY:"", C462, ""USD""), ""close"", B462 + 1), 2, 2)
    )
  )
)"),2.31)</f>
        <v>2.31</v>
      </c>
    </row>
    <row r="463">
      <c r="A463" s="33" t="s">
        <v>1203</v>
      </c>
      <c r="B463" s="34">
        <v>44225.0</v>
      </c>
      <c r="C463" s="35" t="s">
        <v>42</v>
      </c>
      <c r="D463" s="36">
        <v>21.24</v>
      </c>
      <c r="E463" s="21">
        <f>IFERROR(__xludf.DUMMYFUNCTION("IF(C463=""USD"", D463, 
  IFERROR(
    D463 * INDEX(GOOGLEFINANCE(CONCATENATE(""CURRENCY:"", C463, ""USD""), ""close"", B463), 2, 2),
    IFERROR(
      D463 * INDEX(GOOGLEFINANCE(CONCATENATE(""CURRENCY:"", C463, ""USD""), ""close"", B463 - 1), 2, 2),
   "&amp;"   D463 * INDEX(GOOGLEFINANCE(CONCATENATE(""CURRENCY:"", C463, ""USD""), ""close"", B463 + 1), 2, 2)
    )
  )
)"),21.24)</f>
        <v>21.24</v>
      </c>
    </row>
    <row r="464">
      <c r="A464" s="33" t="s">
        <v>1202</v>
      </c>
      <c r="B464" s="34">
        <v>44225.0</v>
      </c>
      <c r="C464" s="35" t="s">
        <v>42</v>
      </c>
      <c r="D464" s="36">
        <v>104.39</v>
      </c>
      <c r="E464" s="21">
        <f>IFERROR(__xludf.DUMMYFUNCTION("IF(C464=""USD"", D464, 
  IFERROR(
    D464 * INDEX(GOOGLEFINANCE(CONCATENATE(""CURRENCY:"", C464, ""USD""), ""close"", B464), 2, 2),
    IFERROR(
      D464 * INDEX(GOOGLEFINANCE(CONCATENATE(""CURRENCY:"", C464, ""USD""), ""close"", B464 - 1), 2, 2),
   "&amp;"   D464 * INDEX(GOOGLEFINANCE(CONCATENATE(""CURRENCY:"", C464, ""USD""), ""close"", B464 + 1), 2, 2)
    )
  )
)"),104.39)</f>
        <v>104.39</v>
      </c>
    </row>
    <row r="465">
      <c r="A465" s="33" t="s">
        <v>1196</v>
      </c>
      <c r="B465" s="34">
        <v>44255.0</v>
      </c>
      <c r="C465" s="35" t="s">
        <v>42</v>
      </c>
      <c r="D465" s="36">
        <v>10.23</v>
      </c>
      <c r="E465" s="21">
        <f>IFERROR(__xludf.DUMMYFUNCTION("IF(C465=""USD"", D465, 
  IFERROR(
    D465 * INDEX(GOOGLEFINANCE(CONCATENATE(""CURRENCY:"", C465, ""USD""), ""close"", B465), 2, 2),
    IFERROR(
      D465 * INDEX(GOOGLEFINANCE(CONCATENATE(""CURRENCY:"", C465, ""USD""), ""close"", B465 - 1), 2, 2),
   "&amp;"   D465 * INDEX(GOOGLEFINANCE(CONCATENATE(""CURRENCY:"", C465, ""USD""), ""close"", B465 + 1), 2, 2)
    )
  )
)"),10.23)</f>
        <v>10.23</v>
      </c>
    </row>
    <row r="466">
      <c r="A466" s="33" t="s">
        <v>1202</v>
      </c>
      <c r="B466" s="34">
        <v>44255.0</v>
      </c>
      <c r="C466" s="35" t="s">
        <v>42</v>
      </c>
      <c r="D466" s="36">
        <v>94.03</v>
      </c>
      <c r="E466" s="21">
        <f>IFERROR(__xludf.DUMMYFUNCTION("IF(C466=""USD"", D466, 
  IFERROR(
    D466 * INDEX(GOOGLEFINANCE(CONCATENATE(""CURRENCY:"", C466, ""USD""), ""close"", B466), 2, 2),
    IFERROR(
      D466 * INDEX(GOOGLEFINANCE(CONCATENATE(""CURRENCY:"", C466, ""USD""), ""close"", B466 - 1), 2, 2),
   "&amp;"   D466 * INDEX(GOOGLEFINANCE(CONCATENATE(""CURRENCY:"", C466, ""USD""), ""close"", B466 + 1), 2, 2)
    )
  )
)"),94.03)</f>
        <v>94.03</v>
      </c>
    </row>
    <row r="467">
      <c r="A467" s="33" t="s">
        <v>1201</v>
      </c>
      <c r="B467" s="34">
        <v>44255.0</v>
      </c>
      <c r="C467" s="35" t="s">
        <v>42</v>
      </c>
      <c r="D467" s="36">
        <v>2.04</v>
      </c>
      <c r="E467" s="21">
        <f>IFERROR(__xludf.DUMMYFUNCTION("IF(C467=""USD"", D467, 
  IFERROR(
    D467 * INDEX(GOOGLEFINANCE(CONCATENATE(""CURRENCY:"", C467, ""USD""), ""close"", B467), 2, 2),
    IFERROR(
      D467 * INDEX(GOOGLEFINANCE(CONCATENATE(""CURRENCY:"", C467, ""USD""), ""close"", B467 - 1), 2, 2),
   "&amp;"   D467 * INDEX(GOOGLEFINANCE(CONCATENATE(""CURRENCY:"", C467, ""USD""), ""close"", B467 + 1), 2, 2)
    )
  )
)"),2.04)</f>
        <v>2.04</v>
      </c>
    </row>
    <row r="468">
      <c r="A468" s="33" t="s">
        <v>1205</v>
      </c>
      <c r="B468" s="34">
        <v>44255.0</v>
      </c>
      <c r="C468" s="35" t="s">
        <v>42</v>
      </c>
      <c r="D468" s="36">
        <v>0.05</v>
      </c>
      <c r="E468" s="21">
        <f>IFERROR(__xludf.DUMMYFUNCTION("IF(C468=""USD"", D468, 
  IFERROR(
    D468 * INDEX(GOOGLEFINANCE(CONCATENATE(""CURRENCY:"", C468, ""USD""), ""close"", B468), 2, 2),
    IFERROR(
      D468 * INDEX(GOOGLEFINANCE(CONCATENATE(""CURRENCY:"", C468, ""USD""), ""close"", B468 - 1), 2, 2),
   "&amp;"   D468 * INDEX(GOOGLEFINANCE(CONCATENATE(""CURRENCY:"", C468, ""USD""), ""close"", B468 + 1), 2, 2)
    )
  )
)"),0.05)</f>
        <v>0.05</v>
      </c>
    </row>
    <row r="469">
      <c r="A469" s="33" t="s">
        <v>1200</v>
      </c>
      <c r="B469" s="34">
        <v>44255.0</v>
      </c>
      <c r="C469" s="35" t="s">
        <v>42</v>
      </c>
      <c r="D469" s="36">
        <v>3.64</v>
      </c>
      <c r="E469" s="21">
        <f>IFERROR(__xludf.DUMMYFUNCTION("IF(C469=""USD"", D469, 
  IFERROR(
    D469 * INDEX(GOOGLEFINANCE(CONCATENATE(""CURRENCY:"", C469, ""USD""), ""close"", B469), 2, 2),
    IFERROR(
      D469 * INDEX(GOOGLEFINANCE(CONCATENATE(""CURRENCY:"", C469, ""USD""), ""close"", B469 - 1), 2, 2),
   "&amp;"   D469 * INDEX(GOOGLEFINANCE(CONCATENATE(""CURRENCY:"", C469, ""USD""), ""close"", B469 + 1), 2, 2)
    )
  )
)"),3.64)</f>
        <v>3.64</v>
      </c>
    </row>
    <row r="470">
      <c r="A470" s="33" t="s">
        <v>1203</v>
      </c>
      <c r="B470" s="34">
        <v>44255.0</v>
      </c>
      <c r="C470" s="35" t="s">
        <v>42</v>
      </c>
      <c r="D470" s="36">
        <v>6.58</v>
      </c>
      <c r="E470" s="21">
        <f>IFERROR(__xludf.DUMMYFUNCTION("IF(C470=""USD"", D470, 
  IFERROR(
    D470 * INDEX(GOOGLEFINANCE(CONCATENATE(""CURRENCY:"", C470, ""USD""), ""close"", B470), 2, 2),
    IFERROR(
      D470 * INDEX(GOOGLEFINANCE(CONCATENATE(""CURRENCY:"", C470, ""USD""), ""close"", B470 - 1), 2, 2),
   "&amp;"   D470 * INDEX(GOOGLEFINANCE(CONCATENATE(""CURRENCY:"", C470, ""USD""), ""close"", B470 + 1), 2, 2)
    )
  )
)"),6.58)</f>
        <v>6.58</v>
      </c>
    </row>
    <row r="471">
      <c r="A471" s="33" t="s">
        <v>1197</v>
      </c>
      <c r="B471" s="34">
        <v>44255.0</v>
      </c>
      <c r="C471" s="35" t="s">
        <v>42</v>
      </c>
      <c r="D471" s="36">
        <v>10.49</v>
      </c>
      <c r="E471" s="21">
        <f>IFERROR(__xludf.DUMMYFUNCTION("IF(C471=""USD"", D471, 
  IFERROR(
    D471 * INDEX(GOOGLEFINANCE(CONCATENATE(""CURRENCY:"", C471, ""USD""), ""close"", B471), 2, 2),
    IFERROR(
      D471 * INDEX(GOOGLEFINANCE(CONCATENATE(""CURRENCY:"", C471, ""USD""), ""close"", B471 - 1), 2, 2),
   "&amp;"   D471 * INDEX(GOOGLEFINANCE(CONCATENATE(""CURRENCY:"", C471, ""USD""), ""close"", B471 + 1), 2, 2)
    )
  )
)"),10.49)</f>
        <v>10.49</v>
      </c>
    </row>
    <row r="472">
      <c r="A472" s="33" t="s">
        <v>1200</v>
      </c>
      <c r="B472" s="34">
        <v>44284.0</v>
      </c>
      <c r="C472" s="35" t="s">
        <v>42</v>
      </c>
      <c r="D472" s="36">
        <v>6.41</v>
      </c>
      <c r="E472" s="21">
        <f>IFERROR(__xludf.DUMMYFUNCTION("IF(C472=""USD"", D472, 
  IFERROR(
    D472 * INDEX(GOOGLEFINANCE(CONCATENATE(""CURRENCY:"", C472, ""USD""), ""close"", B472), 2, 2),
    IFERROR(
      D472 * INDEX(GOOGLEFINANCE(CONCATENATE(""CURRENCY:"", C472, ""USD""), ""close"", B472 - 1), 2, 2),
   "&amp;"   D472 * INDEX(GOOGLEFINANCE(CONCATENATE(""CURRENCY:"", C472, ""USD""), ""close"", B472 + 1), 2, 2)
    )
  )
)"),6.41)</f>
        <v>6.41</v>
      </c>
    </row>
    <row r="473">
      <c r="A473" s="33" t="s">
        <v>1197</v>
      </c>
      <c r="B473" s="34">
        <v>44284.0</v>
      </c>
      <c r="C473" s="35" t="s">
        <v>42</v>
      </c>
      <c r="D473" s="36">
        <v>12.48</v>
      </c>
      <c r="E473" s="21">
        <f>IFERROR(__xludf.DUMMYFUNCTION("IF(C473=""USD"", D473, 
  IFERROR(
    D473 * INDEX(GOOGLEFINANCE(CONCATENATE(""CURRENCY:"", C473, ""USD""), ""close"", B473), 2, 2),
    IFERROR(
      D473 * INDEX(GOOGLEFINANCE(CONCATENATE(""CURRENCY:"", C473, ""USD""), ""close"", B473 - 1), 2, 2),
   "&amp;"   D473 * INDEX(GOOGLEFINANCE(CONCATENATE(""CURRENCY:"", C473, ""USD""), ""close"", B473 + 1), 2, 2)
    )
  )
)"),12.48)</f>
        <v>12.48</v>
      </c>
    </row>
    <row r="474">
      <c r="A474" s="33" t="s">
        <v>1203</v>
      </c>
      <c r="B474" s="34">
        <v>44284.0</v>
      </c>
      <c r="C474" s="35" t="s">
        <v>42</v>
      </c>
      <c r="D474" s="36">
        <v>12.26</v>
      </c>
      <c r="E474" s="21">
        <f>IFERROR(__xludf.DUMMYFUNCTION("IF(C474=""USD"", D474, 
  IFERROR(
    D474 * INDEX(GOOGLEFINANCE(CONCATENATE(""CURRENCY:"", C474, ""USD""), ""close"", B474), 2, 2),
    IFERROR(
      D474 * INDEX(GOOGLEFINANCE(CONCATENATE(""CURRENCY:"", C474, ""USD""), ""close"", B474 - 1), 2, 2),
   "&amp;"   D474 * INDEX(GOOGLEFINANCE(CONCATENATE(""CURRENCY:"", C474, ""USD""), ""close"", B474 + 1), 2, 2)
    )
  )
)"),12.26)</f>
        <v>12.26</v>
      </c>
    </row>
    <row r="475">
      <c r="A475" s="33" t="s">
        <v>1202</v>
      </c>
      <c r="B475" s="34">
        <v>44284.0</v>
      </c>
      <c r="C475" s="35" t="s">
        <v>42</v>
      </c>
      <c r="D475" s="36">
        <v>61.16</v>
      </c>
      <c r="E475" s="21">
        <f>IFERROR(__xludf.DUMMYFUNCTION("IF(C475=""USD"", D475, 
  IFERROR(
    D475 * INDEX(GOOGLEFINANCE(CONCATENATE(""CURRENCY:"", C475, ""USD""), ""close"", B475), 2, 2),
    IFERROR(
      D475 * INDEX(GOOGLEFINANCE(CONCATENATE(""CURRENCY:"", C475, ""USD""), ""close"", B475 - 1), 2, 2),
   "&amp;"   D475 * INDEX(GOOGLEFINANCE(CONCATENATE(""CURRENCY:"", C475, ""USD""), ""close"", B475 + 1), 2, 2)
    )
  )
)"),61.16)</f>
        <v>61.16</v>
      </c>
    </row>
    <row r="476">
      <c r="A476" s="33" t="s">
        <v>1203</v>
      </c>
      <c r="B476" s="34">
        <v>44315.0</v>
      </c>
      <c r="C476" s="35" t="s">
        <v>42</v>
      </c>
      <c r="D476" s="36">
        <v>2.1</v>
      </c>
      <c r="E476" s="21">
        <f>IFERROR(__xludf.DUMMYFUNCTION("IF(C476=""USD"", D476, 
  IFERROR(
    D476 * INDEX(GOOGLEFINANCE(CONCATENATE(""CURRENCY:"", C476, ""USD""), ""close"", B476), 2, 2),
    IFERROR(
      D476 * INDEX(GOOGLEFINANCE(CONCATENATE(""CURRENCY:"", C476, ""USD""), ""close"", B476 - 1), 2, 2),
   "&amp;"   D476 * INDEX(GOOGLEFINANCE(CONCATENATE(""CURRENCY:"", C476, ""USD""), ""close"", B476 + 1), 2, 2)
    )
  )
)"),2.1)</f>
        <v>2.1</v>
      </c>
    </row>
    <row r="477">
      <c r="A477" s="33" t="s">
        <v>1200</v>
      </c>
      <c r="B477" s="34">
        <v>44315.0</v>
      </c>
      <c r="C477" s="35" t="s">
        <v>42</v>
      </c>
      <c r="D477" s="36">
        <v>13.01</v>
      </c>
      <c r="E477" s="21">
        <f>IFERROR(__xludf.DUMMYFUNCTION("IF(C477=""USD"", D477, 
  IFERROR(
    D477 * INDEX(GOOGLEFINANCE(CONCATENATE(""CURRENCY:"", C477, ""USD""), ""close"", B477), 2, 2),
    IFERROR(
      D477 * INDEX(GOOGLEFINANCE(CONCATENATE(""CURRENCY:"", C477, ""USD""), ""close"", B477 - 1), 2, 2),
   "&amp;"   D477 * INDEX(GOOGLEFINANCE(CONCATENATE(""CURRENCY:"", C477, ""USD""), ""close"", B477 + 1), 2, 2)
    )
  )
)"),13.01)</f>
        <v>13.01</v>
      </c>
    </row>
    <row r="478">
      <c r="A478" s="33" t="s">
        <v>1194</v>
      </c>
      <c r="B478" s="34">
        <v>44315.0</v>
      </c>
      <c r="C478" s="35" t="s">
        <v>42</v>
      </c>
      <c r="D478" s="36">
        <v>2.3</v>
      </c>
      <c r="E478" s="21">
        <f>IFERROR(__xludf.DUMMYFUNCTION("IF(C478=""USD"", D478, 
  IFERROR(
    D478 * INDEX(GOOGLEFINANCE(CONCATENATE(""CURRENCY:"", C478, ""USD""), ""close"", B478), 2, 2),
    IFERROR(
      D478 * INDEX(GOOGLEFINANCE(CONCATENATE(""CURRENCY:"", C478, ""USD""), ""close"", B478 - 1), 2, 2),
   "&amp;"   D478 * INDEX(GOOGLEFINANCE(CONCATENATE(""CURRENCY:"", C478, ""USD""), ""close"", B478 + 1), 2, 2)
    )
  )
)"),2.3)</f>
        <v>2.3</v>
      </c>
    </row>
    <row r="479">
      <c r="A479" s="33" t="s">
        <v>1202</v>
      </c>
      <c r="B479" s="34">
        <v>44315.0</v>
      </c>
      <c r="C479" s="35" t="s">
        <v>42</v>
      </c>
      <c r="D479" s="36">
        <v>49.89</v>
      </c>
      <c r="E479" s="21">
        <f>IFERROR(__xludf.DUMMYFUNCTION("IF(C479=""USD"", D479, 
  IFERROR(
    D479 * INDEX(GOOGLEFINANCE(CONCATENATE(""CURRENCY:"", C479, ""USD""), ""close"", B479), 2, 2),
    IFERROR(
      D479 * INDEX(GOOGLEFINANCE(CONCATENATE(""CURRENCY:"", C479, ""USD""), ""close"", B479 - 1), 2, 2),
   "&amp;"   D479 * INDEX(GOOGLEFINANCE(CONCATENATE(""CURRENCY:"", C479, ""USD""), ""close"", B479 + 1), 2, 2)
    )
  )
)"),49.89)</f>
        <v>49.89</v>
      </c>
    </row>
    <row r="480">
      <c r="A480" s="33" t="s">
        <v>1204</v>
      </c>
      <c r="B480" s="34">
        <v>44315.0</v>
      </c>
      <c r="C480" s="35" t="s">
        <v>42</v>
      </c>
      <c r="D480" s="36">
        <v>2.04</v>
      </c>
      <c r="E480" s="21">
        <f>IFERROR(__xludf.DUMMYFUNCTION("IF(C480=""USD"", D480, 
  IFERROR(
    D480 * INDEX(GOOGLEFINANCE(CONCATENATE(""CURRENCY:"", C480, ""USD""), ""close"", B480), 2, 2),
    IFERROR(
      D480 * INDEX(GOOGLEFINANCE(CONCATENATE(""CURRENCY:"", C480, ""USD""), ""close"", B480 - 1), 2, 2),
   "&amp;"   D480 * INDEX(GOOGLEFINANCE(CONCATENATE(""CURRENCY:"", C480, ""USD""), ""close"", B480 + 1), 2, 2)
    )
  )
)"),2.04)</f>
        <v>2.04</v>
      </c>
    </row>
    <row r="481">
      <c r="A481" s="33" t="s">
        <v>1197</v>
      </c>
      <c r="B481" s="34">
        <v>44315.0</v>
      </c>
      <c r="C481" s="35" t="s">
        <v>42</v>
      </c>
      <c r="D481" s="36">
        <v>5.06</v>
      </c>
      <c r="E481" s="21">
        <f>IFERROR(__xludf.DUMMYFUNCTION("IF(C481=""USD"", D481, 
  IFERROR(
    D481 * INDEX(GOOGLEFINANCE(CONCATENATE(""CURRENCY:"", C481, ""USD""), ""close"", B481), 2, 2),
    IFERROR(
      D481 * INDEX(GOOGLEFINANCE(CONCATENATE(""CURRENCY:"", C481, ""USD""), ""close"", B481 - 1), 2, 2),
   "&amp;"   D481 * INDEX(GOOGLEFINANCE(CONCATENATE(""CURRENCY:"", C481, ""USD""), ""close"", B481 + 1), 2, 2)
    )
  )
)"),5.06)</f>
        <v>5.06</v>
      </c>
    </row>
    <row r="482">
      <c r="A482" s="33" t="s">
        <v>1203</v>
      </c>
      <c r="B482" s="34">
        <v>44345.0</v>
      </c>
      <c r="C482" s="35" t="s">
        <v>42</v>
      </c>
      <c r="D482" s="36">
        <v>9.69</v>
      </c>
      <c r="E482" s="21">
        <f>IFERROR(__xludf.DUMMYFUNCTION("IF(C482=""USD"", D482, 
  IFERROR(
    D482 * INDEX(GOOGLEFINANCE(CONCATENATE(""CURRENCY:"", C482, ""USD""), ""close"", B482), 2, 2),
    IFERROR(
      D482 * INDEX(GOOGLEFINANCE(CONCATENATE(""CURRENCY:"", C482, ""USD""), ""close"", B482 - 1), 2, 2),
   "&amp;"   D482 * INDEX(GOOGLEFINANCE(CONCATENATE(""CURRENCY:"", C482, ""USD""), ""close"", B482 + 1), 2, 2)
    )
  )
)"),9.69)</f>
        <v>9.69</v>
      </c>
    </row>
    <row r="483">
      <c r="A483" s="33" t="s">
        <v>1196</v>
      </c>
      <c r="B483" s="34">
        <v>44345.0</v>
      </c>
      <c r="C483" s="35" t="s">
        <v>42</v>
      </c>
      <c r="D483" s="36">
        <v>2.02</v>
      </c>
      <c r="E483" s="21">
        <f>IFERROR(__xludf.DUMMYFUNCTION("IF(C483=""USD"", D483, 
  IFERROR(
    D483 * INDEX(GOOGLEFINANCE(CONCATENATE(""CURRENCY:"", C483, ""USD""), ""close"", B483), 2, 2),
    IFERROR(
      D483 * INDEX(GOOGLEFINANCE(CONCATENATE(""CURRENCY:"", C483, ""USD""), ""close"", B483 - 1), 2, 2),
   "&amp;"   D483 * INDEX(GOOGLEFINANCE(CONCATENATE(""CURRENCY:"", C483, ""USD""), ""close"", B483 + 1), 2, 2)
    )
  )
)"),2.02)</f>
        <v>2.02</v>
      </c>
    </row>
    <row r="484">
      <c r="A484" s="33" t="s">
        <v>1209</v>
      </c>
      <c r="B484" s="34">
        <v>44345.0</v>
      </c>
      <c r="C484" s="35" t="s">
        <v>42</v>
      </c>
      <c r="D484" s="36">
        <v>2.3</v>
      </c>
      <c r="E484" s="21">
        <f>IFERROR(__xludf.DUMMYFUNCTION("IF(C484=""USD"", D484, 
  IFERROR(
    D484 * INDEX(GOOGLEFINANCE(CONCATENATE(""CURRENCY:"", C484, ""USD""), ""close"", B484), 2, 2),
    IFERROR(
      D484 * INDEX(GOOGLEFINANCE(CONCATENATE(""CURRENCY:"", C484, ""USD""), ""close"", B484 - 1), 2, 2),
   "&amp;"   D484 * INDEX(GOOGLEFINANCE(CONCATENATE(""CURRENCY:"", C484, ""USD""), ""close"", B484 + 1), 2, 2)
    )
  )
)"),2.3)</f>
        <v>2.3</v>
      </c>
    </row>
    <row r="485">
      <c r="A485" s="33" t="s">
        <v>1194</v>
      </c>
      <c r="B485" s="34">
        <v>44345.0</v>
      </c>
      <c r="C485" s="35" t="s">
        <v>42</v>
      </c>
      <c r="D485" s="36">
        <v>4.59</v>
      </c>
      <c r="E485" s="21">
        <f>IFERROR(__xludf.DUMMYFUNCTION("IF(C485=""USD"", D485, 
  IFERROR(
    D485 * INDEX(GOOGLEFINANCE(CONCATENATE(""CURRENCY:"", C485, ""USD""), ""close"", B485), 2, 2),
    IFERROR(
      D485 * INDEX(GOOGLEFINANCE(CONCATENATE(""CURRENCY:"", C485, ""USD""), ""close"", B485 - 1), 2, 2),
   "&amp;"   D485 * INDEX(GOOGLEFINANCE(CONCATENATE(""CURRENCY:"", C485, ""USD""), ""close"", B485 + 1), 2, 2)
    )
  )
)"),4.59)</f>
        <v>4.59</v>
      </c>
    </row>
    <row r="486">
      <c r="A486" s="33" t="s">
        <v>1197</v>
      </c>
      <c r="B486" s="34">
        <v>44345.0</v>
      </c>
      <c r="C486" s="35" t="s">
        <v>42</v>
      </c>
      <c r="D486" s="36">
        <v>33.28</v>
      </c>
      <c r="E486" s="21">
        <f>IFERROR(__xludf.DUMMYFUNCTION("IF(C486=""USD"", D486, 
  IFERROR(
    D486 * INDEX(GOOGLEFINANCE(CONCATENATE(""CURRENCY:"", C486, ""USD""), ""close"", B486), 2, 2),
    IFERROR(
      D486 * INDEX(GOOGLEFINANCE(CONCATENATE(""CURRENCY:"", C486, ""USD""), ""close"", B486 - 1), 2, 2),
   "&amp;"   D486 * INDEX(GOOGLEFINANCE(CONCATENATE(""CURRENCY:"", C486, ""USD""), ""close"", B486 + 1), 2, 2)
    )
  )
)"),33.28)</f>
        <v>33.28</v>
      </c>
    </row>
    <row r="487">
      <c r="A487" s="33" t="s">
        <v>1201</v>
      </c>
      <c r="B487" s="34">
        <v>44345.0</v>
      </c>
      <c r="C487" s="35" t="s">
        <v>42</v>
      </c>
      <c r="D487" s="36">
        <v>4.19</v>
      </c>
      <c r="E487" s="21">
        <f>IFERROR(__xludf.DUMMYFUNCTION("IF(C487=""USD"", D487, 
  IFERROR(
    D487 * INDEX(GOOGLEFINANCE(CONCATENATE(""CURRENCY:"", C487, ""USD""), ""close"", B487), 2, 2),
    IFERROR(
      D487 * INDEX(GOOGLEFINANCE(CONCATENATE(""CURRENCY:"", C487, ""USD""), ""close"", B487 - 1), 2, 2),
   "&amp;"   D487 * INDEX(GOOGLEFINANCE(CONCATENATE(""CURRENCY:"", C487, ""USD""), ""close"", B487 + 1), 2, 2)
    )
  )
)"),4.19)</f>
        <v>4.19</v>
      </c>
    </row>
    <row r="488">
      <c r="A488" s="33" t="s">
        <v>1205</v>
      </c>
      <c r="B488" s="34">
        <v>44345.0</v>
      </c>
      <c r="C488" s="35" t="s">
        <v>42</v>
      </c>
      <c r="D488" s="36">
        <v>0.16</v>
      </c>
      <c r="E488" s="21">
        <f>IFERROR(__xludf.DUMMYFUNCTION("IF(C488=""USD"", D488, 
  IFERROR(
    D488 * INDEX(GOOGLEFINANCE(CONCATENATE(""CURRENCY:"", C488, ""USD""), ""close"", B488), 2, 2),
    IFERROR(
      D488 * INDEX(GOOGLEFINANCE(CONCATENATE(""CURRENCY:"", C488, ""USD""), ""close"", B488 - 1), 2, 2),
   "&amp;"   D488 * INDEX(GOOGLEFINANCE(CONCATENATE(""CURRENCY:"", C488, ""USD""), ""close"", B488 + 1), 2, 2)
    )
  )
)"),0.16)</f>
        <v>0.16</v>
      </c>
    </row>
    <row r="489">
      <c r="A489" s="33" t="s">
        <v>1200</v>
      </c>
      <c r="B489" s="34">
        <v>44345.0</v>
      </c>
      <c r="C489" s="35" t="s">
        <v>42</v>
      </c>
      <c r="D489" s="36">
        <v>6.66</v>
      </c>
      <c r="E489" s="21">
        <f>IFERROR(__xludf.DUMMYFUNCTION("IF(C489=""USD"", D489, 
  IFERROR(
    D489 * INDEX(GOOGLEFINANCE(CONCATENATE(""CURRENCY:"", C489, ""USD""), ""close"", B489), 2, 2),
    IFERROR(
      D489 * INDEX(GOOGLEFINANCE(CONCATENATE(""CURRENCY:"", C489, ""USD""), ""close"", B489 - 1), 2, 2),
   "&amp;"   D489 * INDEX(GOOGLEFINANCE(CONCATENATE(""CURRENCY:"", C489, ""USD""), ""close"", B489 + 1), 2, 2)
    )
  )
)"),6.66)</f>
        <v>6.66</v>
      </c>
    </row>
    <row r="490">
      <c r="A490" s="33" t="s">
        <v>1202</v>
      </c>
      <c r="B490" s="34">
        <v>44345.0</v>
      </c>
      <c r="C490" s="35" t="s">
        <v>42</v>
      </c>
      <c r="D490" s="36">
        <v>67.62</v>
      </c>
      <c r="E490" s="21">
        <f>IFERROR(__xludf.DUMMYFUNCTION("IF(C490=""USD"", D490, 
  IFERROR(
    D490 * INDEX(GOOGLEFINANCE(CONCATENATE(""CURRENCY:"", C490, ""USD""), ""close"", B490), 2, 2),
    IFERROR(
      D490 * INDEX(GOOGLEFINANCE(CONCATENATE(""CURRENCY:"", C490, ""USD""), ""close"", B490 - 1), 2, 2),
   "&amp;"   D490 * INDEX(GOOGLEFINANCE(CONCATENATE(""CURRENCY:"", C490, ""USD""), ""close"", B490 + 1), 2, 2)
    )
  )
)"),67.62)</f>
        <v>67.62</v>
      </c>
    </row>
    <row r="491">
      <c r="A491" s="33" t="s">
        <v>1200</v>
      </c>
      <c r="B491" s="34">
        <v>44376.0</v>
      </c>
      <c r="C491" s="35" t="s">
        <v>42</v>
      </c>
      <c r="D491" s="36">
        <v>16.51</v>
      </c>
      <c r="E491" s="21">
        <f>IFERROR(__xludf.DUMMYFUNCTION("IF(C491=""USD"", D491, 
  IFERROR(
    D491 * INDEX(GOOGLEFINANCE(CONCATENATE(""CURRENCY:"", C491, ""USD""), ""close"", B491), 2, 2),
    IFERROR(
      D491 * INDEX(GOOGLEFINANCE(CONCATENATE(""CURRENCY:"", C491, ""USD""), ""close"", B491 - 1), 2, 2),
   "&amp;"   D491 * INDEX(GOOGLEFINANCE(CONCATENATE(""CURRENCY:"", C491, ""USD""), ""close"", B491 + 1), 2, 2)
    )
  )
)"),16.51)</f>
        <v>16.51</v>
      </c>
    </row>
    <row r="492">
      <c r="A492" s="33" t="s">
        <v>1194</v>
      </c>
      <c r="B492" s="34">
        <v>44376.0</v>
      </c>
      <c r="C492" s="35" t="s">
        <v>42</v>
      </c>
      <c r="D492" s="36">
        <v>0.14</v>
      </c>
      <c r="E492" s="21">
        <f>IFERROR(__xludf.DUMMYFUNCTION("IF(C492=""USD"", D492, 
  IFERROR(
    D492 * INDEX(GOOGLEFINANCE(CONCATENATE(""CURRENCY:"", C492, ""USD""), ""close"", B492), 2, 2),
    IFERROR(
      D492 * INDEX(GOOGLEFINANCE(CONCATENATE(""CURRENCY:"", C492, ""USD""), ""close"", B492 - 1), 2, 2),
   "&amp;"   D492 * INDEX(GOOGLEFINANCE(CONCATENATE(""CURRENCY:"", C492, ""USD""), ""close"", B492 + 1), 2, 2)
    )
  )
)"),0.14)</f>
        <v>0.14</v>
      </c>
    </row>
    <row r="493">
      <c r="A493" s="33" t="s">
        <v>1197</v>
      </c>
      <c r="B493" s="34">
        <v>44376.0</v>
      </c>
      <c r="C493" s="35" t="s">
        <v>42</v>
      </c>
      <c r="D493" s="36">
        <v>23.03</v>
      </c>
      <c r="E493" s="21">
        <f>IFERROR(__xludf.DUMMYFUNCTION("IF(C493=""USD"", D493, 
  IFERROR(
    D493 * INDEX(GOOGLEFINANCE(CONCATENATE(""CURRENCY:"", C493, ""USD""), ""close"", B493), 2, 2),
    IFERROR(
      D493 * INDEX(GOOGLEFINANCE(CONCATENATE(""CURRENCY:"", C493, ""USD""), ""close"", B493 - 1), 2, 2),
   "&amp;"   D493 * INDEX(GOOGLEFINANCE(CONCATENATE(""CURRENCY:"", C493, ""USD""), ""close"", B493 + 1), 2, 2)
    )
  )
)"),23.03)</f>
        <v>23.03</v>
      </c>
    </row>
    <row r="494">
      <c r="A494" s="33" t="s">
        <v>1202</v>
      </c>
      <c r="B494" s="34">
        <v>44376.0</v>
      </c>
      <c r="C494" s="35" t="s">
        <v>42</v>
      </c>
      <c r="D494" s="36">
        <v>47.61</v>
      </c>
      <c r="E494" s="21">
        <f>IFERROR(__xludf.DUMMYFUNCTION("IF(C494=""USD"", D494, 
  IFERROR(
    D494 * INDEX(GOOGLEFINANCE(CONCATENATE(""CURRENCY:"", C494, ""USD""), ""close"", B494), 2, 2),
    IFERROR(
      D494 * INDEX(GOOGLEFINANCE(CONCATENATE(""CURRENCY:"", C494, ""USD""), ""close"", B494 - 1), 2, 2),
   "&amp;"   D494 * INDEX(GOOGLEFINANCE(CONCATENATE(""CURRENCY:"", C494, ""USD""), ""close"", B494 + 1), 2, 2)
    )
  )
)"),47.61)</f>
        <v>47.61</v>
      </c>
    </row>
    <row r="495">
      <c r="A495" s="33" t="s">
        <v>1203</v>
      </c>
      <c r="B495" s="34">
        <v>44376.0</v>
      </c>
      <c r="C495" s="35" t="s">
        <v>42</v>
      </c>
      <c r="D495" s="36">
        <v>0.29</v>
      </c>
      <c r="E495" s="21">
        <f>IFERROR(__xludf.DUMMYFUNCTION("IF(C495=""USD"", D495, 
  IFERROR(
    D495 * INDEX(GOOGLEFINANCE(CONCATENATE(""CURRENCY:"", C495, ""USD""), ""close"", B495), 2, 2),
    IFERROR(
      D495 * INDEX(GOOGLEFINANCE(CONCATENATE(""CURRENCY:"", C495, ""USD""), ""close"", B495 - 1), 2, 2),
   "&amp;"   D495 * INDEX(GOOGLEFINANCE(CONCATENATE(""CURRENCY:"", C495, ""USD""), ""close"", B495 + 1), 2, 2)
    )
  )
)"),0.29)</f>
        <v>0.29</v>
      </c>
    </row>
    <row r="496">
      <c r="A496" s="33" t="s">
        <v>1201</v>
      </c>
      <c r="B496" s="34">
        <v>44406.0</v>
      </c>
      <c r="C496" s="35" t="s">
        <v>42</v>
      </c>
      <c r="D496" s="36">
        <v>0.45</v>
      </c>
      <c r="E496" s="21">
        <f>IFERROR(__xludf.DUMMYFUNCTION("IF(C496=""USD"", D496, 
  IFERROR(
    D496 * INDEX(GOOGLEFINANCE(CONCATENATE(""CURRENCY:"", C496, ""USD""), ""close"", B496), 2, 2),
    IFERROR(
      D496 * INDEX(GOOGLEFINANCE(CONCATENATE(""CURRENCY:"", C496, ""USD""), ""close"", B496 - 1), 2, 2),
   "&amp;"   D496 * INDEX(GOOGLEFINANCE(CONCATENATE(""CURRENCY:"", C496, ""USD""), ""close"", B496 + 1), 2, 2)
    )
  )
)"),0.45)</f>
        <v>0.45</v>
      </c>
    </row>
    <row r="497">
      <c r="A497" s="33" t="s">
        <v>1203</v>
      </c>
      <c r="B497" s="34">
        <v>44406.0</v>
      </c>
      <c r="C497" s="35" t="s">
        <v>42</v>
      </c>
      <c r="D497" s="36">
        <v>8.75</v>
      </c>
      <c r="E497" s="21">
        <f>IFERROR(__xludf.DUMMYFUNCTION("IF(C497=""USD"", D497, 
  IFERROR(
    D497 * INDEX(GOOGLEFINANCE(CONCATENATE(""CURRENCY:"", C497, ""USD""), ""close"", B497), 2, 2),
    IFERROR(
      D497 * INDEX(GOOGLEFINANCE(CONCATENATE(""CURRENCY:"", C497, ""USD""), ""close"", B497 - 1), 2, 2),
   "&amp;"   D497 * INDEX(GOOGLEFINANCE(CONCATENATE(""CURRENCY:"", C497, ""USD""), ""close"", B497 + 1), 2, 2)
    )
  )
)"),8.75)</f>
        <v>8.75</v>
      </c>
    </row>
    <row r="498">
      <c r="A498" s="33" t="s">
        <v>1196</v>
      </c>
      <c r="B498" s="34">
        <v>44406.0</v>
      </c>
      <c r="C498" s="35" t="s">
        <v>42</v>
      </c>
      <c r="D498" s="36">
        <v>0.12</v>
      </c>
      <c r="E498" s="21">
        <f>IFERROR(__xludf.DUMMYFUNCTION("IF(C498=""USD"", D498, 
  IFERROR(
    D498 * INDEX(GOOGLEFINANCE(CONCATENATE(""CURRENCY:"", C498, ""USD""), ""close"", B498), 2, 2),
    IFERROR(
      D498 * INDEX(GOOGLEFINANCE(CONCATENATE(""CURRENCY:"", C498, ""USD""), ""close"", B498 - 1), 2, 2),
   "&amp;"   D498 * INDEX(GOOGLEFINANCE(CONCATENATE(""CURRENCY:"", C498, ""USD""), ""close"", B498 + 1), 2, 2)
    )
  )
)"),0.12)</f>
        <v>0.12</v>
      </c>
    </row>
    <row r="499">
      <c r="A499" s="33" t="s">
        <v>1200</v>
      </c>
      <c r="B499" s="34">
        <v>44406.0</v>
      </c>
      <c r="C499" s="35" t="s">
        <v>42</v>
      </c>
      <c r="D499" s="36">
        <v>17.07</v>
      </c>
      <c r="E499" s="21">
        <f>IFERROR(__xludf.DUMMYFUNCTION("IF(C499=""USD"", D499, 
  IFERROR(
    D499 * INDEX(GOOGLEFINANCE(CONCATENATE(""CURRENCY:"", C499, ""USD""), ""close"", B499), 2, 2),
    IFERROR(
      D499 * INDEX(GOOGLEFINANCE(CONCATENATE(""CURRENCY:"", C499, ""USD""), ""close"", B499 - 1), 2, 2),
   "&amp;"   D499 * INDEX(GOOGLEFINANCE(CONCATENATE(""CURRENCY:"", C499, ""USD""), ""close"", B499 + 1), 2, 2)
    )
  )
)"),17.07)</f>
        <v>17.07</v>
      </c>
    </row>
    <row r="500">
      <c r="A500" s="33" t="s">
        <v>1197</v>
      </c>
      <c r="B500" s="34">
        <v>44406.0</v>
      </c>
      <c r="C500" s="35" t="s">
        <v>42</v>
      </c>
      <c r="D500" s="36">
        <v>15.85</v>
      </c>
      <c r="E500" s="21">
        <f>IFERROR(__xludf.DUMMYFUNCTION("IF(C500=""USD"", D500, 
  IFERROR(
    D500 * INDEX(GOOGLEFINANCE(CONCATENATE(""CURRENCY:"", C500, ""USD""), ""close"", B500), 2, 2),
    IFERROR(
      D500 * INDEX(GOOGLEFINANCE(CONCATENATE(""CURRENCY:"", C500, ""USD""), ""close"", B500 - 1), 2, 2),
   "&amp;"   D500 * INDEX(GOOGLEFINANCE(CONCATENATE(""CURRENCY:"", C500, ""USD""), ""close"", B500 + 1), 2, 2)
    )
  )
)"),15.85)</f>
        <v>15.85</v>
      </c>
    </row>
    <row r="501">
      <c r="A501" s="33" t="s">
        <v>1204</v>
      </c>
      <c r="B501" s="34">
        <v>44468.0</v>
      </c>
      <c r="C501" s="35" t="s">
        <v>42</v>
      </c>
      <c r="D501" s="36">
        <v>2.26</v>
      </c>
      <c r="E501" s="21">
        <f>IFERROR(__xludf.DUMMYFUNCTION("IF(C501=""USD"", D501, 
  IFERROR(
    D501 * INDEX(GOOGLEFINANCE(CONCATENATE(""CURRENCY:"", C501, ""USD""), ""close"", B501), 2, 2),
    IFERROR(
      D501 * INDEX(GOOGLEFINANCE(CONCATENATE(""CURRENCY:"", C501, ""USD""), ""close"", B501 - 1), 2, 2),
   "&amp;"   D501 * INDEX(GOOGLEFINANCE(CONCATENATE(""CURRENCY:"", C501, ""USD""), ""close"", B501 + 1), 2, 2)
    )
  )
)"),2.26)</f>
        <v>2.26</v>
      </c>
    </row>
    <row r="502">
      <c r="A502" s="33" t="s">
        <v>1201</v>
      </c>
      <c r="B502" s="34">
        <v>44471.0</v>
      </c>
      <c r="C502" s="35" t="s">
        <v>42</v>
      </c>
      <c r="D502" s="36">
        <v>0.24</v>
      </c>
      <c r="E502" s="21">
        <f>IFERROR(__xludf.DUMMYFUNCTION("IF(C502=""USD"", D502, 
  IFERROR(
    D502 * INDEX(GOOGLEFINANCE(CONCATENATE(""CURRENCY:"", C502, ""USD""), ""close"", B502), 2, 2),
    IFERROR(
      D502 * INDEX(GOOGLEFINANCE(CONCATENATE(""CURRENCY:"", C502, ""USD""), ""close"", B502 - 1), 2, 2),
   "&amp;"   D502 * INDEX(GOOGLEFINANCE(CONCATENATE(""CURRENCY:"", C502, ""USD""), ""close"", B502 + 1), 2, 2)
    )
  )
)"),0.24)</f>
        <v>0.24</v>
      </c>
    </row>
    <row r="503">
      <c r="A503" s="33" t="s">
        <v>1203</v>
      </c>
      <c r="B503" s="34">
        <v>44471.0</v>
      </c>
      <c r="C503" s="35" t="s">
        <v>42</v>
      </c>
      <c r="D503" s="36">
        <v>12.24</v>
      </c>
      <c r="E503" s="21">
        <f>IFERROR(__xludf.DUMMYFUNCTION("IF(C503=""USD"", D503, 
  IFERROR(
    D503 * INDEX(GOOGLEFINANCE(CONCATENATE(""CURRENCY:"", C503, ""USD""), ""close"", B503), 2, 2),
    IFERROR(
      D503 * INDEX(GOOGLEFINANCE(CONCATENATE(""CURRENCY:"", C503, ""USD""), ""close"", B503 - 1), 2, 2),
   "&amp;"   D503 * INDEX(GOOGLEFINANCE(CONCATENATE(""CURRENCY:"", C503, ""USD""), ""close"", B503 + 1), 2, 2)
    )
  )
)"),12.24)</f>
        <v>12.24</v>
      </c>
    </row>
    <row r="504">
      <c r="A504" s="33" t="s">
        <v>1200</v>
      </c>
      <c r="B504" s="34">
        <v>44471.0</v>
      </c>
      <c r="C504" s="35" t="s">
        <v>42</v>
      </c>
      <c r="D504" s="36">
        <v>2.81</v>
      </c>
      <c r="E504" s="21">
        <f>IFERROR(__xludf.DUMMYFUNCTION("IF(C504=""USD"", D504, 
  IFERROR(
    D504 * INDEX(GOOGLEFINANCE(CONCATENATE(""CURRENCY:"", C504, ""USD""), ""close"", B504), 2, 2),
    IFERROR(
      D504 * INDEX(GOOGLEFINANCE(CONCATENATE(""CURRENCY:"", C504, ""USD""), ""close"", B504 - 1), 2, 2),
   "&amp;"   D504 * INDEX(GOOGLEFINANCE(CONCATENATE(""CURRENCY:"", C504, ""USD""), ""close"", B504 + 1), 2, 2)
    )
  )
)"),2.81)</f>
        <v>2.81</v>
      </c>
    </row>
    <row r="505">
      <c r="A505" s="33" t="s">
        <v>1197</v>
      </c>
      <c r="B505" s="34">
        <v>44471.0</v>
      </c>
      <c r="C505" s="35" t="s">
        <v>42</v>
      </c>
      <c r="D505" s="36">
        <v>11.36</v>
      </c>
      <c r="E505" s="21">
        <f>IFERROR(__xludf.DUMMYFUNCTION("IF(C505=""USD"", D505, 
  IFERROR(
    D505 * INDEX(GOOGLEFINANCE(CONCATENATE(""CURRENCY:"", C505, ""USD""), ""close"", B505), 2, 2),
    IFERROR(
      D505 * INDEX(GOOGLEFINANCE(CONCATENATE(""CURRENCY:"", C505, ""USD""), ""close"", B505 - 1), 2, 2),
   "&amp;"   D505 * INDEX(GOOGLEFINANCE(CONCATENATE(""CURRENCY:"", C505, ""USD""), ""close"", B505 + 1), 2, 2)
    )
  )
)"),11.36)</f>
        <v>11.36</v>
      </c>
    </row>
    <row r="506">
      <c r="A506" s="33" t="s">
        <v>1194</v>
      </c>
      <c r="B506" s="34">
        <v>44471.0</v>
      </c>
      <c r="C506" s="35" t="s">
        <v>42</v>
      </c>
      <c r="D506" s="36">
        <v>2.17</v>
      </c>
      <c r="E506" s="21">
        <f>IFERROR(__xludf.DUMMYFUNCTION("IF(C506=""USD"", D506, 
  IFERROR(
    D506 * INDEX(GOOGLEFINANCE(CONCATENATE(""CURRENCY:"", C506, ""USD""), ""close"", B506), 2, 2),
    IFERROR(
      D506 * INDEX(GOOGLEFINANCE(CONCATENATE(""CURRENCY:"", C506, ""USD""), ""close"", B506 - 1), 2, 2),
   "&amp;"   D506 * INDEX(GOOGLEFINANCE(CONCATENATE(""CURRENCY:"", C506, ""USD""), ""close"", B506 + 1), 2, 2)
    )
  )
)"),2.17)</f>
        <v>2.17</v>
      </c>
    </row>
    <row r="507">
      <c r="A507" s="33" t="s">
        <v>1205</v>
      </c>
      <c r="B507" s="34">
        <v>44471.0</v>
      </c>
      <c r="C507" s="35" t="s">
        <v>42</v>
      </c>
      <c r="D507" s="36">
        <v>2.74</v>
      </c>
      <c r="E507" s="21">
        <f>IFERROR(__xludf.DUMMYFUNCTION("IF(C507=""USD"", D507, 
  IFERROR(
    D507 * INDEX(GOOGLEFINANCE(CONCATENATE(""CURRENCY:"", C507, ""USD""), ""close"", B507), 2, 2),
    IFERROR(
      D507 * INDEX(GOOGLEFINANCE(CONCATENATE(""CURRENCY:"", C507, ""USD""), ""close"", B507 - 1), 2, 2),
   "&amp;"   D507 * INDEX(GOOGLEFINANCE(CONCATENATE(""CURRENCY:"", C507, ""USD""), ""close"", B507 + 1), 2, 2)
    )
  )
)"),2.74)</f>
        <v>2.74</v>
      </c>
    </row>
    <row r="508">
      <c r="A508" s="33" t="s">
        <v>1201</v>
      </c>
      <c r="B508" s="34">
        <v>44498.0</v>
      </c>
      <c r="C508" s="35" t="s">
        <v>82</v>
      </c>
      <c r="D508" s="36">
        <v>1.66</v>
      </c>
      <c r="E508" s="21">
        <f>IFERROR(__xludf.DUMMYFUNCTION("IF(C508=""USD"", D508, 
  IFERROR(
    D508 * INDEX(GOOGLEFINANCE(CONCATENATE(""CURRENCY:"", C508, ""USD""), ""close"", B508), 2, 2),
    IFERROR(
      D508 * INDEX(GOOGLEFINANCE(CONCATENATE(""CURRENCY:"", C508, ""USD""), ""close"", B508 - 1), 2, 2),
   "&amp;"   D508 * INDEX(GOOGLEFINANCE(CONCATENATE(""CURRENCY:"", C508, ""USD""), ""close"", B508 + 1), 2, 2)
    )
  )
)"),2.2732205999999997)</f>
        <v>2.2732206</v>
      </c>
    </row>
    <row r="509">
      <c r="A509" s="33" t="s">
        <v>1206</v>
      </c>
      <c r="B509" s="34">
        <v>44498.0</v>
      </c>
      <c r="C509" s="35" t="s">
        <v>82</v>
      </c>
      <c r="D509" s="36">
        <v>0.27</v>
      </c>
      <c r="E509" s="21">
        <f>IFERROR(__xludf.DUMMYFUNCTION("IF(C509=""USD"", D509, 
  IFERROR(
    D509 * INDEX(GOOGLEFINANCE(CONCATENATE(""CURRENCY:"", C509, ""USD""), ""close"", B509), 2, 2),
    IFERROR(
      D509 * INDEX(GOOGLEFINANCE(CONCATENATE(""CURRENCY:"", C509, ""USD""), ""close"", B509 - 1), 2, 2),
   "&amp;"   D509 * INDEX(GOOGLEFINANCE(CONCATENATE(""CURRENCY:"", C509, ""USD""), ""close"", B509 + 1), 2, 2)
    )
  )
)"),0.36974070000000003)</f>
        <v>0.3697407</v>
      </c>
    </row>
    <row r="510">
      <c r="A510" s="33" t="s">
        <v>1200</v>
      </c>
      <c r="B510" s="34">
        <v>44498.0</v>
      </c>
      <c r="C510" s="35" t="s">
        <v>82</v>
      </c>
      <c r="D510" s="36">
        <v>16.41</v>
      </c>
      <c r="E510" s="21">
        <f>IFERROR(__xludf.DUMMYFUNCTION("IF(C510=""USD"", D510, 
  IFERROR(
    D510 * INDEX(GOOGLEFINANCE(CONCATENATE(""CURRENCY:"", C510, ""USD""), ""close"", B510), 2, 2),
    IFERROR(
      D510 * INDEX(GOOGLEFINANCE(CONCATENATE(""CURRENCY:"", C510, ""USD""), ""close"", B510 - 1), 2, 2),
   "&amp;"   D510 * INDEX(GOOGLEFINANCE(CONCATENATE(""CURRENCY:"", C510, ""USD""), ""close"", B510 + 1), 2, 2)
    )
  )
)"),22.4720181)</f>
        <v>22.4720181</v>
      </c>
    </row>
    <row r="511">
      <c r="A511" s="33" t="s">
        <v>1203</v>
      </c>
      <c r="B511" s="34">
        <v>44498.0</v>
      </c>
      <c r="C511" s="35" t="s">
        <v>82</v>
      </c>
      <c r="D511" s="36">
        <v>4.33</v>
      </c>
      <c r="E511" s="21">
        <f>IFERROR(__xludf.DUMMYFUNCTION("IF(C511=""USD"", D511, 
  IFERROR(
    D511 * INDEX(GOOGLEFINANCE(CONCATENATE(""CURRENCY:"", C511, ""USD""), ""close"", B511), 2, 2),
    IFERROR(
      D511 * INDEX(GOOGLEFINANCE(CONCATENATE(""CURRENCY:"", C511, ""USD""), ""close"", B511 - 1), 2, 2),
   "&amp;"   D511 * INDEX(GOOGLEFINANCE(CONCATENATE(""CURRENCY:"", C511, ""USD""), ""close"", B511 + 1), 2, 2)
    )
  )
)"),5.9295453)</f>
        <v>5.9295453</v>
      </c>
    </row>
    <row r="512">
      <c r="A512" s="33" t="s">
        <v>1197</v>
      </c>
      <c r="B512" s="34">
        <v>44498.0</v>
      </c>
      <c r="C512" s="35" t="s">
        <v>82</v>
      </c>
      <c r="D512" s="36">
        <v>25.03</v>
      </c>
      <c r="E512" s="21">
        <f>IFERROR(__xludf.DUMMYFUNCTION("IF(C512=""USD"", D512, 
  IFERROR(
    D512 * INDEX(GOOGLEFINANCE(CONCATENATE(""CURRENCY:"", C512, ""USD""), ""close"", B512), 2, 2),
    IFERROR(
      D512 * INDEX(GOOGLEFINANCE(CONCATENATE(""CURRENCY:"", C512, ""USD""), ""close"", B512 - 1), 2, 2),
   "&amp;"   D512 * INDEX(GOOGLEFINANCE(CONCATENATE(""CURRENCY:"", C512, ""USD""), ""close"", B512 + 1), 2, 2)
    )
  )
)"),34.2763323)</f>
        <v>34.2763323</v>
      </c>
    </row>
    <row r="513">
      <c r="A513" s="33" t="s">
        <v>1194</v>
      </c>
      <c r="B513" s="34">
        <v>44498.0</v>
      </c>
      <c r="C513" s="35" t="s">
        <v>82</v>
      </c>
      <c r="D513" s="36">
        <v>2.49</v>
      </c>
      <c r="E513" s="21">
        <f>IFERROR(__xludf.DUMMYFUNCTION("IF(C513=""USD"", D513, 
  IFERROR(
    D513 * INDEX(GOOGLEFINANCE(CONCATENATE(""CURRENCY:"", C513, ""USD""), ""close"", B513), 2, 2),
    IFERROR(
      D513 * INDEX(GOOGLEFINANCE(CONCATENATE(""CURRENCY:"", C513, ""USD""), ""close"", B513 - 1), 2, 2),
   "&amp;"   D513 * INDEX(GOOGLEFINANCE(CONCATENATE(""CURRENCY:"", C513, ""USD""), ""close"", B513 + 1), 2, 2)
    )
  )
)"),3.4098309)</f>
        <v>3.4098309</v>
      </c>
    </row>
    <row r="514">
      <c r="A514" s="33" t="s">
        <v>1202</v>
      </c>
      <c r="B514" s="34">
        <v>44523.0</v>
      </c>
      <c r="C514" s="35" t="s">
        <v>82</v>
      </c>
      <c r="D514" s="36">
        <v>169.34</v>
      </c>
      <c r="E514" s="21">
        <f>IFERROR(__xludf.DUMMYFUNCTION("IF(C514=""USD"", D514, 
  IFERROR(
    D514 * INDEX(GOOGLEFINANCE(CONCATENATE(""CURRENCY:"", C514, ""USD""), ""close"", B514), 2, 2),
    IFERROR(
      D514 * INDEX(GOOGLEFINANCE(CONCATENATE(""CURRENCY:"", C514, ""USD""), ""close"", B514 - 1), 2, 2),
   "&amp;"   D514 * INDEX(GOOGLEFINANCE(CONCATENATE(""CURRENCY:"", C514, ""USD""), ""close"", B514 + 1), 2, 2)
    )
  )
)"),226.475316)</f>
        <v>226.475316</v>
      </c>
    </row>
    <row r="515">
      <c r="A515" s="33" t="s">
        <v>1194</v>
      </c>
      <c r="B515" s="34">
        <v>44529.0</v>
      </c>
      <c r="C515" s="35" t="s">
        <v>82</v>
      </c>
      <c r="D515" s="36">
        <v>3.6</v>
      </c>
      <c r="E515" s="21">
        <f>IFERROR(__xludf.DUMMYFUNCTION("IF(C515=""USD"", D515, 
  IFERROR(
    D515 * INDEX(GOOGLEFINANCE(CONCATENATE(""CURRENCY:"", C515, ""USD""), ""close"", B515), 2, 2),
    IFERROR(
      D515 * INDEX(GOOGLEFINANCE(CONCATENATE(""CURRENCY:"", C515, ""USD""), ""close"", B515 - 1), 2, 2),
   "&amp;"   D515 * INDEX(GOOGLEFINANCE(CONCATENATE(""CURRENCY:"", C515, ""USD""), ""close"", B515 + 1), 2, 2)
    )
  )
)"),4.792644)</f>
        <v>4.792644</v>
      </c>
    </row>
    <row r="516">
      <c r="A516" s="33" t="s">
        <v>1197</v>
      </c>
      <c r="B516" s="34">
        <v>44529.0</v>
      </c>
      <c r="C516" s="35" t="s">
        <v>82</v>
      </c>
      <c r="D516" s="36">
        <v>8.71</v>
      </c>
      <c r="E516" s="21">
        <f>IFERROR(__xludf.DUMMYFUNCTION("IF(C516=""USD"", D516, 
  IFERROR(
    D516 * INDEX(GOOGLEFINANCE(CONCATENATE(""CURRENCY:"", C516, ""USD""), ""close"", B516), 2, 2),
    IFERROR(
      D516 * INDEX(GOOGLEFINANCE(CONCATENATE(""CURRENCY:"", C516, ""USD""), ""close"", B516 - 1), 2, 2),
   "&amp;"   D516 * INDEX(GOOGLEFINANCE(CONCATENATE(""CURRENCY:"", C516, ""USD""), ""close"", B516 + 1), 2, 2)
    )
  )
)"),11.595535900000002)</f>
        <v>11.5955359</v>
      </c>
    </row>
    <row r="517">
      <c r="A517" s="33" t="s">
        <v>1200</v>
      </c>
      <c r="B517" s="34">
        <v>44529.0</v>
      </c>
      <c r="C517" s="35" t="s">
        <v>82</v>
      </c>
      <c r="D517" s="36">
        <v>9.48</v>
      </c>
      <c r="E517" s="21">
        <f>IFERROR(__xludf.DUMMYFUNCTION("IF(C517=""USD"", D517, 
  IFERROR(
    D517 * INDEX(GOOGLEFINANCE(CONCATENATE(""CURRENCY:"", C517, ""USD""), ""close"", B517), 2, 2),
    IFERROR(
      D517 * INDEX(GOOGLEFINANCE(CONCATENATE(""CURRENCY:"", C517, ""USD""), ""close"", B517 - 1), 2, 2),
   "&amp;"   D517 * INDEX(GOOGLEFINANCE(CONCATENATE(""CURRENCY:"", C517, ""USD""), ""close"", B517 + 1), 2, 2)
    )
  )
)"),12.620629200000002)</f>
        <v>12.6206292</v>
      </c>
    </row>
    <row r="518">
      <c r="A518" s="33" t="s">
        <v>1202</v>
      </c>
      <c r="B518" s="34">
        <v>44529.0</v>
      </c>
      <c r="C518" s="35" t="s">
        <v>82</v>
      </c>
      <c r="D518" s="36">
        <v>38.47</v>
      </c>
      <c r="E518" s="21">
        <f>IFERROR(__xludf.DUMMYFUNCTION("IF(C518=""USD"", D518, 
  IFERROR(
    D518 * INDEX(GOOGLEFINANCE(CONCATENATE(""CURRENCY:"", C518, ""USD""), ""close"", B518), 2, 2),
    IFERROR(
      D518 * INDEX(GOOGLEFINANCE(CONCATENATE(""CURRENCY:"", C518, ""USD""), ""close"", B518 - 1), 2, 2),
   "&amp;"   D518 * INDEX(GOOGLEFINANCE(CONCATENATE(""CURRENCY:"", C518, ""USD""), ""close"", B518 + 1), 2, 2)
    )
  )
)"),51.2147263)</f>
        <v>51.2147263</v>
      </c>
    </row>
    <row r="519">
      <c r="A519" s="33" t="s">
        <v>1204</v>
      </c>
      <c r="B519" s="34">
        <v>44529.0</v>
      </c>
      <c r="C519" s="35" t="s">
        <v>82</v>
      </c>
      <c r="D519" s="36">
        <v>4.34</v>
      </c>
      <c r="E519" s="21">
        <f>IFERROR(__xludf.DUMMYFUNCTION("IF(C519=""USD"", D519, 
  IFERROR(
    D519 * INDEX(GOOGLEFINANCE(CONCATENATE(""CURRENCY:"", C519, ""USD""), ""close"", B519), 2, 2),
    IFERROR(
      D519 * INDEX(GOOGLEFINANCE(CONCATENATE(""CURRENCY:"", C519, ""USD""), ""close"", B519 - 1), 2, 2),
   "&amp;"   D519 * INDEX(GOOGLEFINANCE(CONCATENATE(""CURRENCY:"", C519, ""USD""), ""close"", B519 + 1), 2, 2)
    )
  )
)"),5.777798600000001)</f>
        <v>5.7777986</v>
      </c>
    </row>
    <row r="520">
      <c r="A520" s="33" t="s">
        <v>1207</v>
      </c>
      <c r="B520" s="34">
        <v>44529.0</v>
      </c>
      <c r="C520" s="35" t="s">
        <v>82</v>
      </c>
      <c r="D520" s="36">
        <v>1.39</v>
      </c>
      <c r="E520" s="21">
        <f>IFERROR(__xludf.DUMMYFUNCTION("IF(C520=""USD"", D520, 
  IFERROR(
    D520 * INDEX(GOOGLEFINANCE(CONCATENATE(""CURRENCY:"", C520, ""USD""), ""close"", B520), 2, 2),
    IFERROR(
      D520 * INDEX(GOOGLEFINANCE(CONCATENATE(""CURRENCY:"", C520, ""USD""), ""close"", B520 - 1), 2, 2),
   "&amp;"   D520 * INDEX(GOOGLEFINANCE(CONCATENATE(""CURRENCY:"", C520, ""USD""), ""close"", B520 + 1), 2, 2)
    )
  )
)"),1.8504931)</f>
        <v>1.8504931</v>
      </c>
    </row>
    <row r="521">
      <c r="A521" s="33" t="s">
        <v>1194</v>
      </c>
      <c r="B521" s="34">
        <v>44559.0</v>
      </c>
      <c r="C521" s="35" t="s">
        <v>82</v>
      </c>
      <c r="D521" s="36">
        <v>2.88</v>
      </c>
      <c r="E521" s="21">
        <f>IFERROR(__xludf.DUMMYFUNCTION("IF(C521=""USD"", D521, 
  IFERROR(
    D521 * INDEX(GOOGLEFINANCE(CONCATENATE(""CURRENCY:"", C521, ""USD""), ""close"", B521), 2, 2),
    IFERROR(
      D521 * INDEX(GOOGLEFINANCE(CONCATENATE(""CURRENCY:"", C521, ""USD""), ""close"", B521 - 1), 2, 2),
   "&amp;"   D521 * INDEX(GOOGLEFINANCE(CONCATENATE(""CURRENCY:"", C521, ""USD""), ""close"", B521 + 1), 2, 2)
    )
  )
)"),3.8867616)</f>
        <v>3.8867616</v>
      </c>
    </row>
    <row r="522">
      <c r="A522" s="33" t="s">
        <v>1203</v>
      </c>
      <c r="B522" s="34">
        <v>44559.0</v>
      </c>
      <c r="C522" s="35" t="s">
        <v>82</v>
      </c>
      <c r="D522" s="36">
        <v>4.32</v>
      </c>
      <c r="E522" s="21">
        <f>IFERROR(__xludf.DUMMYFUNCTION("IF(C522=""USD"", D522, 
  IFERROR(
    D522 * INDEX(GOOGLEFINANCE(CONCATENATE(""CURRENCY:"", C522, ""USD""), ""close"", B522), 2, 2),
    IFERROR(
      D522 * INDEX(GOOGLEFINANCE(CONCATENATE(""CURRENCY:"", C522, ""USD""), ""close"", B522 - 1), 2, 2),
   "&amp;"   D522 * INDEX(GOOGLEFINANCE(CONCATENATE(""CURRENCY:"", C522, ""USD""), ""close"", B522 + 1), 2, 2)
    )
  )
)"),5.8301424)</f>
        <v>5.8301424</v>
      </c>
    </row>
    <row r="523">
      <c r="A523" s="33" t="s">
        <v>1197</v>
      </c>
      <c r="B523" s="34">
        <v>44559.0</v>
      </c>
      <c r="C523" s="35" t="s">
        <v>82</v>
      </c>
      <c r="D523" s="36">
        <v>11.62</v>
      </c>
      <c r="E523" s="21">
        <f>IFERROR(__xludf.DUMMYFUNCTION("IF(C523=""USD"", D523, 
  IFERROR(
    D523 * INDEX(GOOGLEFINANCE(CONCATENATE(""CURRENCY:"", C523, ""USD""), ""close"", B523), 2, 2),
    IFERROR(
      D523 * INDEX(GOOGLEFINANCE(CONCATENATE(""CURRENCY:"", C523, ""USD""), ""close"", B523 - 1), 2, 2),
   "&amp;"   D523 * INDEX(GOOGLEFINANCE(CONCATENATE(""CURRENCY:"", C523, ""USD""), ""close"", B523 + 1), 2, 2)
    )
  )
)"),15.682003399999997)</f>
        <v>15.6820034</v>
      </c>
    </row>
    <row r="524">
      <c r="A524" s="33" t="s">
        <v>1205</v>
      </c>
      <c r="B524" s="34">
        <v>44559.0</v>
      </c>
      <c r="C524" s="35" t="s">
        <v>82</v>
      </c>
      <c r="D524" s="36">
        <v>0.99</v>
      </c>
      <c r="E524" s="21">
        <f>IFERROR(__xludf.DUMMYFUNCTION("IF(C524=""USD"", D524, 
  IFERROR(
    D524 * INDEX(GOOGLEFINANCE(CONCATENATE(""CURRENCY:"", C524, ""USD""), ""close"", B524), 2, 2),
    IFERROR(
      D524 * INDEX(GOOGLEFINANCE(CONCATENATE(""CURRENCY:"", C524, ""USD""), ""close"", B524 - 1), 2, 2),
   "&amp;"   D524 * INDEX(GOOGLEFINANCE(CONCATENATE(""CURRENCY:"", C524, ""USD""), ""close"", B524 + 1), 2, 2)
    )
  )
)"),1.3360743)</f>
        <v>1.3360743</v>
      </c>
    </row>
    <row r="525">
      <c r="A525" s="33" t="s">
        <v>1204</v>
      </c>
      <c r="B525" s="34">
        <v>44559.0</v>
      </c>
      <c r="C525" s="35" t="s">
        <v>82</v>
      </c>
      <c r="D525" s="36">
        <v>1.63</v>
      </c>
      <c r="E525" s="21">
        <f>IFERROR(__xludf.DUMMYFUNCTION("IF(C525=""USD"", D525, 
  IFERROR(
    D525 * INDEX(GOOGLEFINANCE(CONCATENATE(""CURRENCY:"", C525, ""USD""), ""close"", B525), 2, 2),
    IFERROR(
      D525 * INDEX(GOOGLEFINANCE(CONCATENATE(""CURRENCY:"", C525, ""USD""), ""close"", B525 - 1), 2, 2),
   "&amp;"   D525 * INDEX(GOOGLEFINANCE(CONCATENATE(""CURRENCY:"", C525, ""USD""), ""close"", B525 + 1), 2, 2)
    )
  )
)"),2.1997991)</f>
        <v>2.1997991</v>
      </c>
    </row>
    <row r="526">
      <c r="A526" s="33" t="s">
        <v>1202</v>
      </c>
      <c r="B526" s="34">
        <v>44559.0</v>
      </c>
      <c r="C526" s="35" t="s">
        <v>82</v>
      </c>
      <c r="D526" s="36">
        <v>39.51</v>
      </c>
      <c r="E526" s="21">
        <f>IFERROR(__xludf.DUMMYFUNCTION("IF(C526=""USD"", D526, 
  IFERROR(
    D526 * INDEX(GOOGLEFINANCE(CONCATENATE(""CURRENCY:"", C526, ""USD""), ""close"", B526), 2, 2),
    IFERROR(
      D526 * INDEX(GOOGLEFINANCE(CONCATENATE(""CURRENCY:"", C526, ""USD""), ""close"", B526 - 1), 2, 2),
   "&amp;"   D526 * INDEX(GOOGLEFINANCE(CONCATENATE(""CURRENCY:"", C526, ""USD""), ""close"", B526 + 1), 2, 2)
    )
  )
)"),53.3215107)</f>
        <v>53.3215107</v>
      </c>
    </row>
    <row r="527">
      <c r="A527" s="33" t="s">
        <v>1200</v>
      </c>
      <c r="B527" s="34">
        <v>44559.0</v>
      </c>
      <c r="C527" s="35" t="s">
        <v>82</v>
      </c>
      <c r="D527" s="36">
        <v>19.36</v>
      </c>
      <c r="E527" s="21">
        <f>IFERROR(__xludf.DUMMYFUNCTION("IF(C527=""USD"", D527, 
  IFERROR(
    D527 * INDEX(GOOGLEFINANCE(CONCATENATE(""CURRENCY:"", C527, ""USD""), ""close"", B527), 2, 2),
    IFERROR(
      D527 * INDEX(GOOGLEFINANCE(CONCATENATE(""CURRENCY:"", C527, ""USD""), ""close"", B527 - 1), 2, 2),
   "&amp;"   D527 * INDEX(GOOGLEFINANCE(CONCATENATE(""CURRENCY:"", C527, ""USD""), ""close"", B527 + 1), 2, 2)
    )
  )
)"),26.1276752)</f>
        <v>26.1276752</v>
      </c>
    </row>
    <row r="528">
      <c r="A528" s="33" t="s">
        <v>1204</v>
      </c>
      <c r="B528" s="34">
        <v>44590.0</v>
      </c>
      <c r="C528" s="35" t="s">
        <v>82</v>
      </c>
      <c r="D528" s="36">
        <v>1.9</v>
      </c>
      <c r="E528" s="21">
        <f>IFERROR(__xludf.DUMMYFUNCTION("IF(C528=""USD"", D528, 
  IFERROR(
    D528 * INDEX(GOOGLEFINANCE(CONCATENATE(""CURRENCY:"", C528, ""USD""), ""close"", B528), 2, 2),
    IFERROR(
      D528 * INDEX(GOOGLEFINANCE(CONCATENATE(""CURRENCY:"", C528, ""USD""), ""close"", B528 - 1), 2, 2),
   "&amp;"   D528 * INDEX(GOOGLEFINANCE(CONCATENATE(""CURRENCY:"", C528, ""USD""), ""close"", B528 + 1), 2, 2)
    )
  )
)"),2.544613)</f>
        <v>2.544613</v>
      </c>
    </row>
    <row r="529">
      <c r="A529" s="33" t="s">
        <v>1205</v>
      </c>
      <c r="B529" s="34">
        <v>44590.0</v>
      </c>
      <c r="C529" s="35" t="s">
        <v>82</v>
      </c>
      <c r="D529" s="36">
        <v>0.95</v>
      </c>
      <c r="E529" s="21">
        <f>IFERROR(__xludf.DUMMYFUNCTION("IF(C529=""USD"", D529, 
  IFERROR(
    D529 * INDEX(GOOGLEFINANCE(CONCATENATE(""CURRENCY:"", C529, ""USD""), ""close"", B529), 2, 2),
    IFERROR(
      D529 * INDEX(GOOGLEFINANCE(CONCATENATE(""CURRENCY:"", C529, ""USD""), ""close"", B529 - 1), 2, 2),
   "&amp;"   D529 * INDEX(GOOGLEFINANCE(CONCATENATE(""CURRENCY:"", C529, ""USD""), ""close"", B529 + 1), 2, 2)
    )
  )
)"),1.2723065)</f>
        <v>1.2723065</v>
      </c>
    </row>
    <row r="530">
      <c r="A530" s="33" t="s">
        <v>1203</v>
      </c>
      <c r="B530" s="34">
        <v>44590.0</v>
      </c>
      <c r="C530" s="35" t="s">
        <v>82</v>
      </c>
      <c r="D530" s="36">
        <v>1.9</v>
      </c>
      <c r="E530" s="21">
        <f>IFERROR(__xludf.DUMMYFUNCTION("IF(C530=""USD"", D530, 
  IFERROR(
    D530 * INDEX(GOOGLEFINANCE(CONCATENATE(""CURRENCY:"", C530, ""USD""), ""close"", B530), 2, 2),
    IFERROR(
      D530 * INDEX(GOOGLEFINANCE(CONCATENATE(""CURRENCY:"", C530, ""USD""), ""close"", B530 - 1), 2, 2),
   "&amp;"   D530 * INDEX(GOOGLEFINANCE(CONCATENATE(""CURRENCY:"", C530, ""USD""), ""close"", B530 + 1), 2, 2)
    )
  )
)"),2.544613)</f>
        <v>2.544613</v>
      </c>
    </row>
    <row r="531">
      <c r="A531" s="33" t="s">
        <v>1202</v>
      </c>
      <c r="B531" s="34">
        <v>44590.0</v>
      </c>
      <c r="C531" s="35" t="s">
        <v>82</v>
      </c>
      <c r="D531" s="36">
        <v>19.17</v>
      </c>
      <c r="E531" s="21">
        <f>IFERROR(__xludf.DUMMYFUNCTION("IF(C531=""USD"", D531, 
  IFERROR(
    D531 * INDEX(GOOGLEFINANCE(CONCATENATE(""CURRENCY:"", C531, ""USD""), ""close"", B531), 2, 2),
    IFERROR(
      D531 * INDEX(GOOGLEFINANCE(CONCATENATE(""CURRENCY:"", C531, ""USD""), ""close"", B531 - 1), 2, 2),
   "&amp;"   D531 * INDEX(GOOGLEFINANCE(CONCATENATE(""CURRENCY:"", C531, ""USD""), ""close"", B531 + 1), 2, 2)
    )
  )
)"),25.6738059)</f>
        <v>25.6738059</v>
      </c>
    </row>
    <row r="532">
      <c r="A532" s="33" t="s">
        <v>1200</v>
      </c>
      <c r="B532" s="34">
        <v>44590.0</v>
      </c>
      <c r="C532" s="35" t="s">
        <v>82</v>
      </c>
      <c r="D532" s="36">
        <v>1.82</v>
      </c>
      <c r="E532" s="21">
        <f>IFERROR(__xludf.DUMMYFUNCTION("IF(C532=""USD"", D532, 
  IFERROR(
    D532 * INDEX(GOOGLEFINANCE(CONCATENATE(""CURRENCY:"", C532, ""USD""), ""close"", B532), 2, 2),
    IFERROR(
      D532 * INDEX(GOOGLEFINANCE(CONCATENATE(""CURRENCY:"", C532, ""USD""), ""close"", B532 - 1), 2, 2),
   "&amp;"   D532 * INDEX(GOOGLEFINANCE(CONCATENATE(""CURRENCY:"", C532, ""USD""), ""close"", B532 + 1), 2, 2)
    )
  )
)"),2.4374714)</f>
        <v>2.4374714</v>
      </c>
    </row>
    <row r="533">
      <c r="A533" s="33" t="s">
        <v>1197</v>
      </c>
      <c r="B533" s="34">
        <v>44590.0</v>
      </c>
      <c r="C533" s="35" t="s">
        <v>82</v>
      </c>
      <c r="D533" s="36">
        <v>15.5</v>
      </c>
      <c r="E533" s="21">
        <f>IFERROR(__xludf.DUMMYFUNCTION("IF(C533=""USD"", D533, 
  IFERROR(
    D533 * INDEX(GOOGLEFINANCE(CONCATENATE(""CURRENCY:"", C533, ""USD""), ""close"", B533), 2, 2),
    IFERROR(
      D533 * INDEX(GOOGLEFINANCE(CONCATENATE(""CURRENCY:"", C533, ""USD""), ""close"", B533 - 1), 2, 2),
   "&amp;"   D533 * INDEX(GOOGLEFINANCE(CONCATENATE(""CURRENCY:"", C533, ""USD""), ""close"", B533 + 1), 2, 2)
    )
  )
)"),20.758685)</f>
        <v>20.758685</v>
      </c>
    </row>
    <row r="534">
      <c r="A534" s="33" t="s">
        <v>1202</v>
      </c>
      <c r="B534" s="34">
        <v>44620.0</v>
      </c>
      <c r="C534" s="35" t="s">
        <v>82</v>
      </c>
      <c r="D534" s="36">
        <v>46.6</v>
      </c>
      <c r="E534" s="21">
        <f>IFERROR(__xludf.DUMMYFUNCTION("IF(C534=""USD"", D534, 
  IFERROR(
    D534 * INDEX(GOOGLEFINANCE(CONCATENATE(""CURRENCY:"", C534, ""USD""), ""close"", B534), 2, 2),
    IFERROR(
      D534 * INDEX(GOOGLEFINANCE(CONCATENATE(""CURRENCY:"", C534, ""USD""), ""close"", B534 - 1), 2, 2),
   "&amp;"   D534 * INDEX(GOOGLEFINANCE(CONCATENATE(""CURRENCY:"", C534, ""USD""), ""close"", B534 + 1), 2, 2)
    )
  )
)"),62.545587999999995)</f>
        <v>62.545588</v>
      </c>
    </row>
    <row r="535">
      <c r="A535" s="33" t="s">
        <v>1194</v>
      </c>
      <c r="B535" s="34">
        <v>44620.0</v>
      </c>
      <c r="C535" s="35" t="s">
        <v>82</v>
      </c>
      <c r="D535" s="36">
        <v>4.84</v>
      </c>
      <c r="E535" s="21">
        <f>IFERROR(__xludf.DUMMYFUNCTION("IF(C535=""USD"", D535, 
  IFERROR(
    D535 * INDEX(GOOGLEFINANCE(CONCATENATE(""CURRENCY:"", C535, ""USD""), ""close"", B535), 2, 2),
    IFERROR(
      D535 * INDEX(GOOGLEFINANCE(CONCATENATE(""CURRENCY:"", C535, ""USD""), ""close"", B535 - 1), 2, 2),
   "&amp;"   D535 * INDEX(GOOGLEFINANCE(CONCATENATE(""CURRENCY:"", C535, ""USD""), ""close"", B535 + 1), 2, 2)
    )
  )
)"),6.4961512)</f>
        <v>6.4961512</v>
      </c>
    </row>
    <row r="536">
      <c r="A536" s="33" t="s">
        <v>1197</v>
      </c>
      <c r="B536" s="34">
        <v>44620.0</v>
      </c>
      <c r="C536" s="35" t="s">
        <v>82</v>
      </c>
      <c r="D536" s="36">
        <v>15.21</v>
      </c>
      <c r="E536" s="21">
        <f>IFERROR(__xludf.DUMMYFUNCTION("IF(C536=""USD"", D536, 
  IFERROR(
    D536 * INDEX(GOOGLEFINANCE(CONCATENATE(""CURRENCY:"", C536, ""USD""), ""close"", B536), 2, 2),
    IFERROR(
      D536 * INDEX(GOOGLEFINANCE(CONCATENATE(""CURRENCY:"", C536, ""USD""), ""close"", B536 - 1), 2, 2),
   "&amp;"   D536 * INDEX(GOOGLEFINANCE(CONCATENATE(""CURRENCY:"", C536, ""USD""), ""close"", B536 + 1), 2, 2)
    )
  )
)"),20.4145578)</f>
        <v>20.4145578</v>
      </c>
    </row>
    <row r="537">
      <c r="A537" s="33" t="s">
        <v>1203</v>
      </c>
      <c r="B537" s="34">
        <v>44620.0</v>
      </c>
      <c r="C537" s="35" t="s">
        <v>82</v>
      </c>
      <c r="D537" s="36">
        <v>1.6</v>
      </c>
      <c r="E537" s="21">
        <f>IFERROR(__xludf.DUMMYFUNCTION("IF(C537=""USD"", D537, 
  IFERROR(
    D537 * INDEX(GOOGLEFINANCE(CONCATENATE(""CURRENCY:"", C537, ""USD""), ""close"", B537), 2, 2),
    IFERROR(
      D537 * INDEX(GOOGLEFINANCE(CONCATENATE(""CURRENCY:"", C537, ""USD""), ""close"", B537 - 1), 2, 2),
   "&amp;"   D537 * INDEX(GOOGLEFINANCE(CONCATENATE(""CURRENCY:"", C537, ""USD""), ""close"", B537 + 1), 2, 2)
    )
  )
)"),2.147488)</f>
        <v>2.147488</v>
      </c>
    </row>
    <row r="538">
      <c r="A538" s="33" t="s">
        <v>1200</v>
      </c>
      <c r="B538" s="34">
        <v>44620.0</v>
      </c>
      <c r="C538" s="35" t="s">
        <v>82</v>
      </c>
      <c r="D538" s="36">
        <v>5.04</v>
      </c>
      <c r="E538" s="21">
        <f>IFERROR(__xludf.DUMMYFUNCTION("IF(C538=""USD"", D538, 
  IFERROR(
    D538 * INDEX(GOOGLEFINANCE(CONCATENATE(""CURRENCY:"", C538, ""USD""), ""close"", B538), 2, 2),
    IFERROR(
      D538 * INDEX(GOOGLEFINANCE(CONCATENATE(""CURRENCY:"", C538, ""USD""), ""close"", B538 - 1), 2, 2),
   "&amp;"   D538 * INDEX(GOOGLEFINANCE(CONCATENATE(""CURRENCY:"", C538, ""USD""), ""close"", B538 + 1), 2, 2)
    )
  )
)"),6.764587199999999)</f>
        <v>6.7645872</v>
      </c>
    </row>
    <row r="539">
      <c r="A539" s="33" t="s">
        <v>1194</v>
      </c>
      <c r="B539" s="34">
        <v>44649.0</v>
      </c>
      <c r="C539" s="35" t="s">
        <v>82</v>
      </c>
      <c r="D539" s="36">
        <v>8.57</v>
      </c>
      <c r="E539" s="21">
        <f>IFERROR(__xludf.DUMMYFUNCTION("IF(C539=""USD"", D539, 
  IFERROR(
    D539 * INDEX(GOOGLEFINANCE(CONCATENATE(""CURRENCY:"", C539, ""USD""), ""close"", B539), 2, 2),
    IFERROR(
      D539 * INDEX(GOOGLEFINANCE(CONCATENATE(""CURRENCY:"", C539, ""USD""), ""close"", B539 - 1), 2, 2),
   "&amp;"   D539 * INDEX(GOOGLEFINANCE(CONCATENATE(""CURRENCY:"", C539, ""USD""), ""close"", B539 + 1), 2, 2)
    )
  )
)"),11.220101099999999)</f>
        <v>11.2201011</v>
      </c>
    </row>
    <row r="540">
      <c r="A540" s="33" t="s">
        <v>1197</v>
      </c>
      <c r="B540" s="34">
        <v>44649.0</v>
      </c>
      <c r="C540" s="35" t="s">
        <v>82</v>
      </c>
      <c r="D540" s="36">
        <v>17.29</v>
      </c>
      <c r="E540" s="21">
        <f>IFERROR(__xludf.DUMMYFUNCTION("IF(C540=""USD"", D540, 
  IFERROR(
    D540 * INDEX(GOOGLEFINANCE(CONCATENATE(""CURRENCY:"", C540, ""USD""), ""close"", B540), 2, 2),
    IFERROR(
      D540 * INDEX(GOOGLEFINANCE(CONCATENATE(""CURRENCY:"", C540, ""USD""), ""close"", B540 - 1), 2, 2),
   "&amp;"   D540 * INDEX(GOOGLEFINANCE(CONCATENATE(""CURRENCY:"", C540, ""USD""), ""close"", B540 + 1), 2, 2)
    )
  )
)"),22.6365867)</f>
        <v>22.6365867</v>
      </c>
    </row>
    <row r="541">
      <c r="A541" s="33" t="s">
        <v>1200</v>
      </c>
      <c r="B541" s="34">
        <v>44649.0</v>
      </c>
      <c r="C541" s="35" t="s">
        <v>82</v>
      </c>
      <c r="D541" s="36">
        <v>4.56</v>
      </c>
      <c r="E541" s="21">
        <f>IFERROR(__xludf.DUMMYFUNCTION("IF(C541=""USD"", D541, 
  IFERROR(
    D541 * INDEX(GOOGLEFINANCE(CONCATENATE(""CURRENCY:"", C541, ""USD""), ""close"", B541), 2, 2),
    IFERROR(
      D541 * INDEX(GOOGLEFINANCE(CONCATENATE(""CURRENCY:"", C541, ""USD""), ""close"", B541 - 1), 2, 2),
   "&amp;"   D541 * INDEX(GOOGLEFINANCE(CONCATENATE(""CURRENCY:"", C541, ""USD""), ""close"", B541 + 1), 2, 2)
    )
  )
)"),5.970088799999999)</f>
        <v>5.9700888</v>
      </c>
    </row>
    <row r="542">
      <c r="A542" s="33" t="s">
        <v>1204</v>
      </c>
      <c r="B542" s="34">
        <v>44649.0</v>
      </c>
      <c r="C542" s="35" t="s">
        <v>82</v>
      </c>
      <c r="D542" s="36">
        <v>1.62</v>
      </c>
      <c r="E542" s="21">
        <f>IFERROR(__xludf.DUMMYFUNCTION("IF(C542=""USD"", D542, 
  IFERROR(
    D542 * INDEX(GOOGLEFINANCE(CONCATENATE(""CURRENCY:"", C542, ""USD""), ""close"", B542), 2, 2),
    IFERROR(
      D542 * INDEX(GOOGLEFINANCE(CONCATENATE(""CURRENCY:"", C542, ""USD""), ""close"", B542 - 1), 2, 2),
   "&amp;"   D542 * INDEX(GOOGLEFINANCE(CONCATENATE(""CURRENCY:"", C542, ""USD""), ""close"", B542 + 1), 2, 2)
    )
  )
)"),2.1209526)</f>
        <v>2.1209526</v>
      </c>
    </row>
    <row r="543">
      <c r="A543" s="33" t="s">
        <v>1203</v>
      </c>
      <c r="B543" s="34">
        <v>44649.0</v>
      </c>
      <c r="C543" s="35" t="s">
        <v>82</v>
      </c>
      <c r="D543" s="36">
        <v>0.13</v>
      </c>
      <c r="E543" s="21">
        <f>IFERROR(__xludf.DUMMYFUNCTION("IF(C543=""USD"", D543, 
  IFERROR(
    D543 * INDEX(GOOGLEFINANCE(CONCATENATE(""CURRENCY:"", C543, ""USD""), ""close"", B543), 2, 2),
    IFERROR(
      D543 * INDEX(GOOGLEFINANCE(CONCATENATE(""CURRENCY:"", C543, ""USD""), ""close"", B543 - 1), 2, 2),
   "&amp;"   D543 * INDEX(GOOGLEFINANCE(CONCATENATE(""CURRENCY:"", C543, ""USD""), ""close"", B543 + 1), 2, 2)
    )
  )
)"),0.1701999)</f>
        <v>0.1701999</v>
      </c>
    </row>
    <row r="544">
      <c r="A544" s="33" t="s">
        <v>1202</v>
      </c>
      <c r="B544" s="34">
        <v>44649.0</v>
      </c>
      <c r="C544" s="35" t="s">
        <v>82</v>
      </c>
      <c r="D544" s="36">
        <v>56.96</v>
      </c>
      <c r="E544" s="21">
        <f>IFERROR(__xludf.DUMMYFUNCTION("IF(C544=""USD"", D544, 
  IFERROR(
    D544 * INDEX(GOOGLEFINANCE(CONCATENATE(""CURRENCY:"", C544, ""USD""), ""close"", B544), 2, 2),
    IFERROR(
      D544 * INDEX(GOOGLEFINANCE(CONCATENATE(""CURRENCY:"", C544, ""USD""), ""close"", B544 - 1), 2, 2),
   "&amp;"   D544 * INDEX(GOOGLEFINANCE(CONCATENATE(""CURRENCY:"", C544, ""USD""), ""close"", B544 + 1), 2, 2)
    )
  )
)"),74.5737408)</f>
        <v>74.5737408</v>
      </c>
    </row>
    <row r="545">
      <c r="A545" s="33" t="s">
        <v>1203</v>
      </c>
      <c r="B545" s="34">
        <v>44680.0</v>
      </c>
      <c r="C545" s="35" t="s">
        <v>82</v>
      </c>
      <c r="D545" s="36">
        <v>8.65</v>
      </c>
      <c r="E545" s="21">
        <f>IFERROR(__xludf.DUMMYFUNCTION("IF(C545=""USD"", D545, 
  IFERROR(
    D545 * INDEX(GOOGLEFINANCE(CONCATENATE(""CURRENCY:"", C545, ""USD""), ""close"", B545), 2, 2),
    IFERROR(
      D545 * INDEX(GOOGLEFINANCE(CONCATENATE(""CURRENCY:"", C545, ""USD""), ""close"", B545 - 1), 2, 2),
   "&amp;"   D545 * INDEX(GOOGLEFINANCE(CONCATENATE(""CURRENCY:"", C545, ""USD""), ""close"", B545 + 1), 2, 2)
    )
  )
)"),10.875645)</f>
        <v>10.875645</v>
      </c>
    </row>
    <row r="546">
      <c r="A546" s="33" t="s">
        <v>1197</v>
      </c>
      <c r="B546" s="34">
        <v>44680.0</v>
      </c>
      <c r="C546" s="35" t="s">
        <v>82</v>
      </c>
      <c r="D546" s="36">
        <v>20.56</v>
      </c>
      <c r="E546" s="21">
        <f>IFERROR(__xludf.DUMMYFUNCTION("IF(C546=""USD"", D546, 
  IFERROR(
    D546 * INDEX(GOOGLEFINANCE(CONCATENATE(""CURRENCY:"", C546, ""USD""), ""close"", B546), 2, 2),
    IFERROR(
      D546 * INDEX(GOOGLEFINANCE(CONCATENATE(""CURRENCY:"", C546, ""USD""), ""close"", B546 - 1), 2, 2),
   "&amp;"   D546 * INDEX(GOOGLEFINANCE(CONCATENATE(""CURRENCY:"", C546, ""USD""), ""close"", B546 + 1), 2, 2)
    )
  )
)"),25.850088)</f>
        <v>25.850088</v>
      </c>
    </row>
    <row r="547">
      <c r="A547" s="33" t="s">
        <v>1202</v>
      </c>
      <c r="B547" s="34">
        <v>44680.0</v>
      </c>
      <c r="C547" s="35" t="s">
        <v>82</v>
      </c>
      <c r="D547" s="36">
        <v>41.3</v>
      </c>
      <c r="E547" s="21">
        <f>IFERROR(__xludf.DUMMYFUNCTION("IF(C547=""USD"", D547, 
  IFERROR(
    D547 * INDEX(GOOGLEFINANCE(CONCATENATE(""CURRENCY:"", C547, ""USD""), ""close"", B547), 2, 2),
    IFERROR(
      D547 * INDEX(GOOGLEFINANCE(CONCATENATE(""CURRENCY:"", C547, ""USD""), ""close"", B547 - 1), 2, 2),
   "&amp;"   D547 * INDEX(GOOGLEFINANCE(CONCATENATE(""CURRENCY:"", C547, ""USD""), ""close"", B547 + 1), 2, 2)
    )
  )
)"),51.92649)</f>
        <v>51.92649</v>
      </c>
    </row>
    <row r="548">
      <c r="A548" s="33" t="s">
        <v>1209</v>
      </c>
      <c r="B548" s="34">
        <v>44680.0</v>
      </c>
      <c r="C548" s="35" t="s">
        <v>82</v>
      </c>
      <c r="D548" s="36">
        <v>1.81</v>
      </c>
      <c r="E548" s="21">
        <f>IFERROR(__xludf.DUMMYFUNCTION("IF(C548=""USD"", D548, 
  IFERROR(
    D548 * INDEX(GOOGLEFINANCE(CONCATENATE(""CURRENCY:"", C548, ""USD""), ""close"", B548), 2, 2),
    IFERROR(
      D548 * INDEX(GOOGLEFINANCE(CONCATENATE(""CURRENCY:"", C548, ""USD""), ""close"", B548 - 1), 2, 2),
   "&amp;"   D548 * INDEX(GOOGLEFINANCE(CONCATENATE(""CURRENCY:"", C548, ""USD""), ""close"", B548 + 1), 2, 2)
    )
  )
)"),2.275713)</f>
        <v>2.275713</v>
      </c>
    </row>
    <row r="549">
      <c r="A549" s="33" t="s">
        <v>1194</v>
      </c>
      <c r="B549" s="34">
        <v>44680.0</v>
      </c>
      <c r="C549" s="35" t="s">
        <v>82</v>
      </c>
      <c r="D549" s="36">
        <v>1.33</v>
      </c>
      <c r="E549" s="21">
        <f>IFERROR(__xludf.DUMMYFUNCTION("IF(C549=""USD"", D549, 
  IFERROR(
    D549 * INDEX(GOOGLEFINANCE(CONCATENATE(""CURRENCY:"", C549, ""USD""), ""close"", B549), 2, 2),
    IFERROR(
      D549 * INDEX(GOOGLEFINANCE(CONCATENATE(""CURRENCY:"", C549, ""USD""), ""close"", B549 - 1), 2, 2),
   "&amp;"   D549 * INDEX(GOOGLEFINANCE(CONCATENATE(""CURRENCY:"", C549, ""USD""), ""close"", B549 + 1), 2, 2)
    )
  )
)"),1.6722090000000003)</f>
        <v>1.672209</v>
      </c>
    </row>
    <row r="550">
      <c r="A550" s="33" t="s">
        <v>1200</v>
      </c>
      <c r="B550" s="34">
        <v>44680.0</v>
      </c>
      <c r="C550" s="35" t="s">
        <v>82</v>
      </c>
      <c r="D550" s="36">
        <v>11.41</v>
      </c>
      <c r="E550" s="21">
        <f>IFERROR(__xludf.DUMMYFUNCTION("IF(C550=""USD"", D550, 
  IFERROR(
    D550 * INDEX(GOOGLEFINANCE(CONCATENATE(""CURRENCY:"", C550, ""USD""), ""close"", B550), 2, 2),
    IFERROR(
      D550 * INDEX(GOOGLEFINANCE(CONCATENATE(""CURRENCY:"", C550, ""USD""), ""close"", B550 - 1), 2, 2),
   "&amp;"   D550 * INDEX(GOOGLEFINANCE(CONCATENATE(""CURRENCY:"", C550, ""USD""), ""close"", B550 + 1), 2, 2)
    )
  )
)"),14.345793)</f>
        <v>14.345793</v>
      </c>
    </row>
    <row r="551">
      <c r="A551" s="33" t="s">
        <v>1194</v>
      </c>
      <c r="B551" s="34">
        <v>44710.0</v>
      </c>
      <c r="C551" s="35" t="s">
        <v>82</v>
      </c>
      <c r="D551" s="36">
        <v>1.28</v>
      </c>
      <c r="E551" s="21">
        <f>IFERROR(__xludf.DUMMYFUNCTION("IF(C551=""USD"", D551, 
  IFERROR(
    D551 * INDEX(GOOGLEFINANCE(CONCATENATE(""CURRENCY:"", C551, ""USD""), ""close"", B551), 2, 2),
    IFERROR(
      D551 * INDEX(GOOGLEFINANCE(CONCATENATE(""CURRENCY:"", C551, ""USD""), ""close"", B551 - 1), 2, 2),
   "&amp;"   D551 * INDEX(GOOGLEFINANCE(CONCATENATE(""CURRENCY:"", C551, ""USD""), ""close"", B551 + 1), 2, 2)
    )
  )
)"),1.616256)</f>
        <v>1.616256</v>
      </c>
    </row>
    <row r="552">
      <c r="A552" s="33" t="s">
        <v>1203</v>
      </c>
      <c r="B552" s="34">
        <v>44710.0</v>
      </c>
      <c r="C552" s="35" t="s">
        <v>82</v>
      </c>
      <c r="D552" s="36">
        <v>10.64</v>
      </c>
      <c r="E552" s="21">
        <f>IFERROR(__xludf.DUMMYFUNCTION("IF(C552=""USD"", D552, 
  IFERROR(
    D552 * INDEX(GOOGLEFINANCE(CONCATENATE(""CURRENCY:"", C552, ""USD""), ""close"", B552), 2, 2),
    IFERROR(
      D552 * INDEX(GOOGLEFINANCE(CONCATENATE(""CURRENCY:"", C552, ""USD""), ""close"", B552 - 1), 2, 2),
   "&amp;"   D552 * INDEX(GOOGLEFINANCE(CONCATENATE(""CURRENCY:"", C552, ""USD""), ""close"", B552 + 1), 2, 2)
    )
  )
)"),13.435128)</f>
        <v>13.435128</v>
      </c>
    </row>
    <row r="553">
      <c r="A553" s="33" t="s">
        <v>1197</v>
      </c>
      <c r="B553" s="34">
        <v>44710.0</v>
      </c>
      <c r="C553" s="35" t="s">
        <v>82</v>
      </c>
      <c r="D553" s="36">
        <v>5.24</v>
      </c>
      <c r="E553" s="21">
        <f>IFERROR(__xludf.DUMMYFUNCTION("IF(C553=""USD"", D553, 
  IFERROR(
    D553 * INDEX(GOOGLEFINANCE(CONCATENATE(""CURRENCY:"", C553, ""USD""), ""close"", B553), 2, 2),
    IFERROR(
      D553 * INDEX(GOOGLEFINANCE(CONCATENATE(""CURRENCY:"", C553, ""USD""), ""close"", B553 - 1), 2, 2),
   "&amp;"   D553 * INDEX(GOOGLEFINANCE(CONCATENATE(""CURRENCY:"", C553, ""USD""), ""close"", B553 + 1), 2, 2)
    )
  )
)"),6.616548)</f>
        <v>6.616548</v>
      </c>
    </row>
    <row r="554">
      <c r="A554" s="33" t="s">
        <v>1204</v>
      </c>
      <c r="B554" s="34">
        <v>44710.0</v>
      </c>
      <c r="C554" s="35" t="s">
        <v>82</v>
      </c>
      <c r="D554" s="36">
        <v>1.94</v>
      </c>
      <c r="E554" s="21">
        <f>IFERROR(__xludf.DUMMYFUNCTION("IF(C554=""USD"", D554, 
  IFERROR(
    D554 * INDEX(GOOGLEFINANCE(CONCATENATE(""CURRENCY:"", C554, ""USD""), ""close"", B554), 2, 2),
    IFERROR(
      D554 * INDEX(GOOGLEFINANCE(CONCATENATE(""CURRENCY:"", C554, ""USD""), ""close"", B554 - 1), 2, 2),
   "&amp;"   D554 * INDEX(GOOGLEFINANCE(CONCATENATE(""CURRENCY:"", C554, ""USD""), ""close"", B554 + 1), 2, 2)
    )
  )
)"),2.4496379999999998)</f>
        <v>2.449638</v>
      </c>
    </row>
    <row r="555">
      <c r="A555" s="33" t="s">
        <v>1200</v>
      </c>
      <c r="B555" s="34">
        <v>44710.0</v>
      </c>
      <c r="C555" s="35" t="s">
        <v>82</v>
      </c>
      <c r="D555" s="36">
        <v>0.54</v>
      </c>
      <c r="E555" s="21">
        <f>IFERROR(__xludf.DUMMYFUNCTION("IF(C555=""USD"", D555, 
  IFERROR(
    D555 * INDEX(GOOGLEFINANCE(CONCATENATE(""CURRENCY:"", C555, ""USD""), ""close"", B555), 2, 2),
    IFERROR(
      D555 * INDEX(GOOGLEFINANCE(CONCATENATE(""CURRENCY:"", C555, ""USD""), ""close"", B555 - 1), 2, 2),
   "&amp;"   D555 * INDEX(GOOGLEFINANCE(CONCATENATE(""CURRENCY:"", C555, ""USD""), ""close"", B555 + 1), 2, 2)
    )
  )
)"),0.681858)</f>
        <v>0.681858</v>
      </c>
    </row>
    <row r="556">
      <c r="A556" s="33" t="s">
        <v>1202</v>
      </c>
      <c r="B556" s="34">
        <v>44710.0</v>
      </c>
      <c r="C556" s="35" t="s">
        <v>82</v>
      </c>
      <c r="D556" s="36">
        <v>45.82</v>
      </c>
      <c r="E556" s="21">
        <f>IFERROR(__xludf.DUMMYFUNCTION("IF(C556=""USD"", D556, 
  IFERROR(
    D556 * INDEX(GOOGLEFINANCE(CONCATENATE(""CURRENCY:"", C556, ""USD""), ""close"", B556), 2, 2),
    IFERROR(
      D556 * INDEX(GOOGLEFINANCE(CONCATENATE(""CURRENCY:"", C556, ""USD""), ""close"", B556 - 1), 2, 2),
   "&amp;"   D556 * INDEX(GOOGLEFINANCE(CONCATENATE(""CURRENCY:"", C556, ""USD""), ""close"", B556 + 1), 2, 2)
    )
  )
)"),57.856913999999996)</f>
        <v>57.856914</v>
      </c>
    </row>
    <row r="557">
      <c r="A557" s="33" t="s">
        <v>1197</v>
      </c>
      <c r="B557" s="34">
        <v>44742.0</v>
      </c>
      <c r="C557" s="35" t="s">
        <v>82</v>
      </c>
      <c r="D557" s="36">
        <v>16.05</v>
      </c>
      <c r="E557" s="21">
        <f>IFERROR(__xludf.DUMMYFUNCTION("IF(C557=""USD"", D557, 
  IFERROR(
    D557 * INDEX(GOOGLEFINANCE(CONCATENATE(""CURRENCY:"", C557, ""USD""), ""close"", B557), 2, 2),
    IFERROR(
      D557 * INDEX(GOOGLEFINANCE(CONCATENATE(""CURRENCY:"", C557, ""USD""), ""close"", B557 - 1), 2, 2),
   "&amp;"   D557 * INDEX(GOOGLEFINANCE(CONCATENATE(""CURRENCY:"", C557, ""USD""), ""close"", B557 + 1), 2, 2)
    )
  )
)"),19.51359)</f>
        <v>19.51359</v>
      </c>
    </row>
    <row r="558">
      <c r="A558" s="33" t="s">
        <v>1202</v>
      </c>
      <c r="B558" s="34">
        <v>44742.0</v>
      </c>
      <c r="C558" s="35" t="s">
        <v>82</v>
      </c>
      <c r="D558" s="36">
        <v>30.77</v>
      </c>
      <c r="E558" s="21">
        <f>IFERROR(__xludf.DUMMYFUNCTION("IF(C558=""USD"", D558, 
  IFERROR(
    D558 * INDEX(GOOGLEFINANCE(CONCATENATE(""CURRENCY:"", C558, ""USD""), ""close"", B558), 2, 2),
    IFERROR(
      D558 * INDEX(GOOGLEFINANCE(CONCATENATE(""CURRENCY:"", C558, ""USD""), ""close"", B558 - 1), 2, 2),
   "&amp;"   D558 * INDEX(GOOGLEFINANCE(CONCATENATE(""CURRENCY:"", C558, ""USD""), ""close"", B558 + 1), 2, 2)
    )
  )
)"),37.410166)</f>
        <v>37.410166</v>
      </c>
    </row>
    <row r="559">
      <c r="A559" s="33" t="s">
        <v>1194</v>
      </c>
      <c r="B559" s="34">
        <v>44742.0</v>
      </c>
      <c r="C559" s="35" t="s">
        <v>82</v>
      </c>
      <c r="D559" s="36">
        <v>2.53</v>
      </c>
      <c r="E559" s="21">
        <f>IFERROR(__xludf.DUMMYFUNCTION("IF(C559=""USD"", D559, 
  IFERROR(
    D559 * INDEX(GOOGLEFINANCE(CONCATENATE(""CURRENCY:"", C559, ""USD""), ""close"", B559), 2, 2),
    IFERROR(
      D559 * INDEX(GOOGLEFINANCE(CONCATENATE(""CURRENCY:"", C559, ""USD""), ""close"", B559 - 1), 2, 2),
   "&amp;"   D559 * INDEX(GOOGLEFINANCE(CONCATENATE(""CURRENCY:"", C559, ""USD""), ""close"", B559 + 1), 2, 2)
    )
  )
)"),3.0759739999999995)</f>
        <v>3.075974</v>
      </c>
    </row>
    <row r="560">
      <c r="A560" s="33" t="s">
        <v>1200</v>
      </c>
      <c r="B560" s="34">
        <v>44772.0</v>
      </c>
      <c r="C560" s="35" t="s">
        <v>82</v>
      </c>
      <c r="D560" s="36">
        <v>17.2</v>
      </c>
      <c r="E560" s="21">
        <f>IFERROR(__xludf.DUMMYFUNCTION("IF(C560=""USD"", D560, 
  IFERROR(
    D560 * INDEX(GOOGLEFINANCE(CONCATENATE(""CURRENCY:"", C560, ""USD""), ""close"", B560), 2, 2),
    IFERROR(
      D560 * INDEX(GOOGLEFINANCE(CONCATENATE(""CURRENCY:"", C560, ""USD""), ""close"", B560 - 1), 2, 2),
   "&amp;"   D560 * INDEX(GOOGLEFINANCE(CONCATENATE(""CURRENCY:"", C560, ""USD""), ""close"", B560 + 1), 2, 2)
    )
  )
)"),20.93756)</f>
        <v>20.93756</v>
      </c>
    </row>
    <row r="561">
      <c r="A561" s="33" t="s">
        <v>1203</v>
      </c>
      <c r="B561" s="34">
        <v>44772.0</v>
      </c>
      <c r="C561" s="35" t="s">
        <v>82</v>
      </c>
      <c r="D561" s="36">
        <v>3.15</v>
      </c>
      <c r="E561" s="21">
        <f>IFERROR(__xludf.DUMMYFUNCTION("IF(C561=""USD"", D561, 
  IFERROR(
    D561 * INDEX(GOOGLEFINANCE(CONCATENATE(""CURRENCY:"", C561, ""USD""), ""close"", B561), 2, 2),
    IFERROR(
      D561 * INDEX(GOOGLEFINANCE(CONCATENATE(""CURRENCY:"", C561, ""USD""), ""close"", B561 - 1), 2, 2),
   "&amp;"   D561 * INDEX(GOOGLEFINANCE(CONCATENATE(""CURRENCY:"", C561, ""USD""), ""close"", B561 + 1), 2, 2)
    )
  )
)"),3.834495)</f>
        <v>3.834495</v>
      </c>
    </row>
    <row r="562">
      <c r="A562" s="33" t="s">
        <v>1197</v>
      </c>
      <c r="B562" s="34">
        <v>44772.0</v>
      </c>
      <c r="C562" s="35" t="s">
        <v>82</v>
      </c>
      <c r="D562" s="36">
        <v>5.2</v>
      </c>
      <c r="E562" s="21">
        <f>IFERROR(__xludf.DUMMYFUNCTION("IF(C562=""USD"", D562, 
  IFERROR(
    D562 * INDEX(GOOGLEFINANCE(CONCATENATE(""CURRENCY:"", C562, ""USD""), ""close"", B562), 2, 2),
    IFERROR(
      D562 * INDEX(GOOGLEFINANCE(CONCATENATE(""CURRENCY:"", C562, ""USD""), ""close"", B562 - 1), 2, 2),
   "&amp;"   D562 * INDEX(GOOGLEFINANCE(CONCATENATE(""CURRENCY:"", C562, ""USD""), ""close"", B562 + 1), 2, 2)
    )
  )
)"),6.329960000000001)</f>
        <v>6.32996</v>
      </c>
    </row>
    <row r="563">
      <c r="A563" s="33" t="s">
        <v>1202</v>
      </c>
      <c r="B563" s="34">
        <v>44772.0</v>
      </c>
      <c r="C563" s="35" t="s">
        <v>82</v>
      </c>
      <c r="D563" s="36">
        <v>38.82</v>
      </c>
      <c r="E563" s="21">
        <f>IFERROR(__xludf.DUMMYFUNCTION("IF(C563=""USD"", D563, 
  IFERROR(
    D563 * INDEX(GOOGLEFINANCE(CONCATENATE(""CURRENCY:"", C563, ""USD""), ""close"", B563), 2, 2),
    IFERROR(
      D563 * INDEX(GOOGLEFINANCE(CONCATENATE(""CURRENCY:"", C563, ""USD""), ""close"", B563 - 1), 2, 2),
   "&amp;"   D563 * INDEX(GOOGLEFINANCE(CONCATENATE(""CURRENCY:"", C563, ""USD""), ""close"", B563 + 1), 2, 2)
    )
  )
)"),47.255586)</f>
        <v>47.255586</v>
      </c>
    </row>
    <row r="564">
      <c r="A564" s="33" t="s">
        <v>1202</v>
      </c>
      <c r="B564" s="34">
        <v>44802.0</v>
      </c>
      <c r="C564" s="35" t="s">
        <v>82</v>
      </c>
      <c r="D564" s="36">
        <v>45.67</v>
      </c>
      <c r="E564" s="21">
        <f>IFERROR(__xludf.DUMMYFUNCTION("IF(C564=""USD"", D564, 
  IFERROR(
    D564 * INDEX(GOOGLEFINANCE(CONCATENATE(""CURRENCY:"", C564, ""USD""), ""close"", B564), 2, 2),
    IFERROR(
      D564 * INDEX(GOOGLEFINANCE(CONCATENATE(""CURRENCY:"", C564, ""USD""), ""close"", B564 - 1), 2, 2),
   "&amp;"   D564 * INDEX(GOOGLEFINANCE(CONCATENATE(""CURRENCY:"", C564, ""USD""), ""close"", B564 + 1), 2, 2)
    )
  )
)"),53.534374)</f>
        <v>53.534374</v>
      </c>
    </row>
    <row r="565">
      <c r="A565" s="33" t="s">
        <v>1194</v>
      </c>
      <c r="B565" s="34">
        <v>44802.0</v>
      </c>
      <c r="C565" s="35" t="s">
        <v>82</v>
      </c>
      <c r="D565" s="36">
        <v>7.89</v>
      </c>
      <c r="E565" s="21">
        <f>IFERROR(__xludf.DUMMYFUNCTION("IF(C565=""USD"", D565, 
  IFERROR(
    D565 * INDEX(GOOGLEFINANCE(CONCATENATE(""CURRENCY:"", C565, ""USD""), ""close"", B565), 2, 2),
    IFERROR(
      D565 * INDEX(GOOGLEFINANCE(CONCATENATE(""CURRENCY:"", C565, ""USD""), ""close"", B565 - 1), 2, 2),
   "&amp;"   D565 * INDEX(GOOGLEFINANCE(CONCATENATE(""CURRENCY:"", C565, ""USD""), ""close"", B565 + 1), 2, 2)
    )
  )
)"),9.248657999999999)</f>
        <v>9.248658</v>
      </c>
    </row>
    <row r="566">
      <c r="A566" s="33" t="s">
        <v>1203</v>
      </c>
      <c r="B566" s="34">
        <v>44802.0</v>
      </c>
      <c r="C566" s="35" t="s">
        <v>82</v>
      </c>
      <c r="D566" s="36">
        <v>0.08</v>
      </c>
      <c r="E566" s="21">
        <f>IFERROR(__xludf.DUMMYFUNCTION("IF(C566=""USD"", D566, 
  IFERROR(
    D566 * INDEX(GOOGLEFINANCE(CONCATENATE(""CURRENCY:"", C566, ""USD""), ""close"", B566), 2, 2),
    IFERROR(
      D566 * INDEX(GOOGLEFINANCE(CONCATENATE(""CURRENCY:"", C566, ""USD""), ""close"", B566 - 1), 2, 2),
   "&amp;"   D566 * INDEX(GOOGLEFINANCE(CONCATENATE(""CURRENCY:"", C566, ""USD""), ""close"", B566 + 1), 2, 2)
    )
  )
)"),0.093776)</f>
        <v>0.093776</v>
      </c>
    </row>
    <row r="567">
      <c r="A567" s="33" t="s">
        <v>1197</v>
      </c>
      <c r="B567" s="34">
        <v>44802.0</v>
      </c>
      <c r="C567" s="35" t="s">
        <v>82</v>
      </c>
      <c r="D567" s="36">
        <v>4.26</v>
      </c>
      <c r="E567" s="21">
        <f>IFERROR(__xludf.DUMMYFUNCTION("IF(C567=""USD"", D567, 
  IFERROR(
    D567 * INDEX(GOOGLEFINANCE(CONCATENATE(""CURRENCY:"", C567, ""USD""), ""close"", B567), 2, 2),
    IFERROR(
      D567 * INDEX(GOOGLEFINANCE(CONCATENATE(""CURRENCY:"", C567, ""USD""), ""close"", B567 - 1), 2, 2),
   "&amp;"   D567 * INDEX(GOOGLEFINANCE(CONCATENATE(""CURRENCY:"", C567, ""USD""), ""close"", B567 + 1), 2, 2)
    )
  )
)"),4.9935719999999995)</f>
        <v>4.993572</v>
      </c>
    </row>
    <row r="568">
      <c r="A568" s="33" t="s">
        <v>1206</v>
      </c>
      <c r="B568" s="34">
        <v>44833.0</v>
      </c>
      <c r="C568" s="35" t="s">
        <v>82</v>
      </c>
      <c r="D568" s="36">
        <v>0.91</v>
      </c>
      <c r="E568" s="21">
        <f>IFERROR(__xludf.DUMMYFUNCTION("IF(C568=""USD"", D568, 
  IFERROR(
    D568 * INDEX(GOOGLEFINANCE(CONCATENATE(""CURRENCY:"", C568, ""USD""), ""close"", B568), 2, 2),
    IFERROR(
      D568 * INDEX(GOOGLEFINANCE(CONCATENATE(""CURRENCY:"", C568, ""USD""), ""close"", B568 - 1), 2, 2),
   "&amp;"   D568 * INDEX(GOOGLEFINANCE(CONCATENATE(""CURRENCY:"", C568, ""USD""), ""close"", B568 + 1), 2, 2)
    )
  )
)"),1.016197)</f>
        <v>1.016197</v>
      </c>
    </row>
    <row r="569">
      <c r="A569" s="33" t="s">
        <v>1205</v>
      </c>
      <c r="B569" s="34">
        <v>44833.0</v>
      </c>
      <c r="C569" s="35" t="s">
        <v>82</v>
      </c>
      <c r="D569" s="36">
        <v>0.13</v>
      </c>
      <c r="E569" s="21">
        <f>IFERROR(__xludf.DUMMYFUNCTION("IF(C569=""USD"", D569, 
  IFERROR(
    D569 * INDEX(GOOGLEFINANCE(CONCATENATE(""CURRENCY:"", C569, ""USD""), ""close"", B569), 2, 2),
    IFERROR(
      D569 * INDEX(GOOGLEFINANCE(CONCATENATE(""CURRENCY:"", C569, ""USD""), ""close"", B569 - 1), 2, 2),
   "&amp;"   D569 * INDEX(GOOGLEFINANCE(CONCATENATE(""CURRENCY:"", C569, ""USD""), ""close"", B569 + 1), 2, 2)
    )
  )
)"),0.145171)</f>
        <v>0.145171</v>
      </c>
    </row>
    <row r="570">
      <c r="A570" s="33" t="s">
        <v>1194</v>
      </c>
      <c r="B570" s="34">
        <v>44833.0</v>
      </c>
      <c r="C570" s="35" t="s">
        <v>82</v>
      </c>
      <c r="D570" s="36">
        <v>2.69</v>
      </c>
      <c r="E570" s="21">
        <f>IFERROR(__xludf.DUMMYFUNCTION("IF(C570=""USD"", D570, 
  IFERROR(
    D570 * INDEX(GOOGLEFINANCE(CONCATENATE(""CURRENCY:"", C570, ""USD""), ""close"", B570), 2, 2),
    IFERROR(
      D570 * INDEX(GOOGLEFINANCE(CONCATENATE(""CURRENCY:"", C570, ""USD""), ""close"", B570 - 1), 2, 2),
   "&amp;"   D570 * INDEX(GOOGLEFINANCE(CONCATENATE(""CURRENCY:"", C570, ""USD""), ""close"", B570 + 1), 2, 2)
    )
  )
)"),3.003923)</f>
        <v>3.003923</v>
      </c>
    </row>
    <row r="571">
      <c r="A571" s="33" t="s">
        <v>1204</v>
      </c>
      <c r="B571" s="34">
        <v>44833.0</v>
      </c>
      <c r="C571" s="35" t="s">
        <v>82</v>
      </c>
      <c r="D571" s="36">
        <v>2.05</v>
      </c>
      <c r="E571" s="21">
        <f>IFERROR(__xludf.DUMMYFUNCTION("IF(C571=""USD"", D571, 
  IFERROR(
    D571 * INDEX(GOOGLEFINANCE(CONCATENATE(""CURRENCY:"", C571, ""USD""), ""close"", B571), 2, 2),
    IFERROR(
      D571 * INDEX(GOOGLEFINANCE(CONCATENATE(""CURRENCY:"", C571, ""USD""), ""close"", B571 - 1), 2, 2),
   "&amp;"   D571 * INDEX(GOOGLEFINANCE(CONCATENATE(""CURRENCY:"", C571, ""USD""), ""close"", B571 + 1), 2, 2)
    )
  )
)"),2.2892349999999997)</f>
        <v>2.289235</v>
      </c>
    </row>
    <row r="572">
      <c r="A572" s="33" t="s">
        <v>1202</v>
      </c>
      <c r="B572" s="34">
        <v>44833.0</v>
      </c>
      <c r="C572" s="35" t="s">
        <v>82</v>
      </c>
      <c r="D572" s="36">
        <v>40.35</v>
      </c>
      <c r="E572" s="21">
        <f>IFERROR(__xludf.DUMMYFUNCTION("IF(C572=""USD"", D572, 
  IFERROR(
    D572 * INDEX(GOOGLEFINANCE(CONCATENATE(""CURRENCY:"", C572, ""USD""), ""close"", B572), 2, 2),
    IFERROR(
      D572 * INDEX(GOOGLEFINANCE(CONCATENATE(""CURRENCY:"", C572, ""USD""), ""close"", B572 - 1), 2, 2),
   "&amp;"   D572 * INDEX(GOOGLEFINANCE(CONCATENATE(""CURRENCY:"", C572, ""USD""), ""close"", B572 + 1), 2, 2)
    )
  )
)"),45.058845000000005)</f>
        <v>45.058845</v>
      </c>
    </row>
    <row r="573">
      <c r="A573" s="33" t="s">
        <v>1197</v>
      </c>
      <c r="B573" s="34">
        <v>44833.0</v>
      </c>
      <c r="C573" s="35" t="s">
        <v>82</v>
      </c>
      <c r="D573" s="36">
        <v>16.59</v>
      </c>
      <c r="E573" s="21">
        <f>IFERROR(__xludf.DUMMYFUNCTION("IF(C573=""USD"", D573, 
  IFERROR(
    D573 * INDEX(GOOGLEFINANCE(CONCATENATE(""CURRENCY:"", C573, ""USD""), ""close"", B573), 2, 2),
    IFERROR(
      D573 * INDEX(GOOGLEFINANCE(CONCATENATE(""CURRENCY:"", C573, ""USD""), ""close"", B573 - 1), 2, 2),
   "&amp;"   D573 * INDEX(GOOGLEFINANCE(CONCATENATE(""CURRENCY:"", C573, ""USD""), ""close"", B573 + 1), 2, 2)
    )
  )
)"),18.526053)</f>
        <v>18.526053</v>
      </c>
    </row>
    <row r="574">
      <c r="A574" s="33" t="s">
        <v>1209</v>
      </c>
      <c r="B574" s="34">
        <v>44833.0</v>
      </c>
      <c r="C574" s="35" t="s">
        <v>82</v>
      </c>
      <c r="D574" s="36">
        <v>2.12</v>
      </c>
      <c r="E574" s="21">
        <f>IFERROR(__xludf.DUMMYFUNCTION("IF(C574=""USD"", D574, 
  IFERROR(
    D574 * INDEX(GOOGLEFINANCE(CONCATENATE(""CURRENCY:"", C574, ""USD""), ""close"", B574), 2, 2),
    IFERROR(
      D574 * INDEX(GOOGLEFINANCE(CONCATENATE(""CURRENCY:"", C574, ""USD""), ""close"", B574 - 1), 2, 2),
   "&amp;"   D574 * INDEX(GOOGLEFINANCE(CONCATENATE(""CURRENCY:"", C574, ""USD""), ""close"", B574 + 1), 2, 2)
    )
  )
)"),2.367404)</f>
        <v>2.367404</v>
      </c>
    </row>
    <row r="575">
      <c r="A575" s="33" t="s">
        <v>1208</v>
      </c>
      <c r="B575" s="34">
        <v>44839.0</v>
      </c>
      <c r="C575" s="35" t="s">
        <v>82</v>
      </c>
      <c r="D575" s="36">
        <v>8.56</v>
      </c>
      <c r="E575" s="21">
        <f>IFERROR(__xludf.DUMMYFUNCTION("IF(C575=""USD"", D575, 
  IFERROR(
    D575 * INDEX(GOOGLEFINANCE(CONCATENATE(""CURRENCY:"", C575, ""USD""), ""close"", B575), 2, 2),
    IFERROR(
      D575 * INDEX(GOOGLEFINANCE(CONCATENATE(""CURRENCY:"", C575, ""USD""), ""close"", B575 - 1), 2, 2),
   "&amp;"   D575 * INDEX(GOOGLEFINANCE(CONCATENATE(""CURRENCY:"", C575, ""USD""), ""close"", B575 + 1), 2, 2)
    )
  )
)"),9.7186816)</f>
        <v>9.7186816</v>
      </c>
    </row>
    <row r="576">
      <c r="A576" s="33" t="s">
        <v>1203</v>
      </c>
      <c r="B576" s="34">
        <v>44863.0</v>
      </c>
      <c r="C576" s="35" t="s">
        <v>82</v>
      </c>
      <c r="D576" s="36">
        <v>4.09</v>
      </c>
      <c r="E576" s="21">
        <f>IFERROR(__xludf.DUMMYFUNCTION("IF(C576=""USD"", D576, 
  IFERROR(
    D576 * INDEX(GOOGLEFINANCE(CONCATENATE(""CURRENCY:"", C576, ""USD""), ""close"", B576), 2, 2),
    IFERROR(
      D576 * INDEX(GOOGLEFINANCE(CONCATENATE(""CURRENCY:"", C576, ""USD""), ""close"", B576 - 1), 2, 2),
   "&amp;"   D576 * INDEX(GOOGLEFINANCE(CONCATENATE(""CURRENCY:"", C576, ""USD""), ""close"", B576 + 1), 2, 2)
    )
  )
)"),4.749308)</f>
        <v>4.749308</v>
      </c>
    </row>
    <row r="577">
      <c r="A577" s="33" t="s">
        <v>1209</v>
      </c>
      <c r="B577" s="34">
        <v>44863.0</v>
      </c>
      <c r="C577" s="35" t="s">
        <v>82</v>
      </c>
      <c r="D577" s="36">
        <v>2.01</v>
      </c>
      <c r="E577" s="21">
        <f>IFERROR(__xludf.DUMMYFUNCTION("IF(C577=""USD"", D577, 
  IFERROR(
    D577 * INDEX(GOOGLEFINANCE(CONCATENATE(""CURRENCY:"", C577, ""USD""), ""close"", B577), 2, 2),
    IFERROR(
      D577 * INDEX(GOOGLEFINANCE(CONCATENATE(""CURRENCY:"", C577, ""USD""), ""close"", B577 - 1), 2, 2),
   "&amp;"   D577 * INDEX(GOOGLEFINANCE(CONCATENATE(""CURRENCY:"", C577, ""USD""), ""close"", B577 + 1), 2, 2)
    )
  )
)"),2.334012)</f>
        <v>2.334012</v>
      </c>
    </row>
    <row r="578">
      <c r="A578" s="33" t="s">
        <v>1202</v>
      </c>
      <c r="B578" s="34">
        <v>44863.0</v>
      </c>
      <c r="C578" s="35" t="s">
        <v>82</v>
      </c>
      <c r="D578" s="36">
        <v>29.78</v>
      </c>
      <c r="E578" s="21">
        <f>IFERROR(__xludf.DUMMYFUNCTION("IF(C578=""USD"", D578, 
  IFERROR(
    D578 * INDEX(GOOGLEFINANCE(CONCATENATE(""CURRENCY:"", C578, ""USD""), ""close"", B578), 2, 2),
    IFERROR(
      D578 * INDEX(GOOGLEFINANCE(CONCATENATE(""CURRENCY:"", C578, ""USD""), ""close"", B578 - 1), 2, 2),
   "&amp;"   D578 * INDEX(GOOGLEFINANCE(CONCATENATE(""CURRENCY:"", C578, ""USD""), ""close"", B578 + 1), 2, 2)
    )
  )
)"),34.580536)</f>
        <v>34.580536</v>
      </c>
    </row>
    <row r="579">
      <c r="A579" s="33" t="s">
        <v>1204</v>
      </c>
      <c r="B579" s="34">
        <v>44863.0</v>
      </c>
      <c r="C579" s="35" t="s">
        <v>82</v>
      </c>
      <c r="D579" s="36">
        <v>3.69</v>
      </c>
      <c r="E579" s="21">
        <f>IFERROR(__xludf.DUMMYFUNCTION("IF(C579=""USD"", D579, 
  IFERROR(
    D579 * INDEX(GOOGLEFINANCE(CONCATENATE(""CURRENCY:"", C579, ""USD""), ""close"", B579), 2, 2),
    IFERROR(
      D579 * INDEX(GOOGLEFINANCE(CONCATENATE(""CURRENCY:"", C579, ""USD""), ""close"", B579 - 1), 2, 2),
   "&amp;"   D579 * INDEX(GOOGLEFINANCE(CONCATENATE(""CURRENCY:"", C579, ""USD""), ""close"", B579 + 1), 2, 2)
    )
  )
)"),4.284828)</f>
        <v>4.284828</v>
      </c>
    </row>
    <row r="580">
      <c r="A580" s="33" t="s">
        <v>1194</v>
      </c>
      <c r="B580" s="34">
        <v>44863.0</v>
      </c>
      <c r="C580" s="35" t="s">
        <v>82</v>
      </c>
      <c r="D580" s="36">
        <v>5.45</v>
      </c>
      <c r="E580" s="21">
        <f>IFERROR(__xludf.DUMMYFUNCTION("IF(C580=""USD"", D580, 
  IFERROR(
    D580 * INDEX(GOOGLEFINANCE(CONCATENATE(""CURRENCY:"", C580, ""USD""), ""close"", B580), 2, 2),
    IFERROR(
      D580 * INDEX(GOOGLEFINANCE(CONCATENATE(""CURRENCY:"", C580, ""USD""), ""close"", B580 - 1), 2, 2),
   "&amp;"   D580 * INDEX(GOOGLEFINANCE(CONCATENATE(""CURRENCY:"", C580, ""USD""), ""close"", B580 + 1), 2, 2)
    )
  )
)"),6.32854)</f>
        <v>6.32854</v>
      </c>
    </row>
    <row r="581">
      <c r="A581" s="33" t="s">
        <v>1201</v>
      </c>
      <c r="B581" s="34">
        <v>44863.0</v>
      </c>
      <c r="C581" s="35" t="s">
        <v>82</v>
      </c>
      <c r="D581" s="36">
        <v>1.64</v>
      </c>
      <c r="E581" s="21">
        <f>IFERROR(__xludf.DUMMYFUNCTION("IF(C581=""USD"", D581, 
  IFERROR(
    D581 * INDEX(GOOGLEFINANCE(CONCATENATE(""CURRENCY:"", C581, ""USD""), ""close"", B581), 2, 2),
    IFERROR(
      D581 * INDEX(GOOGLEFINANCE(CONCATENATE(""CURRENCY:"", C581, ""USD""), ""close"", B581 - 1), 2, 2),
   "&amp;"   D581 * INDEX(GOOGLEFINANCE(CONCATENATE(""CURRENCY:"", C581, ""USD""), ""close"", B581 + 1), 2, 2)
    )
  )
)"),1.9043679999999998)</f>
        <v>1.904368</v>
      </c>
    </row>
    <row r="582">
      <c r="A582" s="33" t="s">
        <v>1197</v>
      </c>
      <c r="B582" s="34">
        <v>44863.0</v>
      </c>
      <c r="C582" s="35" t="s">
        <v>82</v>
      </c>
      <c r="D582" s="36">
        <v>3.29</v>
      </c>
      <c r="E582" s="21">
        <f>IFERROR(__xludf.DUMMYFUNCTION("IF(C582=""USD"", D582, 
  IFERROR(
    D582 * INDEX(GOOGLEFINANCE(CONCATENATE(""CURRENCY:"", C582, ""USD""), ""close"", B582), 2, 2),
    IFERROR(
      D582 * INDEX(GOOGLEFINANCE(CONCATENATE(""CURRENCY:"", C582, ""USD""), ""close"", B582 - 1), 2, 2),
   "&amp;"   D582 * INDEX(GOOGLEFINANCE(CONCATENATE(""CURRENCY:"", C582, ""USD""), ""close"", B582 + 1), 2, 2)
    )
  )
)"),3.820348)</f>
        <v>3.820348</v>
      </c>
    </row>
    <row r="583">
      <c r="A583" s="33" t="s">
        <v>1200</v>
      </c>
      <c r="B583" s="34">
        <v>44863.0</v>
      </c>
      <c r="C583" s="35" t="s">
        <v>82</v>
      </c>
      <c r="D583" s="36">
        <v>10.42</v>
      </c>
      <c r="E583" s="21">
        <f>IFERROR(__xludf.DUMMYFUNCTION("IF(C583=""USD"", D583, 
  IFERROR(
    D583 * INDEX(GOOGLEFINANCE(CONCATENATE(""CURRENCY:"", C583, ""USD""), ""close"", B583), 2, 2),
    IFERROR(
      D583 * INDEX(GOOGLEFINANCE(CONCATENATE(""CURRENCY:"", C583, ""USD""), ""close"", B583 - 1), 2, 2),
   "&amp;"   D583 * INDEX(GOOGLEFINANCE(CONCATENATE(""CURRENCY:"", C583, ""USD""), ""close"", B583 + 1), 2, 2)
    )
  )
)"),12.099704000000001)</f>
        <v>12.099704</v>
      </c>
    </row>
    <row r="584">
      <c r="A584" s="33" t="s">
        <v>1202</v>
      </c>
      <c r="B584" s="34">
        <v>44894.0</v>
      </c>
      <c r="C584" s="35" t="s">
        <v>82</v>
      </c>
      <c r="D584" s="36">
        <v>36.72</v>
      </c>
      <c r="E584" s="21">
        <f>IFERROR(__xludf.DUMMYFUNCTION("IF(C584=""USD"", D584, 
  IFERROR(
    D584 * INDEX(GOOGLEFINANCE(CONCATENATE(""CURRENCY:"", C584, ""USD""), ""close"", B584), 2, 2),
    IFERROR(
      D584 * INDEX(GOOGLEFINANCE(CONCATENATE(""CURRENCY:"", C584, ""USD""), ""close"", B584 - 1), 2, 2),
   "&amp;"   D584 * INDEX(GOOGLEFINANCE(CONCATENATE(""CURRENCY:"", C584, ""USD""), ""close"", B584 + 1), 2, 2)
    )
  )
)"),43.86203999999999)</f>
        <v>43.86204</v>
      </c>
    </row>
    <row r="585">
      <c r="A585" s="33" t="s">
        <v>1197</v>
      </c>
      <c r="B585" s="34">
        <v>44894.0</v>
      </c>
      <c r="C585" s="35" t="s">
        <v>82</v>
      </c>
      <c r="D585" s="36">
        <v>11.92</v>
      </c>
      <c r="E585" s="21">
        <f>IFERROR(__xludf.DUMMYFUNCTION("IF(C585=""USD"", D585, 
  IFERROR(
    D585 * INDEX(GOOGLEFINANCE(CONCATENATE(""CURRENCY:"", C585, ""USD""), ""close"", B585), 2, 2),
    IFERROR(
      D585 * INDEX(GOOGLEFINANCE(CONCATENATE(""CURRENCY:"", C585, ""USD""), ""close"", B585 - 1), 2, 2),
   "&amp;"   D585 * INDEX(GOOGLEFINANCE(CONCATENATE(""CURRENCY:"", C585, ""USD""), ""close"", B585 + 1), 2, 2)
    )
  )
)"),14.238439999999999)</f>
        <v>14.23844</v>
      </c>
    </row>
    <row r="586">
      <c r="A586" s="33" t="s">
        <v>1200</v>
      </c>
      <c r="B586" s="34">
        <v>44894.0</v>
      </c>
      <c r="C586" s="35" t="s">
        <v>82</v>
      </c>
      <c r="D586" s="36">
        <v>12.6</v>
      </c>
      <c r="E586" s="21">
        <f>IFERROR(__xludf.DUMMYFUNCTION("IF(C586=""USD"", D586, 
  IFERROR(
    D586 * INDEX(GOOGLEFINANCE(CONCATENATE(""CURRENCY:"", C586, ""USD""), ""close"", B586), 2, 2),
    IFERROR(
      D586 * INDEX(GOOGLEFINANCE(CONCATENATE(""CURRENCY:"", C586, ""USD""), ""close"", B586 - 1), 2, 2),
   "&amp;"   D586 * INDEX(GOOGLEFINANCE(CONCATENATE(""CURRENCY:"", C586, ""USD""), ""close"", B586 + 1), 2, 2)
    )
  )
)"),15.050699999999999)</f>
        <v>15.0507</v>
      </c>
    </row>
    <row r="587">
      <c r="A587" s="33" t="s">
        <v>1194</v>
      </c>
      <c r="B587" s="34">
        <v>44894.0</v>
      </c>
      <c r="C587" s="35" t="s">
        <v>82</v>
      </c>
      <c r="D587" s="36">
        <v>1.65</v>
      </c>
      <c r="E587" s="21">
        <f>IFERROR(__xludf.DUMMYFUNCTION("IF(C587=""USD"", D587, 
  IFERROR(
    D587 * INDEX(GOOGLEFINANCE(CONCATENATE(""CURRENCY:"", C587, ""USD""), ""close"", B587), 2, 2),
    IFERROR(
      D587 * INDEX(GOOGLEFINANCE(CONCATENATE(""CURRENCY:"", C587, ""USD""), ""close"", B587 - 1), 2, 2),
   "&amp;"   D587 * INDEX(GOOGLEFINANCE(CONCATENATE(""CURRENCY:"", C587, ""USD""), ""close"", B587 + 1), 2, 2)
    )
  )
)"),1.9709249999999998)</f>
        <v>1.970925</v>
      </c>
    </row>
    <row r="588">
      <c r="A588" s="33" t="s">
        <v>1208</v>
      </c>
      <c r="B588" s="34">
        <v>44894.0</v>
      </c>
      <c r="C588" s="35" t="s">
        <v>82</v>
      </c>
      <c r="D588" s="36">
        <v>4.26</v>
      </c>
      <c r="E588" s="21">
        <f>IFERROR(__xludf.DUMMYFUNCTION("IF(C588=""USD"", D588, 
  IFERROR(
    D588 * INDEX(GOOGLEFINANCE(CONCATENATE(""CURRENCY:"", C588, ""USD""), ""close"", B588), 2, 2),
    IFERROR(
      D588 * INDEX(GOOGLEFINANCE(CONCATENATE(""CURRENCY:"", C588, ""USD""), ""close"", B588 - 1), 2, 2),
   "&amp;"   D588 * INDEX(GOOGLEFINANCE(CONCATENATE(""CURRENCY:"", C588, ""USD""), ""close"", B588 + 1), 2, 2)
    )
  )
)"),5.088569999999999)</f>
        <v>5.08857</v>
      </c>
    </row>
    <row r="589">
      <c r="A589" s="33" t="s">
        <v>1204</v>
      </c>
      <c r="B589" s="34">
        <v>44894.0</v>
      </c>
      <c r="C589" s="35" t="s">
        <v>82</v>
      </c>
      <c r="D589" s="36">
        <v>1.98</v>
      </c>
      <c r="E589" s="21">
        <f>IFERROR(__xludf.DUMMYFUNCTION("IF(C589=""USD"", D589, 
  IFERROR(
    D589 * INDEX(GOOGLEFINANCE(CONCATENATE(""CURRENCY:"", C589, ""USD""), ""close"", B589), 2, 2),
    IFERROR(
      D589 * INDEX(GOOGLEFINANCE(CONCATENATE(""CURRENCY:"", C589, ""USD""), ""close"", B589 - 1), 2, 2),
   "&amp;"   D589 * INDEX(GOOGLEFINANCE(CONCATENATE(""CURRENCY:"", C589, ""USD""), ""close"", B589 + 1), 2, 2)
    )
  )
)"),2.3651099999999996)</f>
        <v>2.36511</v>
      </c>
    </row>
    <row r="590">
      <c r="A590" s="33" t="s">
        <v>1196</v>
      </c>
      <c r="B590" s="34">
        <v>44924.0</v>
      </c>
      <c r="C590" s="35" t="s">
        <v>82</v>
      </c>
      <c r="D590" s="36">
        <v>2.94</v>
      </c>
      <c r="E590" s="21">
        <f>IFERROR(__xludf.DUMMYFUNCTION("IF(C590=""USD"", D590, 
  IFERROR(
    D590 * INDEX(GOOGLEFINANCE(CONCATENATE(""CURRENCY:"", C590, ""USD""), ""close"", B590), 2, 2),
    IFERROR(
      D590 * INDEX(GOOGLEFINANCE(CONCATENATE(""CURRENCY:"", C590, ""USD""), ""close"", B590 - 1), 2, 2),
   "&amp;"   D590 * INDEX(GOOGLEFINANCE(CONCATENATE(""CURRENCY:"", C590, ""USD""), ""close"", B590 + 1), 2, 2)
    )
  )
)"),3.5440818)</f>
        <v>3.5440818</v>
      </c>
    </row>
    <row r="591">
      <c r="A591" s="33" t="s">
        <v>1197</v>
      </c>
      <c r="B591" s="34">
        <v>44924.0</v>
      </c>
      <c r="C591" s="35" t="s">
        <v>82</v>
      </c>
      <c r="D591" s="36">
        <v>10.05</v>
      </c>
      <c r="E591" s="21">
        <f>IFERROR(__xludf.DUMMYFUNCTION("IF(C591=""USD"", D591, 
  IFERROR(
    D591 * INDEX(GOOGLEFINANCE(CONCATENATE(""CURRENCY:"", C591, ""USD""), ""close"", B591), 2, 2),
    IFERROR(
      D591 * INDEX(GOOGLEFINANCE(CONCATENATE(""CURRENCY:"", C591, ""USD""), ""close"", B591 - 1), 2, 2),
   "&amp;"   D591 * INDEX(GOOGLEFINANCE(CONCATENATE(""CURRENCY:"", C591, ""USD""), ""close"", B591 + 1), 2, 2)
    )
  )
)"),12.114973500000001)</f>
        <v>12.1149735</v>
      </c>
    </row>
    <row r="592">
      <c r="A592" s="33" t="s">
        <v>1194</v>
      </c>
      <c r="B592" s="34">
        <v>44924.0</v>
      </c>
      <c r="C592" s="35" t="s">
        <v>82</v>
      </c>
      <c r="D592" s="36">
        <v>2.6</v>
      </c>
      <c r="E592" s="21">
        <f>IFERROR(__xludf.DUMMYFUNCTION("IF(C592=""USD"", D592, 
  IFERROR(
    D592 * INDEX(GOOGLEFINANCE(CONCATENATE(""CURRENCY:"", C592, ""USD""), ""close"", B592), 2, 2),
    IFERROR(
      D592 * INDEX(GOOGLEFINANCE(CONCATENATE(""CURRENCY:"", C592, ""USD""), ""close"", B592 - 1), 2, 2),
   "&amp;"   D592 * INDEX(GOOGLEFINANCE(CONCATENATE(""CURRENCY:"", C592, ""USD""), ""close"", B592 + 1), 2, 2)
    )
  )
)"),3.1342220000000003)</f>
        <v>3.134222</v>
      </c>
    </row>
    <row r="593">
      <c r="A593" s="33" t="s">
        <v>1206</v>
      </c>
      <c r="B593" s="34">
        <v>44924.0</v>
      </c>
      <c r="C593" s="35" t="s">
        <v>82</v>
      </c>
      <c r="D593" s="36">
        <v>0.07</v>
      </c>
      <c r="E593" s="21">
        <f>IFERROR(__xludf.DUMMYFUNCTION("IF(C593=""USD"", D593, 
  IFERROR(
    D593 * INDEX(GOOGLEFINANCE(CONCATENATE(""CURRENCY:"", C593, ""USD""), ""close"", B593), 2, 2),
    IFERROR(
      D593 * INDEX(GOOGLEFINANCE(CONCATENATE(""CURRENCY:"", C593, ""USD""), ""close"", B593 - 1), 2, 2),
   "&amp;"   D593 * INDEX(GOOGLEFINANCE(CONCATENATE(""CURRENCY:"", C593, ""USD""), ""close"", B593 + 1), 2, 2)
    )
  )
)"),0.08438290000000001)</f>
        <v>0.0843829</v>
      </c>
    </row>
    <row r="594">
      <c r="A594" s="33" t="s">
        <v>1202</v>
      </c>
      <c r="B594" s="34">
        <v>44924.0</v>
      </c>
      <c r="C594" s="35" t="s">
        <v>82</v>
      </c>
      <c r="D594" s="36">
        <v>59.81</v>
      </c>
      <c r="E594" s="21">
        <f>IFERROR(__xludf.DUMMYFUNCTION("IF(C594=""USD"", D594, 
  IFERROR(
    D594 * INDEX(GOOGLEFINANCE(CONCATENATE(""CURRENCY:"", C594, ""USD""), ""close"", B594), 2, 2),
    IFERROR(
      D594 * INDEX(GOOGLEFINANCE(CONCATENATE(""CURRENCY:"", C594, ""USD""), ""close"", B594 - 1), 2, 2),
   "&amp;"   D594 * INDEX(GOOGLEFINANCE(CONCATENATE(""CURRENCY:"", C594, ""USD""), ""close"", B594 + 1), 2, 2)
    )
  )
)"),72.0991607)</f>
        <v>72.0991607</v>
      </c>
    </row>
    <row r="595">
      <c r="A595" s="33" t="s">
        <v>1203</v>
      </c>
      <c r="B595" s="34">
        <v>44924.0</v>
      </c>
      <c r="C595" s="35" t="s">
        <v>82</v>
      </c>
      <c r="D595" s="36">
        <v>2.01</v>
      </c>
      <c r="E595" s="21">
        <f>IFERROR(__xludf.DUMMYFUNCTION("IF(C595=""USD"", D595, 
  IFERROR(
    D595 * INDEX(GOOGLEFINANCE(CONCATENATE(""CURRENCY:"", C595, ""USD""), ""close"", B595), 2, 2),
    IFERROR(
      D595 * INDEX(GOOGLEFINANCE(CONCATENATE(""CURRENCY:"", C595, ""USD""), ""close"", B595 - 1), 2, 2),
   "&amp;"   D595 * INDEX(GOOGLEFINANCE(CONCATENATE(""CURRENCY:"", C595, ""USD""), ""close"", B595 + 1), 2, 2)
    )
  )
)"),2.4229947)</f>
        <v>2.4229947</v>
      </c>
    </row>
    <row r="596">
      <c r="A596" s="33" t="s">
        <v>1200</v>
      </c>
      <c r="B596" s="34">
        <v>44924.0</v>
      </c>
      <c r="C596" s="35" t="s">
        <v>82</v>
      </c>
      <c r="D596" s="36">
        <v>13.75</v>
      </c>
      <c r="E596" s="21">
        <f>IFERROR(__xludf.DUMMYFUNCTION("IF(C596=""USD"", D596, 
  IFERROR(
    D596 * INDEX(GOOGLEFINANCE(CONCATENATE(""CURRENCY:"", C596, ""USD""), ""close"", B596), 2, 2),
    IFERROR(
      D596 * INDEX(GOOGLEFINANCE(CONCATENATE(""CURRENCY:"", C596, ""USD""), ""close"", B596 - 1), 2, 2),
   "&amp;"   D596 * INDEX(GOOGLEFINANCE(CONCATENATE(""CURRENCY:"", C596, ""USD""), ""close"", B596 + 1), 2, 2)
    )
  )
)"),16.5752125)</f>
        <v>16.5752125</v>
      </c>
    </row>
    <row r="597">
      <c r="A597" s="37" t="s">
        <v>1196</v>
      </c>
      <c r="B597" s="38">
        <v>44955.0</v>
      </c>
      <c r="C597" s="39" t="s">
        <v>82</v>
      </c>
      <c r="D597" s="39">
        <v>2.11</v>
      </c>
      <c r="E597" s="21">
        <f>IFERROR(__xludf.DUMMYFUNCTION("IF(C597=""USD"", D597, 
  IFERROR(
    D597 * INDEX(GOOGLEFINANCE(CONCATENATE(""CURRENCY:"", C597, ""USD""), ""close"", B597), 2, 2),
    IFERROR(
      D597 * INDEX(GOOGLEFINANCE(CONCATENATE(""CURRENCY:"", C597, ""USD""), ""close"", B597 - 1), 2, 2),
   "&amp;"   D597 * INDEX(GOOGLEFINANCE(CONCATENATE(""CURRENCY:"", C597, ""USD""), ""close"", B597 + 1), 2, 2)
    )
  )
)"),2.6160624)</f>
        <v>2.6160624</v>
      </c>
    </row>
    <row r="598">
      <c r="A598" s="37" t="s">
        <v>1200</v>
      </c>
      <c r="B598" s="38">
        <v>44955.0</v>
      </c>
      <c r="C598" s="39" t="s">
        <v>82</v>
      </c>
      <c r="D598" s="39">
        <v>0.07</v>
      </c>
      <c r="E598" s="21">
        <f>IFERROR(__xludf.DUMMYFUNCTION("IF(C598=""USD"", D598, 
  IFERROR(
    D598 * INDEX(GOOGLEFINANCE(CONCATENATE(""CURRENCY:"", C598, ""USD""), ""close"", B598), 2, 2),
    IFERROR(
      D598 * INDEX(GOOGLEFINANCE(CONCATENATE(""CURRENCY:"", C598, ""USD""), ""close"", B598 - 1), 2, 2),
   "&amp;"   D598 * INDEX(GOOGLEFINANCE(CONCATENATE(""CURRENCY:"", C598, ""USD""), ""close"", B598 + 1), 2, 2)
    )
  )
)"),0.08678880000000001)</f>
        <v>0.0867888</v>
      </c>
    </row>
    <row r="599">
      <c r="A599" s="37" t="s">
        <v>1210</v>
      </c>
      <c r="B599" s="38">
        <v>44955.0</v>
      </c>
      <c r="C599" s="39" t="s">
        <v>82</v>
      </c>
      <c r="D599" s="39">
        <v>2.73</v>
      </c>
      <c r="E599" s="21">
        <f>IFERROR(__xludf.DUMMYFUNCTION("IF(C599=""USD"", D599, 
  IFERROR(
    D599 * INDEX(GOOGLEFINANCE(CONCATENATE(""CURRENCY:"", C599, ""USD""), ""close"", B599), 2, 2),
    IFERROR(
      D599 * INDEX(GOOGLEFINANCE(CONCATENATE(""CURRENCY:"", C599, ""USD""), ""close"", B599 - 1), 2, 2),
   "&amp;"   D599 * INDEX(GOOGLEFINANCE(CONCATENATE(""CURRENCY:"", C599, ""USD""), ""close"", B599 + 1), 2, 2)
    )
  )
)"),3.3847632)</f>
        <v>3.3847632</v>
      </c>
    </row>
    <row r="600">
      <c r="A600" s="37" t="s">
        <v>1194</v>
      </c>
      <c r="B600" s="38">
        <v>44955.0</v>
      </c>
      <c r="C600" s="39" t="s">
        <v>82</v>
      </c>
      <c r="D600" s="39">
        <v>1.71</v>
      </c>
      <c r="E600" s="21">
        <f>IFERROR(__xludf.DUMMYFUNCTION("IF(C600=""USD"", D600, 
  IFERROR(
    D600 * INDEX(GOOGLEFINANCE(CONCATENATE(""CURRENCY:"", C600, ""USD""), ""close"", B600), 2, 2),
    IFERROR(
      D600 * INDEX(GOOGLEFINANCE(CONCATENATE(""CURRENCY:"", C600, ""USD""), ""close"", B600 - 1), 2, 2),
   "&amp;"   D600 * INDEX(GOOGLEFINANCE(CONCATENATE(""CURRENCY:"", C600, ""USD""), ""close"", B600 + 1), 2, 2)
    )
  )
)"),2.1201264)</f>
        <v>2.1201264</v>
      </c>
    </row>
    <row r="601">
      <c r="A601" s="37" t="s">
        <v>1202</v>
      </c>
      <c r="B601" s="38">
        <v>44955.0</v>
      </c>
      <c r="C601" s="39" t="s">
        <v>82</v>
      </c>
      <c r="D601" s="39">
        <v>26.45</v>
      </c>
      <c r="E601" s="21">
        <f>IFERROR(__xludf.DUMMYFUNCTION("IF(C601=""USD"", D601, 
  IFERROR(
    D601 * INDEX(GOOGLEFINANCE(CONCATENATE(""CURRENCY:"", C601, ""USD""), ""close"", B601), 2, 2),
    IFERROR(
      D601 * INDEX(GOOGLEFINANCE(CONCATENATE(""CURRENCY:"", C601, ""USD""), ""close"", B601 - 1), 2, 2),
   "&amp;"   D601 * INDEX(GOOGLEFINANCE(CONCATENATE(""CURRENCY:"", C601, ""USD""), ""close"", B601 + 1), 2, 2)
    )
  )
)"),32.793768)</f>
        <v>32.793768</v>
      </c>
    </row>
    <row r="602">
      <c r="A602" s="37" t="s">
        <v>1197</v>
      </c>
      <c r="B602" s="38">
        <v>44955.0</v>
      </c>
      <c r="C602" s="39" t="s">
        <v>82</v>
      </c>
      <c r="D602" s="39">
        <v>4.86</v>
      </c>
      <c r="E602" s="21">
        <f>IFERROR(__xludf.DUMMYFUNCTION("IF(C602=""USD"", D602, 
  IFERROR(
    D602 * INDEX(GOOGLEFINANCE(CONCATENATE(""CURRENCY:"", C602, ""USD""), ""close"", B602), 2, 2),
    IFERROR(
      D602 * INDEX(GOOGLEFINANCE(CONCATENATE(""CURRENCY:"", C602, ""USD""), ""close"", B602 - 1), 2, 2),
   "&amp;"   D602 * INDEX(GOOGLEFINANCE(CONCATENATE(""CURRENCY:"", C602, ""USD""), ""close"", B602 + 1), 2, 2)
    )
  )
)"),6.0256224000000005)</f>
        <v>6.0256224</v>
      </c>
    </row>
    <row r="603">
      <c r="A603" s="37" t="s">
        <v>1204</v>
      </c>
      <c r="B603" s="38">
        <v>44955.0</v>
      </c>
      <c r="C603" s="39" t="s">
        <v>82</v>
      </c>
      <c r="D603" s="39">
        <v>1.7</v>
      </c>
      <c r="E603" s="21">
        <f>IFERROR(__xludf.DUMMYFUNCTION("IF(C603=""USD"", D603, 
  IFERROR(
    D603 * INDEX(GOOGLEFINANCE(CONCATENATE(""CURRENCY:"", C603, ""USD""), ""close"", B603), 2, 2),
    IFERROR(
      D603 * INDEX(GOOGLEFINANCE(CONCATENATE(""CURRENCY:"", C603, ""USD""), ""close"", B603 - 1), 2, 2),
   "&amp;"   D603 * INDEX(GOOGLEFINANCE(CONCATENATE(""CURRENCY:"", C603, ""USD""), ""close"", B603 + 1), 2, 2)
    )
  )
)"),2.107728)</f>
        <v>2.107728</v>
      </c>
    </row>
    <row r="604">
      <c r="A604" s="37" t="s">
        <v>1209</v>
      </c>
      <c r="B604" s="38">
        <v>44955.0</v>
      </c>
      <c r="C604" s="39" t="s">
        <v>82</v>
      </c>
      <c r="D604" s="39">
        <v>0.07</v>
      </c>
      <c r="E604" s="21">
        <f>IFERROR(__xludf.DUMMYFUNCTION("IF(C604=""USD"", D604, 
  IFERROR(
    D604 * INDEX(GOOGLEFINANCE(CONCATENATE(""CURRENCY:"", C604, ""USD""), ""close"", B604), 2, 2),
    IFERROR(
      D604 * INDEX(GOOGLEFINANCE(CONCATENATE(""CURRENCY:"", C604, ""USD""), ""close"", B604 - 1), 2, 2),
   "&amp;"   D604 * INDEX(GOOGLEFINANCE(CONCATENATE(""CURRENCY:"", C604, ""USD""), ""close"", B604 + 1), 2, 2)
    )
  )
)"),0.08678880000000001)</f>
        <v>0.0867888</v>
      </c>
    </row>
    <row r="605">
      <c r="A605" s="40" t="s">
        <v>1194</v>
      </c>
      <c r="B605" s="38">
        <v>44985.0</v>
      </c>
      <c r="C605" s="39" t="s">
        <v>82</v>
      </c>
      <c r="D605" s="39">
        <v>1.66</v>
      </c>
      <c r="E605" s="21">
        <f>IFERROR(__xludf.DUMMYFUNCTION("IF(C605=""USD"", D605, 
  IFERROR(
    D605 * INDEX(GOOGLEFINANCE(CONCATENATE(""CURRENCY:"", C605, ""USD""), ""close"", B605), 2, 2),
    IFERROR(
      D605 * INDEX(GOOGLEFINANCE(CONCATENATE(""CURRENCY:"", C605, ""USD""), ""close"", B605 - 1), 2, 2),
   "&amp;"   D605 * INDEX(GOOGLEFINANCE(CONCATENATE(""CURRENCY:"", C605, ""USD""), ""close"", B605 + 1), 2, 2)
    )
  )
)"),1.997146)</f>
        <v>1.997146</v>
      </c>
    </row>
    <row r="606">
      <c r="A606" s="40" t="s">
        <v>1200</v>
      </c>
      <c r="B606" s="38">
        <v>44985.0</v>
      </c>
      <c r="C606" s="39" t="s">
        <v>82</v>
      </c>
      <c r="D606" s="39">
        <v>14.5</v>
      </c>
      <c r="E606" s="21">
        <f>IFERROR(__xludf.DUMMYFUNCTION("IF(C606=""USD"", D606, 
  IFERROR(
    D606 * INDEX(GOOGLEFINANCE(CONCATENATE(""CURRENCY:"", C606, ""USD""), ""close"", B606), 2, 2),
    IFERROR(
      D606 * INDEX(GOOGLEFINANCE(CONCATENATE(""CURRENCY:"", C606, ""USD""), ""close"", B606 - 1), 2, 2),
   "&amp;"   D606 * INDEX(GOOGLEFINANCE(CONCATENATE(""CURRENCY:"", C606, ""USD""), ""close"", B606 + 1), 2, 2)
    )
  )
)"),17.444950000000002)</f>
        <v>17.44495</v>
      </c>
    </row>
    <row r="607">
      <c r="A607" s="40" t="s">
        <v>1197</v>
      </c>
      <c r="B607" s="38">
        <v>44985.0</v>
      </c>
      <c r="C607" s="39" t="s">
        <v>82</v>
      </c>
      <c r="D607" s="39">
        <v>8.33</v>
      </c>
      <c r="E607" s="21">
        <f>IFERROR(__xludf.DUMMYFUNCTION("IF(C607=""USD"", D607, 
  IFERROR(
    D607 * INDEX(GOOGLEFINANCE(CONCATENATE(""CURRENCY:"", C607, ""USD""), ""close"", B607), 2, 2),
    IFERROR(
      D607 * INDEX(GOOGLEFINANCE(CONCATENATE(""CURRENCY:"", C607, ""USD""), ""close"", B607 - 1), 2, 2),
   "&amp;"   D607 * INDEX(GOOGLEFINANCE(CONCATENATE(""CURRENCY:"", C607, ""USD""), ""close"", B607 + 1), 2, 2)
    )
  )
)"),10.021823000000001)</f>
        <v>10.021823</v>
      </c>
    </row>
    <row r="608">
      <c r="A608" s="40" t="s">
        <v>1204</v>
      </c>
      <c r="B608" s="38">
        <v>44985.0</v>
      </c>
      <c r="C608" s="39" t="s">
        <v>82</v>
      </c>
      <c r="D608" s="39">
        <v>4.02</v>
      </c>
      <c r="E608" s="21">
        <f>IFERROR(__xludf.DUMMYFUNCTION("IF(C608=""USD"", D608, 
  IFERROR(
    D608 * INDEX(GOOGLEFINANCE(CONCATENATE(""CURRENCY:"", C608, ""USD""), ""close"", B608), 2, 2),
    IFERROR(
      D608 * INDEX(GOOGLEFINANCE(CONCATENATE(""CURRENCY:"", C608, ""USD""), ""close"", B608 - 1), 2, 2),
   "&amp;"   D608 * INDEX(GOOGLEFINANCE(CONCATENATE(""CURRENCY:"", C608, ""USD""), ""close"", B608 + 1), 2, 2)
    )
  )
)"),4.836462)</f>
        <v>4.836462</v>
      </c>
    </row>
    <row r="609">
      <c r="A609" s="40" t="s">
        <v>1202</v>
      </c>
      <c r="B609" s="38">
        <v>44985.0</v>
      </c>
      <c r="C609" s="39" t="s">
        <v>82</v>
      </c>
      <c r="D609" s="39">
        <v>22.54</v>
      </c>
      <c r="E609" s="21">
        <f>IFERROR(__xludf.DUMMYFUNCTION("IF(C609=""USD"", D609, 
  IFERROR(
    D609 * INDEX(GOOGLEFINANCE(CONCATENATE(""CURRENCY:"", C609, ""USD""), ""close"", B609), 2, 2),
    IFERROR(
      D609 * INDEX(GOOGLEFINANCE(CONCATENATE(""CURRENCY:"", C609, ""USD""), ""close"", B609 - 1), 2, 2),
   "&amp;"   D609 * INDEX(GOOGLEFINANCE(CONCATENATE(""CURRENCY:"", C609, ""USD""), ""close"", B609 + 1), 2, 2)
    )
  )
)"),27.117874)</f>
        <v>27.117874</v>
      </c>
    </row>
    <row r="610">
      <c r="A610" s="40" t="s">
        <v>1208</v>
      </c>
      <c r="B610" s="38">
        <v>44985.0</v>
      </c>
      <c r="C610" s="39" t="s">
        <v>82</v>
      </c>
      <c r="D610" s="39">
        <v>4.33</v>
      </c>
      <c r="E610" s="21">
        <f>IFERROR(__xludf.DUMMYFUNCTION("IF(C610=""USD"", D610, 
  IFERROR(
    D610 * INDEX(GOOGLEFINANCE(CONCATENATE(""CURRENCY:"", C610, ""USD""), ""close"", B610), 2, 2),
    IFERROR(
      D610 * INDEX(GOOGLEFINANCE(CONCATENATE(""CURRENCY:"", C610, ""USD""), ""close"", B610 - 1), 2, 2),
   "&amp;"   D610 * INDEX(GOOGLEFINANCE(CONCATENATE(""CURRENCY:"", C610, ""USD""), ""close"", B610 + 1), 2, 2)
    )
  )
)"),5.209423)</f>
        <v>5.209423</v>
      </c>
    </row>
    <row r="611">
      <c r="A611" s="40" t="s">
        <v>1197</v>
      </c>
      <c r="B611" s="38">
        <v>45014.0</v>
      </c>
      <c r="C611" s="39" t="s">
        <v>82</v>
      </c>
      <c r="D611" s="39">
        <v>17.59</v>
      </c>
      <c r="E611" s="21">
        <f>IFERROR(__xludf.DUMMYFUNCTION("IF(C611=""USD"", D611, 
  IFERROR(
    D611 * INDEX(GOOGLEFINANCE(CONCATENATE(""CURRENCY:"", C611, ""USD""), ""close"", B611), 2, 2),
    IFERROR(
      D611 * INDEX(GOOGLEFINANCE(CONCATENATE(""CURRENCY:"", C611, ""USD""), ""close"", B611 - 1), 2, 2),
   "&amp;"   D611 * INDEX(GOOGLEFINANCE(CONCATENATE(""CURRENCY:"", C611, ""USD""), ""close"", B611 + 1), 2, 2)
    )
  )
)"),21.655224899999997)</f>
        <v>21.6552249</v>
      </c>
    </row>
    <row r="612">
      <c r="A612" s="40" t="s">
        <v>1196</v>
      </c>
      <c r="B612" s="38">
        <v>45014.0</v>
      </c>
      <c r="C612" s="39" t="s">
        <v>82</v>
      </c>
      <c r="D612" s="39">
        <v>4.02</v>
      </c>
      <c r="E612" s="21">
        <f>IFERROR(__xludf.DUMMYFUNCTION("IF(C612=""USD"", D612, 
  IFERROR(
    D612 * INDEX(GOOGLEFINANCE(CONCATENATE(""CURRENCY:"", C612, ""USD""), ""close"", B612), 2, 2),
    IFERROR(
      D612 * INDEX(GOOGLEFINANCE(CONCATENATE(""CURRENCY:"", C612, ""USD""), ""close"", B612 - 1), 2, 2),
   "&amp;"   D612 * INDEX(GOOGLEFINANCE(CONCATENATE(""CURRENCY:"", C612, ""USD""), ""close"", B612 + 1), 2, 2)
    )
  )
)"),4.949062199999999)</f>
        <v>4.9490622</v>
      </c>
    </row>
    <row r="613">
      <c r="A613" s="40" t="s">
        <v>1202</v>
      </c>
      <c r="B613" s="38">
        <v>45014.0</v>
      </c>
      <c r="C613" s="39" t="s">
        <v>82</v>
      </c>
      <c r="D613" s="39">
        <v>88.71</v>
      </c>
      <c r="E613" s="21">
        <f>IFERROR(__xludf.DUMMYFUNCTION("IF(C613=""USD"", D613, 
  IFERROR(
    D613 * INDEX(GOOGLEFINANCE(CONCATENATE(""CURRENCY:"", C613, ""USD""), ""close"", B613), 2, 2),
    IFERROR(
      D613 * INDEX(GOOGLEFINANCE(CONCATENATE(""CURRENCY:"", C613, ""USD""), ""close"", B613 - 1), 2, 2),
   "&amp;"   D613 * INDEX(GOOGLEFINANCE(CONCATENATE(""CURRENCY:"", C613, ""USD""), ""close"", B613 + 1), 2, 2)
    )
  )
)"),109.21176809999999)</f>
        <v>109.2117681</v>
      </c>
    </row>
    <row r="614">
      <c r="A614" s="40" t="s">
        <v>1205</v>
      </c>
      <c r="B614" s="38">
        <v>45014.0</v>
      </c>
      <c r="C614" s="39" t="s">
        <v>82</v>
      </c>
      <c r="D614" s="39">
        <v>1.13</v>
      </c>
      <c r="E614" s="21">
        <f>IFERROR(__xludf.DUMMYFUNCTION("IF(C614=""USD"", D614, 
  IFERROR(
    D614 * INDEX(GOOGLEFINANCE(CONCATENATE(""CURRENCY:"", C614, ""USD""), ""close"", B614), 2, 2),
    IFERROR(
      D614 * INDEX(GOOGLEFINANCE(CONCATENATE(""CURRENCY:"", C614, ""USD""), ""close"", B614 - 1), 2, 2),
   "&amp;"   D614 * INDEX(GOOGLEFINANCE(CONCATENATE(""CURRENCY:"", C614, ""USD""), ""close"", B614 + 1), 2, 2)
    )
  )
)"),1.3911542999999997)</f>
        <v>1.3911543</v>
      </c>
    </row>
    <row r="615">
      <c r="A615" s="40" t="s">
        <v>1194</v>
      </c>
      <c r="B615" s="38">
        <v>45014.0</v>
      </c>
      <c r="C615" s="39" t="s">
        <v>82</v>
      </c>
      <c r="D615" s="39">
        <v>2.46</v>
      </c>
      <c r="E615" s="21">
        <f>IFERROR(__xludf.DUMMYFUNCTION("IF(C615=""USD"", D615, 
  IFERROR(
    D615 * INDEX(GOOGLEFINANCE(CONCATENATE(""CURRENCY:"", C615, ""USD""), ""close"", B615), 2, 2),
    IFERROR(
      D615 * INDEX(GOOGLEFINANCE(CONCATENATE(""CURRENCY:"", C615, ""USD""), ""close"", B615 - 1), 2, 2),
   "&amp;"   D615 * INDEX(GOOGLEFINANCE(CONCATENATE(""CURRENCY:"", C615, ""USD""), ""close"", B615 + 1), 2, 2)
    )
  )
)"),3.0285306)</f>
        <v>3.0285306</v>
      </c>
    </row>
    <row r="616">
      <c r="A616" s="40" t="s">
        <v>1203</v>
      </c>
      <c r="B616" s="38">
        <v>45014.0</v>
      </c>
      <c r="C616" s="39" t="s">
        <v>82</v>
      </c>
      <c r="D616" s="39">
        <v>6.6</v>
      </c>
      <c r="E616" s="21">
        <f>IFERROR(__xludf.DUMMYFUNCTION("IF(C616=""USD"", D616, 
  IFERROR(
    D616 * INDEX(GOOGLEFINANCE(CONCATENATE(""CURRENCY:"", C616, ""USD""), ""close"", B616), 2, 2),
    IFERROR(
      D616 * INDEX(GOOGLEFINANCE(CONCATENATE(""CURRENCY:"", C616, ""USD""), ""close"", B616 - 1), 2, 2),
   "&amp;"   D616 * INDEX(GOOGLEFINANCE(CONCATENATE(""CURRENCY:"", C616, ""USD""), ""close"", B616 + 1), 2, 2)
    )
  )
)"),8.125326)</f>
        <v>8.125326</v>
      </c>
    </row>
    <row r="617">
      <c r="A617" s="40" t="s">
        <v>1204</v>
      </c>
      <c r="B617" s="38">
        <v>45014.0</v>
      </c>
      <c r="C617" s="39" t="s">
        <v>82</v>
      </c>
      <c r="D617" s="39">
        <v>4.52</v>
      </c>
      <c r="E617" s="21">
        <f>IFERROR(__xludf.DUMMYFUNCTION("IF(C617=""USD"", D617, 
  IFERROR(
    D617 * INDEX(GOOGLEFINANCE(CONCATENATE(""CURRENCY:"", C617, ""USD""), ""close"", B617), 2, 2),
    IFERROR(
      D617 * INDEX(GOOGLEFINANCE(CONCATENATE(""CURRENCY:"", C617, ""USD""), ""close"", B617 - 1), 2, 2),
   "&amp;"   D617 * INDEX(GOOGLEFINANCE(CONCATENATE(""CURRENCY:"", C617, ""USD""), ""close"", B617 + 1), 2, 2)
    )
  )
)"),5.564617199999999)</f>
        <v>5.5646172</v>
      </c>
    </row>
    <row r="618">
      <c r="A618" s="40" t="s">
        <v>1200</v>
      </c>
      <c r="B618" s="38">
        <v>45014.0</v>
      </c>
      <c r="C618" s="39" t="s">
        <v>82</v>
      </c>
      <c r="D618" s="39">
        <v>13.3</v>
      </c>
      <c r="E618" s="21">
        <f>IFERROR(__xludf.DUMMYFUNCTION("IF(C618=""USD"", D618, 
  IFERROR(
    D618 * INDEX(GOOGLEFINANCE(CONCATENATE(""CURRENCY:"", C618, ""USD""), ""close"", B618), 2, 2),
    IFERROR(
      D618 * INDEX(GOOGLEFINANCE(CONCATENATE(""CURRENCY:"", C618, ""USD""), ""close"", B618 - 1), 2, 2),
   "&amp;"   D618 * INDEX(GOOGLEFINANCE(CONCATENATE(""CURRENCY:"", C618, ""USD""), ""close"", B618 + 1), 2, 2)
    )
  )
)"),16.373763)</f>
        <v>16.373763</v>
      </c>
    </row>
    <row r="619">
      <c r="A619" s="41" t="s">
        <v>1200</v>
      </c>
      <c r="B619" s="42">
        <v>45045.0</v>
      </c>
      <c r="C619" s="43" t="s">
        <v>82</v>
      </c>
      <c r="D619" s="44">
        <v>2.54</v>
      </c>
      <c r="E619" s="21">
        <f>IFERROR(__xludf.DUMMYFUNCTION("IF(C619=""USD"", D619, 
  IFERROR(
    D619 * INDEX(GOOGLEFINANCE(CONCATENATE(""CURRENCY:"", C619, ""USD""), ""close"", B619), 2, 2),
    IFERROR(
      D619 * INDEX(GOOGLEFINANCE(CONCATENATE(""CURRENCY:"", C619, ""USD""), ""close"", B619 - 1), 2, 2),
   "&amp;"   D619 * INDEX(GOOGLEFINANCE(CONCATENATE(""CURRENCY:"", C619, ""USD""), ""close"", B619 + 1), 2, 2)
    )
  )
)"),3.192018)</f>
        <v>3.192018</v>
      </c>
    </row>
    <row r="620">
      <c r="A620" s="41" t="s">
        <v>1202</v>
      </c>
      <c r="B620" s="42">
        <v>45045.0</v>
      </c>
      <c r="C620" s="43" t="s">
        <v>82</v>
      </c>
      <c r="D620" s="44">
        <v>62.37</v>
      </c>
      <c r="E620" s="21">
        <f>IFERROR(__xludf.DUMMYFUNCTION("IF(C620=""USD"", D620, 
  IFERROR(
    D620 * INDEX(GOOGLEFINANCE(CONCATENATE(""CURRENCY:"", C620, ""USD""), ""close"", B620), 2, 2),
    IFERROR(
      D620 * INDEX(GOOGLEFINANCE(CONCATENATE(""CURRENCY:"", C620, ""USD""), ""close"", B620 - 1), 2, 2),
   "&amp;"   D620 * INDEX(GOOGLEFINANCE(CONCATENATE(""CURRENCY:"", C620, ""USD""), ""close"", B620 + 1), 2, 2)
    )
  )
)"),78.38037899999999)</f>
        <v>78.380379</v>
      </c>
    </row>
    <row r="621">
      <c r="A621" s="41" t="s">
        <v>1203</v>
      </c>
      <c r="B621" s="42">
        <v>45045.0</v>
      </c>
      <c r="C621" s="43" t="s">
        <v>82</v>
      </c>
      <c r="D621" s="44">
        <v>4.56</v>
      </c>
      <c r="E621" s="21">
        <f>IFERROR(__xludf.DUMMYFUNCTION("IF(C621=""USD"", D621, 
  IFERROR(
    D621 * INDEX(GOOGLEFINANCE(CONCATENATE(""CURRENCY:"", C621, ""USD""), ""close"", B621), 2, 2),
    IFERROR(
      D621 * INDEX(GOOGLEFINANCE(CONCATENATE(""CURRENCY:"", C621, ""USD""), ""close"", B621 - 1), 2, 2),
   "&amp;"   D621 * INDEX(GOOGLEFINANCE(CONCATENATE(""CURRENCY:"", C621, ""USD""), ""close"", B621 + 1), 2, 2)
    )
  )
)"),5.730551999999999)</f>
        <v>5.730552</v>
      </c>
    </row>
    <row r="622">
      <c r="A622" s="41" t="s">
        <v>1197</v>
      </c>
      <c r="B622" s="42">
        <v>45045.0</v>
      </c>
      <c r="C622" s="43" t="s">
        <v>82</v>
      </c>
      <c r="D622" s="44">
        <v>9.0</v>
      </c>
      <c r="E622" s="21">
        <f>IFERROR(__xludf.DUMMYFUNCTION("IF(C622=""USD"", D622, 
  IFERROR(
    D622 * INDEX(GOOGLEFINANCE(CONCATENATE(""CURRENCY:"", C622, ""USD""), ""close"", B622), 2, 2),
    IFERROR(
      D622 * INDEX(GOOGLEFINANCE(CONCATENATE(""CURRENCY:"", C622, ""USD""), ""close"", B622 - 1), 2, 2),
   "&amp;"   D622 * INDEX(GOOGLEFINANCE(CONCATENATE(""CURRENCY:"", C622, ""USD""), ""close"", B622 + 1), 2, 2)
    )
  )
)"),11.3103)</f>
        <v>11.3103</v>
      </c>
    </row>
    <row r="623">
      <c r="A623" s="41" t="s">
        <v>1194</v>
      </c>
      <c r="B623" s="42">
        <v>45045.0</v>
      </c>
      <c r="C623" s="43" t="s">
        <v>82</v>
      </c>
      <c r="D623" s="44">
        <v>0.23</v>
      </c>
      <c r="E623" s="21">
        <f>IFERROR(__xludf.DUMMYFUNCTION("IF(C623=""USD"", D623, 
  IFERROR(
    D623 * INDEX(GOOGLEFINANCE(CONCATENATE(""CURRENCY:"", C623, ""USD""), ""close"", B623), 2, 2),
    IFERROR(
      D623 * INDEX(GOOGLEFINANCE(CONCATENATE(""CURRENCY:"", C623, ""USD""), ""close"", B623 - 1), 2, 2),
   "&amp;"   D623 * INDEX(GOOGLEFINANCE(CONCATENATE(""CURRENCY:"", C623, ""USD""), ""close"", B623 + 1), 2, 2)
    )
  )
)"),0.289041)</f>
        <v>0.289041</v>
      </c>
    </row>
    <row r="624">
      <c r="A624" s="45" t="s">
        <v>1194</v>
      </c>
      <c r="B624" s="38">
        <v>45075.0</v>
      </c>
      <c r="C624" s="11" t="s">
        <v>82</v>
      </c>
      <c r="D624" s="11">
        <v>0.06</v>
      </c>
      <c r="E624" s="21">
        <f>IFERROR(__xludf.DUMMYFUNCTION("IF(C624=""USD"", D624, 
  IFERROR(
    D624 * INDEX(GOOGLEFINANCE(CONCATENATE(""CURRENCY:"", C624, ""USD""), ""close"", B624), 2, 2),
    IFERROR(
      D624 * INDEX(GOOGLEFINANCE(CONCATENATE(""CURRENCY:"", C624, ""USD""), ""close"", B624 - 1), 2, 2),
   "&amp;"   D624 * INDEX(GOOGLEFINANCE(CONCATENATE(""CURRENCY:"", C624, ""USD""), ""close"", B624 + 1), 2, 2)
    )
  )
)"),0.0740892)</f>
        <v>0.0740892</v>
      </c>
    </row>
    <row r="625">
      <c r="A625" s="45" t="s">
        <v>1209</v>
      </c>
      <c r="B625" s="38">
        <v>45075.0</v>
      </c>
      <c r="C625" s="11" t="s">
        <v>82</v>
      </c>
      <c r="D625" s="11">
        <v>0.06</v>
      </c>
      <c r="E625" s="21">
        <f>IFERROR(__xludf.DUMMYFUNCTION("IF(C625=""USD"", D625, 
  IFERROR(
    D625 * INDEX(GOOGLEFINANCE(CONCATENATE(""CURRENCY:"", C625, ""USD""), ""close"", B625), 2, 2),
    IFERROR(
      D625 * INDEX(GOOGLEFINANCE(CONCATENATE(""CURRENCY:"", C625, ""USD""), ""close"", B625 - 1), 2, 2),
   "&amp;"   D625 * INDEX(GOOGLEFINANCE(CONCATENATE(""CURRENCY:"", C625, ""USD""), ""close"", B625 + 1), 2, 2)
    )
  )
)"),0.0740892)</f>
        <v>0.0740892</v>
      </c>
    </row>
    <row r="626">
      <c r="A626" s="45" t="s">
        <v>1201</v>
      </c>
      <c r="B626" s="38">
        <v>45075.0</v>
      </c>
      <c r="C626" s="11" t="s">
        <v>82</v>
      </c>
      <c r="D626" s="11">
        <v>2.49</v>
      </c>
      <c r="E626" s="21">
        <f>IFERROR(__xludf.DUMMYFUNCTION("IF(C626=""USD"", D626, 
  IFERROR(
    D626 * INDEX(GOOGLEFINANCE(CONCATENATE(""CURRENCY:"", C626, ""USD""), ""close"", B626), 2, 2),
    IFERROR(
      D626 * INDEX(GOOGLEFINANCE(CONCATENATE(""CURRENCY:"", C626, ""USD""), ""close"", B626 - 1), 2, 2),
   "&amp;"   D626 * INDEX(GOOGLEFINANCE(CONCATENATE(""CURRENCY:"", C626, ""USD""), ""close"", B626 + 1), 2, 2)
    )
  )
)"),3.0747018)</f>
        <v>3.0747018</v>
      </c>
    </row>
    <row r="627">
      <c r="A627" s="45" t="s">
        <v>1197</v>
      </c>
      <c r="B627" s="38">
        <v>45075.0</v>
      </c>
      <c r="C627" s="11" t="s">
        <v>82</v>
      </c>
      <c r="D627" s="11">
        <v>12.31</v>
      </c>
      <c r="E627" s="21">
        <f>IFERROR(__xludf.DUMMYFUNCTION("IF(C627=""USD"", D627, 
  IFERROR(
    D627 * INDEX(GOOGLEFINANCE(CONCATENATE(""CURRENCY:"", C627, ""USD""), ""close"", B627), 2, 2),
    IFERROR(
      D627 * INDEX(GOOGLEFINANCE(CONCATENATE(""CURRENCY:"", C627, ""USD""), ""close"", B627 - 1), 2, 2),
   "&amp;"   D627 * INDEX(GOOGLEFINANCE(CONCATENATE(""CURRENCY:"", C627, ""USD""), ""close"", B627 + 1), 2, 2)
    )
  )
)"),15.200634200000001)</f>
        <v>15.2006342</v>
      </c>
    </row>
    <row r="628">
      <c r="A628" s="45" t="s">
        <v>1202</v>
      </c>
      <c r="B628" s="38">
        <v>45075.0</v>
      </c>
      <c r="C628" s="11" t="s">
        <v>82</v>
      </c>
      <c r="D628" s="11">
        <v>28.56</v>
      </c>
      <c r="E628" s="21">
        <f>IFERROR(__xludf.DUMMYFUNCTION("IF(C628=""USD"", D628, 
  IFERROR(
    D628 * INDEX(GOOGLEFINANCE(CONCATENATE(""CURRENCY:"", C628, ""USD""), ""close"", B628), 2, 2),
    IFERROR(
      D628 * INDEX(GOOGLEFINANCE(CONCATENATE(""CURRENCY:"", C628, ""USD""), ""close"", B628 - 1), 2, 2),
   "&amp;"   D628 * INDEX(GOOGLEFINANCE(CONCATENATE(""CURRENCY:"", C628, ""USD""), ""close"", B628 + 1), 2, 2)
    )
  )
)"),35.2664592)</f>
        <v>35.2664592</v>
      </c>
    </row>
    <row r="629">
      <c r="A629" s="45" t="s">
        <v>1206</v>
      </c>
      <c r="B629" s="38">
        <v>45075.0</v>
      </c>
      <c r="C629" s="11" t="s">
        <v>82</v>
      </c>
      <c r="D629" s="11">
        <v>0.07</v>
      </c>
      <c r="E629" s="21">
        <f>IFERROR(__xludf.DUMMYFUNCTION("IF(C629=""USD"", D629, 
  IFERROR(
    D629 * INDEX(GOOGLEFINANCE(CONCATENATE(""CURRENCY:"", C629, ""USD""), ""close"", B629), 2, 2),
    IFERROR(
      D629 * INDEX(GOOGLEFINANCE(CONCATENATE(""CURRENCY:"", C629, ""USD""), ""close"", B629 - 1), 2, 2),
   "&amp;"   D629 * INDEX(GOOGLEFINANCE(CONCATENATE(""CURRENCY:"", C629, ""USD""), ""close"", B629 + 1), 2, 2)
    )
  )
)"),0.08643740000000001)</f>
        <v>0.0864374</v>
      </c>
    </row>
    <row r="630">
      <c r="A630" s="45" t="s">
        <v>1200</v>
      </c>
      <c r="B630" s="38">
        <v>45075.0</v>
      </c>
      <c r="C630" s="11" t="s">
        <v>82</v>
      </c>
      <c r="D630" s="11">
        <v>17.95</v>
      </c>
      <c r="E630" s="21">
        <f>IFERROR(__xludf.DUMMYFUNCTION("IF(C630=""USD"", D630, 
  IFERROR(
    D630 * INDEX(GOOGLEFINANCE(CONCATENATE(""CURRENCY:"", C630, ""USD""), ""close"", B630), 2, 2),
    IFERROR(
      D630 * INDEX(GOOGLEFINANCE(CONCATENATE(""CURRENCY:"", C630, ""USD""), ""close"", B630 - 1), 2, 2),
   "&amp;"   D630 * INDEX(GOOGLEFINANCE(CONCATENATE(""CURRENCY:"", C630, ""USD""), ""close"", B630 + 1), 2, 2)
    )
  )
)"),22.165019)</f>
        <v>22.165019</v>
      </c>
    </row>
    <row r="631">
      <c r="A631" s="45" t="s">
        <v>1197</v>
      </c>
      <c r="B631" s="38">
        <v>45106.0</v>
      </c>
      <c r="C631" s="11" t="s">
        <v>82</v>
      </c>
      <c r="D631" s="11">
        <v>6.76</v>
      </c>
      <c r="E631" s="21">
        <f>IFERROR(__xludf.DUMMYFUNCTION("IF(C631=""USD"", D631, 
  IFERROR(
    D631 * INDEX(GOOGLEFINANCE(CONCATENATE(""CURRENCY:"", C631, ""USD""), ""close"", B631), 2, 2),
    IFERROR(
      D631 * INDEX(GOOGLEFINANCE(CONCATENATE(""CURRENCY:"", C631, ""USD""), ""close"", B631 - 1), 2, 2),
   "&amp;"   D631 * INDEX(GOOGLEFINANCE(CONCATENATE(""CURRENCY:"", C631, ""USD""), ""close"", B631 + 1), 2, 2)
    )
  )
)"),8.526455599999998)</f>
        <v>8.5264556</v>
      </c>
    </row>
    <row r="632">
      <c r="A632" s="45" t="s">
        <v>1194</v>
      </c>
      <c r="B632" s="38">
        <v>45106.0</v>
      </c>
      <c r="C632" s="11" t="s">
        <v>82</v>
      </c>
      <c r="D632" s="11">
        <v>2.33</v>
      </c>
      <c r="E632" s="21">
        <f>IFERROR(__xludf.DUMMYFUNCTION("IF(C632=""USD"", D632, 
  IFERROR(
    D632 * INDEX(GOOGLEFINANCE(CONCATENATE(""CURRENCY:"", C632, ""USD""), ""close"", B632), 2, 2),
    IFERROR(
      D632 * INDEX(GOOGLEFINANCE(CONCATENATE(""CURRENCY:"", C632, ""USD""), ""close"", B632 - 1), 2, 2),
   "&amp;"   D632 * INDEX(GOOGLEFINANCE(CONCATENATE(""CURRENCY:"", C632, ""USD""), ""close"", B632 + 1), 2, 2)
    )
  )
)"),2.9388522999999998)</f>
        <v>2.9388523</v>
      </c>
    </row>
    <row r="633">
      <c r="A633" s="45" t="s">
        <v>1196</v>
      </c>
      <c r="B633" s="38">
        <v>45106.0</v>
      </c>
      <c r="C633" s="11" t="s">
        <v>82</v>
      </c>
      <c r="D633" s="11">
        <v>3.63</v>
      </c>
      <c r="E633" s="21">
        <f>IFERROR(__xludf.DUMMYFUNCTION("IF(C633=""USD"", D633, 
  IFERROR(
    D633 * INDEX(GOOGLEFINANCE(CONCATENATE(""CURRENCY:"", C633, ""USD""), ""close"", B633), 2, 2),
    IFERROR(
      D633 * INDEX(GOOGLEFINANCE(CONCATENATE(""CURRENCY:"", C633, ""USD""), ""close"", B633 - 1), 2, 2),
   "&amp;"   D633 * INDEX(GOOGLEFINANCE(CONCATENATE(""CURRENCY:"", C633, ""USD""), ""close"", B633 + 1), 2, 2)
    )
  )
)"),4.5785553)</f>
        <v>4.5785553</v>
      </c>
    </row>
    <row r="634">
      <c r="A634" s="45" t="s">
        <v>1202</v>
      </c>
      <c r="B634" s="38">
        <v>45106.0</v>
      </c>
      <c r="C634" s="11" t="s">
        <v>82</v>
      </c>
      <c r="D634" s="11">
        <v>51.71</v>
      </c>
      <c r="E634" s="21">
        <f>IFERROR(__xludf.DUMMYFUNCTION("IF(C634=""USD"", D634, 
  IFERROR(
    D634 * INDEX(GOOGLEFINANCE(CONCATENATE(""CURRENCY:"", C634, ""USD""), ""close"", B634), 2, 2),
    IFERROR(
      D634 * INDEX(GOOGLEFINANCE(CONCATENATE(""CURRENCY:"", C634, ""USD""), ""close"", B634 - 1), 2, 2),
   "&amp;"   D634 * INDEX(GOOGLEFINANCE(CONCATENATE(""CURRENCY:"", C634, ""USD""), ""close"", B634 + 1), 2, 2)
    )
  )
)"),65.2223401)</f>
        <v>65.2223401</v>
      </c>
    </row>
    <row r="635">
      <c r="A635" s="45" t="s">
        <v>1211</v>
      </c>
      <c r="B635" s="38">
        <v>45106.0</v>
      </c>
      <c r="C635" s="11" t="s">
        <v>82</v>
      </c>
      <c r="D635" s="11">
        <v>5.81</v>
      </c>
      <c r="E635" s="21">
        <f>IFERROR(__xludf.DUMMYFUNCTION("IF(C635=""USD"", D635, 
  IFERROR(
    D635 * INDEX(GOOGLEFINANCE(CONCATENATE(""CURRENCY:"", C635, ""USD""), ""close"", B635), 2, 2),
    IFERROR(
      D635 * INDEX(GOOGLEFINANCE(CONCATENATE(""CURRENCY:"", C635, ""USD""), ""close"", B635 - 1), 2, 2),
   "&amp;"   D635 * INDEX(GOOGLEFINANCE(CONCATENATE(""CURRENCY:"", C635, ""USD""), ""close"", B635 + 1), 2, 2)
    )
  )
)"),7.328211099999999)</f>
        <v>7.3282111</v>
      </c>
    </row>
    <row r="636">
      <c r="A636" s="45" t="s">
        <v>1200</v>
      </c>
      <c r="B636" s="38">
        <v>45106.0</v>
      </c>
      <c r="C636" s="11" t="s">
        <v>82</v>
      </c>
      <c r="D636" s="11">
        <v>10.28</v>
      </c>
      <c r="E636" s="21">
        <f>IFERROR(__xludf.DUMMYFUNCTION("IF(C636=""USD"", D636, 
  IFERROR(
    D636 * INDEX(GOOGLEFINANCE(CONCATENATE(""CURRENCY:"", C636, ""USD""), ""close"", B636), 2, 2),
    IFERROR(
      D636 * INDEX(GOOGLEFINANCE(CONCATENATE(""CURRENCY:"", C636, ""USD""), ""close"", B636 - 1), 2, 2),
   "&amp;"   D636 * INDEX(GOOGLEFINANCE(CONCATENATE(""CURRENCY:"", C636, ""USD""), ""close"", B636 + 1), 2, 2)
    )
  )
)"),12.966266799999998)</f>
        <v>12.9662668</v>
      </c>
    </row>
    <row r="637">
      <c r="A637" s="45" t="s">
        <v>1201</v>
      </c>
      <c r="B637" s="38">
        <v>45106.0</v>
      </c>
      <c r="C637" s="11" t="s">
        <v>82</v>
      </c>
      <c r="D637" s="11">
        <v>1.65</v>
      </c>
      <c r="E637" s="21">
        <f>IFERROR(__xludf.DUMMYFUNCTION("IF(C637=""USD"", D637, 
  IFERROR(
    D637 * INDEX(GOOGLEFINANCE(CONCATENATE(""CURRENCY:"", C637, ""USD""), ""close"", B637), 2, 2),
    IFERROR(
      D637 * INDEX(GOOGLEFINANCE(CONCATENATE(""CURRENCY:"", C637, ""USD""), ""close"", B637 - 1), 2, 2),
   "&amp;"   D637 * INDEX(GOOGLEFINANCE(CONCATENATE(""CURRENCY:"", C637, ""USD""), ""close"", B637 + 1), 2, 2)
    )
  )
)"),2.0811615)</f>
        <v>2.0811615</v>
      </c>
    </row>
    <row r="638">
      <c r="A638" s="46" t="s">
        <v>1208</v>
      </c>
      <c r="B638" s="42">
        <v>45136.0</v>
      </c>
      <c r="C638" s="43" t="s">
        <v>82</v>
      </c>
      <c r="D638" s="44">
        <v>1.6</v>
      </c>
      <c r="E638" s="21">
        <f>IFERROR(__xludf.DUMMYFUNCTION("IF(C638=""USD"", D638, 
  IFERROR(
    D638 * INDEX(GOOGLEFINANCE(CONCATENATE(""CURRENCY:"", C638, ""USD""), ""close"", B638), 2, 2),
    IFERROR(
      D638 * INDEX(GOOGLEFINANCE(CONCATENATE(""CURRENCY:"", C638, ""USD""), ""close"", B638 - 1), 2, 2),
   "&amp;"   D638 * INDEX(GOOGLEFINANCE(CONCATENATE(""CURRENCY:"", C638, ""USD""), ""close"", B638 + 1), 2, 2)
    )
  )
)"),2.0552)</f>
        <v>2.0552</v>
      </c>
    </row>
    <row r="639">
      <c r="A639" s="46" t="s">
        <v>1202</v>
      </c>
      <c r="B639" s="42">
        <v>45136.0</v>
      </c>
      <c r="C639" s="43" t="s">
        <v>82</v>
      </c>
      <c r="D639" s="44">
        <v>36.31</v>
      </c>
      <c r="E639" s="21">
        <f>IFERROR(__xludf.DUMMYFUNCTION("IF(C639=""USD"", D639, 
  IFERROR(
    D639 * INDEX(GOOGLEFINANCE(CONCATENATE(""CURRENCY:"", C639, ""USD""), ""close"", B639), 2, 2),
    IFERROR(
      D639 * INDEX(GOOGLEFINANCE(CONCATENATE(""CURRENCY:"", C639, ""USD""), ""close"", B639 - 1), 2, 2),
   "&amp;"   D639 * INDEX(GOOGLEFINANCE(CONCATENATE(""CURRENCY:"", C639, ""USD""), ""close"", B639 + 1), 2, 2)
    )
  )
)"),46.640195)</f>
        <v>46.640195</v>
      </c>
    </row>
    <row r="640">
      <c r="A640" s="46" t="s">
        <v>1204</v>
      </c>
      <c r="B640" s="42">
        <v>45136.0</v>
      </c>
      <c r="C640" s="43" t="s">
        <v>82</v>
      </c>
      <c r="D640" s="44">
        <v>1.96</v>
      </c>
      <c r="E640" s="21">
        <f>IFERROR(__xludf.DUMMYFUNCTION("IF(C640=""USD"", D640, 
  IFERROR(
    D640 * INDEX(GOOGLEFINANCE(CONCATENATE(""CURRENCY:"", C640, ""USD""), ""close"", B640), 2, 2),
    IFERROR(
      D640 * INDEX(GOOGLEFINANCE(CONCATENATE(""CURRENCY:"", C640, ""USD""), ""close"", B640 - 1), 2, 2),
   "&amp;"   D640 * INDEX(GOOGLEFINANCE(CONCATENATE(""CURRENCY:"", C640, ""USD""), ""close"", B640 + 1), 2, 2)
    )
  )
)"),2.51762)</f>
        <v>2.51762</v>
      </c>
    </row>
    <row r="641">
      <c r="A641" s="46" t="s">
        <v>1197</v>
      </c>
      <c r="B641" s="42">
        <v>45136.0</v>
      </c>
      <c r="C641" s="43" t="s">
        <v>82</v>
      </c>
      <c r="D641" s="44">
        <v>8.33</v>
      </c>
      <c r="E641" s="21">
        <f>IFERROR(__xludf.DUMMYFUNCTION("IF(C641=""USD"", D641, 
  IFERROR(
    D641 * INDEX(GOOGLEFINANCE(CONCATENATE(""CURRENCY:"", C641, ""USD""), ""close"", B641), 2, 2),
    IFERROR(
      D641 * INDEX(GOOGLEFINANCE(CONCATENATE(""CURRENCY:"", C641, ""USD""), ""close"", B641 - 1), 2, 2),
   "&amp;"   D641 * INDEX(GOOGLEFINANCE(CONCATENATE(""CURRENCY:"", C641, ""USD""), ""close"", B641 + 1), 2, 2)
    )
  )
)"),10.699885)</f>
        <v>10.699885</v>
      </c>
    </row>
    <row r="642">
      <c r="A642" s="46" t="s">
        <v>1203</v>
      </c>
      <c r="B642" s="42">
        <v>45136.0</v>
      </c>
      <c r="C642" s="43" t="s">
        <v>82</v>
      </c>
      <c r="D642" s="44">
        <v>1.95</v>
      </c>
      <c r="E642" s="21">
        <f>IFERROR(__xludf.DUMMYFUNCTION("IF(C642=""USD"", D642, 
  IFERROR(
    D642 * INDEX(GOOGLEFINANCE(CONCATENATE(""CURRENCY:"", C642, ""USD""), ""close"", B642), 2, 2),
    IFERROR(
      D642 * INDEX(GOOGLEFINANCE(CONCATENATE(""CURRENCY:"", C642, ""USD""), ""close"", B642 - 1), 2, 2),
   "&amp;"   D642 * INDEX(GOOGLEFINANCE(CONCATENATE(""CURRENCY:"", C642, ""USD""), ""close"", B642 + 1), 2, 2)
    )
  )
)"),2.504775)</f>
        <v>2.504775</v>
      </c>
    </row>
    <row r="643">
      <c r="A643" s="46" t="s">
        <v>1210</v>
      </c>
      <c r="B643" s="42">
        <v>45136.0</v>
      </c>
      <c r="C643" s="43" t="s">
        <v>82</v>
      </c>
      <c r="D643" s="44">
        <v>5.14</v>
      </c>
      <c r="E643" s="21">
        <f>IFERROR(__xludf.DUMMYFUNCTION("IF(C643=""USD"", D643, 
  IFERROR(
    D643 * INDEX(GOOGLEFINANCE(CONCATENATE(""CURRENCY:"", C643, ""USD""), ""close"", B643), 2, 2),
    IFERROR(
      D643 * INDEX(GOOGLEFINANCE(CONCATENATE(""CURRENCY:"", C643, ""USD""), ""close"", B643 - 1), 2, 2),
   "&amp;"   D643 * INDEX(GOOGLEFINANCE(CONCATENATE(""CURRENCY:"", C643, ""USD""), ""close"", B643 + 1), 2, 2)
    )
  )
)"),6.602329999999999)</f>
        <v>6.60233</v>
      </c>
    </row>
    <row r="644">
      <c r="A644" s="46" t="s">
        <v>1194</v>
      </c>
      <c r="B644" s="42">
        <v>45136.0</v>
      </c>
      <c r="C644" s="43" t="s">
        <v>82</v>
      </c>
      <c r="D644" s="44">
        <v>4.66</v>
      </c>
      <c r="E644" s="21">
        <f>IFERROR(__xludf.DUMMYFUNCTION("IF(C644=""USD"", D644, 
  IFERROR(
    D644 * INDEX(GOOGLEFINANCE(CONCATENATE(""CURRENCY:"", C644, ""USD""), ""close"", B644), 2, 2),
    IFERROR(
      D644 * INDEX(GOOGLEFINANCE(CONCATENATE(""CURRENCY:"", C644, ""USD""), ""close"", B644 - 1), 2, 2),
   "&amp;"   D644 * INDEX(GOOGLEFINANCE(CONCATENATE(""CURRENCY:"", C644, ""USD""), ""close"", B644 + 1), 2, 2)
    )
  )
)"),5.9857700000000005)</f>
        <v>5.98577</v>
      </c>
    </row>
    <row r="645">
      <c r="A645" s="46" t="s">
        <v>1200</v>
      </c>
      <c r="B645" s="42">
        <v>45136.0</v>
      </c>
      <c r="C645" s="43" t="s">
        <v>82</v>
      </c>
      <c r="D645" s="44">
        <v>5.23</v>
      </c>
      <c r="E645" s="21">
        <f>IFERROR(__xludf.DUMMYFUNCTION("IF(C645=""USD"", D645, 
  IFERROR(
    D645 * INDEX(GOOGLEFINANCE(CONCATENATE(""CURRENCY:"", C645, ""USD""), ""close"", B645), 2, 2),
    IFERROR(
      D645 * INDEX(GOOGLEFINANCE(CONCATENATE(""CURRENCY:"", C645, ""USD""), ""close"", B645 - 1), 2, 2),
   "&amp;"   D645 * INDEX(GOOGLEFINANCE(CONCATENATE(""CURRENCY:"", C645, ""USD""), ""close"", B645 + 1), 2, 2)
    )
  )
)"),6.717935000000001)</f>
        <v>6.717935</v>
      </c>
    </row>
    <row r="646">
      <c r="A646" s="45" t="s">
        <v>1200</v>
      </c>
      <c r="B646" s="38">
        <v>45167.0</v>
      </c>
      <c r="C646" s="11" t="s">
        <v>82</v>
      </c>
      <c r="D646" s="11">
        <v>8.78</v>
      </c>
      <c r="E646" s="21">
        <f>IFERROR(__xludf.DUMMYFUNCTION("IF(C646=""USD"", D646, 
  IFERROR(
    D646 * INDEX(GOOGLEFINANCE(CONCATENATE(""CURRENCY:"", C646, ""USD""), ""close"", B646), 2, 2),
    IFERROR(
      D646 * INDEX(GOOGLEFINANCE(CONCATENATE(""CURRENCY:"", C646, ""USD""), ""close"", B646 - 1), 2, 2),
   "&amp;"   D646 * INDEX(GOOGLEFINANCE(CONCATENATE(""CURRENCY:"", C646, ""USD""), ""close"", B646 + 1), 2, 2)
    )
  )
)"),11.094408)</f>
        <v>11.094408</v>
      </c>
    </row>
    <row r="647">
      <c r="A647" s="45" t="s">
        <v>1197</v>
      </c>
      <c r="B647" s="38">
        <v>45167.0</v>
      </c>
      <c r="C647" s="11" t="s">
        <v>82</v>
      </c>
      <c r="D647" s="11">
        <v>15.53</v>
      </c>
      <c r="E647" s="21">
        <f>IFERROR(__xludf.DUMMYFUNCTION("IF(C647=""USD"", D647, 
  IFERROR(
    D647 * INDEX(GOOGLEFINANCE(CONCATENATE(""CURRENCY:"", C647, ""USD""), ""close"", B647), 2, 2),
    IFERROR(
      D647 * INDEX(GOOGLEFINANCE(CONCATENATE(""CURRENCY:"", C647, ""USD""), ""close"", B647 - 1), 2, 2),
   "&amp;"   D647 * INDEX(GOOGLEFINANCE(CONCATENATE(""CURRENCY:"", C647, ""USD""), ""close"", B647 + 1), 2, 2)
    )
  )
)"),19.623708)</f>
        <v>19.623708</v>
      </c>
    </row>
    <row r="648">
      <c r="A648" s="45" t="s">
        <v>1205</v>
      </c>
      <c r="B648" s="38">
        <v>45167.0</v>
      </c>
      <c r="C648" s="11" t="s">
        <v>82</v>
      </c>
      <c r="D648" s="11">
        <v>0.04</v>
      </c>
      <c r="E648" s="21">
        <f>IFERROR(__xludf.DUMMYFUNCTION("IF(C648=""USD"", D648, 
  IFERROR(
    D648 * INDEX(GOOGLEFINANCE(CONCATENATE(""CURRENCY:"", C648, ""USD""), ""close"", B648), 2, 2),
    IFERROR(
      D648 * INDEX(GOOGLEFINANCE(CONCATENATE(""CURRENCY:"", C648, ""USD""), ""close"", B648 - 1), 2, 2),
   "&amp;"   D648 * INDEX(GOOGLEFINANCE(CONCATENATE(""CURRENCY:"", C648, ""USD""), ""close"", B648 + 1), 2, 2)
    )
  )
)"),0.050544000000000006)</f>
        <v>0.050544</v>
      </c>
    </row>
    <row r="649">
      <c r="A649" s="45" t="s">
        <v>1194</v>
      </c>
      <c r="B649" s="38">
        <v>45167.0</v>
      </c>
      <c r="C649" s="11" t="s">
        <v>82</v>
      </c>
      <c r="D649" s="11">
        <v>3.32</v>
      </c>
      <c r="E649" s="21">
        <f>IFERROR(__xludf.DUMMYFUNCTION("IF(C649=""USD"", D649, 
  IFERROR(
    D649 * INDEX(GOOGLEFINANCE(CONCATENATE(""CURRENCY:"", C649, ""USD""), ""close"", B649), 2, 2),
    IFERROR(
      D649 * INDEX(GOOGLEFINANCE(CONCATENATE(""CURRENCY:"", C649, ""USD""), ""close"", B649 - 1), 2, 2),
   "&amp;"   D649 * INDEX(GOOGLEFINANCE(CONCATENATE(""CURRENCY:"", C649, ""USD""), ""close"", B649 + 1), 2, 2)
    )
  )
)"),4.195152)</f>
        <v>4.195152</v>
      </c>
    </row>
    <row r="650">
      <c r="A650" s="45" t="s">
        <v>1208</v>
      </c>
      <c r="B650" s="38">
        <v>45167.0</v>
      </c>
      <c r="C650" s="11" t="s">
        <v>82</v>
      </c>
      <c r="D650" s="11">
        <v>4.22</v>
      </c>
      <c r="E650" s="21">
        <f>IFERROR(__xludf.DUMMYFUNCTION("IF(C650=""USD"", D650, 
  IFERROR(
    D650 * INDEX(GOOGLEFINANCE(CONCATENATE(""CURRENCY:"", C650, ""USD""), ""close"", B650), 2, 2),
    IFERROR(
      D650 * INDEX(GOOGLEFINANCE(CONCATENATE(""CURRENCY:"", C650, ""USD""), ""close"", B650 - 1), 2, 2),
   "&amp;"   D650 * INDEX(GOOGLEFINANCE(CONCATENATE(""CURRENCY:"", C650, ""USD""), ""close"", B650 + 1), 2, 2)
    )
  )
)"),5.332392)</f>
        <v>5.332392</v>
      </c>
    </row>
    <row r="651">
      <c r="A651" s="45" t="s">
        <v>1202</v>
      </c>
      <c r="B651" s="38">
        <v>45167.0</v>
      </c>
      <c r="C651" s="11" t="s">
        <v>82</v>
      </c>
      <c r="D651" s="11">
        <v>31.99</v>
      </c>
      <c r="E651" s="21">
        <f>IFERROR(__xludf.DUMMYFUNCTION("IF(C651=""USD"", D651, 
  IFERROR(
    D651 * INDEX(GOOGLEFINANCE(CONCATENATE(""CURRENCY:"", C651, ""USD""), ""close"", B651), 2, 2),
    IFERROR(
      D651 * INDEX(GOOGLEFINANCE(CONCATENATE(""CURRENCY:"", C651, ""USD""), ""close"", B651 - 1), 2, 2),
   "&amp;"   D651 * INDEX(GOOGLEFINANCE(CONCATENATE(""CURRENCY:"", C651, ""USD""), ""close"", B651 + 1), 2, 2)
    )
  )
)"),40.422564)</f>
        <v>40.422564</v>
      </c>
    </row>
    <row r="652">
      <c r="A652" s="45" t="s">
        <v>1201</v>
      </c>
      <c r="B652" s="38">
        <v>45167.0</v>
      </c>
      <c r="C652" s="11" t="s">
        <v>82</v>
      </c>
      <c r="D652" s="11">
        <v>0.24</v>
      </c>
      <c r="E652" s="21">
        <f>IFERROR(__xludf.DUMMYFUNCTION("IF(C652=""USD"", D652, 
  IFERROR(
    D652 * INDEX(GOOGLEFINANCE(CONCATENATE(""CURRENCY:"", C652, ""USD""), ""close"", B652), 2, 2),
    IFERROR(
      D652 * INDEX(GOOGLEFINANCE(CONCATENATE(""CURRENCY:"", C652, ""USD""), ""close"", B652 - 1), 2, 2),
   "&amp;"   D652 * INDEX(GOOGLEFINANCE(CONCATENATE(""CURRENCY:"", C652, ""USD""), ""close"", B652 + 1), 2, 2)
    )
  )
)"),0.303264)</f>
        <v>0.303264</v>
      </c>
    </row>
    <row r="653">
      <c r="A653" s="46" t="s">
        <v>1197</v>
      </c>
      <c r="B653" s="42">
        <v>45198.0</v>
      </c>
      <c r="C653" s="43" t="s">
        <v>82</v>
      </c>
      <c r="D653" s="44">
        <v>19.57</v>
      </c>
      <c r="E653" s="21">
        <f>IFERROR(__xludf.DUMMYFUNCTION("IF(C653=""USD"", D653, 
  IFERROR(
    D653 * INDEX(GOOGLEFINANCE(CONCATENATE(""CURRENCY:"", C653, ""USD""), ""close"", B653), 2, 2),
    IFERROR(
      D653 * INDEX(GOOGLEFINANCE(CONCATENATE(""CURRENCY:"", C653, ""USD""), ""close"", B653 - 1), 2, 2),
   "&amp;"   D653 * INDEX(GOOGLEFINANCE(CONCATENATE(""CURRENCY:"", C653, ""USD""), ""close"", B653 + 1), 2, 2)
    )
  )
)"),23.877357)</f>
        <v>23.877357</v>
      </c>
    </row>
    <row r="654">
      <c r="A654" s="46" t="s">
        <v>1203</v>
      </c>
      <c r="B654" s="42">
        <v>45198.0</v>
      </c>
      <c r="C654" s="43" t="s">
        <v>82</v>
      </c>
      <c r="D654" s="44">
        <v>2.33</v>
      </c>
      <c r="E654" s="21">
        <f>IFERROR(__xludf.DUMMYFUNCTION("IF(C654=""USD"", D654, 
  IFERROR(
    D654 * INDEX(GOOGLEFINANCE(CONCATENATE(""CURRENCY:"", C654, ""USD""), ""close"", B654), 2, 2),
    IFERROR(
      D654 * INDEX(GOOGLEFINANCE(CONCATENATE(""CURRENCY:"", C654, ""USD""), ""close"", B654 - 1), 2, 2),
   "&amp;"   D654 * INDEX(GOOGLEFINANCE(CONCATENATE(""CURRENCY:"", C654, ""USD""), ""close"", B654 + 1), 2, 2)
    )
  )
)"),2.842833)</f>
        <v>2.842833</v>
      </c>
    </row>
    <row r="655">
      <c r="A655" s="46" t="s">
        <v>1201</v>
      </c>
      <c r="B655" s="42">
        <v>45198.0</v>
      </c>
      <c r="C655" s="43" t="s">
        <v>82</v>
      </c>
      <c r="D655" s="44">
        <v>0.05</v>
      </c>
      <c r="E655" s="21">
        <f>IFERROR(__xludf.DUMMYFUNCTION("IF(C655=""USD"", D655, 
  IFERROR(
    D655 * INDEX(GOOGLEFINANCE(CONCATENATE(""CURRENCY:"", C655, ""USD""), ""close"", B655), 2, 2),
    IFERROR(
      D655 * INDEX(GOOGLEFINANCE(CONCATENATE(""CURRENCY:"", C655, ""USD""), ""close"", B655 - 1), 2, 2),
   "&amp;"   D655 * INDEX(GOOGLEFINANCE(CONCATENATE(""CURRENCY:"", C655, ""USD""), ""close"", B655 + 1), 2, 2)
    )
  )
)"),0.061005000000000004)</f>
        <v>0.061005</v>
      </c>
    </row>
    <row r="656">
      <c r="A656" s="46" t="s">
        <v>1194</v>
      </c>
      <c r="B656" s="42">
        <v>45198.0</v>
      </c>
      <c r="C656" s="43" t="s">
        <v>82</v>
      </c>
      <c r="D656" s="44">
        <v>8.54</v>
      </c>
      <c r="E656" s="21">
        <f>IFERROR(__xludf.DUMMYFUNCTION("IF(C656=""USD"", D656, 
  IFERROR(
    D656 * INDEX(GOOGLEFINANCE(CONCATENATE(""CURRENCY:"", C656, ""USD""), ""close"", B656), 2, 2),
    IFERROR(
      D656 * INDEX(GOOGLEFINANCE(CONCATENATE(""CURRENCY:"", C656, ""USD""), ""close"", B656 - 1), 2, 2),
   "&amp;"   D656 * INDEX(GOOGLEFINANCE(CONCATENATE(""CURRENCY:"", C656, ""USD""), ""close"", B656 + 1), 2, 2)
    )
  )
)"),10.419653999999998)</f>
        <v>10.419654</v>
      </c>
    </row>
    <row r="657">
      <c r="A657" s="46" t="s">
        <v>1204</v>
      </c>
      <c r="B657" s="42">
        <v>45198.0</v>
      </c>
      <c r="C657" s="43" t="s">
        <v>82</v>
      </c>
      <c r="D657" s="44">
        <v>1.84</v>
      </c>
      <c r="E657" s="21">
        <f>IFERROR(__xludf.DUMMYFUNCTION("IF(C657=""USD"", D657, 
  IFERROR(
    D657 * INDEX(GOOGLEFINANCE(CONCATENATE(""CURRENCY:"", C657, ""USD""), ""close"", B657), 2, 2),
    IFERROR(
      D657 * INDEX(GOOGLEFINANCE(CONCATENATE(""CURRENCY:"", C657, ""USD""), ""close"", B657 - 1), 2, 2),
   "&amp;"   D657 * INDEX(GOOGLEFINANCE(CONCATENATE(""CURRENCY:"", C657, ""USD""), ""close"", B657 + 1), 2, 2)
    )
  )
)"),2.244984)</f>
        <v>2.244984</v>
      </c>
    </row>
    <row r="658">
      <c r="A658" s="46" t="s">
        <v>1202</v>
      </c>
      <c r="B658" s="42">
        <v>45198.0</v>
      </c>
      <c r="C658" s="43" t="s">
        <v>82</v>
      </c>
      <c r="D658" s="44">
        <v>30.41</v>
      </c>
      <c r="E658" s="21">
        <f>IFERROR(__xludf.DUMMYFUNCTION("IF(C658=""USD"", D658, 
  IFERROR(
    D658 * INDEX(GOOGLEFINANCE(CONCATENATE(""CURRENCY:"", C658, ""USD""), ""close"", B658), 2, 2),
    IFERROR(
      D658 * INDEX(GOOGLEFINANCE(CONCATENATE(""CURRENCY:"", C658, ""USD""), ""close"", B658 - 1), 2, 2),
   "&amp;"   D658 * INDEX(GOOGLEFINANCE(CONCATENATE(""CURRENCY:"", C658, ""USD""), ""close"", B658 + 1), 2, 2)
    )
  )
)"),37.103241)</f>
        <v>37.103241</v>
      </c>
    </row>
    <row r="659">
      <c r="A659" s="46" t="s">
        <v>1200</v>
      </c>
      <c r="B659" s="42">
        <v>45198.0</v>
      </c>
      <c r="C659" s="43" t="s">
        <v>82</v>
      </c>
      <c r="D659" s="44">
        <v>25.33</v>
      </c>
      <c r="E659" s="21">
        <f>IFERROR(__xludf.DUMMYFUNCTION("IF(C659=""USD"", D659, 
  IFERROR(
    D659 * INDEX(GOOGLEFINANCE(CONCATENATE(""CURRENCY:"", C659, ""USD""), ""close"", B659), 2, 2),
    IFERROR(
      D659 * INDEX(GOOGLEFINANCE(CONCATENATE(""CURRENCY:"", C659, ""USD""), ""close"", B659 - 1), 2, 2),
   "&amp;"   D659 * INDEX(GOOGLEFINANCE(CONCATENATE(""CURRENCY:"", C659, ""USD""), ""close"", B659 + 1), 2, 2)
    )
  )
)"),30.905132999999996)</f>
        <v>30.905133</v>
      </c>
    </row>
    <row r="660">
      <c r="A660" s="45" t="s">
        <v>1203</v>
      </c>
      <c r="B660" s="38">
        <v>45228.0</v>
      </c>
      <c r="C660" s="11" t="s">
        <v>82</v>
      </c>
      <c r="D660" s="11">
        <v>7.83</v>
      </c>
      <c r="E660" s="21">
        <f>IFERROR(__xludf.DUMMYFUNCTION("IF(C660=""USD"", D660, 
  IFERROR(
    D660 * INDEX(GOOGLEFINANCE(CONCATENATE(""CURRENCY:"", C660, ""USD""), ""close"", B660), 2, 2),
    IFERROR(
      D660 * INDEX(GOOGLEFINANCE(CONCATENATE(""CURRENCY:"", C660, ""USD""), ""close"", B660 - 1), 2, 2),
   "&amp;"   D660 * INDEX(GOOGLEFINANCE(CONCATENATE(""CURRENCY:"", C660, ""USD""), ""close"", B660 + 1), 2, 2)
    )
  )
)"),9.4840875)</f>
        <v>9.4840875</v>
      </c>
    </row>
    <row r="661">
      <c r="A661" s="45" t="s">
        <v>1205</v>
      </c>
      <c r="B661" s="38">
        <v>45228.0</v>
      </c>
      <c r="C661" s="11" t="s">
        <v>82</v>
      </c>
      <c r="D661" s="11">
        <v>0.08</v>
      </c>
      <c r="E661" s="21">
        <f>IFERROR(__xludf.DUMMYFUNCTION("IF(C661=""USD"", D661, 
  IFERROR(
    D661 * INDEX(GOOGLEFINANCE(CONCATENATE(""CURRENCY:"", C661, ""USD""), ""close"", B661), 2, 2),
    IFERROR(
      D661 * INDEX(GOOGLEFINANCE(CONCATENATE(""CURRENCY:"", C661, ""USD""), ""close"", B661 - 1), 2, 2),
   "&amp;"   D661 * INDEX(GOOGLEFINANCE(CONCATENATE(""CURRENCY:"", C661, ""USD""), ""close"", B661 + 1), 2, 2)
    )
  )
)"),0.0969)</f>
        <v>0.0969</v>
      </c>
    </row>
    <row r="662">
      <c r="A662" s="45" t="s">
        <v>1197</v>
      </c>
      <c r="B662" s="38">
        <v>45228.0</v>
      </c>
      <c r="C662" s="11" t="s">
        <v>82</v>
      </c>
      <c r="D662" s="11">
        <v>8.93</v>
      </c>
      <c r="E662" s="21">
        <f>IFERROR(__xludf.DUMMYFUNCTION("IF(C662=""USD"", D662, 
  IFERROR(
    D662 * INDEX(GOOGLEFINANCE(CONCATENATE(""CURRENCY:"", C662, ""USD""), ""close"", B662), 2, 2),
    IFERROR(
      D662 * INDEX(GOOGLEFINANCE(CONCATENATE(""CURRENCY:"", C662, ""USD""), ""close"", B662 - 1), 2, 2),
   "&amp;"   D662 * INDEX(GOOGLEFINANCE(CONCATENATE(""CURRENCY:"", C662, ""USD""), ""close"", B662 + 1), 2, 2)
    )
  )
)"),10.816462499999998)</f>
        <v>10.8164625</v>
      </c>
    </row>
    <row r="663">
      <c r="A663" s="45" t="s">
        <v>1194</v>
      </c>
      <c r="B663" s="38">
        <v>45228.0</v>
      </c>
      <c r="C663" s="11" t="s">
        <v>82</v>
      </c>
      <c r="D663" s="11">
        <v>2.67</v>
      </c>
      <c r="E663" s="21">
        <f>IFERROR(__xludf.DUMMYFUNCTION("IF(C663=""USD"", D663, 
  IFERROR(
    D663 * INDEX(GOOGLEFINANCE(CONCATENATE(""CURRENCY:"", C663, ""USD""), ""close"", B663), 2, 2),
    IFERROR(
      D663 * INDEX(GOOGLEFINANCE(CONCATENATE(""CURRENCY:"", C663, ""USD""), ""close"", B663 - 1), 2, 2),
   "&amp;"   D663 * INDEX(GOOGLEFINANCE(CONCATENATE(""CURRENCY:"", C663, ""USD""), ""close"", B663 + 1), 2, 2)
    )
  )
)"),3.2340375)</f>
        <v>3.2340375</v>
      </c>
    </row>
    <row r="664">
      <c r="A664" s="45" t="s">
        <v>1204</v>
      </c>
      <c r="B664" s="38">
        <v>45228.0</v>
      </c>
      <c r="C664" s="11" t="s">
        <v>82</v>
      </c>
      <c r="D664" s="11">
        <v>7.74</v>
      </c>
      <c r="E664" s="21">
        <f>IFERROR(__xludf.DUMMYFUNCTION("IF(C664=""USD"", D664, 
  IFERROR(
    D664 * INDEX(GOOGLEFINANCE(CONCATENATE(""CURRENCY:"", C664, ""USD""), ""close"", B664), 2, 2),
    IFERROR(
      D664 * INDEX(GOOGLEFINANCE(CONCATENATE(""CURRENCY:"", C664, ""USD""), ""close"", B664 - 1), 2, 2),
   "&amp;"   D664 * INDEX(GOOGLEFINANCE(CONCATENATE(""CURRENCY:"", C664, ""USD""), ""close"", B664 + 1), 2, 2)
    )
  )
)"),9.375074999999999)</f>
        <v>9.375075</v>
      </c>
    </row>
    <row r="665">
      <c r="A665" s="45" t="s">
        <v>1202</v>
      </c>
      <c r="B665" s="38">
        <v>45228.0</v>
      </c>
      <c r="C665" s="11" t="s">
        <v>82</v>
      </c>
      <c r="D665" s="11">
        <v>49.11</v>
      </c>
      <c r="E665" s="21">
        <f>IFERROR(__xludf.DUMMYFUNCTION("IF(C665=""USD"", D665, 
  IFERROR(
    D665 * INDEX(GOOGLEFINANCE(CONCATENATE(""CURRENCY:"", C665, ""USD""), ""close"", B665), 2, 2),
    IFERROR(
      D665 * INDEX(GOOGLEFINANCE(CONCATENATE(""CURRENCY:"", C665, ""USD""), ""close"", B665 - 1), 2, 2),
   "&amp;"   D665 * INDEX(GOOGLEFINANCE(CONCATENATE(""CURRENCY:"", C665, ""USD""), ""close"", B665 + 1), 2, 2)
    )
  )
)"),59.48448749999999)</f>
        <v>59.4844875</v>
      </c>
    </row>
    <row r="666">
      <c r="A666" s="45" t="s">
        <v>1196</v>
      </c>
      <c r="B666" s="38">
        <v>45228.0</v>
      </c>
      <c r="C666" s="11" t="s">
        <v>82</v>
      </c>
      <c r="D666" s="11">
        <v>0.22</v>
      </c>
      <c r="E666" s="21">
        <f>IFERROR(__xludf.DUMMYFUNCTION("IF(C666=""USD"", D666, 
  IFERROR(
    D666 * INDEX(GOOGLEFINANCE(CONCATENATE(""CURRENCY:"", C666, ""USD""), ""close"", B666), 2, 2),
    IFERROR(
      D666 * INDEX(GOOGLEFINANCE(CONCATENATE(""CURRENCY:"", C666, ""USD""), ""close"", B666 - 1), 2, 2),
   "&amp;"   D666 * INDEX(GOOGLEFINANCE(CONCATENATE(""CURRENCY:"", C666, ""USD""), ""close"", B666 + 1), 2, 2)
    )
  )
)"),0.26647499999999996)</f>
        <v>0.266475</v>
      </c>
    </row>
    <row r="667">
      <c r="A667" s="46" t="s">
        <v>1197</v>
      </c>
      <c r="B667" s="42">
        <v>45259.0</v>
      </c>
      <c r="C667" s="43" t="s">
        <v>82</v>
      </c>
      <c r="D667" s="44">
        <v>15.06</v>
      </c>
      <c r="E667" s="21">
        <f>IFERROR(__xludf.DUMMYFUNCTION("IF(C667=""USD"", D667, 
  IFERROR(
    D667 * INDEX(GOOGLEFINANCE(CONCATENATE(""CURRENCY:"", C667, ""USD""), ""close"", B667), 2, 2),
    IFERROR(
      D667 * INDEX(GOOGLEFINANCE(CONCATENATE(""CURRENCY:"", C667, ""USD""), ""close"", B667 - 1), 2, 2),
   "&amp;"   D667 * INDEX(GOOGLEFINANCE(CONCATENATE(""CURRENCY:"", C667, ""USD""), ""close"", B667 + 1), 2, 2)
    )
  )
)"),19.1182182)</f>
        <v>19.1182182</v>
      </c>
    </row>
    <row r="668">
      <c r="A668" s="46" t="s">
        <v>1200</v>
      </c>
      <c r="B668" s="42">
        <v>45259.0</v>
      </c>
      <c r="C668" s="43" t="s">
        <v>82</v>
      </c>
      <c r="D668" s="44">
        <v>4.89</v>
      </c>
      <c r="E668" s="21">
        <f>IFERROR(__xludf.DUMMYFUNCTION("IF(C668=""USD"", D668, 
  IFERROR(
    D668 * INDEX(GOOGLEFINANCE(CONCATENATE(""CURRENCY:"", C668, ""USD""), ""close"", B668), 2, 2),
    IFERROR(
      D668 * INDEX(GOOGLEFINANCE(CONCATENATE(""CURRENCY:"", C668, ""USD""), ""close"", B668 - 1), 2, 2),
   "&amp;"   D668 * INDEX(GOOGLEFINANCE(CONCATENATE(""CURRENCY:"", C668, ""USD""), ""close"", B668 + 1), 2, 2)
    )
  )
)"),6.2077083)</f>
        <v>6.2077083</v>
      </c>
    </row>
    <row r="669">
      <c r="A669" s="46" t="s">
        <v>1209</v>
      </c>
      <c r="B669" s="42">
        <v>45259.0</v>
      </c>
      <c r="C669" s="43" t="s">
        <v>82</v>
      </c>
      <c r="D669" s="44">
        <v>0.06</v>
      </c>
      <c r="E669" s="21">
        <f>IFERROR(__xludf.DUMMYFUNCTION("IF(C669=""USD"", D669, 
  IFERROR(
    D669 * INDEX(GOOGLEFINANCE(CONCATENATE(""CURRENCY:"", C669, ""USD""), ""close"", B669), 2, 2),
    IFERROR(
      D669 * INDEX(GOOGLEFINANCE(CONCATENATE(""CURRENCY:"", C669, ""USD""), ""close"", B669 - 1), 2, 2),
   "&amp;"   D669 * INDEX(GOOGLEFINANCE(CONCATENATE(""CURRENCY:"", C669, ""USD""), ""close"", B669 + 1), 2, 2)
    )
  )
)"),0.0761682)</f>
        <v>0.0761682</v>
      </c>
    </row>
    <row r="670">
      <c r="A670" s="46" t="s">
        <v>1204</v>
      </c>
      <c r="B670" s="42">
        <v>45259.0</v>
      </c>
      <c r="C670" s="43" t="s">
        <v>82</v>
      </c>
      <c r="D670" s="44">
        <v>4.19</v>
      </c>
      <c r="E670" s="21">
        <f>IFERROR(__xludf.DUMMYFUNCTION("IF(C670=""USD"", D670, 
  IFERROR(
    D670 * INDEX(GOOGLEFINANCE(CONCATENATE(""CURRENCY:"", C670, ""USD""), ""close"", B670), 2, 2),
    IFERROR(
      D670 * INDEX(GOOGLEFINANCE(CONCATENATE(""CURRENCY:"", C670, ""USD""), ""close"", B670 - 1), 2, 2),
   "&amp;"   D670 * INDEX(GOOGLEFINANCE(CONCATENATE(""CURRENCY:"", C670, ""USD""), ""close"", B670 + 1), 2, 2)
    )
  )
)"),5.319079300000001)</f>
        <v>5.3190793</v>
      </c>
    </row>
    <row r="671">
      <c r="A671" s="46" t="s">
        <v>1202</v>
      </c>
      <c r="B671" s="42">
        <v>45259.0</v>
      </c>
      <c r="C671" s="43" t="s">
        <v>82</v>
      </c>
      <c r="D671" s="44">
        <v>54.41</v>
      </c>
      <c r="E671" s="21">
        <f>IFERROR(__xludf.DUMMYFUNCTION("IF(C671=""USD"", D671, 
  IFERROR(
    D671 * INDEX(GOOGLEFINANCE(CONCATENATE(""CURRENCY:"", C671, ""USD""), ""close"", B671), 2, 2),
    IFERROR(
      D671 * INDEX(GOOGLEFINANCE(CONCATENATE(""CURRENCY:"", C671, ""USD""), ""close"", B671 - 1), 2, 2),
   "&amp;"   D671 * INDEX(GOOGLEFINANCE(CONCATENATE(""CURRENCY:"", C671, ""USD""), ""close"", B671 + 1), 2, 2)
    )
  )
)"),69.0718627)</f>
        <v>69.0718627</v>
      </c>
    </row>
    <row r="672">
      <c r="A672" s="46" t="s">
        <v>1203</v>
      </c>
      <c r="B672" s="42">
        <v>45259.0</v>
      </c>
      <c r="C672" s="43" t="s">
        <v>82</v>
      </c>
      <c r="D672" s="44">
        <v>0.15</v>
      </c>
      <c r="E672" s="21">
        <f>IFERROR(__xludf.DUMMYFUNCTION("IF(C672=""USD"", D672, 
  IFERROR(
    D672 * INDEX(GOOGLEFINANCE(CONCATENATE(""CURRENCY:"", C672, ""USD""), ""close"", B672), 2, 2),
    IFERROR(
      D672 * INDEX(GOOGLEFINANCE(CONCATENATE(""CURRENCY:"", C672, ""USD""), ""close"", B672 - 1), 2, 2),
   "&amp;"   D672 * INDEX(GOOGLEFINANCE(CONCATENATE(""CURRENCY:"", C672, ""USD""), ""close"", B672 + 1), 2, 2)
    )
  )
)"),0.19042050000000002)</f>
        <v>0.1904205</v>
      </c>
    </row>
    <row r="673">
      <c r="A673" s="45" t="s">
        <v>1200</v>
      </c>
      <c r="B673" s="38">
        <v>45289.0</v>
      </c>
      <c r="C673" s="11" t="s">
        <v>82</v>
      </c>
      <c r="D673" s="11">
        <v>6.88</v>
      </c>
      <c r="E673" s="21">
        <f>IFERROR(__xludf.DUMMYFUNCTION("IF(C673=""USD"", D673, 
  IFERROR(
    D673 * INDEX(GOOGLEFINANCE(CONCATENATE(""CURRENCY:"", C673, ""USD""), ""close"", B673), 2, 2),
    IFERROR(
      D673 * INDEX(GOOGLEFINANCE(CONCATENATE(""CURRENCY:"", C673, ""USD""), ""close"", B673 - 1), 2, 2),
   "&amp;"   D673 * INDEX(GOOGLEFINANCE(CONCATENATE(""CURRENCY:"", C673, ""USD""), ""close"", B673 + 1), 2, 2)
    )
  )
)"),8.764432)</f>
        <v>8.764432</v>
      </c>
    </row>
    <row r="674">
      <c r="A674" s="45" t="s">
        <v>1197</v>
      </c>
      <c r="B674" s="38">
        <v>45289.0</v>
      </c>
      <c r="C674" s="11" t="s">
        <v>82</v>
      </c>
      <c r="D674" s="11">
        <v>12.64</v>
      </c>
      <c r="E674" s="21">
        <f>IFERROR(__xludf.DUMMYFUNCTION("IF(C674=""USD"", D674, 
  IFERROR(
    D674 * INDEX(GOOGLEFINANCE(CONCATENATE(""CURRENCY:"", C674, ""USD""), ""close"", B674), 2, 2),
    IFERROR(
      D674 * INDEX(GOOGLEFINANCE(CONCATENATE(""CURRENCY:"", C674, ""USD""), ""close"", B674 - 1), 2, 2),
   "&amp;"   D674 * INDEX(GOOGLEFINANCE(CONCATENATE(""CURRENCY:"", C674, ""USD""), ""close"", B674 + 1), 2, 2)
    )
  )
)"),16.102096)</f>
        <v>16.102096</v>
      </c>
    </row>
    <row r="675">
      <c r="A675" s="45" t="s">
        <v>1202</v>
      </c>
      <c r="B675" s="38">
        <v>45289.0</v>
      </c>
      <c r="C675" s="11" t="s">
        <v>82</v>
      </c>
      <c r="D675" s="11">
        <v>18.54</v>
      </c>
      <c r="E675" s="21">
        <f>IFERROR(__xludf.DUMMYFUNCTION("IF(C675=""USD"", D675, 
  IFERROR(
    D675 * INDEX(GOOGLEFINANCE(CONCATENATE(""CURRENCY:"", C675, ""USD""), ""close"", B675), 2, 2),
    IFERROR(
      D675 * INDEX(GOOGLEFINANCE(CONCATENATE(""CURRENCY:"", C675, ""USD""), ""close"", B675 - 1), 2, 2),
   "&amp;"   D675 * INDEX(GOOGLEFINANCE(CONCATENATE(""CURRENCY:"", C675, ""USD""), ""close"", B675 + 1), 2, 2)
    )
  )
)"),23.618106)</f>
        <v>23.618106</v>
      </c>
    </row>
    <row r="676">
      <c r="A676" s="45" t="s">
        <v>1204</v>
      </c>
      <c r="B676" s="38">
        <v>45289.0</v>
      </c>
      <c r="C676" s="11" t="s">
        <v>82</v>
      </c>
      <c r="D676" s="11">
        <v>4.2</v>
      </c>
      <c r="E676" s="21">
        <f>IFERROR(__xludf.DUMMYFUNCTION("IF(C676=""USD"", D676, 
  IFERROR(
    D676 * INDEX(GOOGLEFINANCE(CONCATENATE(""CURRENCY:"", C676, ""USD""), ""close"", B676), 2, 2),
    IFERROR(
      D676 * INDEX(GOOGLEFINANCE(CONCATENATE(""CURRENCY:"", C676, ""USD""), ""close"", B676 - 1), 2, 2),
   "&amp;"   D676 * INDEX(GOOGLEFINANCE(CONCATENATE(""CURRENCY:"", C676, ""USD""), ""close"", B676 + 1), 2, 2)
    )
  )
)"),5.35038)</f>
        <v>5.35038</v>
      </c>
    </row>
    <row r="677">
      <c r="A677" s="45" t="s">
        <v>1205</v>
      </c>
      <c r="B677" s="38">
        <v>45289.0</v>
      </c>
      <c r="C677" s="11" t="s">
        <v>82</v>
      </c>
      <c r="D677" s="11">
        <v>0.09</v>
      </c>
      <c r="E677" s="21">
        <f>IFERROR(__xludf.DUMMYFUNCTION("IF(C677=""USD"", D677, 
  IFERROR(
    D677 * INDEX(GOOGLEFINANCE(CONCATENATE(""CURRENCY:"", C677, ""USD""), ""close"", B677), 2, 2),
    IFERROR(
      D677 * INDEX(GOOGLEFINANCE(CONCATENATE(""CURRENCY:"", C677, ""USD""), ""close"", B677 - 1), 2, 2),
   "&amp;"   D677 * INDEX(GOOGLEFINANCE(CONCATENATE(""CURRENCY:"", C677, ""USD""), ""close"", B677 + 1), 2, 2)
    )
  )
)"),0.114651)</f>
        <v>0.114651</v>
      </c>
    </row>
    <row r="678">
      <c r="A678" s="45" t="s">
        <v>1194</v>
      </c>
      <c r="B678" s="38">
        <v>45289.0</v>
      </c>
      <c r="C678" s="11" t="s">
        <v>82</v>
      </c>
      <c r="D678" s="11">
        <v>1.14</v>
      </c>
      <c r="E678" s="21">
        <f>IFERROR(__xludf.DUMMYFUNCTION("IF(C678=""USD"", D678, 
  IFERROR(
    D678 * INDEX(GOOGLEFINANCE(CONCATENATE(""CURRENCY:"", C678, ""USD""), ""close"", B678), 2, 2),
    IFERROR(
      D678 * INDEX(GOOGLEFINANCE(CONCATENATE(""CURRENCY:"", C678, ""USD""), ""close"", B678 - 1), 2, 2),
   "&amp;"   D678 * INDEX(GOOGLEFINANCE(CONCATENATE(""CURRENCY:"", C678, ""USD""), ""close"", B678 + 1), 2, 2)
    )
  )
)"),1.452246)</f>
        <v>1.452246</v>
      </c>
    </row>
    <row r="679">
      <c r="A679" s="45" t="s">
        <v>1201</v>
      </c>
      <c r="B679" s="38">
        <v>45289.0</v>
      </c>
      <c r="C679" s="11" t="s">
        <v>82</v>
      </c>
      <c r="D679" s="11">
        <v>0.08</v>
      </c>
      <c r="E679" s="21">
        <f>IFERROR(__xludf.DUMMYFUNCTION("IF(C679=""USD"", D679, 
  IFERROR(
    D679 * INDEX(GOOGLEFINANCE(CONCATENATE(""CURRENCY:"", C679, ""USD""), ""close"", B679), 2, 2),
    IFERROR(
      D679 * INDEX(GOOGLEFINANCE(CONCATENATE(""CURRENCY:"", C679, ""USD""), ""close"", B679 - 1), 2, 2),
   "&amp;"   D679 * INDEX(GOOGLEFINANCE(CONCATENATE(""CURRENCY:"", C679, ""USD""), ""close"", B679 + 1), 2, 2)
    )
  )
)"),0.101912)</f>
        <v>0.101912</v>
      </c>
    </row>
    <row r="680">
      <c r="A680" s="45" t="s">
        <v>1203</v>
      </c>
      <c r="B680" s="38">
        <v>45289.0</v>
      </c>
      <c r="C680" s="11" t="s">
        <v>82</v>
      </c>
      <c r="D680" s="11">
        <v>1.86</v>
      </c>
      <c r="E680" s="21">
        <f>IFERROR(__xludf.DUMMYFUNCTION("IF(C680=""USD"", D680, 
  IFERROR(
    D680 * INDEX(GOOGLEFINANCE(CONCATENATE(""CURRENCY:"", C680, ""USD""), ""close"", B680), 2, 2),
    IFERROR(
      D680 * INDEX(GOOGLEFINANCE(CONCATENATE(""CURRENCY:"", C680, ""USD""), ""close"", B680 - 1), 2, 2),
   "&amp;"   D680 * INDEX(GOOGLEFINANCE(CONCATENATE(""CURRENCY:"", C680, ""USD""), ""close"", B680 + 1), 2, 2)
    )
  )
)"),2.369454)</f>
        <v>2.369454</v>
      </c>
    </row>
    <row r="681">
      <c r="A681" s="46" t="s">
        <v>1206</v>
      </c>
      <c r="B681" s="42">
        <v>45320.0</v>
      </c>
      <c r="C681" s="43" t="s">
        <v>30</v>
      </c>
      <c r="D681" s="44">
        <v>1.52</v>
      </c>
      <c r="E681" s="21">
        <f>IFERROR(__xludf.DUMMYFUNCTION("IF(C681=""USD"", D681, 
  IFERROR(
    D681 * INDEX(GOOGLEFINANCE(CONCATENATE(""CURRENCY:"", C681, ""USD""), ""close"", B681), 2, 2),
    IFERROR(
      D681 * INDEX(GOOGLEFINANCE(CONCATENATE(""CURRENCY:"", C681, ""USD""), ""close"", B681 - 1), 2, 2),
   "&amp;"   D681 * INDEX(GOOGLEFINANCE(CONCATENATE(""CURRENCY:"", C681, ""USD""), ""close"", B681 + 1), 2, 2)
    )
  )
)"),1.646692)</f>
        <v>1.646692</v>
      </c>
    </row>
    <row r="682">
      <c r="A682" s="46" t="s">
        <v>1194</v>
      </c>
      <c r="B682" s="42">
        <v>45320.0</v>
      </c>
      <c r="C682" s="43" t="s">
        <v>30</v>
      </c>
      <c r="D682" s="44">
        <v>4.28</v>
      </c>
      <c r="E682" s="21">
        <f>IFERROR(__xludf.DUMMYFUNCTION("IF(C682=""USD"", D682, 
  IFERROR(
    D682 * INDEX(GOOGLEFINANCE(CONCATENATE(""CURRENCY:"", C682, ""USD""), ""close"", B682), 2, 2),
    IFERROR(
      D682 * INDEX(GOOGLEFINANCE(CONCATENATE(""CURRENCY:"", C682, ""USD""), ""close"", B682 - 1), 2, 2),
   "&amp;"   D682 * INDEX(GOOGLEFINANCE(CONCATENATE(""CURRENCY:"", C682, ""USD""), ""close"", B682 + 1), 2, 2)
    )
  )
)"),4.636738)</f>
        <v>4.636738</v>
      </c>
    </row>
    <row r="683">
      <c r="A683" s="46" t="s">
        <v>1202</v>
      </c>
      <c r="B683" s="42">
        <v>45320.0</v>
      </c>
      <c r="C683" s="43" t="s">
        <v>30</v>
      </c>
      <c r="D683" s="44">
        <v>50.14</v>
      </c>
      <c r="E683" s="21">
        <f>IFERROR(__xludf.DUMMYFUNCTION("IF(C683=""USD"", D683, 
  IFERROR(
    D683 * INDEX(GOOGLEFINANCE(CONCATENATE(""CURRENCY:"", C683, ""USD""), ""close"", B683), 2, 2),
    IFERROR(
      D683 * INDEX(GOOGLEFINANCE(CONCATENATE(""CURRENCY:"", C683, ""USD""), ""close"", B683 - 1), 2, 2),
   "&amp;"   D683 * INDEX(GOOGLEFINANCE(CONCATENATE(""CURRENCY:"", C683, ""USD""), ""close"", B683 + 1), 2, 2)
    )
  )
)"),54.319169)</f>
        <v>54.319169</v>
      </c>
    </row>
    <row r="684">
      <c r="A684" s="46" t="s">
        <v>1200</v>
      </c>
      <c r="B684" s="42">
        <v>45320.0</v>
      </c>
      <c r="C684" s="43" t="s">
        <v>30</v>
      </c>
      <c r="D684" s="44">
        <v>5.25</v>
      </c>
      <c r="E684" s="21">
        <f>IFERROR(__xludf.DUMMYFUNCTION("IF(C684=""USD"", D684, 
  IFERROR(
    D684 * INDEX(GOOGLEFINANCE(CONCATENATE(""CURRENCY:"", C684, ""USD""), ""close"", B684), 2, 2),
    IFERROR(
      D684 * INDEX(GOOGLEFINANCE(CONCATENATE(""CURRENCY:"", C684, ""USD""), ""close"", B684 - 1), 2, 2),
   "&amp;"   D684 * INDEX(GOOGLEFINANCE(CONCATENATE(""CURRENCY:"", C684, ""USD""), ""close"", B684 + 1), 2, 2)
    )
  )
)"),5.6875875)</f>
        <v>5.6875875</v>
      </c>
    </row>
    <row r="685">
      <c r="A685" s="46" t="s">
        <v>1204</v>
      </c>
      <c r="B685" s="42">
        <v>45320.0</v>
      </c>
      <c r="C685" s="43" t="s">
        <v>30</v>
      </c>
      <c r="D685" s="44">
        <v>4.84</v>
      </c>
      <c r="E685" s="21">
        <f>IFERROR(__xludf.DUMMYFUNCTION("IF(C685=""USD"", D685, 
  IFERROR(
    D685 * INDEX(GOOGLEFINANCE(CONCATENATE(""CURRENCY:"", C685, ""USD""), ""close"", B685), 2, 2),
    IFERROR(
      D685 * INDEX(GOOGLEFINANCE(CONCATENATE(""CURRENCY:"", C685, ""USD""), ""close"", B685 - 1), 2, 2),
   "&amp;"   D685 * INDEX(GOOGLEFINANCE(CONCATENATE(""CURRENCY:"", C685, ""USD""), ""close"", B685 + 1), 2, 2)
    )
  )
)"),5.243414)</f>
        <v>5.243414</v>
      </c>
    </row>
    <row r="686">
      <c r="A686" s="46" t="s">
        <v>1197</v>
      </c>
      <c r="B686" s="42">
        <v>45320.0</v>
      </c>
      <c r="C686" s="43" t="s">
        <v>30</v>
      </c>
      <c r="D686" s="44">
        <v>15.39</v>
      </c>
      <c r="E686" s="21">
        <f>IFERROR(__xludf.DUMMYFUNCTION("IF(C686=""USD"", D686, 
  IFERROR(
    D686 * INDEX(GOOGLEFINANCE(CONCATENATE(""CURRENCY:"", C686, ""USD""), ""close"", B686), 2, 2),
    IFERROR(
      D686 * INDEX(GOOGLEFINANCE(CONCATENATE(""CURRENCY:"", C686, ""USD""), ""close"", B686 - 1), 2, 2),
   "&amp;"   D686 * INDEX(GOOGLEFINANCE(CONCATENATE(""CURRENCY:"", C686, ""USD""), ""close"", B686 + 1), 2, 2)
    )
  )
)"),16.672756500000002)</f>
        <v>16.6727565</v>
      </c>
    </row>
    <row r="687">
      <c r="A687" s="45" t="s">
        <v>1210</v>
      </c>
      <c r="B687" s="38">
        <v>45350.0</v>
      </c>
      <c r="C687" s="11" t="s">
        <v>30</v>
      </c>
      <c r="D687" s="11">
        <v>5.58</v>
      </c>
      <c r="E687" s="21">
        <f>IFERROR(__xludf.DUMMYFUNCTION("IF(C687=""USD"", D687, 
  IFERROR(
    D687 * INDEX(GOOGLEFINANCE(CONCATENATE(""CURRENCY:"", C687, ""USD""), ""close"", B687), 2, 2),
    IFERROR(
      D687 * INDEX(GOOGLEFINANCE(CONCATENATE(""CURRENCY:"", C687, ""USD""), ""close"", B687 - 1), 2, 2),
   "&amp;"   D687 * INDEX(GOOGLEFINANCE(CONCATENATE(""CURRENCY:"", C687, ""USD""), ""close"", B687 + 1), 2, 2)
    )
  )
)"),6.0473808)</f>
        <v>6.0473808</v>
      </c>
    </row>
    <row r="688">
      <c r="A688" s="45" t="s">
        <v>1203</v>
      </c>
      <c r="B688" s="38">
        <v>45350.0</v>
      </c>
      <c r="C688" s="11" t="s">
        <v>30</v>
      </c>
      <c r="D688" s="11">
        <v>2.14</v>
      </c>
      <c r="E688" s="21">
        <f>IFERROR(__xludf.DUMMYFUNCTION("IF(C688=""USD"", D688, 
  IFERROR(
    D688 * INDEX(GOOGLEFINANCE(CONCATENATE(""CURRENCY:"", C688, ""USD""), ""close"", B688), 2, 2),
    IFERROR(
      D688 * INDEX(GOOGLEFINANCE(CONCATENATE(""CURRENCY:"", C688, ""USD""), ""close"", B688 - 1), 2, 2),
   "&amp;"   D688 * INDEX(GOOGLEFINANCE(CONCATENATE(""CURRENCY:"", C688, ""USD""), ""close"", B688 + 1), 2, 2)
    )
  )
)"),2.3192464000000004)</f>
        <v>2.3192464</v>
      </c>
    </row>
    <row r="689">
      <c r="A689" s="45" t="s">
        <v>1200</v>
      </c>
      <c r="B689" s="38">
        <v>45350.0</v>
      </c>
      <c r="C689" s="11" t="s">
        <v>30</v>
      </c>
      <c r="D689" s="11">
        <v>29.18</v>
      </c>
      <c r="E689" s="21">
        <f>IFERROR(__xludf.DUMMYFUNCTION("IF(C689=""USD"", D689, 
  IFERROR(
    D689 * INDEX(GOOGLEFINANCE(CONCATENATE(""CURRENCY:"", C689, ""USD""), ""close"", B689), 2, 2),
    IFERROR(
      D689 * INDEX(GOOGLEFINANCE(CONCATENATE(""CURRENCY:"", C689, ""USD""), ""close"", B689 - 1), 2, 2),
   "&amp;"   D689 * INDEX(GOOGLEFINANCE(CONCATENATE(""CURRENCY:"", C689, ""USD""), ""close"", B689 + 1), 2, 2)
    )
  )
)"),31.624116800000003)</f>
        <v>31.6241168</v>
      </c>
    </row>
    <row r="690">
      <c r="A690" s="45" t="s">
        <v>1197</v>
      </c>
      <c r="B690" s="38">
        <v>45350.0</v>
      </c>
      <c r="C690" s="11" t="s">
        <v>30</v>
      </c>
      <c r="D690" s="11">
        <v>32.48</v>
      </c>
      <c r="E690" s="21">
        <f>IFERROR(__xludf.DUMMYFUNCTION("IF(C690=""USD"", D690, 
  IFERROR(
    D690 * INDEX(GOOGLEFINANCE(CONCATENATE(""CURRENCY:"", C690, ""USD""), ""close"", B690), 2, 2),
    IFERROR(
      D690 * INDEX(GOOGLEFINANCE(CONCATENATE(""CURRENCY:"", C690, ""USD""), ""close"", B690 - 1), 2, 2),
   "&amp;"   D690 * INDEX(GOOGLEFINANCE(CONCATENATE(""CURRENCY:"", C690, ""USD""), ""close"", B690 + 1), 2, 2)
    )
  )
)"),35.2005248)</f>
        <v>35.2005248</v>
      </c>
    </row>
    <row r="691">
      <c r="A691" s="45" t="s">
        <v>1202</v>
      </c>
      <c r="B691" s="38">
        <v>45350.0</v>
      </c>
      <c r="C691" s="11" t="s">
        <v>30</v>
      </c>
      <c r="D691" s="11">
        <v>71.21</v>
      </c>
      <c r="E691" s="21">
        <f>IFERROR(__xludf.DUMMYFUNCTION("IF(C691=""USD"", D691, 
  IFERROR(
    D691 * INDEX(GOOGLEFINANCE(CONCATENATE(""CURRENCY:"", C691, ""USD""), ""close"", B691), 2, 2),
    IFERROR(
      D691 * INDEX(GOOGLEFINANCE(CONCATENATE(""CURRENCY:"", C691, ""USD""), ""close"", B691 - 1), 2, 2),
   "&amp;"   D691 * INDEX(GOOGLEFINANCE(CONCATENATE(""CURRENCY:"", C691, ""USD""), ""close"", B691 + 1), 2, 2)
    )
  )
)"),77.17454959999999)</f>
        <v>77.1745496</v>
      </c>
    </row>
    <row r="692">
      <c r="A692" s="45" t="s">
        <v>1209</v>
      </c>
      <c r="B692" s="38">
        <v>45350.0</v>
      </c>
      <c r="C692" s="11" t="s">
        <v>30</v>
      </c>
      <c r="D692" s="11">
        <v>0.28</v>
      </c>
      <c r="E692" s="21">
        <f>IFERROR(__xludf.DUMMYFUNCTION("IF(C692=""USD"", D692, 
  IFERROR(
    D692 * INDEX(GOOGLEFINANCE(CONCATENATE(""CURRENCY:"", C692, ""USD""), ""close"", B692), 2, 2),
    IFERROR(
      D692 * INDEX(GOOGLEFINANCE(CONCATENATE(""CURRENCY:"", C692, ""USD""), ""close"", B692 - 1), 2, 2),
   "&amp;"   D692 * INDEX(GOOGLEFINANCE(CONCATENATE(""CURRENCY:"", C692, ""USD""), ""close"", B692 + 1), 2, 2)
    )
  )
)"),0.3034528)</f>
        <v>0.3034528</v>
      </c>
    </row>
    <row r="693">
      <c r="A693" s="45" t="s">
        <v>1194</v>
      </c>
      <c r="B693" s="38">
        <v>45350.0</v>
      </c>
      <c r="C693" s="11" t="s">
        <v>30</v>
      </c>
      <c r="D693" s="11">
        <v>3.79</v>
      </c>
      <c r="E693" s="21">
        <f>IFERROR(__xludf.DUMMYFUNCTION("IF(C693=""USD"", D693, 
  IFERROR(
    D693 * INDEX(GOOGLEFINANCE(CONCATENATE(""CURRENCY:"", C693, ""USD""), ""close"", B693), 2, 2),
    IFERROR(
      D693 * INDEX(GOOGLEFINANCE(CONCATENATE(""CURRENCY:"", C693, ""USD""), ""close"", B693 - 1), 2, 2),
   "&amp;"   D693 * INDEX(GOOGLEFINANCE(CONCATENATE(""CURRENCY:"", C693, ""USD""), ""close"", B693 + 1), 2, 2)
    )
  )
)"),4.1074504)</f>
        <v>4.1074504</v>
      </c>
    </row>
    <row r="694">
      <c r="A694" s="45" t="s">
        <v>1207</v>
      </c>
      <c r="B694" s="38">
        <v>45350.0</v>
      </c>
      <c r="C694" s="11" t="s">
        <v>30</v>
      </c>
      <c r="D694" s="11">
        <v>0.08</v>
      </c>
      <c r="E694" s="21">
        <f>IFERROR(__xludf.DUMMYFUNCTION("IF(C694=""USD"", D694, 
  IFERROR(
    D694 * INDEX(GOOGLEFINANCE(CONCATENATE(""CURRENCY:"", C694, ""USD""), ""close"", B694), 2, 2),
    IFERROR(
      D694 * INDEX(GOOGLEFINANCE(CONCATENATE(""CURRENCY:"", C694, ""USD""), ""close"", B694 - 1), 2, 2),
   "&amp;"   D694 * INDEX(GOOGLEFINANCE(CONCATENATE(""CURRENCY:"", C694, ""USD""), ""close"", B694 + 1), 2, 2)
    )
  )
)"),0.08670080000000001)</f>
        <v>0.0867008</v>
      </c>
    </row>
    <row r="695">
      <c r="A695" s="45" t="s">
        <v>1204</v>
      </c>
      <c r="B695" s="38">
        <v>45350.0</v>
      </c>
      <c r="C695" s="11" t="s">
        <v>30</v>
      </c>
      <c r="D695" s="11">
        <v>7.54</v>
      </c>
      <c r="E695" s="21">
        <f>IFERROR(__xludf.DUMMYFUNCTION("IF(C695=""USD"", D695, 
  IFERROR(
    D695 * INDEX(GOOGLEFINANCE(CONCATENATE(""CURRENCY:"", C695, ""USD""), ""close"", B695), 2, 2),
    IFERROR(
      D695 * INDEX(GOOGLEFINANCE(CONCATENATE(""CURRENCY:"", C695, ""USD""), ""close"", B695 - 1), 2, 2),
   "&amp;"   D695 * INDEX(GOOGLEFINANCE(CONCATENATE(""CURRENCY:"", C695, ""USD""), ""close"", B695 + 1), 2, 2)
    )
  )
)"),8.171550400000001)</f>
        <v>8.1715504</v>
      </c>
    </row>
    <row r="696">
      <c r="A696" s="46" t="s">
        <v>1203</v>
      </c>
      <c r="B696" s="42">
        <v>45380.0</v>
      </c>
      <c r="C696" s="43" t="s">
        <v>30</v>
      </c>
      <c r="D696" s="44">
        <v>3.77</v>
      </c>
      <c r="E696" s="21">
        <f>IFERROR(__xludf.DUMMYFUNCTION("IF(C696=""USD"", D696, 
  IFERROR(
    D696 * INDEX(GOOGLEFINANCE(CONCATENATE(""CURRENCY:"", C696, ""USD""), ""close"", B696), 2, 2),
    IFERROR(
      D696 * INDEX(GOOGLEFINANCE(CONCATENATE(""CURRENCY:"", C696, ""USD""), ""close"", B696 - 1), 2, 2),
   "&amp;"   D696 * INDEX(GOOGLEFINANCE(CONCATENATE(""CURRENCY:"", C696, ""USD""), ""close"", B696 + 1), 2, 2)
    )
  )
)"),4.0682447)</f>
        <v>4.0682447</v>
      </c>
    </row>
    <row r="697">
      <c r="A697" s="46" t="s">
        <v>1202</v>
      </c>
      <c r="B697" s="42">
        <v>45380.0</v>
      </c>
      <c r="C697" s="43" t="s">
        <v>30</v>
      </c>
      <c r="D697" s="44">
        <v>58.54</v>
      </c>
      <c r="E697" s="21">
        <f>IFERROR(__xludf.DUMMYFUNCTION("IF(C697=""USD"", D697, 
  IFERROR(
    D697 * INDEX(GOOGLEFINANCE(CONCATENATE(""CURRENCY:"", C697, ""USD""), ""close"", B697), 2, 2),
    IFERROR(
      D697 * INDEX(GOOGLEFINANCE(CONCATENATE(""CURRENCY:"", C697, ""USD""), ""close"", B697 - 1), 2, 2),
   "&amp;"   D697 * INDEX(GOOGLEFINANCE(CONCATENATE(""CURRENCY:"", C697, ""USD""), ""close"", B697 + 1), 2, 2)
    )
  )
)"),63.1710994)</f>
        <v>63.1710994</v>
      </c>
    </row>
    <row r="698">
      <c r="A698" s="46" t="s">
        <v>1196</v>
      </c>
      <c r="B698" s="42">
        <v>45380.0</v>
      </c>
      <c r="C698" s="43" t="s">
        <v>30</v>
      </c>
      <c r="D698" s="44">
        <v>0.27</v>
      </c>
      <c r="E698" s="21">
        <f>IFERROR(__xludf.DUMMYFUNCTION("IF(C698=""USD"", D698, 
  IFERROR(
    D698 * INDEX(GOOGLEFINANCE(CONCATENATE(""CURRENCY:"", C698, ""USD""), ""close"", B698), 2, 2),
    IFERROR(
      D698 * INDEX(GOOGLEFINANCE(CONCATENATE(""CURRENCY:"", C698, ""USD""), ""close"", B698 - 1), 2, 2),
   "&amp;"   D698 * INDEX(GOOGLEFINANCE(CONCATENATE(""CURRENCY:"", C698, ""USD""), ""close"", B698 + 1), 2, 2)
    )
  )
)"),0.2913597)</f>
        <v>0.2913597</v>
      </c>
    </row>
    <row r="699">
      <c r="A699" s="46" t="s">
        <v>1197</v>
      </c>
      <c r="B699" s="42">
        <v>45380.0</v>
      </c>
      <c r="C699" s="43" t="s">
        <v>30</v>
      </c>
      <c r="D699" s="44">
        <v>10.8</v>
      </c>
      <c r="E699" s="21">
        <f>IFERROR(__xludf.DUMMYFUNCTION("IF(C699=""USD"", D699, 
  IFERROR(
    D699 * INDEX(GOOGLEFINANCE(CONCATENATE(""CURRENCY:"", C699, ""USD""), ""close"", B699), 2, 2),
    IFERROR(
      D699 * INDEX(GOOGLEFINANCE(CONCATENATE(""CURRENCY:"", C699, ""USD""), ""close"", B699 - 1), 2, 2),
   "&amp;"   D699 * INDEX(GOOGLEFINANCE(CONCATENATE(""CURRENCY:"", C699, ""USD""), ""close"", B699 + 1), 2, 2)
    )
  )
)"),11.654388)</f>
        <v>11.654388</v>
      </c>
    </row>
    <row r="700">
      <c r="A700" s="46" t="s">
        <v>1200</v>
      </c>
      <c r="B700" s="42">
        <v>45380.0</v>
      </c>
      <c r="C700" s="43" t="s">
        <v>30</v>
      </c>
      <c r="D700" s="44">
        <v>17.1</v>
      </c>
      <c r="E700" s="21">
        <f>IFERROR(__xludf.DUMMYFUNCTION("IF(C700=""USD"", D700, 
  IFERROR(
    D700 * INDEX(GOOGLEFINANCE(CONCATENATE(""CURRENCY:"", C700, ""USD""), ""close"", B700), 2, 2),
    IFERROR(
      D700 * INDEX(GOOGLEFINANCE(CONCATENATE(""CURRENCY:"", C700, ""USD""), ""close"", B700 - 1), 2, 2),
   "&amp;"   D700 * INDEX(GOOGLEFINANCE(CONCATENATE(""CURRENCY:"", C700, ""USD""), ""close"", B700 + 1), 2, 2)
    )
  )
)"),18.452781)</f>
        <v>18.452781</v>
      </c>
    </row>
    <row r="701">
      <c r="A701" s="46" t="s">
        <v>1194</v>
      </c>
      <c r="B701" s="42">
        <v>45380.0</v>
      </c>
      <c r="C701" s="43" t="s">
        <v>30</v>
      </c>
      <c r="D701" s="44">
        <v>6.23</v>
      </c>
      <c r="E701" s="21">
        <f>IFERROR(__xludf.DUMMYFUNCTION("IF(C701=""USD"", D701, 
  IFERROR(
    D701 * INDEX(GOOGLEFINANCE(CONCATENATE(""CURRENCY:"", C701, ""USD""), ""close"", B701), 2, 2),
    IFERROR(
      D701 * INDEX(GOOGLEFINANCE(CONCATENATE(""CURRENCY:"", C701, ""USD""), ""close"", B701 - 1), 2, 2),
   "&amp;"   D701 * INDEX(GOOGLEFINANCE(CONCATENATE(""CURRENCY:"", C701, ""USD""), ""close"", B701 + 1), 2, 2)
    )
  )
)"),6.722855300000001)</f>
        <v>6.7228553</v>
      </c>
    </row>
    <row r="702">
      <c r="A702" s="46" t="s">
        <v>1204</v>
      </c>
      <c r="B702" s="42">
        <v>45380.0</v>
      </c>
      <c r="C702" s="43" t="s">
        <v>30</v>
      </c>
      <c r="D702" s="44">
        <v>2.14</v>
      </c>
      <c r="E702" s="21">
        <f>IFERROR(__xludf.DUMMYFUNCTION("IF(C702=""USD"", D702, 
  IFERROR(
    D702 * INDEX(GOOGLEFINANCE(CONCATENATE(""CURRENCY:"", C702, ""USD""), ""close"", B702), 2, 2),
    IFERROR(
      D702 * INDEX(GOOGLEFINANCE(CONCATENATE(""CURRENCY:"", C702, ""USD""), ""close"", B702 - 1), 2, 2),
   "&amp;"   D702 * INDEX(GOOGLEFINANCE(CONCATENATE(""CURRENCY:"", C702, ""USD""), ""close"", B702 + 1), 2, 2)
    )
  )
)"),2.3092954000000003)</f>
        <v>2.3092954</v>
      </c>
    </row>
    <row r="703">
      <c r="A703" s="46" t="s">
        <v>1202</v>
      </c>
      <c r="B703" s="42">
        <v>45411.0</v>
      </c>
      <c r="C703" s="43" t="s">
        <v>30</v>
      </c>
      <c r="D703" s="44">
        <v>51.64</v>
      </c>
      <c r="E703" s="21">
        <f>IFERROR(__xludf.DUMMYFUNCTION("IF(C703=""USD"", D703, 
  IFERROR(
    D703 * INDEX(GOOGLEFINANCE(CONCATENATE(""CURRENCY:"", C703, ""USD""), ""close"", B703), 2, 2),
    IFERROR(
      D703 * INDEX(GOOGLEFINANCE(CONCATENATE(""CURRENCY:"", C703, ""USD""), ""close"", B703 - 1), 2, 2),
   "&amp;"   D703 * INDEX(GOOGLEFINANCE(CONCATENATE(""CURRENCY:"", C703, ""USD""), ""close"", B703 + 1), 2, 2)
    )
  )
)"),55.333809200000005)</f>
        <v>55.3338092</v>
      </c>
    </row>
    <row r="704">
      <c r="A704" s="46" t="s">
        <v>1204</v>
      </c>
      <c r="B704" s="42">
        <v>45411.0</v>
      </c>
      <c r="C704" s="43" t="s">
        <v>30</v>
      </c>
      <c r="D704" s="44">
        <v>2.14</v>
      </c>
      <c r="E704" s="21">
        <f>IFERROR(__xludf.DUMMYFUNCTION("IF(C704=""USD"", D704, 
  IFERROR(
    D704 * INDEX(GOOGLEFINANCE(CONCATENATE(""CURRENCY:"", C704, ""USD""), ""close"", B704), 2, 2),
    IFERROR(
      D704 * INDEX(GOOGLEFINANCE(CONCATENATE(""CURRENCY:"", C704, ""USD""), ""close"", B704 - 1), 2, 2),
   "&amp;"   D704 * INDEX(GOOGLEFINANCE(CONCATENATE(""CURRENCY:"", C704, ""USD""), ""close"", B704 + 1), 2, 2)
    )
  )
)"),2.2930742000000004)</f>
        <v>2.2930742</v>
      </c>
    </row>
    <row r="705">
      <c r="A705" s="46" t="s">
        <v>1197</v>
      </c>
      <c r="B705" s="42">
        <v>45411.0</v>
      </c>
      <c r="C705" s="43" t="s">
        <v>30</v>
      </c>
      <c r="D705" s="44">
        <v>13.98</v>
      </c>
      <c r="E705" s="21">
        <f>IFERROR(__xludf.DUMMYFUNCTION("IF(C705=""USD"", D705, 
  IFERROR(
    D705 * INDEX(GOOGLEFINANCE(CONCATENATE(""CURRENCY:"", C705, ""USD""), ""close"", B705), 2, 2),
    IFERROR(
      D705 * INDEX(GOOGLEFINANCE(CONCATENATE(""CURRENCY:"", C705, ""USD""), ""close"", B705 - 1), 2, 2),
   "&amp;"   D705 * INDEX(GOOGLEFINANCE(CONCATENATE(""CURRENCY:"", C705, ""USD""), ""close"", B705 + 1), 2, 2)
    )
  )
)"),14.979989400000001)</f>
        <v>14.9799894</v>
      </c>
    </row>
    <row r="706">
      <c r="A706" s="46" t="s">
        <v>1203</v>
      </c>
      <c r="B706" s="42">
        <v>45411.0</v>
      </c>
      <c r="C706" s="43" t="s">
        <v>30</v>
      </c>
      <c r="D706" s="44">
        <v>1.91</v>
      </c>
      <c r="E706" s="21">
        <f>IFERROR(__xludf.DUMMYFUNCTION("IF(C706=""USD"", D706, 
  IFERROR(
    D706 * INDEX(GOOGLEFINANCE(CONCATENATE(""CURRENCY:"", C706, ""USD""), ""close"", B706), 2, 2),
    IFERROR(
      D706 * INDEX(GOOGLEFINANCE(CONCATENATE(""CURRENCY:"", C706, ""USD""), ""close"", B706 - 1), 2, 2),
   "&amp;"   D706 * INDEX(GOOGLEFINANCE(CONCATENATE(""CURRENCY:"", C706, ""USD""), ""close"", B706 + 1), 2, 2)
    )
  )
)"),2.0466223)</f>
        <v>2.0466223</v>
      </c>
    </row>
    <row r="707">
      <c r="A707" s="46" t="s">
        <v>1200</v>
      </c>
      <c r="B707" s="42">
        <v>45411.0</v>
      </c>
      <c r="C707" s="43" t="s">
        <v>30</v>
      </c>
      <c r="D707" s="44">
        <v>10.05</v>
      </c>
      <c r="E707" s="21">
        <f>IFERROR(__xludf.DUMMYFUNCTION("IF(C707=""USD"", D707, 
  IFERROR(
    D707 * INDEX(GOOGLEFINANCE(CONCATENATE(""CURRENCY:"", C707, ""USD""), ""close"", B707), 2, 2),
    IFERROR(
      D707 * INDEX(GOOGLEFINANCE(CONCATENATE(""CURRENCY:"", C707, ""USD""), ""close"", B707 - 1), 2, 2),
   "&amp;"   D707 * INDEX(GOOGLEFINANCE(CONCATENATE(""CURRENCY:"", C707, ""USD""), ""close"", B707 + 1), 2, 2)
    )
  )
)"),10.768876500000001)</f>
        <v>10.7688765</v>
      </c>
    </row>
    <row r="708">
      <c r="A708" s="45" t="s">
        <v>1200</v>
      </c>
      <c r="B708" s="38">
        <v>45441.0</v>
      </c>
      <c r="C708" s="11" t="s">
        <v>30</v>
      </c>
      <c r="D708" s="11">
        <v>4.28</v>
      </c>
      <c r="E708" s="21">
        <f>IFERROR(__xludf.DUMMYFUNCTION("IF(C708=""USD"", D708, 
  IFERROR(
    D708 * INDEX(GOOGLEFINANCE(CONCATENATE(""CURRENCY:"", C708, ""USD""), ""close"", B708), 2, 2),
    IFERROR(
      D708 * INDEX(GOOGLEFINANCE(CONCATENATE(""CURRENCY:"", C708, ""USD""), ""close"", B708 - 1), 2, 2),
   "&amp;"   D708 * INDEX(GOOGLEFINANCE(CONCATENATE(""CURRENCY:"", C708, ""USD""), ""close"", B708 + 1), 2, 2)
    )
  )
)"),4.6229136)</f>
        <v>4.6229136</v>
      </c>
    </row>
    <row r="709">
      <c r="A709" s="45" t="s">
        <v>1203</v>
      </c>
      <c r="B709" s="38">
        <v>45441.0</v>
      </c>
      <c r="C709" s="11" t="s">
        <v>30</v>
      </c>
      <c r="D709" s="11">
        <v>2.88</v>
      </c>
      <c r="E709" s="21">
        <f>IFERROR(__xludf.DUMMYFUNCTION("IF(C709=""USD"", D709, 
  IFERROR(
    D709 * INDEX(GOOGLEFINANCE(CONCATENATE(""CURRENCY:"", C709, ""USD""), ""close"", B709), 2, 2),
    IFERROR(
      D709 * INDEX(GOOGLEFINANCE(CONCATENATE(""CURRENCY:"", C709, ""USD""), ""close"", B709 - 1), 2, 2),
   "&amp;"   D709 * INDEX(GOOGLEFINANCE(CONCATENATE(""CURRENCY:"", C709, ""USD""), ""close"", B709 + 1), 2, 2)
    )
  )
)"),3.1107456)</f>
        <v>3.1107456</v>
      </c>
    </row>
    <row r="710">
      <c r="A710" s="45" t="s">
        <v>1197</v>
      </c>
      <c r="B710" s="38">
        <v>45441.0</v>
      </c>
      <c r="C710" s="11" t="s">
        <v>30</v>
      </c>
      <c r="D710" s="11">
        <v>9.41</v>
      </c>
      <c r="E710" s="21">
        <f>IFERROR(__xludf.DUMMYFUNCTION("IF(C710=""USD"", D710, 
  IFERROR(
    D710 * INDEX(GOOGLEFINANCE(CONCATENATE(""CURRENCY:"", C710, ""USD""), ""close"", B710), 2, 2),
    IFERROR(
      D710 * INDEX(GOOGLEFINANCE(CONCATENATE(""CURRENCY:"", C710, ""USD""), ""close"", B710 - 1), 2, 2),
   "&amp;"   D710 * INDEX(GOOGLEFINANCE(CONCATENATE(""CURRENCY:"", C710, ""USD""), ""close"", B710 + 1), 2, 2)
    )
  )
)"),10.1639292)</f>
        <v>10.1639292</v>
      </c>
    </row>
    <row r="711">
      <c r="A711" s="45" t="s">
        <v>1201</v>
      </c>
      <c r="B711" s="38">
        <v>45441.0</v>
      </c>
      <c r="C711" s="11" t="s">
        <v>30</v>
      </c>
      <c r="D711" s="11">
        <v>2.14</v>
      </c>
      <c r="E711" s="21">
        <f>IFERROR(__xludf.DUMMYFUNCTION("IF(C711=""USD"", D711, 
  IFERROR(
    D711 * INDEX(GOOGLEFINANCE(CONCATENATE(""CURRENCY:"", C711, ""USD""), ""close"", B711), 2, 2),
    IFERROR(
      D711 * INDEX(GOOGLEFINANCE(CONCATENATE(""CURRENCY:"", C711, ""USD""), ""close"", B711 - 1), 2, 2),
   "&amp;"   D711 * INDEX(GOOGLEFINANCE(CONCATENATE(""CURRENCY:"", C711, ""USD""), ""close"", B711 + 1), 2, 2)
    )
  )
)"),2.3114568)</f>
        <v>2.3114568</v>
      </c>
    </row>
    <row r="712">
      <c r="A712" s="45" t="s">
        <v>1209</v>
      </c>
      <c r="B712" s="38">
        <v>45441.0</v>
      </c>
      <c r="C712" s="11" t="s">
        <v>30</v>
      </c>
      <c r="D712" s="11">
        <v>0.13</v>
      </c>
      <c r="E712" s="21">
        <f>IFERROR(__xludf.DUMMYFUNCTION("IF(C712=""USD"", D712, 
  IFERROR(
    D712 * INDEX(GOOGLEFINANCE(CONCATENATE(""CURRENCY:"", C712, ""USD""), ""close"", B712), 2, 2),
    IFERROR(
      D712 * INDEX(GOOGLEFINANCE(CONCATENATE(""CURRENCY:"", C712, ""USD""), ""close"", B712 - 1), 2, 2),
   "&amp;"   D712 * INDEX(GOOGLEFINANCE(CONCATENATE(""CURRENCY:"", C712, ""USD""), ""close"", B712 + 1), 2, 2)
    )
  )
)"),0.1404156)</f>
        <v>0.1404156</v>
      </c>
    </row>
    <row r="713">
      <c r="A713" s="45" t="s">
        <v>1202</v>
      </c>
      <c r="B713" s="38">
        <v>45441.0</v>
      </c>
      <c r="C713" s="11" t="s">
        <v>30</v>
      </c>
      <c r="D713" s="11">
        <v>34.82</v>
      </c>
      <c r="E713" s="21">
        <f>IFERROR(__xludf.DUMMYFUNCTION("IF(C713=""USD"", D713, 
  IFERROR(
    D713 * INDEX(GOOGLEFINANCE(CONCATENATE(""CURRENCY:"", C713, ""USD""), ""close"", B713), 2, 2),
    IFERROR(
      D713 * INDEX(GOOGLEFINANCE(CONCATENATE(""CURRENCY:"", C713, ""USD""), ""close"", B713 - 1), 2, 2),
   "&amp;"   D713 * INDEX(GOOGLEFINANCE(CONCATENATE(""CURRENCY:"", C713, ""USD""), ""close"", B713 + 1), 2, 2)
    )
  )
)"),37.609778399999996)</f>
        <v>37.6097784</v>
      </c>
    </row>
    <row r="714">
      <c r="A714" s="45" t="s">
        <v>1205</v>
      </c>
      <c r="B714" s="38">
        <v>45441.0</v>
      </c>
      <c r="C714" s="11" t="s">
        <v>30</v>
      </c>
      <c r="D714" s="11">
        <v>0.06</v>
      </c>
      <c r="E714" s="21">
        <f>IFERROR(__xludf.DUMMYFUNCTION("IF(C714=""USD"", D714, 
  IFERROR(
    D714 * INDEX(GOOGLEFINANCE(CONCATENATE(""CURRENCY:"", C714, ""USD""), ""close"", B714), 2, 2),
    IFERROR(
      D714 * INDEX(GOOGLEFINANCE(CONCATENATE(""CURRENCY:"", C714, ""USD""), ""close"", B714 - 1), 2, 2),
   "&amp;"   D714 * INDEX(GOOGLEFINANCE(CONCATENATE(""CURRENCY:"", C714, ""USD""), ""close"", B714 + 1), 2, 2)
    )
  )
)"),0.0648072)</f>
        <v>0.0648072</v>
      </c>
    </row>
    <row r="715">
      <c r="A715" s="47" t="s">
        <v>1202</v>
      </c>
      <c r="B715" s="38">
        <v>45473.0</v>
      </c>
      <c r="C715" s="47" t="s">
        <v>30</v>
      </c>
      <c r="D715" s="13">
        <v>34.0</v>
      </c>
      <c r="E715" s="21">
        <f>IFERROR(__xludf.DUMMYFUNCTION("IF(C715=""USD"", D715, 
  IFERROR(
    D715 * INDEX(GOOGLEFINANCE(CONCATENATE(""CURRENCY:"", C715, ""USD""), ""close"", B715), 2, 2),
    IFERROR(
      D715 * INDEX(GOOGLEFINANCE(CONCATENATE(""CURRENCY:"", C715, ""USD""), ""close"", B715 - 1), 2, 2),
   "&amp;"   D715 * INDEX(GOOGLEFINANCE(CONCATENATE(""CURRENCY:"", C715, ""USD""), ""close"", B715 + 1), 2, 2)
    )
  )
)"),36.495599999999996)</f>
        <v>36.4956</v>
      </c>
    </row>
    <row r="716">
      <c r="A716" s="47" t="s">
        <v>1197</v>
      </c>
      <c r="B716" s="38">
        <v>45473.0</v>
      </c>
      <c r="C716" s="47" t="s">
        <v>30</v>
      </c>
      <c r="D716" s="13">
        <v>17.99</v>
      </c>
      <c r="E716" s="21">
        <f>IFERROR(__xludf.DUMMYFUNCTION("IF(C716=""USD"", D716, 
  IFERROR(
    D716 * INDEX(GOOGLEFINANCE(CONCATENATE(""CURRENCY:"", C716, ""USD""), ""close"", B716), 2, 2),
    IFERROR(
      D716 * INDEX(GOOGLEFINANCE(CONCATENATE(""CURRENCY:"", C716, ""USD""), ""close"", B716 - 1), 2, 2),
   "&amp;"   D716 * INDEX(GOOGLEFINANCE(CONCATENATE(""CURRENCY:"", C716, ""USD""), ""close"", B716 + 1), 2, 2)
    )
  )
)"),19.310465999999998)</f>
        <v>19.310466</v>
      </c>
    </row>
    <row r="717">
      <c r="A717" s="47" t="s">
        <v>1203</v>
      </c>
      <c r="B717" s="38">
        <v>45473.0</v>
      </c>
      <c r="C717" s="47" t="s">
        <v>30</v>
      </c>
      <c r="D717" s="13">
        <v>2.29</v>
      </c>
      <c r="E717" s="21">
        <f>IFERROR(__xludf.DUMMYFUNCTION("IF(C717=""USD"", D717, 
  IFERROR(
    D717 * INDEX(GOOGLEFINANCE(CONCATENATE(""CURRENCY:"", C717, ""USD""), ""close"", B717), 2, 2),
    IFERROR(
      D717 * INDEX(GOOGLEFINANCE(CONCATENATE(""CURRENCY:"", C717, ""USD""), ""close"", B717 - 1), 2, 2),
   "&amp;"   D717 * INDEX(GOOGLEFINANCE(CONCATENATE(""CURRENCY:"", C717, ""USD""), ""close"", B717 + 1), 2, 2)
    )
  )
)"),2.4580859999999998)</f>
        <v>2.458086</v>
      </c>
    </row>
    <row r="718">
      <c r="A718" s="47" t="s">
        <v>1202</v>
      </c>
      <c r="B718" s="38">
        <v>45473.0</v>
      </c>
      <c r="C718" s="47" t="s">
        <v>30</v>
      </c>
      <c r="D718" s="13">
        <v>36.45</v>
      </c>
      <c r="E718" s="21">
        <f>IFERROR(__xludf.DUMMYFUNCTION("IF(C718=""USD"", D718, 
  IFERROR(
    D718 * INDEX(GOOGLEFINANCE(CONCATENATE(""CURRENCY:"", C718, ""USD""), ""close"", B718), 2, 2),
    IFERROR(
      D718 * INDEX(GOOGLEFINANCE(CONCATENATE(""CURRENCY:"", C718, ""USD""), ""close"", B718 - 1), 2, 2),
   "&amp;"   D718 * INDEX(GOOGLEFINANCE(CONCATENATE(""CURRENCY:"", C718, ""USD""), ""close"", B718 + 1), 2, 2)
    )
  )
)"),39.12543)</f>
        <v>39.12543</v>
      </c>
    </row>
    <row r="719">
      <c r="A719" s="47" t="s">
        <v>1194</v>
      </c>
      <c r="B719" s="38">
        <v>45473.0</v>
      </c>
      <c r="C719" s="47" t="s">
        <v>30</v>
      </c>
      <c r="D719" s="13">
        <v>6.99</v>
      </c>
      <c r="E719" s="21">
        <f>IFERROR(__xludf.DUMMYFUNCTION("IF(C719=""USD"", D719, 
  IFERROR(
    D719 * INDEX(GOOGLEFINANCE(CONCATENATE(""CURRENCY:"", C719, ""USD""), ""close"", B719), 2, 2),
    IFERROR(
      D719 * INDEX(GOOGLEFINANCE(CONCATENATE(""CURRENCY:"", C719, ""USD""), ""close"", B719 - 1), 2, 2),
   "&amp;"   D719 * INDEX(GOOGLEFINANCE(CONCATENATE(""CURRENCY:"", C719, ""USD""), ""close"", B719 + 1), 2, 2)
    )
  )
)"),7.503066)</f>
        <v>7.503066</v>
      </c>
    </row>
    <row r="720">
      <c r="A720" s="47" t="s">
        <v>1205</v>
      </c>
      <c r="B720" s="38">
        <v>45473.0</v>
      </c>
      <c r="C720" s="47" t="s">
        <v>30</v>
      </c>
      <c r="D720" s="13">
        <v>0.08</v>
      </c>
      <c r="E720" s="21">
        <f>IFERROR(__xludf.DUMMYFUNCTION("IF(C720=""USD"", D720, 
  IFERROR(
    D720 * INDEX(GOOGLEFINANCE(CONCATENATE(""CURRENCY:"", C720, ""USD""), ""close"", B720), 2, 2),
    IFERROR(
      D720 * INDEX(GOOGLEFINANCE(CONCATENATE(""CURRENCY:"", C720, ""USD""), ""close"", B720 - 1), 2, 2),
   "&amp;"   D720 * INDEX(GOOGLEFINANCE(CONCATENATE(""CURRENCY:"", C720, ""USD""), ""close"", B720 + 1), 2, 2)
    )
  )
)"),0.08587199999999999)</f>
        <v>0.085872</v>
      </c>
    </row>
    <row r="721">
      <c r="A721" s="47" t="s">
        <v>1200</v>
      </c>
      <c r="B721" s="38">
        <v>45473.0</v>
      </c>
      <c r="C721" s="47" t="s">
        <v>30</v>
      </c>
      <c r="D721" s="13">
        <v>9.96</v>
      </c>
      <c r="E721" s="21">
        <f>IFERROR(__xludf.DUMMYFUNCTION("IF(C721=""USD"", D721, 
  IFERROR(
    D721 * INDEX(GOOGLEFINANCE(CONCATENATE(""CURRENCY:"", C721, ""USD""), ""close"", B721), 2, 2),
    IFERROR(
      D721 * INDEX(GOOGLEFINANCE(CONCATENATE(""CURRENCY:"", C721, ""USD""), ""close"", B721 - 1), 2, 2),
   "&amp;"   D721 * INDEX(GOOGLEFINANCE(CONCATENATE(""CURRENCY:"", C721, ""USD""), ""close"", B721 + 1), 2, 2)
    )
  )
)"),10.691064)</f>
        <v>10.691064</v>
      </c>
    </row>
    <row r="722">
      <c r="A722" s="47" t="s">
        <v>1200</v>
      </c>
      <c r="B722" s="38">
        <v>45473.0</v>
      </c>
      <c r="C722" s="47" t="s">
        <v>30</v>
      </c>
      <c r="D722" s="13">
        <v>14.63</v>
      </c>
      <c r="E722" s="21">
        <f>IFERROR(__xludf.DUMMYFUNCTION("IF(C722=""USD"", D722, 
  IFERROR(
    D722 * INDEX(GOOGLEFINANCE(CONCATENATE(""CURRENCY:"", C722, ""USD""), ""close"", B722), 2, 2),
    IFERROR(
      D722 * INDEX(GOOGLEFINANCE(CONCATENATE(""CURRENCY:"", C722, ""USD""), ""close"", B722 - 1), 2, 2),
   "&amp;"   D722 * INDEX(GOOGLEFINANCE(CONCATENATE(""CURRENCY:"", C722, ""USD""), ""close"", B722 + 1), 2, 2)
    )
  )
)"),15.703842)</f>
        <v>15.703842</v>
      </c>
    </row>
    <row r="723">
      <c r="A723" s="47" t="s">
        <v>1197</v>
      </c>
      <c r="B723" s="38">
        <v>45502.0</v>
      </c>
      <c r="C723" s="47" t="s">
        <v>30</v>
      </c>
      <c r="D723" s="13">
        <v>7.65</v>
      </c>
      <c r="E723" s="21">
        <f>IFERROR(__xludf.DUMMYFUNCTION("IF(C723=""USD"", D723, 
  IFERROR(
    D723 * INDEX(GOOGLEFINANCE(CONCATENATE(""CURRENCY:"", C723, ""USD""), ""close"", B723), 2, 2),
    IFERROR(
      D723 * INDEX(GOOGLEFINANCE(CONCATENATE(""CURRENCY:"", C723, ""USD""), ""close"", B723 - 1), 2, 2),
   "&amp;"   D723 * INDEX(GOOGLEFINANCE(CONCATENATE(""CURRENCY:"", C723, ""USD""), ""close"", B723 + 1), 2, 2)
    )
  )
)"),8.276382)</f>
        <v>8.276382</v>
      </c>
    </row>
    <row r="724">
      <c r="A724" s="47" t="s">
        <v>1200</v>
      </c>
      <c r="B724" s="38">
        <v>45502.0</v>
      </c>
      <c r="C724" s="47" t="s">
        <v>30</v>
      </c>
      <c r="D724" s="13">
        <v>7.65</v>
      </c>
      <c r="E724" s="21">
        <f>IFERROR(__xludf.DUMMYFUNCTION("IF(C724=""USD"", D724, 
  IFERROR(
    D724 * INDEX(GOOGLEFINANCE(CONCATENATE(""CURRENCY:"", C724, ""USD""), ""close"", B724), 2, 2),
    IFERROR(
      D724 * INDEX(GOOGLEFINANCE(CONCATENATE(""CURRENCY:"", C724, ""USD""), ""close"", B724 - 1), 2, 2),
   "&amp;"   D724 * INDEX(GOOGLEFINANCE(CONCATENATE(""CURRENCY:"", C724, ""USD""), ""close"", B724 + 1), 2, 2)
    )
  )
)"),8.276382)</f>
        <v>8.276382</v>
      </c>
    </row>
    <row r="725">
      <c r="A725" s="47" t="s">
        <v>1201</v>
      </c>
      <c r="B725" s="38">
        <v>45502.0</v>
      </c>
      <c r="C725" s="47" t="s">
        <v>30</v>
      </c>
      <c r="D725" s="13">
        <v>2.14</v>
      </c>
      <c r="E725" s="21">
        <f>IFERROR(__xludf.DUMMYFUNCTION("IF(C725=""USD"", D725, 
  IFERROR(
    D725 * INDEX(GOOGLEFINANCE(CONCATENATE(""CURRENCY:"", C725, ""USD""), ""close"", B725), 2, 2),
    IFERROR(
      D725 * INDEX(GOOGLEFINANCE(CONCATENATE(""CURRENCY:"", C725, ""USD""), ""close"", B725 - 1), 2, 2),
   "&amp;"   D725 * INDEX(GOOGLEFINANCE(CONCATENATE(""CURRENCY:"", C725, ""USD""), ""close"", B725 + 1), 2, 2)
    )
  )
)"),2.3152232)</f>
        <v>2.3152232</v>
      </c>
    </row>
    <row r="726">
      <c r="A726" s="47" t="s">
        <v>1202</v>
      </c>
      <c r="B726" s="38">
        <v>45502.0</v>
      </c>
      <c r="C726" s="47" t="s">
        <v>30</v>
      </c>
      <c r="D726" s="13">
        <v>30.07</v>
      </c>
      <c r="E726" s="21">
        <f>IFERROR(__xludf.DUMMYFUNCTION("IF(C726=""USD"", D726, 
  IFERROR(
    D726 * INDEX(GOOGLEFINANCE(CONCATENATE(""CURRENCY:"", C726, ""USD""), ""close"", B726), 2, 2),
    IFERROR(
      D726 * INDEX(GOOGLEFINANCE(CONCATENATE(""CURRENCY:"", C726, ""USD""), ""close"", B726 - 1), 2, 2),
   "&amp;"   D726 * INDEX(GOOGLEFINANCE(CONCATENATE(""CURRENCY:"", C726, ""USD""), ""close"", B726 + 1), 2, 2)
    )
  )
)"),32.5321316)</f>
        <v>32.5321316</v>
      </c>
    </row>
    <row r="727">
      <c r="A727" s="47" t="s">
        <v>1196</v>
      </c>
      <c r="B727" s="38">
        <v>45502.0</v>
      </c>
      <c r="C727" s="47" t="s">
        <v>30</v>
      </c>
      <c r="D727" s="13">
        <v>2.14</v>
      </c>
      <c r="E727" s="21">
        <f>IFERROR(__xludf.DUMMYFUNCTION("IF(C727=""USD"", D727, 
  IFERROR(
    D727 * INDEX(GOOGLEFINANCE(CONCATENATE(""CURRENCY:"", C727, ""USD""), ""close"", B727), 2, 2),
    IFERROR(
      D727 * INDEX(GOOGLEFINANCE(CONCATENATE(""CURRENCY:"", C727, ""USD""), ""close"", B727 - 1), 2, 2),
   "&amp;"   D727 * INDEX(GOOGLEFINANCE(CONCATENATE(""CURRENCY:"", C727, ""USD""), ""close"", B727 + 1), 2, 2)
    )
  )
)"),2.3152232)</f>
        <v>2.3152232</v>
      </c>
    </row>
    <row r="728">
      <c r="A728" s="47" t="s">
        <v>1205</v>
      </c>
      <c r="B728" s="38">
        <v>45502.0</v>
      </c>
      <c r="C728" s="47" t="s">
        <v>30</v>
      </c>
      <c r="D728" s="13">
        <v>1.22</v>
      </c>
      <c r="E728" s="21">
        <f>IFERROR(__xludf.DUMMYFUNCTION("IF(C728=""USD"", D728, 
  IFERROR(
    D728 * INDEX(GOOGLEFINANCE(CONCATENATE(""CURRENCY:"", C728, ""USD""), ""close"", B728), 2, 2),
    IFERROR(
      D728 * INDEX(GOOGLEFINANCE(CONCATENATE(""CURRENCY:"", C728, ""USD""), ""close"", B728 - 1), 2, 2),
   "&amp;"   D728 * INDEX(GOOGLEFINANCE(CONCATENATE(""CURRENCY:"", C728, ""USD""), ""close"", B728 + 1), 2, 2)
    )
  )
)"),1.3198936)</f>
        <v>1.3198936</v>
      </c>
    </row>
    <row r="729">
      <c r="A729" s="47" t="s">
        <v>1194</v>
      </c>
      <c r="B729" s="38">
        <v>45502.0</v>
      </c>
      <c r="C729" s="47" t="s">
        <v>30</v>
      </c>
      <c r="D729" s="13">
        <v>12.35</v>
      </c>
      <c r="E729" s="21">
        <f>IFERROR(__xludf.DUMMYFUNCTION("IF(C729=""USD"", D729, 
  IFERROR(
    D729 * INDEX(GOOGLEFINANCE(CONCATENATE(""CURRENCY:"", C729, ""USD""), ""close"", B729), 2, 2),
    IFERROR(
      D729 * INDEX(GOOGLEFINANCE(CONCATENATE(""CURRENCY:"", C729, ""USD""), ""close"", B729 - 1), 2, 2),
   "&amp;"   D729 * INDEX(GOOGLEFINANCE(CONCATENATE(""CURRENCY:"", C729, ""USD""), ""close"", B729 + 1), 2, 2)
    )
  )
)"),13.361218)</f>
        <v>13.361218</v>
      </c>
    </row>
    <row r="730">
      <c r="A730" s="45" t="s">
        <v>1203</v>
      </c>
      <c r="B730" s="38">
        <v>45533.0</v>
      </c>
      <c r="C730" s="11" t="s">
        <v>30</v>
      </c>
      <c r="D730" s="11">
        <v>5.78</v>
      </c>
      <c r="E730" s="21">
        <f>IFERROR(__xludf.DUMMYFUNCTION("IF(C730=""USD"", D730, 
  IFERROR(
    D730 * INDEX(GOOGLEFINANCE(CONCATENATE(""CURRENCY:"", C730, ""USD""), ""close"", B730), 2, 2),
    IFERROR(
      D730 * INDEX(GOOGLEFINANCE(CONCATENATE(""CURRENCY:"", C730, ""USD""), ""close"", B730 - 1), 2, 2),
   "&amp;"   D730 * INDEX(GOOGLEFINANCE(CONCATENATE(""CURRENCY:"", C730, ""USD""), ""close"", B730 + 1), 2, 2)
    )
  )
)"),6.404240000000001)</f>
        <v>6.40424</v>
      </c>
    </row>
    <row r="731">
      <c r="A731" s="45" t="s">
        <v>1200</v>
      </c>
      <c r="B731" s="38">
        <v>45533.0</v>
      </c>
      <c r="C731" s="11" t="s">
        <v>30</v>
      </c>
      <c r="D731" s="11">
        <v>9.85</v>
      </c>
      <c r="E731" s="21">
        <f>IFERROR(__xludf.DUMMYFUNCTION("IF(C731=""USD"", D731, 
  IFERROR(
    D731 * INDEX(GOOGLEFINANCE(CONCATENATE(""CURRENCY:"", C731, ""USD""), ""close"", B731), 2, 2),
    IFERROR(
      D731 * INDEX(GOOGLEFINANCE(CONCATENATE(""CURRENCY:"", C731, ""USD""), ""close"", B731 - 1), 2, 2),
   "&amp;"   D731 * INDEX(GOOGLEFINANCE(CONCATENATE(""CURRENCY:"", C731, ""USD""), ""close"", B731 + 1), 2, 2)
    )
  )
)"),10.9138)</f>
        <v>10.9138</v>
      </c>
    </row>
    <row r="732">
      <c r="A732" s="45" t="s">
        <v>1194</v>
      </c>
      <c r="B732" s="38">
        <v>45533.0</v>
      </c>
      <c r="C732" s="11" t="s">
        <v>30</v>
      </c>
      <c r="D732" s="11">
        <v>6.27</v>
      </c>
      <c r="E732" s="21">
        <f>IFERROR(__xludf.DUMMYFUNCTION("IF(C732=""USD"", D732, 
  IFERROR(
    D732 * INDEX(GOOGLEFINANCE(CONCATENATE(""CURRENCY:"", C732, ""USD""), ""close"", B732), 2, 2),
    IFERROR(
      D732 * INDEX(GOOGLEFINANCE(CONCATENATE(""CURRENCY:"", C732, ""USD""), ""close"", B732 - 1), 2, 2),
   "&amp;"   D732 * INDEX(GOOGLEFINANCE(CONCATENATE(""CURRENCY:"", C732, ""USD""), ""close"", B732 + 1), 2, 2)
    )
  )
)"),6.94716)</f>
        <v>6.94716</v>
      </c>
    </row>
    <row r="733">
      <c r="A733" s="45" t="s">
        <v>1197</v>
      </c>
      <c r="B733" s="38">
        <v>45533.0</v>
      </c>
      <c r="C733" s="11" t="s">
        <v>30</v>
      </c>
      <c r="D733" s="11">
        <v>7.0</v>
      </c>
      <c r="E733" s="21">
        <f>IFERROR(__xludf.DUMMYFUNCTION("IF(C733=""USD"", D733, 
  IFERROR(
    D733 * INDEX(GOOGLEFINANCE(CONCATENATE(""CURRENCY:"", C733, ""USD""), ""close"", B733), 2, 2),
    IFERROR(
      D733 * INDEX(GOOGLEFINANCE(CONCATENATE(""CURRENCY:"", C733, ""USD""), ""close"", B733 - 1), 2, 2),
   "&amp;"   D733 * INDEX(GOOGLEFINANCE(CONCATENATE(""CURRENCY:"", C733, ""USD""), ""close"", B733 + 1), 2, 2)
    )
  )
)"),7.756)</f>
        <v>7.756</v>
      </c>
    </row>
    <row r="734">
      <c r="A734" s="45" t="s">
        <v>1202</v>
      </c>
      <c r="B734" s="38">
        <v>45533.0</v>
      </c>
      <c r="C734" s="11" t="s">
        <v>30</v>
      </c>
      <c r="D734" s="11">
        <v>34.57</v>
      </c>
      <c r="E734" s="21">
        <f>IFERROR(__xludf.DUMMYFUNCTION("IF(C734=""USD"", D734, 
  IFERROR(
    D734 * INDEX(GOOGLEFINANCE(CONCATENATE(""CURRENCY:"", C734, ""USD""), ""close"", B734), 2, 2),
    IFERROR(
      D734 * INDEX(GOOGLEFINANCE(CONCATENATE(""CURRENCY:"", C734, ""USD""), ""close"", B734 - 1), 2, 2),
   "&amp;"   D734 * INDEX(GOOGLEFINANCE(CONCATENATE(""CURRENCY:"", C734, ""USD""), ""close"", B734 + 1), 2, 2)
    )
  )
)"),38.303560000000004)</f>
        <v>38.30356</v>
      </c>
    </row>
    <row r="735">
      <c r="A735" s="45" t="s">
        <v>1207</v>
      </c>
      <c r="B735" s="38">
        <v>45533.0</v>
      </c>
      <c r="C735" s="11" t="s">
        <v>30</v>
      </c>
      <c r="D735" s="11">
        <v>0.06</v>
      </c>
      <c r="E735" s="21">
        <f>IFERROR(__xludf.DUMMYFUNCTION("IF(C735=""USD"", D735, 
  IFERROR(
    D735 * INDEX(GOOGLEFINANCE(CONCATENATE(""CURRENCY:"", C735, ""USD""), ""close"", B735), 2, 2),
    IFERROR(
      D735 * INDEX(GOOGLEFINANCE(CONCATENATE(""CURRENCY:"", C735, ""USD""), ""close"", B735 - 1), 2, 2),
   "&amp;"   D735 * INDEX(GOOGLEFINANCE(CONCATENATE(""CURRENCY:"", C735, ""USD""), ""close"", B735 + 1), 2, 2)
    )
  )
)"),0.06648)</f>
        <v>0.06648</v>
      </c>
    </row>
    <row r="736">
      <c r="A736" s="45" t="s">
        <v>1204</v>
      </c>
      <c r="B736" s="38">
        <v>45533.0</v>
      </c>
      <c r="C736" s="11" t="s">
        <v>30</v>
      </c>
      <c r="D736" s="11">
        <v>1.94</v>
      </c>
      <c r="E736" s="21">
        <f>IFERROR(__xludf.DUMMYFUNCTION("IF(C736=""USD"", D736, 
  IFERROR(
    D736 * INDEX(GOOGLEFINANCE(CONCATENATE(""CURRENCY:"", C736, ""USD""), ""close"", B736), 2, 2),
    IFERROR(
      D736 * INDEX(GOOGLEFINANCE(CONCATENATE(""CURRENCY:"", C736, ""USD""), ""close"", B736 - 1), 2, 2),
   "&amp;"   D736 * INDEX(GOOGLEFINANCE(CONCATENATE(""CURRENCY:"", C736, ""USD""), ""close"", B736 + 1), 2, 2)
    )
  )
)"),2.1495200000000003)</f>
        <v>2.14952</v>
      </c>
    </row>
    <row r="737">
      <c r="A737" s="45" t="s">
        <v>1202</v>
      </c>
      <c r="B737" s="38">
        <v>45563.0</v>
      </c>
      <c r="C737" s="11" t="s">
        <v>30</v>
      </c>
      <c r="D737" s="11">
        <v>42.59</v>
      </c>
      <c r="E737" s="21">
        <f>IFERROR(__xludf.DUMMYFUNCTION("IF(C737=""USD"", D737, 
  IFERROR(
    D737 * INDEX(GOOGLEFINANCE(CONCATENATE(""CURRENCY:"", C737, ""USD""), ""close"", B737), 2, 2),
    IFERROR(
      D737 * INDEX(GOOGLEFINANCE(CONCATENATE(""CURRENCY:"", C737, ""USD""), ""close"", B737 - 1), 2, 2),
   "&amp;"   D737 * INDEX(GOOGLEFINANCE(CONCATENATE(""CURRENCY:"", C737, ""USD""), ""close"", B737 + 1), 2, 2)
    )
  )
)"),47.57303)</f>
        <v>47.57303</v>
      </c>
    </row>
    <row r="738">
      <c r="A738" s="45" t="s">
        <v>1200</v>
      </c>
      <c r="B738" s="38">
        <v>45563.0</v>
      </c>
      <c r="C738" s="11" t="s">
        <v>30</v>
      </c>
      <c r="D738" s="11">
        <v>7.66</v>
      </c>
      <c r="E738" s="21">
        <f>IFERROR(__xludf.DUMMYFUNCTION("IF(C738=""USD"", D738, 
  IFERROR(
    D738 * INDEX(GOOGLEFINANCE(CONCATENATE(""CURRENCY:"", C738, ""USD""), ""close"", B738), 2, 2),
    IFERROR(
      D738 * INDEX(GOOGLEFINANCE(CONCATENATE(""CURRENCY:"", C738, ""USD""), ""close"", B738 - 1), 2, 2),
   "&amp;"   D738 * INDEX(GOOGLEFINANCE(CONCATENATE(""CURRENCY:"", C738, ""USD""), ""close"", B738 + 1), 2, 2)
    )
  )
)"),8.55622)</f>
        <v>8.55622</v>
      </c>
    </row>
    <row r="739">
      <c r="A739" s="45" t="s">
        <v>1194</v>
      </c>
      <c r="B739" s="38">
        <v>45563.0</v>
      </c>
      <c r="C739" s="11" t="s">
        <v>30</v>
      </c>
      <c r="D739" s="11">
        <v>5.16</v>
      </c>
      <c r="E739" s="21">
        <f>IFERROR(__xludf.DUMMYFUNCTION("IF(C739=""USD"", D739, 
  IFERROR(
    D739 * INDEX(GOOGLEFINANCE(CONCATENATE(""CURRENCY:"", C739, ""USD""), ""close"", B739), 2, 2),
    IFERROR(
      D739 * INDEX(GOOGLEFINANCE(CONCATENATE(""CURRENCY:"", C739, ""USD""), ""close"", B739 - 1), 2, 2),
   "&amp;"   D739 * INDEX(GOOGLEFINANCE(CONCATENATE(""CURRENCY:"", C739, ""USD""), ""close"", B739 + 1), 2, 2)
    )
  )
)"),5.76372)</f>
        <v>5.76372</v>
      </c>
    </row>
    <row r="740">
      <c r="A740" s="45" t="s">
        <v>1197</v>
      </c>
      <c r="B740" s="38">
        <v>45563.0</v>
      </c>
      <c r="C740" s="11" t="s">
        <v>30</v>
      </c>
      <c r="D740" s="11">
        <v>7.52</v>
      </c>
      <c r="E740" s="21">
        <f>IFERROR(__xludf.DUMMYFUNCTION("IF(C740=""USD"", D740, 
  IFERROR(
    D740 * INDEX(GOOGLEFINANCE(CONCATENATE(""CURRENCY:"", C740, ""USD""), ""close"", B740), 2, 2),
    IFERROR(
      D740 * INDEX(GOOGLEFINANCE(CONCATENATE(""CURRENCY:"", C740, ""USD""), ""close"", B740 - 1), 2, 2),
   "&amp;"   D740 * INDEX(GOOGLEFINANCE(CONCATENATE(""CURRENCY:"", C740, ""USD""), ""close"", B740 + 1), 2, 2)
    )
  )
)"),8.39984)</f>
        <v>8.39984</v>
      </c>
    </row>
    <row r="741">
      <c r="A741" s="45" t="s">
        <v>1204</v>
      </c>
      <c r="B741" s="38">
        <v>45563.0</v>
      </c>
      <c r="C741" s="11" t="s">
        <v>30</v>
      </c>
      <c r="D741" s="11">
        <v>1.94</v>
      </c>
      <c r="E741" s="21">
        <f>IFERROR(__xludf.DUMMYFUNCTION("IF(C741=""USD"", D741, 
  IFERROR(
    D741 * INDEX(GOOGLEFINANCE(CONCATENATE(""CURRENCY:"", C741, ""USD""), ""close"", B741), 2, 2),
    IFERROR(
      D741 * INDEX(GOOGLEFINANCE(CONCATENATE(""CURRENCY:"", C741, ""USD""), ""close"", B741 - 1), 2, 2),
   "&amp;"   D741 * INDEX(GOOGLEFINANCE(CONCATENATE(""CURRENCY:"", C741, ""USD""), ""close"", B741 + 1), 2, 2)
    )
  )
)"),2.16698)</f>
        <v>2.16698</v>
      </c>
    </row>
    <row r="742">
      <c r="A742" s="47" t="s">
        <v>1200</v>
      </c>
      <c r="B742" s="38">
        <v>45594.0</v>
      </c>
      <c r="C742" s="47" t="s">
        <v>30</v>
      </c>
      <c r="D742" s="13">
        <v>0.09</v>
      </c>
      <c r="E742" s="21">
        <f>IFERROR(__xludf.DUMMYFUNCTION("IF(C742=""USD"", D742, 
  IFERROR(
    D742 * INDEX(GOOGLEFINANCE(CONCATENATE(""CURRENCY:"", C742, ""USD""), ""close"", B742), 2, 2),
    IFERROR(
      D742 * INDEX(GOOGLEFINANCE(CONCATENATE(""CURRENCY:"", C742, ""USD""), ""close"", B742 - 1), 2, 2),
   "&amp;"   D742 * INDEX(GOOGLEFINANCE(CONCATENATE(""CURRENCY:"", C742, ""USD""), ""close"", B742 + 1), 2, 2)
    )
  )
)"),0.09734399999999999)</f>
        <v>0.097344</v>
      </c>
    </row>
    <row r="743">
      <c r="A743" s="47" t="s">
        <v>1202</v>
      </c>
      <c r="B743" s="38">
        <v>45594.0</v>
      </c>
      <c r="C743" s="47" t="s">
        <v>30</v>
      </c>
      <c r="D743" s="13">
        <v>25.53</v>
      </c>
      <c r="E743" s="21">
        <f>IFERROR(__xludf.DUMMYFUNCTION("IF(C743=""USD"", D743, 
  IFERROR(
    D743 * INDEX(GOOGLEFINANCE(CONCATENATE(""CURRENCY:"", C743, ""USD""), ""close"", B743), 2, 2),
    IFERROR(
      D743 * INDEX(GOOGLEFINANCE(CONCATENATE(""CURRENCY:"", C743, ""USD""), ""close"", B743 - 1), 2, 2),
   "&amp;"   D743 * INDEX(GOOGLEFINANCE(CONCATENATE(""CURRENCY:"", C743, ""USD""), ""close"", B743 + 1), 2, 2)
    )
  )
)"),27.613248)</f>
        <v>27.613248</v>
      </c>
    </row>
    <row r="744">
      <c r="A744" s="47" t="s">
        <v>1197</v>
      </c>
      <c r="B744" s="38">
        <v>45594.0</v>
      </c>
      <c r="C744" s="47" t="s">
        <v>30</v>
      </c>
      <c r="D744" s="13">
        <v>2.12</v>
      </c>
      <c r="E744" s="21">
        <f>IFERROR(__xludf.DUMMYFUNCTION("IF(C744=""USD"", D744, 
  IFERROR(
    D744 * INDEX(GOOGLEFINANCE(CONCATENATE(""CURRENCY:"", C744, ""USD""), ""close"", B744), 2, 2),
    IFERROR(
      D744 * INDEX(GOOGLEFINANCE(CONCATENATE(""CURRENCY:"", C744, ""USD""), ""close"", B744 - 1), 2, 2),
   "&amp;"   D744 * INDEX(GOOGLEFINANCE(CONCATENATE(""CURRENCY:"", C744, ""USD""), ""close"", B744 + 1), 2, 2)
    )
  )
)"),2.292992)</f>
        <v>2.292992</v>
      </c>
    </row>
    <row r="745">
      <c r="A745" s="47" t="s">
        <v>1201</v>
      </c>
      <c r="B745" s="38">
        <v>45594.0</v>
      </c>
      <c r="C745" s="47" t="s">
        <v>30</v>
      </c>
      <c r="D745" s="13">
        <v>2.14</v>
      </c>
      <c r="E745" s="21">
        <f>IFERROR(__xludf.DUMMYFUNCTION("IF(C745=""USD"", D745, 
  IFERROR(
    D745 * INDEX(GOOGLEFINANCE(CONCATENATE(""CURRENCY:"", C745, ""USD""), ""close"", B745), 2, 2),
    IFERROR(
      D745 * INDEX(GOOGLEFINANCE(CONCATENATE(""CURRENCY:"", C745, ""USD""), ""close"", B745 - 1), 2, 2),
   "&amp;"   D745 * INDEX(GOOGLEFINANCE(CONCATENATE(""CURRENCY:"", C745, ""USD""), ""close"", B745 + 1), 2, 2)
    )
  )
)"),2.314624)</f>
        <v>2.314624</v>
      </c>
    </row>
    <row r="746">
      <c r="A746" s="47" t="s">
        <v>1194</v>
      </c>
      <c r="B746" s="38">
        <v>45594.0</v>
      </c>
      <c r="C746" s="47" t="s">
        <v>30</v>
      </c>
      <c r="D746" s="13">
        <v>8.76</v>
      </c>
      <c r="E746" s="21">
        <f>IFERROR(__xludf.DUMMYFUNCTION("IF(C746=""USD"", D746, 
  IFERROR(
    D746 * INDEX(GOOGLEFINANCE(CONCATENATE(""CURRENCY:"", C746, ""USD""), ""close"", B746), 2, 2),
    IFERROR(
      D746 * INDEX(GOOGLEFINANCE(CONCATENATE(""CURRENCY:"", C746, ""USD""), ""close"", B746 - 1), 2, 2),
   "&amp;"   D746 * INDEX(GOOGLEFINANCE(CONCATENATE(""CURRENCY:"", C746, ""USD""), ""close"", B746 + 1), 2, 2)
    )
  )
)"),9.474815999999999)</f>
        <v>9.474816</v>
      </c>
    </row>
    <row r="747">
      <c r="A747" s="47" t="s">
        <v>1197</v>
      </c>
      <c r="B747" s="38">
        <v>45594.0</v>
      </c>
      <c r="C747" s="47" t="s">
        <v>30</v>
      </c>
      <c r="D747" s="13">
        <v>18.38</v>
      </c>
      <c r="E747" s="21">
        <f>IFERROR(__xludf.DUMMYFUNCTION("IF(C747=""USD"", D747, 
  IFERROR(
    D747 * INDEX(GOOGLEFINANCE(CONCATENATE(""CURRENCY:"", C747, ""USD""), ""close"", B747), 2, 2),
    IFERROR(
      D747 * INDEX(GOOGLEFINANCE(CONCATENATE(""CURRENCY:"", C747, ""USD""), ""close"", B747 - 1), 2, 2),
   "&amp;"   D747 * INDEX(GOOGLEFINANCE(CONCATENATE(""CURRENCY:"", C747, ""USD""), ""close"", B747 + 1), 2, 2)
    )
  )
)"),19.879807999999997)</f>
        <v>19.879808</v>
      </c>
    </row>
    <row r="748">
      <c r="A748" s="21" t="s">
        <v>1194</v>
      </c>
      <c r="B748" s="38">
        <v>45625.0</v>
      </c>
      <c r="C748" s="21" t="s">
        <v>30</v>
      </c>
      <c r="D748" s="21">
        <v>1.29</v>
      </c>
      <c r="E748" s="21">
        <f>IFERROR(__xludf.DUMMYFUNCTION("IF(C748=""USD"", D748, 
  IFERROR(
    D748 * INDEX(GOOGLEFINANCE(CONCATENATE(""CURRENCY:"", C748, ""USD""), ""close"", B748), 2, 2),
    IFERROR(
      D748 * INDEX(GOOGLEFINANCE(CONCATENATE(""CURRENCY:"", C748, ""USD""), ""close"", B748 - 1), 2, 2),
   "&amp;"   D748 * INDEX(GOOGLEFINANCE(CONCATENATE(""CURRENCY:"", C748, ""USD""), ""close"", B748 + 1), 2, 2)
    )
  )
)"),1.364691)</f>
        <v>1.364691</v>
      </c>
    </row>
    <row r="749">
      <c r="A749" s="21" t="s">
        <v>1204</v>
      </c>
      <c r="B749" s="38">
        <v>45625.0</v>
      </c>
      <c r="C749" s="21" t="s">
        <v>30</v>
      </c>
      <c r="D749" s="21">
        <v>9.68</v>
      </c>
      <c r="E749" s="21">
        <f>IFERROR(__xludf.DUMMYFUNCTION("IF(C749=""USD"", D749, 
  IFERROR(
    D749 * INDEX(GOOGLEFINANCE(CONCATENATE(""CURRENCY:"", C749, ""USD""), ""close"", B749), 2, 2),
    IFERROR(
      D749 * INDEX(GOOGLEFINANCE(CONCATENATE(""CURRENCY:"", C749, ""USD""), ""close"", B749 - 1), 2, 2),
   "&amp;"   D749 * INDEX(GOOGLEFINANCE(CONCATENATE(""CURRENCY:"", C749, ""USD""), ""close"", B749 + 1), 2, 2)
    )
  )
)"),10.240472)</f>
        <v>10.240472</v>
      </c>
    </row>
    <row r="750">
      <c r="A750" s="21" t="s">
        <v>1203</v>
      </c>
      <c r="B750" s="38">
        <v>45625.0</v>
      </c>
      <c r="C750" s="21" t="s">
        <v>30</v>
      </c>
      <c r="D750" s="21">
        <v>4.84</v>
      </c>
      <c r="E750" s="21">
        <f>IFERROR(__xludf.DUMMYFUNCTION("IF(C750=""USD"", D750, 
  IFERROR(
    D750 * INDEX(GOOGLEFINANCE(CONCATENATE(""CURRENCY:"", C750, ""USD""), ""close"", B750), 2, 2),
    IFERROR(
      D750 * INDEX(GOOGLEFINANCE(CONCATENATE(""CURRENCY:"", C750, ""USD""), ""close"", B750 - 1), 2, 2),
   "&amp;"   D750 * INDEX(GOOGLEFINANCE(CONCATENATE(""CURRENCY:"", C750, ""USD""), ""close"", B750 + 1), 2, 2)
    )
  )
)"),5.120236)</f>
        <v>5.120236</v>
      </c>
    </row>
    <row r="751">
      <c r="A751" s="21" t="s">
        <v>1200</v>
      </c>
      <c r="B751" s="38">
        <v>45625.0</v>
      </c>
      <c r="C751" s="21" t="s">
        <v>30</v>
      </c>
      <c r="D751" s="21">
        <v>25.44</v>
      </c>
      <c r="E751" s="21">
        <f>IFERROR(__xludf.DUMMYFUNCTION("IF(C751=""USD"", D751, 
  IFERROR(
    D751 * INDEX(GOOGLEFINANCE(CONCATENATE(""CURRENCY:"", C751, ""USD""), ""close"", B751), 2, 2),
    IFERROR(
      D751 * INDEX(GOOGLEFINANCE(CONCATENATE(""CURRENCY:"", C751, ""USD""), ""close"", B751 - 1), 2, 2),
   "&amp;"   D751 * INDEX(GOOGLEFINANCE(CONCATENATE(""CURRENCY:"", C751, ""USD""), ""close"", B751 + 1), 2, 2)
    )
  )
)"),26.912976000000004)</f>
        <v>26.912976</v>
      </c>
    </row>
    <row r="752">
      <c r="A752" s="21" t="s">
        <v>1197</v>
      </c>
      <c r="B752" s="38">
        <v>45625.0</v>
      </c>
      <c r="C752" s="21" t="s">
        <v>30</v>
      </c>
      <c r="D752" s="21">
        <v>21.59</v>
      </c>
      <c r="E752" s="21">
        <f>IFERROR(__xludf.DUMMYFUNCTION("IF(C752=""USD"", D752, 
  IFERROR(
    D752 * INDEX(GOOGLEFINANCE(CONCATENATE(""CURRENCY:"", C752, ""USD""), ""close"", B752), 2, 2),
    IFERROR(
      D752 * INDEX(GOOGLEFINANCE(CONCATENATE(""CURRENCY:"", C752, ""USD""), ""close"", B752 - 1), 2, 2),
   "&amp;"   D752 * INDEX(GOOGLEFINANCE(CONCATENATE(""CURRENCY:"", C752, ""USD""), ""close"", B752 + 1), 2, 2)
    )
  )
)"),22.840061000000002)</f>
        <v>22.840061</v>
      </c>
    </row>
    <row r="753">
      <c r="A753" s="21" t="s">
        <v>1196</v>
      </c>
      <c r="B753" s="38">
        <v>45625.0</v>
      </c>
      <c r="C753" s="21" t="s">
        <v>30</v>
      </c>
      <c r="D753" s="21">
        <v>2.14</v>
      </c>
      <c r="E753" s="21">
        <f>IFERROR(__xludf.DUMMYFUNCTION("IF(C753=""USD"", D753, 
  IFERROR(
    D753 * INDEX(GOOGLEFINANCE(CONCATENATE(""CURRENCY:"", C753, ""USD""), ""close"", B753), 2, 2),
    IFERROR(
      D753 * INDEX(GOOGLEFINANCE(CONCATENATE(""CURRENCY:"", C753, ""USD""), ""close"", B753 - 1), 2, 2),
   "&amp;"   D753 * INDEX(GOOGLEFINANCE(CONCATENATE(""CURRENCY:"", C753, ""USD""), ""close"", B753 + 1), 2, 2)
    )
  )
)"),2.2639060000000004)</f>
        <v>2.263906</v>
      </c>
    </row>
    <row r="754">
      <c r="A754" s="21" t="s">
        <v>1202</v>
      </c>
      <c r="B754" s="38">
        <v>45624.0</v>
      </c>
      <c r="C754" s="21" t="s">
        <v>30</v>
      </c>
      <c r="D754" s="21">
        <v>16.46</v>
      </c>
      <c r="E754" s="21">
        <f>IFERROR(__xludf.DUMMYFUNCTION("IF(C754=""USD"", D754, 
  IFERROR(
    D754 * INDEX(GOOGLEFINANCE(CONCATENATE(""CURRENCY:"", C754, ""USD""), ""close"", B754), 2, 2),
    IFERROR(
      D754 * INDEX(GOOGLEFINANCE(CONCATENATE(""CURRENCY:"", C754, ""USD""), ""close"", B754 - 1), 2, 2),
   "&amp;"   D754 * INDEX(GOOGLEFINANCE(CONCATENATE(""CURRENCY:"", C754, ""USD""), ""close"", B754 + 1), 2, 2)
    )
  )
)"),17.383570600000002)</f>
        <v>17.3835706</v>
      </c>
    </row>
    <row r="755">
      <c r="A755" s="45" t="s">
        <v>1203</v>
      </c>
      <c r="B755" s="38">
        <v>45654.0</v>
      </c>
      <c r="C755" s="11" t="s">
        <v>30</v>
      </c>
      <c r="D755" s="11">
        <v>2.14</v>
      </c>
      <c r="E755" s="21">
        <f>IFERROR(__xludf.DUMMYFUNCTION("IF(C755=""USD"", D755, 
  IFERROR(
    D755 * INDEX(GOOGLEFINANCE(CONCATENATE(""CURRENCY:"", C755, ""USD""), ""close"", B755), 2, 2),
    IFERROR(
      D755 * INDEX(GOOGLEFINANCE(CONCATENATE(""CURRENCY:"", C755, ""USD""), ""close"", B755 - 1), 2, 2),
   "&amp;"   D755 * INDEX(GOOGLEFINANCE(CONCATENATE(""CURRENCY:"", C755, ""USD""), ""close"", B755 + 1), 2, 2)
    )
  )
)"),2.231378)</f>
        <v>2.231378</v>
      </c>
    </row>
    <row r="756">
      <c r="A756" s="45" t="s">
        <v>1208</v>
      </c>
      <c r="B756" s="38">
        <v>45654.0</v>
      </c>
      <c r="C756" s="11" t="s">
        <v>30</v>
      </c>
      <c r="D756" s="11">
        <v>9.52</v>
      </c>
      <c r="E756" s="21">
        <f>IFERROR(__xludf.DUMMYFUNCTION("IF(C756=""USD"", D756, 
  IFERROR(
    D756 * INDEX(GOOGLEFINANCE(CONCATENATE(""CURRENCY:"", C756, ""USD""), ""close"", B756), 2, 2),
    IFERROR(
      D756 * INDEX(GOOGLEFINANCE(CONCATENATE(""CURRENCY:"", C756, ""USD""), ""close"", B756 - 1), 2, 2),
   "&amp;"   D756 * INDEX(GOOGLEFINANCE(CONCATENATE(""CURRENCY:"", C756, ""USD""), ""close"", B756 + 1), 2, 2)
    )
  )
)"),9.926504)</f>
        <v>9.926504</v>
      </c>
    </row>
    <row r="757">
      <c r="A757" s="45" t="s">
        <v>1202</v>
      </c>
      <c r="B757" s="38">
        <v>45654.0</v>
      </c>
      <c r="C757" s="11" t="s">
        <v>30</v>
      </c>
      <c r="D757" s="11">
        <v>62.94</v>
      </c>
      <c r="E757" s="21">
        <f>IFERROR(__xludf.DUMMYFUNCTION("IF(C757=""USD"", D757, 
  IFERROR(
    D757 * INDEX(GOOGLEFINANCE(CONCATENATE(""CURRENCY:"", C757, ""USD""), ""close"", B757), 2, 2),
    IFERROR(
      D757 * INDEX(GOOGLEFINANCE(CONCATENATE(""CURRENCY:"", C757, ""USD""), ""close"", B757 - 1), 2, 2),
   "&amp;"   D757 * INDEX(GOOGLEFINANCE(CONCATENATE(""CURRENCY:"", C757, ""USD""), ""close"", B757 + 1), 2, 2)
    )
  )
)"),65.627538)</f>
        <v>65.627538</v>
      </c>
    </row>
    <row r="758">
      <c r="A758" s="45" t="s">
        <v>1194</v>
      </c>
      <c r="B758" s="38">
        <v>45654.0</v>
      </c>
      <c r="C758" s="11" t="s">
        <v>30</v>
      </c>
      <c r="D758" s="11">
        <v>5.17</v>
      </c>
      <c r="E758" s="21">
        <f>IFERROR(__xludf.DUMMYFUNCTION("IF(C758=""USD"", D758, 
  IFERROR(
    D758 * INDEX(GOOGLEFINANCE(CONCATENATE(""CURRENCY:"", C758, ""USD""), ""close"", B758), 2, 2),
    IFERROR(
      D758 * INDEX(GOOGLEFINANCE(CONCATENATE(""CURRENCY:"", C758, ""USD""), ""close"", B758 - 1), 2, 2),
   "&amp;"   D758 * INDEX(GOOGLEFINANCE(CONCATENATE(""CURRENCY:"", C758, ""USD""), ""close"", B758 + 1), 2, 2)
    )
  )
)"),5.390759)</f>
        <v>5.390759</v>
      </c>
    </row>
    <row r="759">
      <c r="A759" s="45" t="s">
        <v>1200</v>
      </c>
      <c r="B759" s="38">
        <v>45654.0</v>
      </c>
      <c r="C759" s="11" t="s">
        <v>30</v>
      </c>
      <c r="D759" s="11">
        <v>19.51</v>
      </c>
      <c r="E759" s="21">
        <f>IFERROR(__xludf.DUMMYFUNCTION("IF(C759=""USD"", D759, 
  IFERROR(
    D759 * INDEX(GOOGLEFINANCE(CONCATENATE(""CURRENCY:"", C759, ""USD""), ""close"", B759), 2, 2),
    IFERROR(
      D759 * INDEX(GOOGLEFINANCE(CONCATENATE(""CURRENCY:"", C759, ""USD""), ""close"", B759 - 1), 2, 2),
   "&amp;"   D759 * INDEX(GOOGLEFINANCE(CONCATENATE(""CURRENCY:"", C759, ""USD""), ""close"", B759 + 1), 2, 2)
    )
  )
)"),20.343077)</f>
        <v>20.343077</v>
      </c>
    </row>
    <row r="760">
      <c r="A760" s="45" t="s">
        <v>1197</v>
      </c>
      <c r="B760" s="38">
        <v>45654.0</v>
      </c>
      <c r="C760" s="11" t="s">
        <v>30</v>
      </c>
      <c r="D760" s="11">
        <v>19.28</v>
      </c>
      <c r="E760" s="21">
        <f>IFERROR(__xludf.DUMMYFUNCTION("IF(C760=""USD"", D760, 
  IFERROR(
    D760 * INDEX(GOOGLEFINANCE(CONCATENATE(""CURRENCY:"", C760, ""USD""), ""close"", B760), 2, 2),
    IFERROR(
      D760 * INDEX(GOOGLEFINANCE(CONCATENATE(""CURRENCY:"", C760, ""USD""), ""close"", B760 - 1), 2, 2),
   "&amp;"   D760 * INDEX(GOOGLEFINANCE(CONCATENATE(""CURRENCY:"", C760, ""USD""), ""close"", B760 + 1), 2, 2)
    )
  )
)"),20.103256000000002)</f>
        <v>20.103256</v>
      </c>
    </row>
    <row r="761">
      <c r="A761" s="45" t="s">
        <v>1205</v>
      </c>
      <c r="B761" s="38">
        <v>45654.0</v>
      </c>
      <c r="C761" s="11" t="s">
        <v>30</v>
      </c>
      <c r="D761" s="11">
        <v>1.17</v>
      </c>
      <c r="E761" s="21">
        <f>IFERROR(__xludf.DUMMYFUNCTION("IF(C761=""USD"", D761, 
  IFERROR(
    D761 * INDEX(GOOGLEFINANCE(CONCATENATE(""CURRENCY:"", C761, ""USD""), ""close"", B761), 2, 2),
    IFERROR(
      D761 * INDEX(GOOGLEFINANCE(CONCATENATE(""CURRENCY:"", C761, ""USD""), ""close"", B761 - 1), 2, 2),
   "&amp;"   D761 * INDEX(GOOGLEFINANCE(CONCATENATE(""CURRENCY:"", C761, ""USD""), ""close"", B761 + 1), 2, 2)
    )
  )
)"),1.2199589999999998)</f>
        <v>1.219959</v>
      </c>
    </row>
    <row r="762">
      <c r="A762" s="46" t="s">
        <v>1207</v>
      </c>
      <c r="B762" s="42">
        <v>45686.0</v>
      </c>
      <c r="C762" s="43" t="s">
        <v>30</v>
      </c>
      <c r="D762" s="44">
        <v>1.61</v>
      </c>
      <c r="E762" s="21">
        <f>IFERROR(__xludf.DUMMYFUNCTION("IF(C762=""USD"", D762, 
  IFERROR(
    D762 * INDEX(GOOGLEFINANCE(CONCATENATE(""CURRENCY:"", C762, ""USD""), ""close"", B762), 2, 2),
    IFERROR(
      D762 * INDEX(GOOGLEFINANCE(CONCATENATE(""CURRENCY:"", C762, ""USD""), ""close"", B762 - 1), 2, 2),
   "&amp;"   D762 * INDEX(GOOGLEFINANCE(CONCATENATE(""CURRENCY:"", C762, ""USD""), ""close"", B762 + 1), 2, 2)
    )
  )
)"),1.6782962)</f>
        <v>1.6782962</v>
      </c>
    </row>
    <row r="763">
      <c r="A763" s="46" t="s">
        <v>1194</v>
      </c>
      <c r="B763" s="42">
        <v>45686.0</v>
      </c>
      <c r="C763" s="43" t="s">
        <v>30</v>
      </c>
      <c r="D763" s="44">
        <v>5.11</v>
      </c>
      <c r="E763" s="21">
        <f>IFERROR(__xludf.DUMMYFUNCTION("IF(C763=""USD"", D763, 
  IFERROR(
    D763 * INDEX(GOOGLEFINANCE(CONCATENATE(""CURRENCY:"", C763, ""USD""), ""close"", B763), 2, 2),
    IFERROR(
      D763 * INDEX(GOOGLEFINANCE(CONCATENATE(""CURRENCY:"", C763, ""USD""), ""close"", B763 - 1), 2, 2),
   "&amp;"   D763 * INDEX(GOOGLEFINANCE(CONCATENATE(""CURRENCY:"", C763, ""USD""), ""close"", B763 + 1), 2, 2)
    )
  )
)"),5.3267662)</f>
        <v>5.3267662</v>
      </c>
    </row>
    <row r="764">
      <c r="A764" s="46" t="s">
        <v>1197</v>
      </c>
      <c r="B764" s="42">
        <v>45686.0</v>
      </c>
      <c r="C764" s="43" t="s">
        <v>30</v>
      </c>
      <c r="D764" s="44">
        <v>34.17</v>
      </c>
      <c r="E764" s="21">
        <f>IFERROR(__xludf.DUMMYFUNCTION("IF(C764=""USD"", D764, 
  IFERROR(
    D764 * INDEX(GOOGLEFINANCE(CONCATENATE(""CURRENCY:"", C764, ""USD""), ""close"", B764), 2, 2),
    IFERROR(
      D764 * INDEX(GOOGLEFINANCE(CONCATENATE(""CURRENCY:"", C764, ""USD""), ""close"", B764 - 1), 2, 2),
   "&amp;"   D764 * INDEX(GOOGLEFINANCE(CONCATENATE(""CURRENCY:"", C764, ""USD""), ""close"", B764 + 1), 2, 2)
    )
  )
)"),35.6194914)</f>
        <v>35.6194914</v>
      </c>
    </row>
    <row r="765">
      <c r="A765" s="46" t="s">
        <v>1200</v>
      </c>
      <c r="B765" s="42">
        <v>45686.0</v>
      </c>
      <c r="C765" s="43" t="s">
        <v>30</v>
      </c>
      <c r="D765" s="44">
        <v>20.98</v>
      </c>
      <c r="E765" s="21">
        <f>IFERROR(__xludf.DUMMYFUNCTION("IF(C765=""USD"", D765, 
  IFERROR(
    D765 * INDEX(GOOGLEFINANCE(CONCATENATE(""CURRENCY:"", C765, ""USD""), ""close"", B765), 2, 2),
    IFERROR(
      D765 * INDEX(GOOGLEFINANCE(CONCATENATE(""CURRENCY:"", C765, ""USD""), ""close"", B765 - 1), 2, 2),
   "&amp;"   D765 * INDEX(GOOGLEFINANCE(CONCATENATE(""CURRENCY:"", C765, ""USD""), ""close"", B765 + 1), 2, 2)
    )
  )
)"),21.8699716)</f>
        <v>21.8699716</v>
      </c>
    </row>
    <row r="766">
      <c r="A766" s="46" t="s">
        <v>1202</v>
      </c>
      <c r="B766" s="42">
        <v>45686.0</v>
      </c>
      <c r="C766" s="43" t="s">
        <v>30</v>
      </c>
      <c r="D766" s="44">
        <v>36.63</v>
      </c>
      <c r="E766" s="21">
        <f>IFERROR(__xludf.DUMMYFUNCTION("IF(C766=""USD"", D766, 
  IFERROR(
    D766 * INDEX(GOOGLEFINANCE(CONCATENATE(""CURRENCY:"", C766, ""USD""), ""close"", B766), 2, 2),
    IFERROR(
      D766 * INDEX(GOOGLEFINANCE(CONCATENATE(""CURRENCY:"", C766, ""USD""), ""close"", B766 - 1), 2, 2),
   "&amp;"   D766 * INDEX(GOOGLEFINANCE(CONCATENATE(""CURRENCY:"", C766, ""USD""), ""close"", B766 + 1), 2, 2)
    )
  )
)"),38.1838446)</f>
        <v>38.1838446</v>
      </c>
    </row>
    <row r="767">
      <c r="A767" s="47" t="s">
        <v>1200</v>
      </c>
      <c r="B767" s="42">
        <v>45716.0</v>
      </c>
      <c r="C767" s="47" t="s">
        <v>30</v>
      </c>
      <c r="D767" s="13">
        <v>7.71</v>
      </c>
      <c r="E767" s="21">
        <f>IFERROR(__xludf.DUMMYFUNCTION("IF(C767=""USD"", D767, 
  IFERROR(
    D767 * INDEX(GOOGLEFINANCE(CONCATENATE(""CURRENCY:"", C767, ""USD""), ""close"", B767), 2, 2),
    IFERROR(
      D767 * INDEX(GOOGLEFINANCE(CONCATENATE(""CURRENCY:"", C767, ""USD""), ""close"", B767 - 1), 2, 2),
   "&amp;"   D767 * INDEX(GOOGLEFINANCE(CONCATENATE(""CURRENCY:"", C767, ""USD""), ""close"", B767 + 1), 2, 2)
    )
  )
)"),7.999896000000001)</f>
        <v>7.999896</v>
      </c>
    </row>
    <row r="768">
      <c r="A768" s="47" t="s">
        <v>1197</v>
      </c>
      <c r="B768" s="42">
        <v>45716.0</v>
      </c>
      <c r="C768" s="47" t="s">
        <v>30</v>
      </c>
      <c r="D768" s="13">
        <v>33.57</v>
      </c>
      <c r="E768" s="21">
        <f>IFERROR(__xludf.DUMMYFUNCTION("IF(C768=""USD"", D768, 
  IFERROR(
    D768 * INDEX(GOOGLEFINANCE(CONCATENATE(""CURRENCY:"", C768, ""USD""), ""close"", B768), 2, 2),
    IFERROR(
      D768 * INDEX(GOOGLEFINANCE(CONCATENATE(""CURRENCY:"", C768, ""USD""), ""close"", B768 - 1), 2, 2),
   "&amp;"   D768 * INDEX(GOOGLEFINANCE(CONCATENATE(""CURRENCY:"", C768, ""USD""), ""close"", B768 + 1), 2, 2)
    )
  )
)"),34.832232000000005)</f>
        <v>34.832232</v>
      </c>
    </row>
    <row r="769">
      <c r="A769" s="47" t="s">
        <v>1203</v>
      </c>
      <c r="B769" s="42">
        <v>45716.0</v>
      </c>
      <c r="C769" s="47" t="s">
        <v>30</v>
      </c>
      <c r="D769" s="13">
        <v>7.1</v>
      </c>
      <c r="E769" s="21">
        <f>IFERROR(__xludf.DUMMYFUNCTION("IF(C769=""USD"", D769, 
  IFERROR(
    D769 * INDEX(GOOGLEFINANCE(CONCATENATE(""CURRENCY:"", C769, ""USD""), ""close"", B769), 2, 2),
    IFERROR(
      D769 * INDEX(GOOGLEFINANCE(CONCATENATE(""CURRENCY:"", C769, ""USD""), ""close"", B769 - 1), 2, 2),
   "&amp;"   D769 * INDEX(GOOGLEFINANCE(CONCATENATE(""CURRENCY:"", C769, ""USD""), ""close"", B769 + 1), 2, 2)
    )
  )
)"),7.366960000000001)</f>
        <v>7.36696</v>
      </c>
    </row>
    <row r="770">
      <c r="A770" s="47" t="s">
        <v>1202</v>
      </c>
      <c r="B770" s="42">
        <v>45716.0</v>
      </c>
      <c r="C770" s="47" t="s">
        <v>30</v>
      </c>
      <c r="D770" s="13">
        <v>56.4</v>
      </c>
      <c r="E770" s="21">
        <f>IFERROR(__xludf.DUMMYFUNCTION("IF(C770=""USD"", D770, 
  IFERROR(
    D770 * INDEX(GOOGLEFINANCE(CONCATENATE(""CURRENCY:"", C770, ""USD""), ""close"", B770), 2, 2),
    IFERROR(
      D770 * INDEX(GOOGLEFINANCE(CONCATENATE(""CURRENCY:"", C770, ""USD""), ""close"", B770 - 1), 2, 2),
   "&amp;"   D770 * INDEX(GOOGLEFINANCE(CONCATENATE(""CURRENCY:"", C770, ""USD""), ""close"", B770 + 1), 2, 2)
    )
  )
)"),58.52064)</f>
        <v>58.52064</v>
      </c>
    </row>
    <row r="771">
      <c r="A771" s="47" t="s">
        <v>1194</v>
      </c>
      <c r="B771" s="42">
        <v>45716.0</v>
      </c>
      <c r="C771" s="47" t="s">
        <v>30</v>
      </c>
      <c r="D771" s="13">
        <v>6.81</v>
      </c>
      <c r="E771" s="21">
        <f>IFERROR(__xludf.DUMMYFUNCTION("IF(C771=""USD"", D771, 
  IFERROR(
    D771 * INDEX(GOOGLEFINANCE(CONCATENATE(""CURRENCY:"", C771, ""USD""), ""close"", B771), 2, 2),
    IFERROR(
      D771 * INDEX(GOOGLEFINANCE(CONCATENATE(""CURRENCY:"", C771, ""USD""), ""close"", B771 - 1), 2, 2),
   "&amp;"   D771 * INDEX(GOOGLEFINANCE(CONCATENATE(""CURRENCY:"", C771, ""USD""), ""close"", B771 + 1), 2, 2)
    )
  )
)"),7.066056000000001)</f>
        <v>7.066056</v>
      </c>
    </row>
    <row r="772">
      <c r="A772" s="47" t="s">
        <v>1196</v>
      </c>
      <c r="B772" s="42">
        <v>45716.0</v>
      </c>
      <c r="C772" s="47" t="s">
        <v>30</v>
      </c>
      <c r="D772" s="13">
        <v>4.84</v>
      </c>
      <c r="E772" s="21">
        <f>IFERROR(__xludf.DUMMYFUNCTION("IF(C772=""USD"", D772, 
  IFERROR(
    D772 * INDEX(GOOGLEFINANCE(CONCATENATE(""CURRENCY:"", C772, ""USD""), ""close"", B772), 2, 2),
    IFERROR(
      D772 * INDEX(GOOGLEFINANCE(CONCATENATE(""CURRENCY:"", C772, ""USD""), ""close"", B772 - 1), 2, 2),
   "&amp;"   D772 * INDEX(GOOGLEFINANCE(CONCATENATE(""CURRENCY:"", C772, ""USD""), ""close"", B772 + 1), 2, 2)
    )
  )
)"),5.021984000000001)</f>
        <v>5.021984</v>
      </c>
    </row>
    <row r="773">
      <c r="A773" s="45" t="s">
        <v>1203</v>
      </c>
      <c r="B773" s="38">
        <v>45745.0</v>
      </c>
      <c r="C773" s="11" t="s">
        <v>30</v>
      </c>
      <c r="D773" s="11">
        <v>4.84</v>
      </c>
      <c r="E773" s="21">
        <f>IFERROR(__xludf.DUMMYFUNCTION("IF(C773=""USD"", D773, 
  IFERROR(
    D773 * INDEX(GOOGLEFINANCE(CONCATENATE(""CURRENCY:"", C773, ""USD""), ""close"", B773), 2, 2),
    IFERROR(
      D773 * INDEX(GOOGLEFINANCE(CONCATENATE(""CURRENCY:"", C773, ""USD""), ""close"", B773 - 1), 2, 2),
   "&amp;"   D773 * INDEX(GOOGLEFINANCE(CONCATENATE(""CURRENCY:"", C773, ""USD""), ""close"", B773 + 1), 2, 2)
    )
  )
)"),5.267372)</f>
        <v>5.267372</v>
      </c>
    </row>
    <row r="774">
      <c r="A774" s="45" t="s">
        <v>1197</v>
      </c>
      <c r="B774" s="38">
        <v>45745.0</v>
      </c>
      <c r="C774" s="11" t="s">
        <v>30</v>
      </c>
      <c r="D774" s="11">
        <v>13.26</v>
      </c>
      <c r="E774" s="21">
        <f>IFERROR(__xludf.DUMMYFUNCTION("IF(C774=""USD"", D774, 
  IFERROR(
    D774 * INDEX(GOOGLEFINANCE(CONCATENATE(""CURRENCY:"", C774, ""USD""), ""close"", B774), 2, 2),
    IFERROR(
      D774 * INDEX(GOOGLEFINANCE(CONCATENATE(""CURRENCY:"", C774, ""USD""), ""close"", B774 - 1), 2, 2),
   "&amp;"   D774 * INDEX(GOOGLEFINANCE(CONCATENATE(""CURRENCY:"", C774, ""USD""), ""close"", B774 + 1), 2, 2)
    )
  )
)"),14.430858)</f>
        <v>14.430858</v>
      </c>
    </row>
    <row r="775">
      <c r="A775" s="45" t="s">
        <v>1196</v>
      </c>
      <c r="B775" s="38">
        <v>45745.0</v>
      </c>
      <c r="C775" s="11" t="s">
        <v>30</v>
      </c>
      <c r="D775" s="11">
        <v>8.64</v>
      </c>
      <c r="E775" s="21">
        <f>IFERROR(__xludf.DUMMYFUNCTION("IF(C775=""USD"", D775, 
  IFERROR(
    D775 * INDEX(GOOGLEFINANCE(CONCATENATE(""CURRENCY:"", C775, ""USD""), ""close"", B775), 2, 2),
    IFERROR(
      D775 * INDEX(GOOGLEFINANCE(CONCATENATE(""CURRENCY:"", C775, ""USD""), ""close"", B775 - 1), 2, 2),
   "&amp;"   D775 * INDEX(GOOGLEFINANCE(CONCATENATE(""CURRENCY:"", C775, ""USD""), ""close"", B775 + 1), 2, 2)
    )
  )
)"),9.402912)</f>
        <v>9.402912</v>
      </c>
    </row>
    <row r="776">
      <c r="A776" s="45" t="s">
        <v>1194</v>
      </c>
      <c r="B776" s="38">
        <v>45745.0</v>
      </c>
      <c r="C776" s="11" t="s">
        <v>30</v>
      </c>
      <c r="D776" s="11">
        <v>3.61</v>
      </c>
      <c r="E776" s="21">
        <f>IFERROR(__xludf.DUMMYFUNCTION("IF(C776=""USD"", D776, 
  IFERROR(
    D776 * INDEX(GOOGLEFINANCE(CONCATENATE(""CURRENCY:"", C776, ""USD""), ""close"", B776), 2, 2),
    IFERROR(
      D776 * INDEX(GOOGLEFINANCE(CONCATENATE(""CURRENCY:"", C776, ""USD""), ""close"", B776 - 1), 2, 2),
   "&amp;"   D776 * INDEX(GOOGLEFINANCE(CONCATENATE(""CURRENCY:"", C776, ""USD""), ""close"", B776 + 1), 2, 2)
    )
  )
)"),3.928763)</f>
        <v>3.928763</v>
      </c>
    </row>
    <row r="777">
      <c r="A777" s="45" t="s">
        <v>1200</v>
      </c>
      <c r="B777" s="38">
        <v>45745.0</v>
      </c>
      <c r="C777" s="11" t="s">
        <v>30</v>
      </c>
      <c r="D777" s="11">
        <v>12.31</v>
      </c>
      <c r="E777" s="21">
        <f>IFERROR(__xludf.DUMMYFUNCTION("IF(C777=""USD"", D777, 
  IFERROR(
    D777 * INDEX(GOOGLEFINANCE(CONCATENATE(""CURRENCY:"", C777, ""USD""), ""close"", B777), 2, 2),
    IFERROR(
      D777 * INDEX(GOOGLEFINANCE(CONCATENATE(""CURRENCY:"", C777, ""USD""), ""close"", B777 - 1), 2, 2),
   "&amp;"   D777 * INDEX(GOOGLEFINANCE(CONCATENATE(""CURRENCY:"", C777, ""USD""), ""close"", B777 + 1), 2, 2)
    )
  )
)"),13.396973000000001)</f>
        <v>13.396973</v>
      </c>
    </row>
    <row r="778">
      <c r="A778" s="45" t="s">
        <v>1204</v>
      </c>
      <c r="B778" s="38">
        <v>45745.0</v>
      </c>
      <c r="C778" s="11" t="s">
        <v>30</v>
      </c>
      <c r="D778" s="11">
        <v>3.88</v>
      </c>
      <c r="E778" s="21">
        <f>IFERROR(__xludf.DUMMYFUNCTION("IF(C778=""USD"", D778, 
  IFERROR(
    D778 * INDEX(GOOGLEFINANCE(CONCATENATE(""CURRENCY:"", C778, ""USD""), ""close"", B778), 2, 2),
    IFERROR(
      D778 * INDEX(GOOGLEFINANCE(CONCATENATE(""CURRENCY:"", C778, ""USD""), ""close"", B778 - 1), 2, 2),
   "&amp;"   D778 * INDEX(GOOGLEFINANCE(CONCATENATE(""CURRENCY:"", C778, ""USD""), ""close"", B778 + 1), 2, 2)
    )
  )
)"),4.2226040000000005)</f>
        <v>4.222604</v>
      </c>
    </row>
    <row r="779">
      <c r="A779" s="45" t="s">
        <v>1202</v>
      </c>
      <c r="B779" s="38">
        <v>45745.0</v>
      </c>
      <c r="C779" s="11" t="s">
        <v>30</v>
      </c>
      <c r="D779" s="11">
        <v>19.45</v>
      </c>
      <c r="E779" s="21">
        <f>IFERROR(__xludf.DUMMYFUNCTION("IF(C779=""USD"", D779, 
  IFERROR(
    D779 * INDEX(GOOGLEFINANCE(CONCATENATE(""CURRENCY:"", C779, ""USD""), ""close"", B779), 2, 2),
    IFERROR(
      D779 * INDEX(GOOGLEFINANCE(CONCATENATE(""CURRENCY:"", C779, ""USD""), ""close"", B779 - 1), 2, 2),
   "&amp;"   D779 * INDEX(GOOGLEFINANCE(CONCATENATE(""CURRENCY:"", C779, ""USD""), ""close"", B779 + 1), 2, 2)
    )
  )
)"),21.167435)</f>
        <v>21.167435</v>
      </c>
    </row>
    <row r="780">
      <c r="A780" s="45" t="s">
        <v>1200</v>
      </c>
      <c r="B780" s="38">
        <v>45776.0</v>
      </c>
      <c r="C780" s="11" t="s">
        <v>30</v>
      </c>
      <c r="D780" s="11">
        <v>5.33</v>
      </c>
      <c r="E780" s="21">
        <f>IFERROR(__xludf.DUMMYFUNCTION("IF(C780=""USD"", D780, 
  IFERROR(
    D780 * INDEX(GOOGLEFINANCE(CONCATENATE(""CURRENCY:"", C780, ""USD""), ""close"", B780), 2, 2),
    IFERROR(
      D780 * INDEX(GOOGLEFINANCE(CONCATENATE(""CURRENCY:"", C780, ""USD""), ""close"", B780 - 1), 2, 2),
   "&amp;"   D780 * INDEX(GOOGLEFINANCE(CONCATENATE(""CURRENCY:"", C780, ""USD""), ""close"", B780 + 1), 2, 2)
    )
  )
)"),6.069857300000001)</f>
        <v>6.0698573</v>
      </c>
    </row>
    <row r="781">
      <c r="A781" s="45" t="s">
        <v>1194</v>
      </c>
      <c r="B781" s="38">
        <v>45776.0</v>
      </c>
      <c r="C781" s="11" t="s">
        <v>30</v>
      </c>
      <c r="D781" s="11">
        <v>7.67</v>
      </c>
      <c r="E781" s="21">
        <f>IFERROR(__xludf.DUMMYFUNCTION("IF(C781=""USD"", D781, 
  IFERROR(
    D781 * INDEX(GOOGLEFINANCE(CONCATENATE(""CURRENCY:"", C781, ""USD""), ""close"", B781), 2, 2),
    IFERROR(
      D781 * INDEX(GOOGLEFINANCE(CONCATENATE(""CURRENCY:"", C781, ""USD""), ""close"", B781 - 1), 2, 2),
   "&amp;"   D781 * INDEX(GOOGLEFINANCE(CONCATENATE(""CURRENCY:"", C781, ""USD""), ""close"", B781 + 1), 2, 2)
    )
  )
)"),8.7346727)</f>
        <v>8.7346727</v>
      </c>
    </row>
    <row r="782">
      <c r="A782" s="45" t="s">
        <v>1203</v>
      </c>
      <c r="B782" s="38">
        <v>45776.0</v>
      </c>
      <c r="C782" s="11" t="s">
        <v>30</v>
      </c>
      <c r="D782" s="11">
        <v>11.82</v>
      </c>
      <c r="E782" s="21">
        <f>IFERROR(__xludf.DUMMYFUNCTION("IF(C782=""USD"", D782, 
  IFERROR(
    D782 * INDEX(GOOGLEFINANCE(CONCATENATE(""CURRENCY:"", C782, ""USD""), ""close"", B782), 2, 2),
    IFERROR(
      D782 * INDEX(GOOGLEFINANCE(CONCATENATE(""CURRENCY:"", C782, ""USD""), ""close"", B782 - 1), 2, 2),
   "&amp;"   D782 * INDEX(GOOGLEFINANCE(CONCATENATE(""CURRENCY:"", C782, ""USD""), ""close"", B782 + 1), 2, 2)
    )
  )
)"),13.460734200000001)</f>
        <v>13.4607342</v>
      </c>
    </row>
    <row r="783">
      <c r="A783" s="45" t="s">
        <v>1197</v>
      </c>
      <c r="B783" s="38">
        <v>45776.0</v>
      </c>
      <c r="C783" s="11" t="s">
        <v>30</v>
      </c>
      <c r="D783" s="11">
        <v>26.94</v>
      </c>
      <c r="E783" s="21">
        <f>IFERROR(__xludf.DUMMYFUNCTION("IF(C783=""USD"", D783, 
  IFERROR(
    D783 * INDEX(GOOGLEFINANCE(CONCATENATE(""CURRENCY:"", C783, ""USD""), ""close"", B783), 2, 2),
    IFERROR(
      D783 * INDEX(GOOGLEFINANCE(CONCATENATE(""CURRENCY:"", C783, ""USD""), ""close"", B783 - 1), 2, 2),
   "&amp;"   D783 * INDEX(GOOGLEFINANCE(CONCATENATE(""CURRENCY:"", C783, ""USD""), ""close"", B783 + 1), 2, 2)
    )
  )
)"),30.679541400000005)</f>
        <v>30.6795414</v>
      </c>
    </row>
    <row r="784">
      <c r="A784" s="45" t="s">
        <v>1201</v>
      </c>
      <c r="B784" s="38">
        <v>45776.0</v>
      </c>
      <c r="C784" s="11" t="s">
        <v>30</v>
      </c>
      <c r="D784" s="11">
        <v>1.56</v>
      </c>
      <c r="E784" s="21">
        <f>IFERROR(__xludf.DUMMYFUNCTION("IF(C784=""USD"", D784, 
  IFERROR(
    D784 * INDEX(GOOGLEFINANCE(CONCATENATE(""CURRENCY:"", C784, ""USD""), ""close"", B784), 2, 2),
    IFERROR(
      D784 * INDEX(GOOGLEFINANCE(CONCATENATE(""CURRENCY:"", C784, ""USD""), ""close"", B784 - 1), 2, 2),
   "&amp;"   D784 * INDEX(GOOGLEFINANCE(CONCATENATE(""CURRENCY:"", C784, ""USD""), ""close"", B784 + 1), 2, 2)
    )
  )
)"),1.7765436000000001)</f>
        <v>1.7765436</v>
      </c>
    </row>
    <row r="785">
      <c r="A785" s="45" t="s">
        <v>1202</v>
      </c>
      <c r="B785" s="38">
        <v>45776.0</v>
      </c>
      <c r="C785" s="11" t="s">
        <v>30</v>
      </c>
      <c r="D785" s="11">
        <v>83.23</v>
      </c>
      <c r="E785" s="21">
        <f>IFERROR(__xludf.DUMMYFUNCTION("IF(C785=""USD"", D785, 
  IFERROR(
    D785 * INDEX(GOOGLEFINANCE(CONCATENATE(""CURRENCY:"", C785, ""USD""), ""close"", B785), 2, 2),
    IFERROR(
      D785 * INDEX(GOOGLEFINANCE(CONCATENATE(""CURRENCY:"", C785, ""USD""), ""close"", B785 - 1), 2, 2),
   "&amp;"   D785 * INDEX(GOOGLEFINANCE(CONCATENATE(""CURRENCY:"", C785, ""USD""), ""close"", B785 + 1), 2, 2)
    )
  )
)"),94.78315630000002)</f>
        <v>94.7831563</v>
      </c>
    </row>
    <row r="786">
      <c r="A786" s="45" t="s">
        <v>1206</v>
      </c>
      <c r="B786" s="38">
        <v>45776.0</v>
      </c>
      <c r="C786" s="11" t="s">
        <v>30</v>
      </c>
      <c r="D786" s="11">
        <v>0.12</v>
      </c>
      <c r="E786" s="21">
        <f>IFERROR(__xludf.DUMMYFUNCTION("IF(C786=""USD"", D786, 
  IFERROR(
    D786 * INDEX(GOOGLEFINANCE(CONCATENATE(""CURRENCY:"", C786, ""USD""), ""close"", B786), 2, 2),
    IFERROR(
      D786 * INDEX(GOOGLEFINANCE(CONCATENATE(""CURRENCY:"", C786, ""USD""), ""close"", B786 - 1), 2, 2),
   "&amp;"   D786 * INDEX(GOOGLEFINANCE(CONCATENATE(""CURRENCY:"", C786, ""USD""), ""close"", B786 + 1), 2, 2)
    )
  )
)"),0.1366572)</f>
        <v>0.1366572</v>
      </c>
    </row>
    <row r="787">
      <c r="A787" s="45" t="s">
        <v>1204</v>
      </c>
      <c r="B787" s="38">
        <v>45806.0</v>
      </c>
      <c r="C787" s="11" t="s">
        <v>30</v>
      </c>
      <c r="D787" s="11">
        <v>2.14</v>
      </c>
      <c r="E787" s="21">
        <f>IFERROR(__xludf.DUMMYFUNCTION("IF(C787=""USD"", D787, 
  IFERROR(
    D787 * INDEX(GOOGLEFINANCE(CONCATENATE(""CURRENCY:"", C787, ""USD""), ""close"", B787), 2, 2),
    IFERROR(
      D787 * INDEX(GOOGLEFINANCE(CONCATENATE(""CURRENCY:"", C787, ""USD""), ""close"", B787 - 1), 2, 2),
   "&amp;"   D787 * INDEX(GOOGLEFINANCE(CONCATENATE(""CURRENCY:"", C787, ""USD""), ""close"", B787 + 1), 2, 2)
    )
  )
)"),2.4346352)</f>
        <v>2.4346352</v>
      </c>
    </row>
    <row r="788">
      <c r="A788" s="45" t="s">
        <v>1194</v>
      </c>
      <c r="B788" s="38">
        <v>45806.0</v>
      </c>
      <c r="C788" s="11" t="s">
        <v>30</v>
      </c>
      <c r="D788" s="11">
        <v>7.37</v>
      </c>
      <c r="E788" s="21">
        <f>IFERROR(__xludf.DUMMYFUNCTION("IF(C788=""USD"", D788, 
  IFERROR(
    D788 * INDEX(GOOGLEFINANCE(CONCATENATE(""CURRENCY:"", C788, ""USD""), ""close"", B788), 2, 2),
    IFERROR(
      D788 * INDEX(GOOGLEFINANCE(CONCATENATE(""CURRENCY:"", C788, ""USD""), ""close"", B788 - 1), 2, 2),
   "&amp;"   D788 * INDEX(GOOGLEFINANCE(CONCATENATE(""CURRENCY:"", C788, ""USD""), ""close"", B788 + 1), 2, 2)
    )
  )
)"),8.3847016)</f>
        <v>8.3847016</v>
      </c>
    </row>
    <row r="789">
      <c r="A789" s="45" t="s">
        <v>1202</v>
      </c>
      <c r="B789" s="38">
        <v>45806.0</v>
      </c>
      <c r="C789" s="11" t="s">
        <v>30</v>
      </c>
      <c r="D789" s="11">
        <v>35.37</v>
      </c>
      <c r="E789" s="21">
        <f>IFERROR(__xludf.DUMMYFUNCTION("IF(C789=""USD"", D789, 
  IFERROR(
    D789 * INDEX(GOOGLEFINANCE(CONCATENATE(""CURRENCY:"", C789, ""USD""), ""close"", B789), 2, 2),
    IFERROR(
      D789 * INDEX(GOOGLEFINANCE(CONCATENATE(""CURRENCY:"", C789, ""USD""), ""close"", B789 - 1), 2, 2),
   "&amp;"   D789 * INDEX(GOOGLEFINANCE(CONCATENATE(""CURRENCY:"", C789, ""USD""), ""close"", B789 + 1), 2, 2)
    )
  )
)"),40.239741599999995)</f>
        <v>40.2397416</v>
      </c>
    </row>
    <row r="790">
      <c r="A790" s="45" t="s">
        <v>1197</v>
      </c>
      <c r="B790" s="38">
        <v>45806.0</v>
      </c>
      <c r="C790" s="11" t="s">
        <v>30</v>
      </c>
      <c r="D790" s="11">
        <v>6.31</v>
      </c>
      <c r="E790" s="21">
        <f>IFERROR(__xludf.DUMMYFUNCTION("IF(C790=""USD"", D790, 
  IFERROR(
    D790 * INDEX(GOOGLEFINANCE(CONCATENATE(""CURRENCY:"", C790, ""USD""), ""close"", B790), 2, 2),
    IFERROR(
      D790 * INDEX(GOOGLEFINANCE(CONCATENATE(""CURRENCY:"", C790, ""USD""), ""close"", B790 - 1), 2, 2),
   "&amp;"   D790 * INDEX(GOOGLEFINANCE(CONCATENATE(""CURRENCY:"", C790, ""USD""), ""close"", B790 + 1), 2, 2)
    )
  )
)"),7.1787608)</f>
        <v>7.1787608</v>
      </c>
    </row>
    <row r="791">
      <c r="A791" s="45" t="s">
        <v>1203</v>
      </c>
      <c r="B791" s="38">
        <v>45806.0</v>
      </c>
      <c r="C791" s="11" t="s">
        <v>30</v>
      </c>
      <c r="D791" s="11">
        <v>6.42</v>
      </c>
      <c r="E791" s="21">
        <f>IFERROR(__xludf.DUMMYFUNCTION("IF(C791=""USD"", D791, 
  IFERROR(
    D791 * INDEX(GOOGLEFINANCE(CONCATENATE(""CURRENCY:"", C791, ""USD""), ""close"", B791), 2, 2),
    IFERROR(
      D791 * INDEX(GOOGLEFINANCE(CONCATENATE(""CURRENCY:"", C791, ""USD""), ""close"", B791 - 1), 2, 2),
   "&amp;"   D791 * INDEX(GOOGLEFINANCE(CONCATENATE(""CURRENCY:"", C791, ""USD""), ""close"", B791 + 1), 2, 2)
    )
  )
)"),7.3039056)</f>
        <v>7.3039056</v>
      </c>
    </row>
    <row r="792">
      <c r="A792" s="45" t="s">
        <v>1210</v>
      </c>
      <c r="B792" s="38">
        <v>45837.0</v>
      </c>
      <c r="C792" s="11" t="s">
        <v>30</v>
      </c>
      <c r="D792" s="11">
        <v>2.82</v>
      </c>
      <c r="E792" s="21">
        <f>IFERROR(__xludf.DUMMYFUNCTION("IF(C792=""USD"", D792, 
  IFERROR(
    D792 * INDEX(GOOGLEFINANCE(CONCATENATE(""CURRENCY:"", C792, ""USD""), ""close"", B792), 2, 2),
    IFERROR(
      D792 * INDEX(GOOGLEFINANCE(CONCATENATE(""CURRENCY:"", C792, ""USD""), ""close"", B792 - 1), 2, 2),
   "&amp;"   D792 * INDEX(GOOGLEFINANCE(CONCATENATE(""CURRENCY:"", C792, ""USD""), ""close"", B792 + 1), 2, 2)
    )
  )
)"),3.3068166)</f>
        <v>3.3068166</v>
      </c>
    </row>
    <row r="793">
      <c r="A793" s="45" t="s">
        <v>1194</v>
      </c>
      <c r="B793" s="38">
        <v>45837.0</v>
      </c>
      <c r="C793" s="11" t="s">
        <v>30</v>
      </c>
      <c r="D793" s="11">
        <v>1.26</v>
      </c>
      <c r="E793" s="21">
        <f>IFERROR(__xludf.DUMMYFUNCTION("IF(C793=""USD"", D793, 
  IFERROR(
    D793 * INDEX(GOOGLEFINANCE(CONCATENATE(""CURRENCY:"", C793, ""USD""), ""close"", B793), 2, 2),
    IFERROR(
      D793 * INDEX(GOOGLEFINANCE(CONCATENATE(""CURRENCY:"", C793, ""USD""), ""close"", B793 - 1), 2, 2),
   "&amp;"   D793 * INDEX(GOOGLEFINANCE(CONCATENATE(""CURRENCY:"", C793, ""USD""), ""close"", B793 + 1), 2, 2)
    )
  )
)"),1.4775138)</f>
        <v>1.4775138</v>
      </c>
    </row>
    <row r="794">
      <c r="A794" s="45" t="s">
        <v>1202</v>
      </c>
      <c r="B794" s="38">
        <v>45837.0</v>
      </c>
      <c r="C794" s="11" t="s">
        <v>30</v>
      </c>
      <c r="D794" s="11">
        <v>16.89</v>
      </c>
      <c r="E794" s="21">
        <f>IFERROR(__xludf.DUMMYFUNCTION("IF(C794=""USD"", D794, 
  IFERROR(
    D794 * INDEX(GOOGLEFINANCE(CONCATENATE(""CURRENCY:"", C794, ""USD""), ""close"", B794), 2, 2),
    IFERROR(
      D794 * INDEX(GOOGLEFINANCE(CONCATENATE(""CURRENCY:"", C794, ""USD""), ""close"", B794 - 1), 2, 2),
   "&amp;"   D794 * INDEX(GOOGLEFINANCE(CONCATENATE(""CURRENCY:"", C794, ""USD""), ""close"", B794 + 1), 2, 2)
    )
  )
)"),19.805720700000002)</f>
        <v>19.8057207</v>
      </c>
    </row>
    <row r="795">
      <c r="A795" s="45" t="s">
        <v>1196</v>
      </c>
      <c r="B795" s="38">
        <v>45837.0</v>
      </c>
      <c r="C795" s="11" t="s">
        <v>30</v>
      </c>
      <c r="D795" s="11">
        <v>0.07</v>
      </c>
      <c r="E795" s="21">
        <f>IFERROR(__xludf.DUMMYFUNCTION("IF(C795=""USD"", D795, 
  IFERROR(
    D795 * INDEX(GOOGLEFINANCE(CONCATENATE(""CURRENCY:"", C795, ""USD""), ""close"", B795), 2, 2),
    IFERROR(
      D795 * INDEX(GOOGLEFINANCE(CONCATENATE(""CURRENCY:"", C795, ""USD""), ""close"", B795 - 1), 2, 2),
   "&amp;"   D795 * INDEX(GOOGLEFINANCE(CONCATENATE(""CURRENCY:"", C795, ""USD""), ""close"", B795 + 1), 2, 2)
    )
  )
)"),0.08208410000000001)</f>
        <v>0.0820841</v>
      </c>
    </row>
    <row r="796">
      <c r="A796" s="45" t="s">
        <v>1203</v>
      </c>
      <c r="B796" s="38">
        <v>45837.0</v>
      </c>
      <c r="C796" s="11" t="s">
        <v>30</v>
      </c>
      <c r="D796" s="11">
        <v>2.14</v>
      </c>
      <c r="E796" s="21">
        <f>IFERROR(__xludf.DUMMYFUNCTION("IF(C796=""USD"", D796, 
  IFERROR(
    D796 * INDEX(GOOGLEFINANCE(CONCATENATE(""CURRENCY:"", C796, ""USD""), ""close"", B796), 2, 2),
    IFERROR(
      D796 * INDEX(GOOGLEFINANCE(CONCATENATE(""CURRENCY:"", C796, ""USD""), ""close"", B796 - 1), 2, 2),
   "&amp;"   D796 * INDEX(GOOGLEFINANCE(CONCATENATE(""CURRENCY:"", C796, ""USD""), ""close"", B796 + 1), 2, 2)
    )
  )
)"),2.5094282000000003)</f>
        <v>2.5094282</v>
      </c>
    </row>
    <row r="797">
      <c r="A797" s="45" t="s">
        <v>1197</v>
      </c>
      <c r="B797" s="38">
        <v>45837.0</v>
      </c>
      <c r="C797" s="11" t="s">
        <v>30</v>
      </c>
      <c r="D797" s="11">
        <v>17.82</v>
      </c>
      <c r="E797" s="21">
        <f>IFERROR(__xludf.DUMMYFUNCTION("IF(C797=""USD"", D797, 
  IFERROR(
    D797 * INDEX(GOOGLEFINANCE(CONCATENATE(""CURRENCY:"", C797, ""USD""), ""close"", B797), 2, 2),
    IFERROR(
      D797 * INDEX(GOOGLEFINANCE(CONCATENATE(""CURRENCY:"", C797, ""USD""), ""close"", B797 - 1), 2, 2),
   "&amp;"   D797 * INDEX(GOOGLEFINANCE(CONCATENATE(""CURRENCY:"", C797, ""USD""), ""close"", B797 + 1), 2, 2)
    )
  )
)"),20.8962666)</f>
        <v>20.8962666</v>
      </c>
    </row>
    <row r="798">
      <c r="A798" s="45" t="s">
        <v>1200</v>
      </c>
      <c r="B798" s="38">
        <v>45837.0</v>
      </c>
      <c r="C798" s="11" t="s">
        <v>30</v>
      </c>
      <c r="D798" s="11">
        <v>0.27</v>
      </c>
      <c r="E798" s="21">
        <f>IFERROR(__xludf.DUMMYFUNCTION("IF(C798=""USD"", D798, 
  IFERROR(
    D798 * INDEX(GOOGLEFINANCE(CONCATENATE(""CURRENCY:"", C798, ""USD""), ""close"", B798), 2, 2),
    IFERROR(
      D798 * INDEX(GOOGLEFINANCE(CONCATENATE(""CURRENCY:"", C798, ""USD""), ""close"", B798 - 1), 2, 2),
   "&amp;"   D798 * INDEX(GOOGLEFINANCE(CONCATENATE(""CURRENCY:"", C798, ""USD""), ""close"", B798 + 1), 2, 2)
    )
  )
)"),0.31661010000000006)</f>
        <v>0.3166101</v>
      </c>
    </row>
    <row r="799">
      <c r="A799" s="45" t="s">
        <v>1209</v>
      </c>
      <c r="B799" s="38">
        <v>45837.0</v>
      </c>
      <c r="C799" s="11" t="s">
        <v>30</v>
      </c>
      <c r="D799" s="11">
        <v>0.38</v>
      </c>
      <c r="E799" s="21">
        <f>IFERROR(__xludf.DUMMYFUNCTION("IF(C799=""USD"", D799, 
  IFERROR(
    D799 * INDEX(GOOGLEFINANCE(CONCATENATE(""CURRENCY:"", C799, ""USD""), ""close"", B799), 2, 2),
    IFERROR(
      D799 * INDEX(GOOGLEFINANCE(CONCATENATE(""CURRENCY:"", C799, ""USD""), ""close"", B799 - 1), 2, 2),
   "&amp;"   D799 * INDEX(GOOGLEFINANCE(CONCATENATE(""CURRENCY:"", C799, ""USD""), ""close"", B799 + 1), 2, 2)
    )
  )
)"),0.44559940000000003)</f>
        <v>0.4455994</v>
      </c>
    </row>
    <row r="800">
      <c r="A800" s="47" t="s">
        <v>1202</v>
      </c>
      <c r="B800" s="38">
        <v>45867.0</v>
      </c>
      <c r="C800" s="47" t="s">
        <v>30</v>
      </c>
      <c r="D800" s="13">
        <v>33.75</v>
      </c>
      <c r="E800" s="21">
        <f>IFERROR(__xludf.DUMMYFUNCTION("IF(C800=""USD"", D800, 
  IFERROR(
    D800 * INDEX(GOOGLEFINANCE(CONCATENATE(""CURRENCY:"", C800, ""USD""), ""close"", B800), 2, 2),
    IFERROR(
      D800 * INDEX(GOOGLEFINANCE(CONCATENATE(""CURRENCY:"", C800, ""USD""), ""close"", B800 - 1), 2, 2),
   "&amp;"   D800 * INDEX(GOOGLEFINANCE(CONCATENATE(""CURRENCY:"", C800, ""USD""), ""close"", B800 + 1), 2, 2)
    )
  )
)"),38.9802375)</f>
        <v>38.9802375</v>
      </c>
    </row>
    <row r="801">
      <c r="A801" s="47" t="s">
        <v>1194</v>
      </c>
      <c r="B801" s="38">
        <v>45867.0</v>
      </c>
      <c r="C801" s="47" t="s">
        <v>30</v>
      </c>
      <c r="D801" s="13">
        <v>6.91</v>
      </c>
      <c r="E801" s="21">
        <f>IFERROR(__xludf.DUMMYFUNCTION("IF(C801=""USD"", D801, 
  IFERROR(
    D801 * INDEX(GOOGLEFINANCE(CONCATENATE(""CURRENCY:"", C801, ""USD""), ""close"", B801), 2, 2),
    IFERROR(
      D801 * INDEX(GOOGLEFINANCE(CONCATENATE(""CURRENCY:"", C801, ""USD""), ""close"", B801 - 1), 2, 2),
   "&amp;"   D801 * INDEX(GOOGLEFINANCE(CONCATENATE(""CURRENCY:"", C801, ""USD""), ""close"", B801 + 1), 2, 2)
    )
  )
)"),7.9808427)</f>
        <v>7.9808427</v>
      </c>
    </row>
    <row r="802">
      <c r="A802" s="47" t="s">
        <v>1196</v>
      </c>
      <c r="B802" s="38">
        <v>45867.0</v>
      </c>
      <c r="C802" s="47" t="s">
        <v>30</v>
      </c>
      <c r="D802" s="13">
        <v>0.16</v>
      </c>
      <c r="E802" s="21">
        <f>IFERROR(__xludf.DUMMYFUNCTION("IF(C802=""USD"", D802, 
  IFERROR(
    D802 * INDEX(GOOGLEFINANCE(CONCATENATE(""CURRENCY:"", C802, ""USD""), ""close"", B802), 2, 2),
    IFERROR(
      D802 * INDEX(GOOGLEFINANCE(CONCATENATE(""CURRENCY:"", C802, ""USD""), ""close"", B802 - 1), 2, 2),
   "&amp;"   D802 * INDEX(GOOGLEFINANCE(CONCATENATE(""CURRENCY:"", C802, ""USD""), ""close"", B802 + 1), 2, 2)
    )
  )
)"),0.18479520000000002)</f>
        <v>0.1847952</v>
      </c>
    </row>
    <row r="803">
      <c r="A803" s="47" t="s">
        <v>1197</v>
      </c>
      <c r="B803" s="38">
        <v>45867.0</v>
      </c>
      <c r="C803" s="47" t="s">
        <v>30</v>
      </c>
      <c r="D803" s="13">
        <v>19.92</v>
      </c>
      <c r="E803" s="21">
        <f>IFERROR(__xludf.DUMMYFUNCTION("IF(C803=""USD"", D803, 
  IFERROR(
    D803 * INDEX(GOOGLEFINANCE(CONCATENATE(""CURRENCY:"", C803, ""USD""), ""close"", B803), 2, 2),
    IFERROR(
      D803 * INDEX(GOOGLEFINANCE(CONCATENATE(""CURRENCY:"", C803, ""USD""), ""close"", B803 - 1), 2, 2),
   "&amp;"   D803 * INDEX(GOOGLEFINANCE(CONCATENATE(""CURRENCY:"", C803, ""USD""), ""close"", B803 + 1), 2, 2)
    )
  )
)"),23.007002400000005)</f>
        <v>23.0070024</v>
      </c>
    </row>
    <row r="804">
      <c r="A804" s="47" t="s">
        <v>1203</v>
      </c>
      <c r="B804" s="38">
        <v>45867.0</v>
      </c>
      <c r="C804" s="47" t="s">
        <v>30</v>
      </c>
      <c r="D804" s="13">
        <v>4.05</v>
      </c>
      <c r="E804" s="21">
        <f>IFERROR(__xludf.DUMMYFUNCTION("IF(C804=""USD"", D804, 
  IFERROR(
    D804 * INDEX(GOOGLEFINANCE(CONCATENATE(""CURRENCY:"", C804, ""USD""), ""close"", B804), 2, 2),
    IFERROR(
      D804 * INDEX(GOOGLEFINANCE(CONCATENATE(""CURRENCY:"", C804, ""USD""), ""close"", B804 - 1), 2, 2),
   "&amp;"   D804 * INDEX(GOOGLEFINANCE(CONCATENATE(""CURRENCY:"", C804, ""USD""), ""close"", B804 + 1), 2, 2)
    )
  )
)"),4.6776285)</f>
        <v>4.6776285</v>
      </c>
    </row>
    <row r="805">
      <c r="A805" s="47" t="s">
        <v>1208</v>
      </c>
      <c r="B805" s="38">
        <v>45867.0</v>
      </c>
      <c r="C805" s="47" t="s">
        <v>30</v>
      </c>
      <c r="D805" s="13">
        <v>4.78</v>
      </c>
      <c r="E805" s="21">
        <f>IFERROR(__xludf.DUMMYFUNCTION("IF(C805=""USD"", D805, 
  IFERROR(
    D805 * INDEX(GOOGLEFINANCE(CONCATENATE(""CURRENCY:"", C805, ""USD""), ""close"", B805), 2, 2),
    IFERROR(
      D805 * INDEX(GOOGLEFINANCE(CONCATENATE(""CURRENCY:"", C805, ""USD""), ""close"", B805 - 1), 2, 2),
   "&amp;"   D805 * INDEX(GOOGLEFINANCE(CONCATENATE(""CURRENCY:"", C805, ""USD""), ""close"", B805 + 1), 2, 2)
    )
  )
)"),5.5207566)</f>
        <v>5.5207566</v>
      </c>
    </row>
    <row r="806">
      <c r="A806" s="47" t="s">
        <v>1200</v>
      </c>
      <c r="B806" s="38">
        <v>45867.0</v>
      </c>
      <c r="C806" s="47" t="s">
        <v>30</v>
      </c>
      <c r="D806" s="13">
        <v>9.43</v>
      </c>
      <c r="E806" s="21">
        <f>IFERROR(__xludf.DUMMYFUNCTION("IF(C806=""USD"", D806, 
  IFERROR(
    D806 * INDEX(GOOGLEFINANCE(CONCATENATE(""CURRENCY:"", C806, ""USD""), ""close"", B806), 2, 2),
    IFERROR(
      D806 * INDEX(GOOGLEFINANCE(CONCATENATE(""CURRENCY:"", C806, ""USD""), ""close"", B806 - 1), 2, 2),
   "&amp;"   D806 * INDEX(GOOGLEFINANCE(CONCATENATE(""CURRENCY:"", C806, ""USD""), ""close"", B806 + 1), 2, 2)
    )
  )
)"),10.8913671)</f>
        <v>10.8913671</v>
      </c>
    </row>
    <row r="807">
      <c r="A807" s="45" t="s">
        <v>1196</v>
      </c>
      <c r="B807" s="38">
        <v>45898.0</v>
      </c>
      <c r="C807" s="11" t="s">
        <v>30</v>
      </c>
      <c r="D807" s="11">
        <v>2.14</v>
      </c>
      <c r="E807" s="21">
        <f>IFERROR(__xludf.DUMMYFUNCTION("IF(C807=""USD"", D807, 
  IFERROR(
    D807 * INDEX(GOOGLEFINANCE(CONCATENATE(""CURRENCY:"", C807, ""USD""), ""close"", B807), 2, 2),
    IFERROR(
      D807 * INDEX(GOOGLEFINANCE(CONCATENATE(""CURRENCY:"", C807, ""USD""), ""close"", B807 - 1), 2, 2),
   "&amp;"   D807 * INDEX(GOOGLEFINANCE(CONCATENATE(""CURRENCY:"", C807, ""USD""), ""close"", B807 + 1), 2, 2)
    )
  )
)"),2.500376)</f>
        <v>2.500376</v>
      </c>
    </row>
    <row r="808">
      <c r="A808" s="45" t="s">
        <v>1197</v>
      </c>
      <c r="B808" s="38">
        <v>45898.0</v>
      </c>
      <c r="C808" s="11" t="s">
        <v>30</v>
      </c>
      <c r="D808" s="11">
        <v>6.89</v>
      </c>
      <c r="E808" s="21">
        <f>IFERROR(__xludf.DUMMYFUNCTION("IF(C808=""USD"", D808, 
  IFERROR(
    D808 * INDEX(GOOGLEFINANCE(CONCATENATE(""CURRENCY:"", C808, ""USD""), ""close"", B808), 2, 2),
    IFERROR(
      D808 * INDEX(GOOGLEFINANCE(CONCATENATE(""CURRENCY:"", C808, ""USD""), ""close"", B808 - 1), 2, 2),
   "&amp;"   D808 * INDEX(GOOGLEFINANCE(CONCATENATE(""CURRENCY:"", C808, ""USD""), ""close"", B808 + 1), 2, 2)
    )
  )
)"),8.050276)</f>
        <v>8.050276</v>
      </c>
    </row>
    <row r="809">
      <c r="A809" s="45" t="s">
        <v>1203</v>
      </c>
      <c r="B809" s="38">
        <v>45898.0</v>
      </c>
      <c r="C809" s="11" t="s">
        <v>30</v>
      </c>
      <c r="D809" s="11">
        <v>5.82</v>
      </c>
      <c r="E809" s="21">
        <f>IFERROR(__xludf.DUMMYFUNCTION("IF(C809=""USD"", D809, 
  IFERROR(
    D809 * INDEX(GOOGLEFINANCE(CONCATENATE(""CURRENCY:"", C809, ""USD""), ""close"", B809), 2, 2),
    IFERROR(
      D809 * INDEX(GOOGLEFINANCE(CONCATENATE(""CURRENCY:"", C809, ""USD""), ""close"", B809 - 1), 2, 2),
   "&amp;"   D809 * INDEX(GOOGLEFINANCE(CONCATENATE(""CURRENCY:"", C809, ""USD""), ""close"", B809 + 1), 2, 2)
    )
  )
)"),6.800088000000001)</f>
        <v>6.800088</v>
      </c>
    </row>
    <row r="810">
      <c r="A810" s="45" t="s">
        <v>1200</v>
      </c>
      <c r="B810" s="38">
        <v>45898.0</v>
      </c>
      <c r="C810" s="11" t="s">
        <v>30</v>
      </c>
      <c r="D810" s="11">
        <v>11.44</v>
      </c>
      <c r="E810" s="21">
        <f>IFERROR(__xludf.DUMMYFUNCTION("IF(C810=""USD"", D810, 
  IFERROR(
    D810 * INDEX(GOOGLEFINANCE(CONCATENATE(""CURRENCY:"", C810, ""USD""), ""close"", B810), 2, 2),
    IFERROR(
      D810 * INDEX(GOOGLEFINANCE(CONCATENATE(""CURRENCY:"", C810, ""USD""), ""close"", B810 - 1), 2, 2),
   "&amp;"   D810 * INDEX(GOOGLEFINANCE(CONCATENATE(""CURRENCY:"", C810, ""USD""), ""close"", B810 + 1), 2, 2)
    )
  )
)"),13.366496000000001)</f>
        <v>13.366496</v>
      </c>
    </row>
    <row r="811">
      <c r="A811" s="45" t="s">
        <v>1207</v>
      </c>
      <c r="B811" s="38">
        <v>45898.0</v>
      </c>
      <c r="C811" s="11" t="s">
        <v>30</v>
      </c>
      <c r="D811" s="11">
        <v>1.41</v>
      </c>
      <c r="E811" s="21">
        <f>IFERROR(__xludf.DUMMYFUNCTION("IF(C811=""USD"", D811, 
  IFERROR(
    D811 * INDEX(GOOGLEFINANCE(CONCATENATE(""CURRENCY:"", C811, ""USD""), ""close"", B811), 2, 2),
    IFERROR(
      D811 * INDEX(GOOGLEFINANCE(CONCATENATE(""CURRENCY:"", C811, ""USD""), ""close"", B811 - 1), 2, 2),
   "&amp;"   D811 * INDEX(GOOGLEFINANCE(CONCATENATE(""CURRENCY:"", C811, ""USD""), ""close"", B811 + 1), 2, 2)
    )
  )
)"),1.6474440000000001)</f>
        <v>1.647444</v>
      </c>
    </row>
    <row r="812">
      <c r="A812" s="45" t="s">
        <v>1202</v>
      </c>
      <c r="B812" s="38">
        <v>45898.0</v>
      </c>
      <c r="C812" s="11" t="s">
        <v>30</v>
      </c>
      <c r="D812" s="11">
        <v>32.29</v>
      </c>
      <c r="E812" s="21">
        <f>IFERROR(__xludf.DUMMYFUNCTION("IF(C812=""USD"", D812, 
  IFERROR(
    D812 * INDEX(GOOGLEFINANCE(CONCATENATE(""CURRENCY:"", C812, ""USD""), ""close"", B812), 2, 2),
    IFERROR(
      D812 * INDEX(GOOGLEFINANCE(CONCATENATE(""CURRENCY:"", C812, ""USD""), ""close"", B812 - 1), 2, 2),
   "&amp;"   D812 * INDEX(GOOGLEFINANCE(CONCATENATE(""CURRENCY:"", C812, ""USD""), ""close"", B812 + 1), 2, 2)
    )
  )
)"),37.727636000000004)</f>
        <v>37.727636</v>
      </c>
    </row>
    <row r="813">
      <c r="A813" s="45" t="s">
        <v>1194</v>
      </c>
      <c r="B813" s="38">
        <v>45898.0</v>
      </c>
      <c r="C813" s="11" t="s">
        <v>30</v>
      </c>
      <c r="D813" s="11">
        <v>1.33</v>
      </c>
      <c r="E813" s="21">
        <f>IFERROR(__xludf.DUMMYFUNCTION("IF(C813=""USD"", D813, 
  IFERROR(
    D813 * INDEX(GOOGLEFINANCE(CONCATENATE(""CURRENCY:"", C813, ""USD""), ""close"", B813), 2, 2),
    IFERROR(
      D813 * INDEX(GOOGLEFINANCE(CONCATENATE(""CURRENCY:"", C813, ""USD""), ""close"", B813 - 1), 2, 2),
   "&amp;"   D813 * INDEX(GOOGLEFINANCE(CONCATENATE(""CURRENCY:"", C813, ""USD""), ""close"", B813 + 1), 2, 2)
    )
  )
)"),1.5539720000000001)</f>
        <v>1.553972</v>
      </c>
    </row>
    <row r="814">
      <c r="A814" s="47" t="s">
        <v>1197</v>
      </c>
      <c r="B814" s="38" t="s">
        <v>1212</v>
      </c>
      <c r="C814" s="47" t="s">
        <v>30</v>
      </c>
      <c r="D814" s="13">
        <v>9.09</v>
      </c>
      <c r="E814" s="21">
        <f>IFERROR(__xludf.DUMMYFUNCTION("IF(C814=""USD"", D814, 
  IFERROR(
    D814 * INDEX(GOOGLEFINANCE(CONCATENATE(""CURRENCY:"", C814, ""USD""), ""close"", B814), 2, 2),
    IFERROR(
      D814 * INDEX(GOOGLEFINANCE(CONCATENATE(""CURRENCY:"", C814, ""USD""), ""close"", B814 - 1), 2, 2),
   "&amp;"   D814 * INDEX(GOOGLEFINANCE(CONCATENATE(""CURRENCY:"", C814, ""USD""), ""close"", B814 + 1), 2, 2)
    )
  )
)"),10.663388099999999)</f>
        <v>10.6633881</v>
      </c>
    </row>
    <row r="815">
      <c r="A815" s="47" t="s">
        <v>1200</v>
      </c>
      <c r="B815" s="38" t="s">
        <v>1212</v>
      </c>
      <c r="C815" s="47" t="s">
        <v>30</v>
      </c>
      <c r="D815" s="13">
        <v>2.83</v>
      </c>
      <c r="E815" s="21">
        <f>IFERROR(__xludf.DUMMYFUNCTION("IF(C815=""USD"", D815, 
  IFERROR(
    D815 * INDEX(GOOGLEFINANCE(CONCATENATE(""CURRENCY:"", C815, ""USD""), ""close"", B815), 2, 2),
    IFERROR(
      D815 * INDEX(GOOGLEFINANCE(CONCATENATE(""CURRENCY:"", C815, ""USD""), ""close"", B815 - 1), 2, 2),
   "&amp;"   D815 * INDEX(GOOGLEFINANCE(CONCATENATE(""CURRENCY:"", C815, ""USD""), ""close"", B815 + 1), 2, 2)
    )
  )
)"),3.3198447)</f>
        <v>3.3198447</v>
      </c>
    </row>
    <row r="816">
      <c r="A816" s="47" t="s">
        <v>1203</v>
      </c>
      <c r="B816" s="38" t="s">
        <v>1212</v>
      </c>
      <c r="C816" s="47" t="s">
        <v>30</v>
      </c>
      <c r="D816" s="13">
        <v>6.26</v>
      </c>
      <c r="E816" s="21">
        <f>IFERROR(__xludf.DUMMYFUNCTION("IF(C816=""USD"", D816, 
  IFERROR(
    D816 * INDEX(GOOGLEFINANCE(CONCATENATE(""CURRENCY:"", C816, ""USD""), ""close"", B816), 2, 2),
    IFERROR(
      D816 * INDEX(GOOGLEFINANCE(CONCATENATE(""CURRENCY:"", C816, ""USD""), ""close"", B816 - 1), 2, 2),
   "&amp;"   D816 * INDEX(GOOGLEFINANCE(CONCATENATE(""CURRENCY:"", C816, ""USD""), ""close"", B816 + 1), 2, 2)
    )
  )
)"),7.3435434)</f>
        <v>7.3435434</v>
      </c>
    </row>
    <row r="817">
      <c r="A817" s="47" t="s">
        <v>1202</v>
      </c>
      <c r="B817" s="38" t="s">
        <v>1212</v>
      </c>
      <c r="C817" s="47" t="s">
        <v>30</v>
      </c>
      <c r="D817" s="13">
        <v>42.48</v>
      </c>
      <c r="E817" s="21">
        <f>IFERROR(__xludf.DUMMYFUNCTION("IF(C817=""USD"", D817, 
  IFERROR(
    D817 * INDEX(GOOGLEFINANCE(CONCATENATE(""CURRENCY:"", C817, ""USD""), ""close"", B817), 2, 2),
    IFERROR(
      D817 * INDEX(GOOGLEFINANCE(CONCATENATE(""CURRENCY:"", C817, ""USD""), ""close"", B817 - 1), 2, 2),
   "&amp;"   D817 * INDEX(GOOGLEFINANCE(CONCATENATE(""CURRENCY:"", C817, ""USD""), ""close"", B817 + 1), 2, 2)
    )
  )
)"),49.83286319999999)</f>
        <v>49.8328632</v>
      </c>
    </row>
    <row r="818">
      <c r="A818" s="47" t="s">
        <v>1206</v>
      </c>
      <c r="B818" s="38" t="s">
        <v>1212</v>
      </c>
      <c r="C818" s="47" t="s">
        <v>30</v>
      </c>
      <c r="D818" s="13">
        <v>0.03</v>
      </c>
      <c r="E818" s="21">
        <f>IFERROR(__xludf.DUMMYFUNCTION("IF(C818=""USD"", D818, 
  IFERROR(
    D818 * INDEX(GOOGLEFINANCE(CONCATENATE(""CURRENCY:"", C818, ""USD""), ""close"", B818), 2, 2),
    IFERROR(
      D818 * INDEX(GOOGLEFINANCE(CONCATENATE(""CURRENCY:"", C818, ""USD""), ""close"", B818 - 1), 2, 2),
   "&amp;"   D818 * INDEX(GOOGLEFINANCE(CONCATENATE(""CURRENCY:"", C818, ""USD""), ""close"", B818 + 1), 2, 2)
    )
  )
)"),0.0351927)</f>
        <v>0.0351927</v>
      </c>
    </row>
    <row r="819">
      <c r="A819" s="47" t="s">
        <v>1194</v>
      </c>
      <c r="B819" s="38" t="s">
        <v>1212</v>
      </c>
      <c r="C819" s="47" t="s">
        <v>30</v>
      </c>
      <c r="D819" s="13">
        <v>1.55</v>
      </c>
      <c r="E819" s="21">
        <f>IFERROR(__xludf.DUMMYFUNCTION("IF(C819=""USD"", D819, 
  IFERROR(
    D819 * INDEX(GOOGLEFINANCE(CONCATENATE(""CURRENCY:"", C819, ""USD""), ""close"", B819), 2, 2),
    IFERROR(
      D819 * INDEX(GOOGLEFINANCE(CONCATENATE(""CURRENCY:"", C819, ""USD""), ""close"", B819 - 1), 2, 2),
   "&amp;"   D819 * INDEX(GOOGLEFINANCE(CONCATENATE(""CURRENCY:"", C819, ""USD""), ""close"", B819 + 1), 2, 2)
    )
  )
)"),1.8182895)</f>
        <v>1.8182895</v>
      </c>
    </row>
    <row r="820">
      <c r="A820" s="47" t="s">
        <v>1194</v>
      </c>
      <c r="B820" s="47" t="s">
        <v>1213</v>
      </c>
      <c r="C820" s="47" t="s">
        <v>30</v>
      </c>
      <c r="D820" s="13">
        <v>3.96</v>
      </c>
      <c r="E820" s="21">
        <f>IFERROR(__xludf.DUMMYFUNCTION("IF(C820=""USD"", D820, 
  IFERROR(
    D820 * INDEX(GOOGLEFINANCE(CONCATENATE(""CURRENCY:"", C820, ""USD""), ""close"", B820), 2, 2),
    IFERROR(
      D820 * INDEX(GOOGLEFINANCE(CONCATENATE(""CURRENCY:"", C820, ""USD""), ""close"", B820 - 1), 2, 2),
   "&amp;"   D820 * INDEX(GOOGLEFINANCE(CONCATENATE(""CURRENCY:"", C820, ""USD""), ""close"", B820 + 1), 2, 2)
    )
  )
)"),4.6161324)</f>
        <v>4.6161324</v>
      </c>
    </row>
    <row r="821">
      <c r="A821" s="47" t="s">
        <v>1202</v>
      </c>
      <c r="B821" s="47" t="s">
        <v>1213</v>
      </c>
      <c r="C821" s="47" t="s">
        <v>30</v>
      </c>
      <c r="D821" s="13">
        <v>35.05</v>
      </c>
      <c r="E821" s="21">
        <f>IFERROR(__xludf.DUMMYFUNCTION("IF(C821=""USD"", D821, 
  IFERROR(
    D821 * INDEX(GOOGLEFINANCE(CONCATENATE(""CURRENCY:"", C821, ""USD""), ""close"", B821), 2, 2),
    IFERROR(
      D821 * INDEX(GOOGLEFINANCE(CONCATENATE(""CURRENCY:"", C821, ""USD""), ""close"", B821 - 1), 2, 2),
   "&amp;"   D821 * INDEX(GOOGLEFINANCE(CONCATENATE(""CURRENCY:"", C821, ""USD""), ""close"", B821 + 1), 2, 2)
    )
  )
)"),40.85743449999999)</f>
        <v>40.8574345</v>
      </c>
    </row>
    <row r="822">
      <c r="A822" s="47" t="s">
        <v>1203</v>
      </c>
      <c r="B822" s="47" t="s">
        <v>1213</v>
      </c>
      <c r="C822" s="47" t="s">
        <v>30</v>
      </c>
      <c r="D822" s="13">
        <v>4.81</v>
      </c>
      <c r="E822" s="21">
        <f>IFERROR(__xludf.DUMMYFUNCTION("IF(C822=""USD"", D822, 
  IFERROR(
    D822 * INDEX(GOOGLEFINANCE(CONCATENATE(""CURRENCY:"", C822, ""USD""), ""close"", B822), 2, 2),
    IFERROR(
      D822 * INDEX(GOOGLEFINANCE(CONCATENATE(""CURRENCY:"", C822, ""USD""), ""close"", B822 - 1), 2, 2),
   "&amp;"   D822 * INDEX(GOOGLEFINANCE(CONCATENATE(""CURRENCY:"", C822, ""USD""), ""close"", B822 + 1), 2, 2)
    )
  )
)"),5.606968899999999)</f>
        <v>5.6069689</v>
      </c>
    </row>
    <row r="823">
      <c r="A823" s="47" t="s">
        <v>1211</v>
      </c>
      <c r="B823" s="47" t="s">
        <v>1213</v>
      </c>
      <c r="C823" s="47" t="s">
        <v>30</v>
      </c>
      <c r="D823" s="13">
        <v>3.45</v>
      </c>
      <c r="E823" s="21">
        <f>IFERROR(__xludf.DUMMYFUNCTION("IF(C823=""USD"", D823, 
  IFERROR(
    D823 * INDEX(GOOGLEFINANCE(CONCATENATE(""CURRENCY:"", C823, ""USD""), ""close"", B823), 2, 2),
    IFERROR(
      D823 * INDEX(GOOGLEFINANCE(CONCATENATE(""CURRENCY:"", C823, ""USD""), ""close"", B823 - 1), 2, 2),
   "&amp;"   D823 * INDEX(GOOGLEFINANCE(CONCATENATE(""CURRENCY:"", C823, ""USD""), ""close"", B823 + 1), 2, 2)
    )
  )
)"),4.0216305)</f>
        <v>4.0216305</v>
      </c>
    </row>
    <row r="824">
      <c r="A824" s="47" t="s">
        <v>1197</v>
      </c>
      <c r="B824" s="47" t="s">
        <v>1213</v>
      </c>
      <c r="C824" s="47" t="s">
        <v>30</v>
      </c>
      <c r="D824" s="13">
        <v>10.88</v>
      </c>
      <c r="E824" s="21">
        <f>IFERROR(__xludf.DUMMYFUNCTION("IF(C824=""USD"", D824, 
  IFERROR(
    D824 * INDEX(GOOGLEFINANCE(CONCATENATE(""CURRENCY:"", C824, ""USD""), ""close"", B824), 2, 2),
    IFERROR(
      D824 * INDEX(GOOGLEFINANCE(CONCATENATE(""CURRENCY:"", C824, ""USD""), ""close"", B824 - 1), 2, 2),
   "&amp;"   D824 * INDEX(GOOGLEFINANCE(CONCATENATE(""CURRENCY:"", C824, ""USD""), ""close"", B824 + 1), 2, 2)
    )
  )
)"),12.6827072)</f>
        <v>12.6827072</v>
      </c>
    </row>
    <row r="825">
      <c r="A825" s="47" t="s">
        <v>1200</v>
      </c>
      <c r="B825" s="47" t="s">
        <v>1213</v>
      </c>
      <c r="C825" s="47" t="s">
        <v>30</v>
      </c>
      <c r="D825" s="13">
        <v>2.57</v>
      </c>
      <c r="E825" s="21">
        <f>IFERROR(__xludf.DUMMYFUNCTION("IF(C825=""USD"", D825, 
  IFERROR(
    D825 * INDEX(GOOGLEFINANCE(CONCATENATE(""CURRENCY:"", C825, ""USD""), ""close"", B825), 2, 2),
    IFERROR(
      D825 * INDEX(GOOGLEFINANCE(CONCATENATE(""CURRENCY:"", C825, ""USD""), ""close"", B825 - 1), 2, 2),
   "&amp;"   D825 * INDEX(GOOGLEFINANCE(CONCATENATE(""CURRENCY:"", C825, ""USD""), ""close"", B825 + 1), 2, 2)
    )
  )
)"),2.9958232999999996)</f>
        <v>2.9958233</v>
      </c>
    </row>
    <row r="826">
      <c r="A826" s="45" t="s">
        <v>1196</v>
      </c>
      <c r="B826" s="38">
        <v>45990.0</v>
      </c>
      <c r="C826" s="11" t="s">
        <v>30</v>
      </c>
      <c r="D826" s="11">
        <v>1.45</v>
      </c>
      <c r="E826" s="21">
        <f>IFERROR(__xludf.DUMMYFUNCTION("IF(C826=""USD"", D826, 
  IFERROR(
    D826 * INDEX(GOOGLEFINANCE(CONCATENATE(""CURRENCY:"", C826, ""USD""), ""close"", B826), 2, 2),
    IFERROR(
      D826 * INDEX(GOOGLEFINANCE(CONCATENATE(""CURRENCY:"", C826, ""USD""), ""close"", B826 - 1), 2, 2),
   "&amp;"   D826 * INDEX(GOOGLEFINANCE(CONCATENATE(""CURRENCY:"", C826, ""USD""), ""close"", B826 + 1), 2, 2)
    )
  )
)"),1.681565)</f>
        <v>1.681565</v>
      </c>
    </row>
    <row r="827">
      <c r="A827" s="45" t="s">
        <v>1194</v>
      </c>
      <c r="B827" s="38">
        <v>45990.0</v>
      </c>
      <c r="C827" s="11" t="s">
        <v>30</v>
      </c>
      <c r="D827" s="11">
        <v>1.96</v>
      </c>
      <c r="E827" s="21">
        <f>IFERROR(__xludf.DUMMYFUNCTION("IF(C827=""USD"", D827, 
  IFERROR(
    D827 * INDEX(GOOGLEFINANCE(CONCATENATE(""CURRENCY:"", C827, ""USD""), ""close"", B827), 2, 2),
    IFERROR(
      D827 * INDEX(GOOGLEFINANCE(CONCATENATE(""CURRENCY:"", C827, ""USD""), ""close"", B827 - 1), 2, 2),
   "&amp;"   D827 * INDEX(GOOGLEFINANCE(CONCATENATE(""CURRENCY:"", C827, ""USD""), ""close"", B827 + 1), 2, 2)
    )
  )
)"),2.273012)</f>
        <v>2.273012</v>
      </c>
    </row>
    <row r="828">
      <c r="A828" s="45" t="s">
        <v>1200</v>
      </c>
      <c r="B828" s="38">
        <v>45990.0</v>
      </c>
      <c r="C828" s="11" t="s">
        <v>30</v>
      </c>
      <c r="D828" s="11">
        <v>5.28</v>
      </c>
      <c r="E828" s="21">
        <f>IFERROR(__xludf.DUMMYFUNCTION("IF(C828=""USD"", D828, 
  IFERROR(
    D828 * INDEX(GOOGLEFINANCE(CONCATENATE(""CURRENCY:"", C828, ""USD""), ""close"", B828), 2, 2),
    IFERROR(
      D828 * INDEX(GOOGLEFINANCE(CONCATENATE(""CURRENCY:"", C828, ""USD""), ""close"", B828 - 1), 2, 2),
   "&amp;"   D828 * INDEX(GOOGLEFINANCE(CONCATENATE(""CURRENCY:"", C828, ""USD""), ""close"", B828 + 1), 2, 2)
    )
  )
)"),6.123216)</f>
        <v>6.123216</v>
      </c>
    </row>
    <row r="829">
      <c r="A829" s="45" t="s">
        <v>1197</v>
      </c>
      <c r="B829" s="38">
        <v>45990.0</v>
      </c>
      <c r="C829" s="11" t="s">
        <v>30</v>
      </c>
      <c r="D829" s="11">
        <v>2.86</v>
      </c>
      <c r="E829" s="21">
        <f>IFERROR(__xludf.DUMMYFUNCTION("IF(C829=""USD"", D829, 
  IFERROR(
    D829 * INDEX(GOOGLEFINANCE(CONCATENATE(""CURRENCY:"", C829, ""USD""), ""close"", B829), 2, 2),
    IFERROR(
      D829 * INDEX(GOOGLEFINANCE(CONCATENATE(""CURRENCY:"", C829, ""USD""), ""close"", B829 - 1), 2, 2),
   "&amp;"   D829 * INDEX(GOOGLEFINANCE(CONCATENATE(""CURRENCY:"", C829, ""USD""), ""close"", B829 + 1), 2, 2)
    )
  )
)"),3.3167419999999996)</f>
        <v>3.316742</v>
      </c>
    </row>
    <row r="830">
      <c r="A830" s="45" t="s">
        <v>1203</v>
      </c>
      <c r="B830" s="38">
        <v>45990.0</v>
      </c>
      <c r="C830" s="11" t="s">
        <v>30</v>
      </c>
      <c r="D830" s="11">
        <v>1.91</v>
      </c>
      <c r="E830" s="21">
        <f>IFERROR(__xludf.DUMMYFUNCTION("IF(C830=""USD"", D830, 
  IFERROR(
    D830 * INDEX(GOOGLEFINANCE(CONCATENATE(""CURRENCY:"", C830, ""USD""), ""close"", B830), 2, 2),
    IFERROR(
      D830 * INDEX(GOOGLEFINANCE(CONCATENATE(""CURRENCY:"", C830, ""USD""), ""close"", B830 - 1), 2, 2),
   "&amp;"   D830 * INDEX(GOOGLEFINANCE(CONCATENATE(""CURRENCY:"", C830, ""USD""), ""close"", B830 + 1), 2, 2)
    )
  )
)"),2.2150269999999996)</f>
        <v>2.215027</v>
      </c>
    </row>
    <row r="831">
      <c r="A831" s="45" t="s">
        <v>1202</v>
      </c>
      <c r="B831" s="38">
        <v>45990.0</v>
      </c>
      <c r="C831" s="11" t="s">
        <v>30</v>
      </c>
      <c r="D831" s="11">
        <v>16.91</v>
      </c>
      <c r="E831" s="21">
        <f>IFERROR(__xludf.DUMMYFUNCTION("IF(C831=""USD"", D831, 
  IFERROR(
    D831 * INDEX(GOOGLEFINANCE(CONCATENATE(""CURRENCY:"", C831, ""USD""), ""close"", B831), 2, 2),
    IFERROR(
      D831 * INDEX(GOOGLEFINANCE(CONCATENATE(""CURRENCY:"", C831, ""USD""), ""close"", B831 - 1), 2, 2),
   "&amp;"   D831 * INDEX(GOOGLEFINANCE(CONCATENATE(""CURRENCY:"", C831, ""USD""), ""close"", B831 + 1), 2, 2)
    )
  )
)"),19.610526999999998)</f>
        <v>19.610527</v>
      </c>
    </row>
    <row r="832">
      <c r="A832" s="45" t="s">
        <v>1200</v>
      </c>
      <c r="B832" s="38">
        <v>46020.0</v>
      </c>
      <c r="C832" s="11" t="s">
        <v>30</v>
      </c>
      <c r="D832" s="11">
        <v>9.24</v>
      </c>
      <c r="E832" s="21">
        <f>IFERROR(__xludf.DUMMYFUNCTION("IF(C832=""USD"", D832, 
  IFERROR(
    D832 * INDEX(GOOGLEFINANCE(CONCATENATE(""CURRENCY:"", C832, ""USD""), ""close"", B832), 2, 2),
    IFERROR(
      D832 * INDEX(GOOGLEFINANCE(CONCATENATE(""CURRENCY:"", C832, ""USD""), ""close"", B832 - 1), 2, 2),
   "&amp;"   D832 * INDEX(GOOGLEFINANCE(CONCATENATE(""CURRENCY:"", C832, ""USD""), ""close"", B832 + 1), 2, 2)
    )
  )
)"),10.877651400000001)</f>
        <v>10.8776514</v>
      </c>
    </row>
    <row r="833">
      <c r="A833" s="45" t="s">
        <v>1197</v>
      </c>
      <c r="B833" s="38">
        <v>46020.0</v>
      </c>
      <c r="C833" s="11" t="s">
        <v>30</v>
      </c>
      <c r="D833" s="11">
        <v>10.33</v>
      </c>
      <c r="E833" s="21">
        <f>IFERROR(__xludf.DUMMYFUNCTION("IF(C833=""USD"", D833, 
  IFERROR(
    D833 * INDEX(GOOGLEFINANCE(CONCATENATE(""CURRENCY:"", C833, ""USD""), ""close"", B833), 2, 2),
    IFERROR(
      D833 * INDEX(GOOGLEFINANCE(CONCATENATE(""CURRENCY:"", C833, ""USD""), ""close"", B833 - 1), 2, 2),
   "&amp;"   D833 * INDEX(GOOGLEFINANCE(CONCATENATE(""CURRENCY:"", C833, ""USD""), ""close"", B833 + 1), 2, 2)
    )
  )
)"),12.16083755)</f>
        <v>12.16083755</v>
      </c>
    </row>
    <row r="834">
      <c r="A834" s="45" t="s">
        <v>1202</v>
      </c>
      <c r="B834" s="38">
        <v>46020.0</v>
      </c>
      <c r="C834" s="11" t="s">
        <v>30</v>
      </c>
      <c r="D834" s="11">
        <v>12.35</v>
      </c>
      <c r="E834" s="21">
        <f>IFERROR(__xludf.DUMMYFUNCTION("IF(C834=""USD"", D834, 
  IFERROR(
    D834 * INDEX(GOOGLEFINANCE(CONCATENATE(""CURRENCY:"", C834, ""USD""), ""close"", B834), 2, 2),
    IFERROR(
      D834 * INDEX(GOOGLEFINANCE(CONCATENATE(""CURRENCY:"", C834, ""USD""), ""close"", B834 - 1), 2, 2),
   "&amp;"   D834 * INDEX(GOOGLEFINANCE(CONCATENATE(""CURRENCY:"", C834, ""USD""), ""close"", B834 + 1), 2, 2)
    )
  )
)"),14.53885225)</f>
        <v>14.53885225</v>
      </c>
    </row>
    <row r="835">
      <c r="A835" s="45" t="s">
        <v>1194</v>
      </c>
      <c r="B835" s="38">
        <v>46020.0</v>
      </c>
      <c r="C835" s="11" t="s">
        <v>30</v>
      </c>
      <c r="D835" s="11">
        <v>2.48</v>
      </c>
      <c r="E835" s="21">
        <f>IFERROR(__xludf.DUMMYFUNCTION("IF(C835=""USD"", D835, 
  IFERROR(
    D835 * INDEX(GOOGLEFINANCE(CONCATENATE(""CURRENCY:"", C835, ""USD""), ""close"", B835), 2, 2),
    IFERROR(
      D835 * INDEX(GOOGLEFINANCE(CONCATENATE(""CURRENCY:"", C835, ""USD""), ""close"", B835 - 1), 2, 2),
   "&amp;"   D835 * INDEX(GOOGLEFINANCE(CONCATENATE(""CURRENCY:"", C835, ""USD""), ""close"", B835 + 1), 2, 2)
    )
  )
)"),2.9195428)</f>
        <v>2.9195428</v>
      </c>
    </row>
    <row r="836">
      <c r="A836" s="45" t="s">
        <v>1196</v>
      </c>
      <c r="B836" s="38">
        <v>46020.0</v>
      </c>
      <c r="C836" s="11" t="s">
        <v>30</v>
      </c>
      <c r="D836" s="11">
        <v>0.11</v>
      </c>
      <c r="E836" s="21">
        <f>IFERROR(__xludf.DUMMYFUNCTION("IF(C836=""USD"", D836, 
  IFERROR(
    D836 * INDEX(GOOGLEFINANCE(CONCATENATE(""CURRENCY:"", C836, ""USD""), ""close"", B836), 2, 2),
    IFERROR(
      D836 * INDEX(GOOGLEFINANCE(CONCATENATE(""CURRENCY:"", C836, ""USD""), ""close"", B836 - 1), 2, 2),
   "&amp;"   D836 * INDEX(GOOGLEFINANCE(CONCATENATE(""CURRENCY:"", C836, ""USD""), ""close"", B836 + 1), 2, 2)
    )
  )
)"),0.12949585)</f>
        <v>0.12949585</v>
      </c>
    </row>
    <row r="837">
      <c r="A837" s="45" t="s">
        <v>1203</v>
      </c>
      <c r="B837" s="38">
        <v>46020.0</v>
      </c>
      <c r="C837" s="11" t="s">
        <v>30</v>
      </c>
      <c r="D837" s="11">
        <v>3.36</v>
      </c>
      <c r="E837" s="21">
        <f>IFERROR(__xludf.DUMMYFUNCTION("IF(C837=""USD"", D837, 
  IFERROR(
    D837 * INDEX(GOOGLEFINANCE(CONCATENATE(""CURRENCY:"", C837, ""USD""), ""close"", B837), 2, 2),
    IFERROR(
      D837 * INDEX(GOOGLEFINANCE(CONCATENATE(""CURRENCY:"", C837, ""USD""), ""close"", B837 - 1), 2, 2),
   "&amp;"   D837 * INDEX(GOOGLEFINANCE(CONCATENATE(""CURRENCY:"", C837, ""USD""), ""close"", B837 + 1), 2, 2)
    )
  )
)"),3.9555096)</f>
        <v>3.9555096</v>
      </c>
    </row>
    <row r="838">
      <c r="B838" s="48"/>
      <c r="E838" s="21"/>
    </row>
    <row r="839">
      <c r="B839" s="48"/>
      <c r="E839" s="21"/>
    </row>
    <row r="840">
      <c r="B840" s="48"/>
      <c r="E840" s="21"/>
    </row>
    <row r="841">
      <c r="B841" s="48"/>
      <c r="E841" s="21"/>
    </row>
    <row r="842">
      <c r="B842" s="48"/>
      <c r="E842" s="21"/>
    </row>
    <row r="843">
      <c r="B843" s="48"/>
      <c r="E843" s="21"/>
    </row>
    <row r="844">
      <c r="B844" s="48"/>
      <c r="E844" s="21"/>
    </row>
    <row r="845">
      <c r="B845" s="48"/>
      <c r="E845" s="21"/>
    </row>
    <row r="846">
      <c r="B846" s="48"/>
      <c r="E846" s="21"/>
    </row>
    <row r="847">
      <c r="B847" s="48"/>
      <c r="E847" s="21"/>
    </row>
    <row r="848">
      <c r="B848" s="48"/>
      <c r="E848" s="21"/>
    </row>
    <row r="849">
      <c r="B849" s="48"/>
      <c r="E849" s="21"/>
    </row>
    <row r="850">
      <c r="B850" s="48"/>
      <c r="E850" s="21"/>
    </row>
    <row r="851">
      <c r="B851" s="48"/>
      <c r="E851" s="21"/>
    </row>
    <row r="852">
      <c r="B852" s="48"/>
      <c r="E852" s="21"/>
    </row>
    <row r="853">
      <c r="B853" s="48"/>
      <c r="E853" s="21"/>
    </row>
    <row r="854">
      <c r="B854" s="48"/>
      <c r="E854" s="21"/>
    </row>
    <row r="855">
      <c r="B855" s="48"/>
      <c r="E855" s="21"/>
    </row>
    <row r="856">
      <c r="B856" s="48"/>
      <c r="E856" s="21"/>
    </row>
    <row r="857">
      <c r="B857" s="48"/>
      <c r="E857" s="21"/>
    </row>
    <row r="858">
      <c r="B858" s="48"/>
      <c r="E858" s="21"/>
    </row>
    <row r="859">
      <c r="B859" s="48"/>
      <c r="E859" s="21"/>
    </row>
    <row r="860">
      <c r="B860" s="48"/>
      <c r="E860" s="21"/>
    </row>
    <row r="861">
      <c r="B861" s="48"/>
      <c r="E861" s="21"/>
    </row>
    <row r="862">
      <c r="B862" s="48"/>
      <c r="E862" s="21"/>
    </row>
    <row r="863">
      <c r="B863" s="48"/>
      <c r="E863" s="21"/>
    </row>
    <row r="864">
      <c r="B864" s="48"/>
      <c r="E864" s="21"/>
    </row>
    <row r="865">
      <c r="B865" s="48"/>
      <c r="E865" s="21"/>
    </row>
    <row r="866">
      <c r="B866" s="48"/>
      <c r="E866" s="21"/>
    </row>
    <row r="867">
      <c r="B867" s="48"/>
      <c r="E867" s="21"/>
    </row>
    <row r="868">
      <c r="B868" s="48"/>
      <c r="E868" s="21"/>
    </row>
    <row r="869">
      <c r="B869" s="48"/>
      <c r="E869" s="21"/>
    </row>
    <row r="870">
      <c r="B870" s="48"/>
      <c r="E870" s="21"/>
    </row>
    <row r="871">
      <c r="B871" s="48"/>
      <c r="E871" s="21"/>
    </row>
    <row r="872">
      <c r="B872" s="48"/>
      <c r="E872" s="21"/>
    </row>
    <row r="873">
      <c r="B873" s="48"/>
      <c r="E873" s="21"/>
    </row>
    <row r="874">
      <c r="B874" s="48"/>
      <c r="E874" s="21"/>
    </row>
    <row r="875">
      <c r="B875" s="48"/>
      <c r="E875" s="21"/>
    </row>
    <row r="876">
      <c r="B876" s="48"/>
      <c r="E876" s="21"/>
    </row>
    <row r="877">
      <c r="B877" s="48"/>
      <c r="E877" s="21"/>
    </row>
    <row r="878">
      <c r="B878" s="48"/>
      <c r="E878" s="21"/>
    </row>
    <row r="879">
      <c r="B879" s="48"/>
      <c r="E879" s="21"/>
    </row>
    <row r="880">
      <c r="B880" s="48"/>
      <c r="E880" s="21"/>
    </row>
    <row r="881">
      <c r="B881" s="48"/>
      <c r="E881" s="21"/>
    </row>
    <row r="882">
      <c r="B882" s="48"/>
      <c r="E882" s="21"/>
    </row>
    <row r="883">
      <c r="B883" s="48"/>
      <c r="E883" s="21"/>
    </row>
    <row r="884">
      <c r="B884" s="48"/>
      <c r="E884" s="21"/>
    </row>
    <row r="885">
      <c r="B885" s="48"/>
      <c r="E885" s="21"/>
    </row>
    <row r="886">
      <c r="B886" s="48"/>
      <c r="E886" s="21"/>
    </row>
    <row r="887">
      <c r="B887" s="48"/>
      <c r="E887" s="21"/>
    </row>
    <row r="888">
      <c r="B888" s="48"/>
      <c r="E888" s="21"/>
    </row>
    <row r="889">
      <c r="B889" s="48"/>
      <c r="E889" s="21"/>
    </row>
    <row r="890">
      <c r="B890" s="48"/>
      <c r="E890" s="21"/>
    </row>
    <row r="891">
      <c r="B891" s="48"/>
      <c r="E891" s="21"/>
    </row>
    <row r="892">
      <c r="B892" s="48"/>
      <c r="E892" s="21"/>
    </row>
    <row r="893">
      <c r="B893" s="48"/>
      <c r="E893" s="21"/>
    </row>
    <row r="894">
      <c r="B894" s="48"/>
      <c r="E894" s="21"/>
    </row>
    <row r="895">
      <c r="B895" s="48"/>
      <c r="E895" s="21"/>
    </row>
    <row r="896">
      <c r="B896" s="48"/>
      <c r="E896" s="21"/>
    </row>
    <row r="897">
      <c r="B897" s="48"/>
      <c r="E897" s="21"/>
    </row>
    <row r="898">
      <c r="B898" s="48"/>
      <c r="E898" s="21"/>
    </row>
    <row r="899">
      <c r="B899" s="48"/>
      <c r="E899" s="21"/>
    </row>
    <row r="900">
      <c r="B900" s="48"/>
      <c r="E900" s="21"/>
    </row>
    <row r="901">
      <c r="B901" s="48"/>
      <c r="E901" s="21"/>
    </row>
    <row r="902">
      <c r="B902" s="48"/>
      <c r="E902" s="21"/>
    </row>
    <row r="903">
      <c r="B903" s="48"/>
      <c r="E903" s="21"/>
    </row>
    <row r="904">
      <c r="B904" s="48"/>
      <c r="E904" s="21"/>
    </row>
    <row r="905">
      <c r="B905" s="48"/>
      <c r="E905" s="21"/>
    </row>
    <row r="906">
      <c r="B906" s="48"/>
      <c r="E906" s="21"/>
    </row>
    <row r="907">
      <c r="B907" s="48"/>
      <c r="E907" s="21"/>
    </row>
    <row r="908">
      <c r="B908" s="48"/>
      <c r="E908" s="21"/>
    </row>
    <row r="909">
      <c r="B909" s="48"/>
      <c r="E909" s="21"/>
    </row>
    <row r="910">
      <c r="B910" s="48"/>
      <c r="E910" s="21"/>
    </row>
    <row r="911">
      <c r="B911" s="48"/>
      <c r="E911" s="21"/>
    </row>
    <row r="912">
      <c r="B912" s="48"/>
      <c r="E912" s="21"/>
    </row>
    <row r="913">
      <c r="B913" s="48"/>
      <c r="E913" s="21"/>
    </row>
    <row r="914">
      <c r="B914" s="48"/>
      <c r="E914" s="21"/>
    </row>
    <row r="915">
      <c r="B915" s="48"/>
      <c r="E915" s="21"/>
    </row>
    <row r="916">
      <c r="B916" s="48"/>
      <c r="E916" s="21"/>
    </row>
    <row r="917">
      <c r="B917" s="48"/>
      <c r="E917" s="21"/>
    </row>
    <row r="918">
      <c r="B918" s="48"/>
      <c r="E918" s="21"/>
    </row>
    <row r="919">
      <c r="B919" s="48"/>
      <c r="E919" s="21"/>
    </row>
    <row r="920">
      <c r="B920" s="48"/>
      <c r="E920" s="21"/>
    </row>
    <row r="921">
      <c r="B921" s="48"/>
      <c r="E921" s="21"/>
    </row>
    <row r="922">
      <c r="B922" s="48"/>
      <c r="E922" s="21"/>
    </row>
    <row r="923">
      <c r="B923" s="48"/>
      <c r="E923" s="21"/>
    </row>
    <row r="924">
      <c r="B924" s="48"/>
      <c r="E924" s="21"/>
    </row>
    <row r="925">
      <c r="B925" s="48"/>
      <c r="E925" s="21"/>
    </row>
    <row r="926">
      <c r="B926" s="48"/>
      <c r="E926" s="21"/>
    </row>
    <row r="927">
      <c r="B927" s="48"/>
      <c r="E927" s="21"/>
    </row>
    <row r="928">
      <c r="B928" s="48"/>
      <c r="E928" s="21"/>
    </row>
    <row r="929">
      <c r="B929" s="48"/>
      <c r="E929" s="21"/>
    </row>
    <row r="930">
      <c r="B930" s="48"/>
      <c r="E930" s="21"/>
    </row>
    <row r="931">
      <c r="B931" s="48"/>
      <c r="E931" s="21"/>
    </row>
    <row r="932">
      <c r="B932" s="48"/>
      <c r="E932" s="21"/>
    </row>
    <row r="933">
      <c r="B933" s="48"/>
      <c r="E933" s="21"/>
    </row>
    <row r="934">
      <c r="B934" s="48"/>
      <c r="E934" s="21"/>
    </row>
    <row r="935">
      <c r="B935" s="48"/>
      <c r="E935" s="21"/>
    </row>
    <row r="936">
      <c r="B936" s="48"/>
      <c r="E936" s="21"/>
    </row>
    <row r="937">
      <c r="B937" s="48"/>
      <c r="E937" s="21"/>
    </row>
    <row r="938">
      <c r="B938" s="48"/>
      <c r="E938" s="21"/>
    </row>
    <row r="939">
      <c r="B939" s="48"/>
      <c r="E939" s="21"/>
    </row>
    <row r="940">
      <c r="B940" s="48"/>
      <c r="E940" s="21"/>
    </row>
    <row r="941">
      <c r="B941" s="48"/>
      <c r="E941" s="21"/>
    </row>
    <row r="942">
      <c r="B942" s="48"/>
      <c r="E942" s="21"/>
    </row>
    <row r="943">
      <c r="B943" s="48"/>
      <c r="E943" s="21"/>
    </row>
    <row r="944">
      <c r="B944" s="48"/>
      <c r="E944" s="21"/>
    </row>
    <row r="945">
      <c r="B945" s="48"/>
      <c r="E945" s="21"/>
    </row>
    <row r="946">
      <c r="B946" s="48"/>
      <c r="E946" s="21"/>
    </row>
    <row r="947">
      <c r="B947" s="48"/>
      <c r="E947" s="21"/>
    </row>
    <row r="948">
      <c r="B948" s="48"/>
      <c r="E948" s="21"/>
    </row>
    <row r="949">
      <c r="B949" s="48"/>
      <c r="E949" s="21"/>
    </row>
    <row r="950">
      <c r="B950" s="48"/>
      <c r="E950" s="21"/>
    </row>
    <row r="951">
      <c r="B951" s="48"/>
      <c r="E951" s="21"/>
    </row>
    <row r="952">
      <c r="B952" s="48"/>
      <c r="E952" s="21"/>
    </row>
    <row r="953">
      <c r="B953" s="48"/>
      <c r="E953" s="21"/>
    </row>
    <row r="954">
      <c r="B954" s="48"/>
      <c r="E954" s="21"/>
    </row>
    <row r="955">
      <c r="B955" s="48"/>
      <c r="E955" s="21"/>
    </row>
    <row r="956">
      <c r="B956" s="48"/>
      <c r="E956" s="21"/>
    </row>
    <row r="957">
      <c r="B957" s="48"/>
      <c r="E957" s="21"/>
    </row>
    <row r="958">
      <c r="B958" s="48"/>
      <c r="E958" s="21"/>
    </row>
    <row r="959">
      <c r="B959" s="48"/>
      <c r="E959" s="21"/>
    </row>
    <row r="960">
      <c r="B960" s="48"/>
      <c r="E960" s="21"/>
    </row>
    <row r="961">
      <c r="B961" s="48"/>
      <c r="E961" s="21"/>
    </row>
    <row r="962">
      <c r="B962" s="48"/>
      <c r="E962" s="21"/>
    </row>
    <row r="963">
      <c r="B963" s="48"/>
      <c r="E963" s="21"/>
    </row>
    <row r="964">
      <c r="B964" s="48"/>
      <c r="E964" s="21"/>
    </row>
    <row r="965">
      <c r="B965" s="48"/>
      <c r="E965" s="21"/>
    </row>
    <row r="966">
      <c r="B966" s="48"/>
      <c r="E966" s="21"/>
    </row>
    <row r="967">
      <c r="B967" s="48"/>
      <c r="E967" s="21"/>
    </row>
    <row r="968">
      <c r="B968" s="48"/>
      <c r="E968" s="21"/>
    </row>
    <row r="969">
      <c r="B969" s="48"/>
      <c r="E969" s="21"/>
    </row>
    <row r="970">
      <c r="B970" s="48"/>
      <c r="E970" s="21"/>
    </row>
    <row r="971">
      <c r="B971" s="48"/>
      <c r="E971" s="21"/>
    </row>
    <row r="972">
      <c r="B972" s="48"/>
      <c r="E972" s="21"/>
    </row>
    <row r="973">
      <c r="B973" s="48"/>
      <c r="E973" s="21"/>
    </row>
    <row r="974">
      <c r="B974" s="48"/>
      <c r="E974" s="21"/>
    </row>
    <row r="975">
      <c r="B975" s="48"/>
      <c r="E975" s="21"/>
    </row>
    <row r="976">
      <c r="B976" s="48"/>
      <c r="E976" s="21"/>
    </row>
    <row r="977">
      <c r="B977" s="48"/>
      <c r="E977" s="21"/>
    </row>
    <row r="978">
      <c r="B978" s="48"/>
      <c r="E978" s="21"/>
    </row>
    <row r="979">
      <c r="B979" s="48"/>
      <c r="E979" s="21"/>
    </row>
    <row r="980">
      <c r="B980" s="48"/>
      <c r="E980" s="21"/>
    </row>
    <row r="981">
      <c r="B981" s="48"/>
      <c r="E981" s="21"/>
    </row>
    <row r="982">
      <c r="B982" s="48"/>
      <c r="E982" s="21"/>
    </row>
    <row r="983">
      <c r="B983" s="48"/>
      <c r="E983" s="21"/>
    </row>
    <row r="984">
      <c r="B984" s="48"/>
      <c r="E984" s="21"/>
    </row>
    <row r="985">
      <c r="B985" s="48"/>
      <c r="E985" s="21"/>
    </row>
    <row r="986">
      <c r="B986" s="48"/>
      <c r="E986" s="21"/>
    </row>
    <row r="987">
      <c r="B987" s="48"/>
      <c r="E987" s="21"/>
    </row>
    <row r="988">
      <c r="B988" s="48"/>
      <c r="E988" s="21"/>
    </row>
    <row r="989">
      <c r="B989" s="48"/>
      <c r="E989" s="21"/>
    </row>
    <row r="990">
      <c r="B990" s="48"/>
      <c r="E990" s="21"/>
    </row>
    <row r="991">
      <c r="B991" s="48"/>
      <c r="E991" s="21"/>
    </row>
    <row r="992">
      <c r="B992" s="48"/>
      <c r="E992" s="21"/>
    </row>
    <row r="993">
      <c r="B993" s="48"/>
      <c r="E993" s="21"/>
    </row>
    <row r="994">
      <c r="B994" s="48"/>
      <c r="E994" s="21"/>
    </row>
    <row r="995">
      <c r="B995" s="48"/>
      <c r="E995" s="21"/>
    </row>
    <row r="996">
      <c r="B996" s="48"/>
      <c r="E996" s="21"/>
    </row>
    <row r="997">
      <c r="B997" s="48"/>
      <c r="E997" s="21"/>
    </row>
    <row r="998">
      <c r="B998" s="48"/>
      <c r="E998" s="21"/>
    </row>
    <row r="999">
      <c r="B999" s="48"/>
      <c r="E999" s="21"/>
    </row>
    <row r="1000">
      <c r="B1000" s="48"/>
      <c r="E1000" s="21"/>
    </row>
  </sheetData>
  <hyperlinks>
    <hyperlink r:id="rId1" ref="A624"/>
    <hyperlink r:id="rId2" ref="A625"/>
    <hyperlink r:id="rId3" ref="A626"/>
    <hyperlink r:id="rId4" ref="A627"/>
    <hyperlink r:id="rId5" ref="A628"/>
    <hyperlink r:id="rId6" ref="A629"/>
    <hyperlink r:id="rId7" ref="A630"/>
    <hyperlink r:id="rId8" ref="A631"/>
    <hyperlink r:id="rId9" ref="A632"/>
    <hyperlink r:id="rId10" ref="A633"/>
    <hyperlink r:id="rId11" ref="A634"/>
    <hyperlink r:id="rId12" ref="A635"/>
    <hyperlink r:id="rId13" ref="A636"/>
    <hyperlink r:id="rId14" ref="A637"/>
    <hyperlink r:id="rId15" ref="A638"/>
    <hyperlink r:id="rId16" ref="A639"/>
    <hyperlink r:id="rId17" ref="A640"/>
    <hyperlink r:id="rId18" ref="A641"/>
    <hyperlink r:id="rId19" ref="A642"/>
    <hyperlink r:id="rId20" ref="A643"/>
    <hyperlink r:id="rId21" ref="A644"/>
    <hyperlink r:id="rId22" ref="A645"/>
    <hyperlink r:id="rId23" ref="A646"/>
    <hyperlink r:id="rId24" ref="A647"/>
    <hyperlink r:id="rId25" ref="A648"/>
    <hyperlink r:id="rId26" ref="A649"/>
    <hyperlink r:id="rId27" ref="A650"/>
    <hyperlink r:id="rId28" ref="A651"/>
    <hyperlink r:id="rId29" ref="A652"/>
    <hyperlink r:id="rId30" ref="A653"/>
    <hyperlink r:id="rId31" ref="A654"/>
    <hyperlink r:id="rId32" ref="A655"/>
    <hyperlink r:id="rId33" ref="A656"/>
    <hyperlink r:id="rId34" ref="A657"/>
    <hyperlink r:id="rId35" ref="A658"/>
    <hyperlink r:id="rId36" ref="A659"/>
    <hyperlink r:id="rId37" ref="A660"/>
    <hyperlink r:id="rId38" ref="A661"/>
    <hyperlink r:id="rId39" ref="A662"/>
    <hyperlink r:id="rId40" ref="A663"/>
    <hyperlink r:id="rId41" ref="A664"/>
    <hyperlink r:id="rId42" ref="A665"/>
    <hyperlink r:id="rId43" ref="A666"/>
    <hyperlink r:id="rId44" ref="A667"/>
    <hyperlink r:id="rId45" ref="A668"/>
    <hyperlink r:id="rId46" ref="A669"/>
    <hyperlink r:id="rId47" ref="A670"/>
    <hyperlink r:id="rId48" ref="A671"/>
    <hyperlink r:id="rId49" ref="A672"/>
    <hyperlink r:id="rId50" ref="A673"/>
    <hyperlink r:id="rId51" ref="A674"/>
    <hyperlink r:id="rId52" ref="A675"/>
    <hyperlink r:id="rId53" ref="A676"/>
    <hyperlink r:id="rId54" ref="A677"/>
    <hyperlink r:id="rId55" ref="A678"/>
    <hyperlink r:id="rId56" ref="A679"/>
    <hyperlink r:id="rId57" ref="A680"/>
    <hyperlink r:id="rId58" ref="A681"/>
    <hyperlink r:id="rId59" ref="A682"/>
    <hyperlink r:id="rId60" ref="A683"/>
    <hyperlink r:id="rId61" ref="A684"/>
    <hyperlink r:id="rId62" ref="A685"/>
    <hyperlink r:id="rId63" ref="A686"/>
    <hyperlink r:id="rId64" ref="A687"/>
    <hyperlink r:id="rId65" ref="A688"/>
    <hyperlink r:id="rId66" ref="A689"/>
    <hyperlink r:id="rId67" ref="A690"/>
    <hyperlink r:id="rId68" ref="A691"/>
    <hyperlink r:id="rId69" ref="A692"/>
    <hyperlink r:id="rId70" ref="A693"/>
    <hyperlink r:id="rId71" ref="A694"/>
    <hyperlink r:id="rId72" ref="A695"/>
    <hyperlink r:id="rId73" ref="A696"/>
    <hyperlink r:id="rId74" ref="A697"/>
    <hyperlink r:id="rId75" ref="A698"/>
    <hyperlink r:id="rId76" ref="A699"/>
    <hyperlink r:id="rId77" ref="A700"/>
    <hyperlink r:id="rId78" ref="A701"/>
    <hyperlink r:id="rId79" ref="A702"/>
    <hyperlink r:id="rId80" ref="A703"/>
    <hyperlink r:id="rId81" ref="A704"/>
    <hyperlink r:id="rId82" ref="A705"/>
    <hyperlink r:id="rId83" ref="A706"/>
    <hyperlink r:id="rId84" ref="A707"/>
    <hyperlink r:id="rId85" ref="A708"/>
    <hyperlink r:id="rId86" ref="A709"/>
    <hyperlink r:id="rId87" ref="A710"/>
    <hyperlink r:id="rId88" ref="A711"/>
    <hyperlink r:id="rId89" ref="A712"/>
    <hyperlink r:id="rId90" ref="A713"/>
    <hyperlink r:id="rId91" ref="A714"/>
    <hyperlink r:id="rId92" ref="A730"/>
    <hyperlink r:id="rId93" ref="A731"/>
    <hyperlink r:id="rId94" ref="A732"/>
    <hyperlink r:id="rId95" ref="A733"/>
    <hyperlink r:id="rId96" ref="A734"/>
    <hyperlink r:id="rId97" ref="A735"/>
    <hyperlink r:id="rId98" ref="A736"/>
    <hyperlink r:id="rId99" ref="A737"/>
    <hyperlink r:id="rId100" ref="A738"/>
    <hyperlink r:id="rId101" ref="A739"/>
    <hyperlink r:id="rId102" ref="A740"/>
    <hyperlink r:id="rId103" ref="A741"/>
    <hyperlink r:id="rId104" ref="A755"/>
    <hyperlink r:id="rId105" ref="A756"/>
    <hyperlink r:id="rId106" ref="A757"/>
    <hyperlink r:id="rId107" ref="A758"/>
    <hyperlink r:id="rId108" ref="A759"/>
    <hyperlink r:id="rId109" ref="A760"/>
    <hyperlink r:id="rId110" ref="A761"/>
    <hyperlink r:id="rId111" ref="A762"/>
    <hyperlink r:id="rId112" ref="A763"/>
    <hyperlink r:id="rId113" ref="A764"/>
    <hyperlink r:id="rId114" ref="A765"/>
    <hyperlink r:id="rId115" ref="A766"/>
    <hyperlink r:id="rId116" ref="A773"/>
    <hyperlink r:id="rId117" ref="A774"/>
    <hyperlink r:id="rId118" ref="A775"/>
    <hyperlink r:id="rId119" ref="A776"/>
    <hyperlink r:id="rId120" ref="A777"/>
    <hyperlink r:id="rId121" ref="A778"/>
    <hyperlink r:id="rId122" ref="A779"/>
    <hyperlink r:id="rId123" ref="A780"/>
    <hyperlink r:id="rId124" ref="A781"/>
    <hyperlink r:id="rId125" ref="A782"/>
    <hyperlink r:id="rId126" ref="A783"/>
    <hyperlink r:id="rId127" ref="A784"/>
    <hyperlink r:id="rId128" ref="A785"/>
    <hyperlink r:id="rId129" ref="A786"/>
    <hyperlink r:id="rId130" ref="A787"/>
    <hyperlink r:id="rId131" ref="A788"/>
    <hyperlink r:id="rId132" ref="A789"/>
    <hyperlink r:id="rId133" ref="A790"/>
    <hyperlink r:id="rId134" ref="A791"/>
    <hyperlink r:id="rId135" ref="A792"/>
    <hyperlink r:id="rId136" ref="A793"/>
    <hyperlink r:id="rId137" ref="A794"/>
    <hyperlink r:id="rId138" ref="A795"/>
    <hyperlink r:id="rId139" ref="A796"/>
    <hyperlink r:id="rId140" ref="A797"/>
    <hyperlink r:id="rId141" ref="A798"/>
    <hyperlink r:id="rId142" ref="A799"/>
    <hyperlink r:id="rId143" ref="A807"/>
    <hyperlink r:id="rId144" ref="A808"/>
    <hyperlink r:id="rId145" ref="A809"/>
    <hyperlink r:id="rId146" ref="A810"/>
    <hyperlink r:id="rId147" ref="A811"/>
    <hyperlink r:id="rId148" ref="A812"/>
    <hyperlink r:id="rId149" ref="A813"/>
    <hyperlink r:id="rId150" ref="A826"/>
    <hyperlink r:id="rId151" ref="A827"/>
    <hyperlink r:id="rId152" ref="A828"/>
    <hyperlink r:id="rId153" ref="A829"/>
    <hyperlink r:id="rId154" ref="A830"/>
    <hyperlink r:id="rId155" ref="A831"/>
    <hyperlink r:id="rId156" ref="A832"/>
    <hyperlink r:id="rId157" ref="A833"/>
    <hyperlink r:id="rId158" ref="A834"/>
    <hyperlink r:id="rId159" ref="A835"/>
    <hyperlink r:id="rId160" ref="A836"/>
    <hyperlink r:id="rId161" ref="A837"/>
  </hyperlinks>
  <drawing r:id="rId16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</cols>
  <sheetData>
    <row r="1">
      <c r="A1" s="3"/>
      <c r="B1" s="49" t="s">
        <v>1225</v>
      </c>
      <c r="L1" s="2"/>
      <c r="M1" s="49" t="s">
        <v>24</v>
      </c>
      <c r="W1" s="49" t="s">
        <v>1226</v>
      </c>
      <c r="AG1" s="3"/>
      <c r="AH1" s="3"/>
      <c r="AI1" s="11"/>
    </row>
    <row r="2">
      <c r="A2" s="3" t="s">
        <v>1227</v>
      </c>
      <c r="B2" s="3" t="s">
        <v>1228</v>
      </c>
      <c r="C2" s="2" t="s">
        <v>1229</v>
      </c>
      <c r="D2" s="1" t="s">
        <v>1230</v>
      </c>
      <c r="E2" s="2" t="s">
        <v>1231</v>
      </c>
      <c r="F2" s="2" t="s">
        <v>1232</v>
      </c>
      <c r="G2" s="2" t="s">
        <v>1233</v>
      </c>
      <c r="H2" s="2" t="s">
        <v>1234</v>
      </c>
      <c r="I2" s="2" t="s">
        <v>1235</v>
      </c>
      <c r="J2" s="2" t="s">
        <v>1236</v>
      </c>
      <c r="K2" s="2" t="s">
        <v>1237</v>
      </c>
      <c r="L2" s="2" t="s">
        <v>1238</v>
      </c>
      <c r="M2" s="2" t="s">
        <v>1228</v>
      </c>
      <c r="N2" s="2" t="s">
        <v>1229</v>
      </c>
      <c r="O2" s="2" t="s">
        <v>1230</v>
      </c>
      <c r="P2" s="2" t="s">
        <v>1231</v>
      </c>
      <c r="Q2" s="2" t="s">
        <v>1232</v>
      </c>
      <c r="R2" s="2" t="s">
        <v>1233</v>
      </c>
      <c r="S2" s="2" t="s">
        <v>1234</v>
      </c>
      <c r="T2" s="2" t="s">
        <v>1235</v>
      </c>
      <c r="U2" s="2" t="s">
        <v>1236</v>
      </c>
      <c r="V2" s="2" t="s">
        <v>1237</v>
      </c>
      <c r="W2" s="2" t="s">
        <v>1228</v>
      </c>
      <c r="X2" s="2" t="s">
        <v>1229</v>
      </c>
      <c r="Y2" s="2" t="s">
        <v>1230</v>
      </c>
      <c r="Z2" s="2" t="s">
        <v>1231</v>
      </c>
      <c r="AA2" s="2" t="s">
        <v>1232</v>
      </c>
      <c r="AB2" s="2" t="s">
        <v>1233</v>
      </c>
      <c r="AC2" s="2" t="s">
        <v>1234</v>
      </c>
      <c r="AD2" s="2" t="s">
        <v>1235</v>
      </c>
      <c r="AE2" s="2" t="s">
        <v>1236</v>
      </c>
      <c r="AF2" s="2" t="s">
        <v>1237</v>
      </c>
      <c r="AG2" s="2" t="s">
        <v>1239</v>
      </c>
      <c r="AH2" s="3" t="s">
        <v>1240</v>
      </c>
      <c r="AI2" s="45" t="s">
        <v>1241</v>
      </c>
    </row>
    <row r="3">
      <c r="A3" s="50">
        <v>44773.99930555555</v>
      </c>
      <c r="B3" s="51">
        <f>IFERROR(__xludf.DUMMYFUNCTION("sumproduct(importrange($AI$2,""hours""),importrange($AI$2,""lessondate"")&lt;($A3),importrange($AI$2,""teacher"")=B$2)"),2.0)</f>
        <v>2</v>
      </c>
      <c r="C3" s="51">
        <f>IFERROR(__xludf.DUMMYFUNCTION("sumproduct(importrange($AI$2,""hours""),importrange($AI$2,""lessondate"")&lt;($A3),importrange($AI$2,""teacher"")=C$2)"),0.0)</f>
        <v>0</v>
      </c>
      <c r="D3" s="51">
        <f>IFERROR(__xludf.DUMMYFUNCTION("sumproduct(importrange($AI$2,""hours""),importrange($AI$2,""lessondate"")&lt;=($A3),importrange($AI$2,""lessondate"")&gt;($A2),importrange($AI$2,""teacher"")=D$2)"),0.0)</f>
        <v>0</v>
      </c>
      <c r="E3" s="51">
        <f>IFERROR(__xludf.DUMMYFUNCTION("sumproduct(importrange($AI$2,""hours""),importrange($AI$2,""lessondate"")&lt;=($A3),importrange($AI$2,""lessondate"")&gt;($A2),importrange($AI$2,""teacher"")=E$2)"),0.0)</f>
        <v>0</v>
      </c>
      <c r="F3" s="51">
        <f>IFERROR(__xludf.DUMMYFUNCTION("sumproduct(importrange($AI$2,""hours""),importrange($AI$2,""lessondate"")&lt;=($A3),importrange($AI$2,""lessondate"")&gt;($A2),importrange($AI$2,""teacher"")=F$2)"),0.0)</f>
        <v>0</v>
      </c>
      <c r="G3" s="51">
        <f>IFERROR(__xludf.DUMMYFUNCTION("sumproduct(importrange($AI$2,""hours""),importrange($AI$2,""lessondate"")&lt;=($A3),importrange($AI$2,""lessondate"")&gt;($A2),importrange($AI$2,""teacher"")=G$2)"),0.0)</f>
        <v>0</v>
      </c>
      <c r="H3" s="51">
        <f>IFERROR(__xludf.DUMMYFUNCTION("sumproduct(importrange($AI$2,""hours""),importrange($AI$2,""lessondate"")&lt;=($A3),importrange($AI$2,""lessondate"")&gt;($A2),importrange($AI$2,""teacher"")=H$2)"),0.0)</f>
        <v>0</v>
      </c>
      <c r="I3" s="51">
        <f>IFERROR(__xludf.DUMMYFUNCTION("sumproduct(importrange($AI$2,""hours""),importrange($AI$2,""lessondate"")&lt;=($A3),importrange($AI$2,""lessondate"")&gt;($A2),importrange($AI$2,""teacher"")=I$2)"),0.0)</f>
        <v>0</v>
      </c>
      <c r="J3" s="51">
        <f>IFERROR(__xludf.DUMMYFUNCTION("sumproduct(importrange($AI$2,""hours""),importrange($AI$2,""lessondate"")&lt;=($A3),importrange($AI$2,""lessondate"")&gt;($A2),importrange($AI$2,""teacher"")=J$2)"),0.0)</f>
        <v>0</v>
      </c>
      <c r="K3" s="15">
        <f t="shared" ref="K3:K8" si="1">SUM(B3:G3)</f>
        <v>2</v>
      </c>
      <c r="L3" s="2">
        <v>15.0</v>
      </c>
      <c r="M3" s="2">
        <v>315.0</v>
      </c>
      <c r="N3" s="2">
        <v>0.0</v>
      </c>
      <c r="O3" s="2">
        <v>-15.0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f t="shared" ref="U3:U29" si="3">(J3)*11</f>
        <v>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3">
        <f t="shared" ref="AF3:AF44" si="4">sum(W3:AE3)</f>
        <v>0</v>
      </c>
      <c r="AG3" s="3">
        <f t="shared" ref="AG3:AG44" si="5">if(and(K3&gt;0,AF3&gt;0),K3/AF3,0)</f>
        <v>0</v>
      </c>
      <c r="AH3" s="3"/>
    </row>
    <row r="4">
      <c r="A4" s="38">
        <v>44804.99930555555</v>
      </c>
      <c r="B4" s="51">
        <f>IFERROR(__xludf.DUMMYFUNCTION("sumproduct(importrange($AI$2,""hours""),importrange($AI$2,""lessondate"")&lt;=($A4),importrange($AI$2,""lessondate"")&gt;($A3),importrange($AI$2,""teacher"")=B$2)"),19.0)</f>
        <v>19</v>
      </c>
      <c r="C4" s="51">
        <f>IFERROR(__xludf.DUMMYFUNCTION("sumproduct(importrange($AI$2,""hours""),importrange($AI$2,""lessondate"")&lt;=($A4),importrange($AI$2,""lessondate"")&gt;($A3),importrange($AI$2,""teacher"")=C$2)"),0.0)</f>
        <v>0</v>
      </c>
      <c r="D4" s="51">
        <f>IFERROR(__xludf.DUMMYFUNCTION("sumproduct(importrange($AI$2,""hours""),importrange($AI$2,""lessondate"")&lt;=($A4),importrange($AI$2,""lessondate"")&gt;($A3),importrange($AI$2,""teacher"")=D$2)"),11.75)</f>
        <v>11.75</v>
      </c>
      <c r="E4" s="51">
        <f>IFERROR(__xludf.DUMMYFUNCTION("sumproduct(importrange($AI$2,""hours""),importrange($AI$2,""lessondate"")&lt;=($A4),importrange($AI$2,""lessondate"")&gt;($A3),importrange($AI$2,""teacher"")=E$2)"),0.0)</f>
        <v>0</v>
      </c>
      <c r="F4" s="51">
        <f>IFERROR(__xludf.DUMMYFUNCTION("sumproduct(importrange($AI$2,""hours""),importrange($AI$2,""lessondate"")&lt;=($A4),importrange($AI$2,""lessondate"")&gt;($A3),importrange($AI$2,""teacher"")=F$2)"),0.0)</f>
        <v>0</v>
      </c>
      <c r="G4" s="51">
        <f>IFERROR(__xludf.DUMMYFUNCTION("sumproduct(importrange($AI$2,""hours""),importrange($AI$2,""lessondate"")&lt;=($A4),importrange($AI$2,""lessondate"")&gt;($A3),importrange($AI$2,""teacher"")=G$2)"),0.0)</f>
        <v>0</v>
      </c>
      <c r="H4" s="51">
        <f>IFERROR(__xludf.DUMMYFUNCTION("sumproduct(importrange($AI$2,""hours""),importrange($AI$2,""lessondate"")&lt;=($A4),importrange($AI$2,""lessondate"")&gt;($A3),importrange($AI$2,""teacher"")=H$2)"),0.0)</f>
        <v>0</v>
      </c>
      <c r="I4" s="51">
        <f>IFERROR(__xludf.DUMMYFUNCTION("sumproduct(importrange($AI$2,""hours""),importrange($AI$2,""lessondate"")&lt;=($A4),importrange($AI$2,""lessondate"")&gt;($A3),importrange($AI$2,""teacher"")=I$2)"),0.0)</f>
        <v>0</v>
      </c>
      <c r="J4" s="51">
        <f>IFERROR(__xludf.DUMMYFUNCTION("sumproduct(importrange($AI$2,""hours""),importrange($AI$2,""lessondate"")&lt;=($A4),importrange($AI$2,""lessondate"")&gt;($A3),importrange($AI$2,""teacher"")=J$2)"),0.0)</f>
        <v>0</v>
      </c>
      <c r="K4" s="15">
        <f t="shared" si="1"/>
        <v>30.75</v>
      </c>
      <c r="L4" s="2">
        <v>15.0</v>
      </c>
      <c r="M4" s="11">
        <f t="shared" ref="M4:O4" si="2">B4*$L4</f>
        <v>285</v>
      </c>
      <c r="N4" s="11">
        <f t="shared" si="2"/>
        <v>0</v>
      </c>
      <c r="O4" s="11">
        <f t="shared" si="2"/>
        <v>176.25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f t="shared" si="3"/>
        <v>0</v>
      </c>
      <c r="V4" s="3">
        <f>O4+M4+V3+315</f>
        <v>776.25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3">
        <f t="shared" si="4"/>
        <v>0</v>
      </c>
      <c r="AG4" s="3">
        <f t="shared" si="5"/>
        <v>0</v>
      </c>
    </row>
    <row r="5">
      <c r="A5" s="50">
        <v>44834.99930555555</v>
      </c>
      <c r="B5" s="51">
        <f>IFERROR(__xludf.DUMMYFUNCTION("sumproduct(importrange($AI$2,""hours""),importrange($AI$2,""lessondate"")&lt;=($A5),importrange($AI$2,""lessondate"")&gt;($A4),importrange($AI$2,""teacher"")=B$2)"),38.0)</f>
        <v>38</v>
      </c>
      <c r="C5" s="51">
        <f>IFERROR(__xludf.DUMMYFUNCTION("sumproduct(importrange($AI$2,""hours""),importrange($AI$2,""lessondate"")&lt;=($A5),importrange($AI$2,""lessondate"")&gt;($A4),importrange($AI$2,""teacher"")=C$2)"),0.0)</f>
        <v>0</v>
      </c>
      <c r="D5" s="51">
        <f>IFERROR(__xludf.DUMMYFUNCTION("sumproduct(importrange($AI$2,""hours""),importrange($AI$2,""lessondate"")&lt;=($A5),importrange($AI$2,""lessondate"")&gt;($A4),importrange($AI$2,""teacher"")=D$2)"),20.25)</f>
        <v>20.25</v>
      </c>
      <c r="E5" s="51">
        <f>IFERROR(__xludf.DUMMYFUNCTION("sumproduct(importrange($AI$2,""hours""),importrange($AI$2,""lessondate"")&lt;=($A5),importrange($AI$2,""lessondate"")&gt;($A4),importrange($AI$2,""teacher"")=E$2)"),0.0)</f>
        <v>0</v>
      </c>
      <c r="F5" s="51">
        <f>IFERROR(__xludf.DUMMYFUNCTION("sumproduct(importrange($AI$2,""hours""),importrange($AI$2,""lessondate"")&lt;=($A5),importrange($AI$2,""lessondate"")&gt;($A4),importrange($AI$2,""teacher"")=F$2)"),0.0)</f>
        <v>0</v>
      </c>
      <c r="G5" s="51">
        <f>IFERROR(__xludf.DUMMYFUNCTION("sumproduct(importrange($AI$2,""hours""),importrange($AI$2,""lessondate"")&lt;=($A5),importrange($AI$2,""lessondate"")&gt;($A4),importrange($AI$2,""teacher"")=G$2)"),0.0)</f>
        <v>0</v>
      </c>
      <c r="H5" s="51">
        <f>IFERROR(__xludf.DUMMYFUNCTION("sumproduct(importrange($AI$2,""hours""),importrange($AI$2,""lessondate"")&lt;=($A5),importrange($AI$2,""lessondate"")&gt;($A4),importrange($AI$2,""teacher"")=H$2)"),0.0)</f>
        <v>0</v>
      </c>
      <c r="I5" s="51">
        <f>IFERROR(__xludf.DUMMYFUNCTION("sumproduct(importrange($AI$2,""hours""),importrange($AI$2,""lessondate"")&lt;=($A5),importrange($AI$2,""lessondate"")&gt;($A4),importrange($AI$2,""teacher"")=I$2)"),0.0)</f>
        <v>0</v>
      </c>
      <c r="J5" s="51">
        <f>IFERROR(__xludf.DUMMYFUNCTION("sumproduct(importrange($AI$2,""hours""),importrange($AI$2,""lessondate"")&lt;=($A5),importrange($AI$2,""lessondate"")&gt;($A4),importrange($AI$2,""teacher"")=J$2)"),0.0)</f>
        <v>0</v>
      </c>
      <c r="K5" s="15">
        <f t="shared" si="1"/>
        <v>58.25</v>
      </c>
      <c r="L5" s="11">
        <v>15.0</v>
      </c>
      <c r="M5" s="11">
        <f t="shared" ref="M5:O5" si="6">B5*$L5</f>
        <v>570</v>
      </c>
      <c r="N5" s="11">
        <f t="shared" si="6"/>
        <v>0</v>
      </c>
      <c r="O5" s="11">
        <f t="shared" si="6"/>
        <v>303.75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f t="shared" si="3"/>
        <v>0</v>
      </c>
      <c r="V5" s="3">
        <f t="shared" ref="V5:V7" si="8">sum(M5:R5)</f>
        <v>873.75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3">
        <f t="shared" si="4"/>
        <v>0</v>
      </c>
      <c r="AG5" s="3">
        <f t="shared" si="5"/>
        <v>0</v>
      </c>
    </row>
    <row r="6">
      <c r="A6" s="38">
        <v>44865.99930555555</v>
      </c>
      <c r="B6" s="51">
        <f>IFERROR(__xludf.DUMMYFUNCTION("sumproduct(importrange($AI$2,""hours""),importrange($AI$2,""lessondate"")&lt;=($A6),importrange($AI$2,""lessondate"")&gt;($A5),importrange($AI$2,""teacher"")=B$2)"),37.0)</f>
        <v>37</v>
      </c>
      <c r="C6" s="51">
        <f>IFERROR(__xludf.DUMMYFUNCTION("sumproduct(importrange($AI$2,""hours""),importrange($AI$2,""lessondate"")&lt;=($A6),importrange($AI$2,""lessondate"")&gt;($A5),importrange($AI$2,""teacher"")=C$2)"),0.0)</f>
        <v>0</v>
      </c>
      <c r="D6" s="51">
        <f>IFERROR(__xludf.DUMMYFUNCTION("sumproduct(importrange($AI$2,""hours""),importrange($AI$2,""lessondate"")&lt;=($A6),importrange($AI$2,""lessondate"")&gt;($A5),importrange($AI$2,""teacher"")=D$2)"),25.916666666666668)</f>
        <v>25.91666667</v>
      </c>
      <c r="E6" s="51">
        <f>IFERROR(__xludf.DUMMYFUNCTION("sumproduct(importrange($AI$2,""hours""),importrange($AI$2,""lessondate"")&lt;=($A6),importrange($AI$2,""lessondate"")&gt;($A5),importrange($AI$2,""teacher"")=E$2)"),0.0)</f>
        <v>0</v>
      </c>
      <c r="F6" s="51">
        <f>IFERROR(__xludf.DUMMYFUNCTION("sumproduct(importrange($AI$2,""hours""),importrange($AI$2,""lessondate"")&lt;=($A6),importrange($AI$2,""lessondate"")&gt;($A5),importrange($AI$2,""teacher"")=F$2)"),0.0)</f>
        <v>0</v>
      </c>
      <c r="G6" s="51">
        <f>IFERROR(__xludf.DUMMYFUNCTION("sumproduct(importrange($AI$2,""hours""),importrange($AI$2,""lessondate"")&lt;=($A6),importrange($AI$2,""lessondate"")&gt;($A5),importrange($AI$2,""teacher"")=G$2)"),0.0)</f>
        <v>0</v>
      </c>
      <c r="H6" s="51">
        <f>IFERROR(__xludf.DUMMYFUNCTION("sumproduct(importrange($AI$2,""hours""),importrange($AI$2,""lessondate"")&lt;=($A6),importrange($AI$2,""lessondate"")&gt;($A5),importrange($AI$2,""teacher"")=H$2)"),0.0)</f>
        <v>0</v>
      </c>
      <c r="I6" s="51">
        <f>IFERROR(__xludf.DUMMYFUNCTION("sumproduct(importrange($AI$2,""hours""),importrange($AI$2,""lessondate"")&lt;=($A6),importrange($AI$2,""lessondate"")&gt;($A5),importrange($AI$2,""teacher"")=I$2)"),0.0)</f>
        <v>0</v>
      </c>
      <c r="J6" s="51">
        <f>IFERROR(__xludf.DUMMYFUNCTION("sumproduct(importrange($AI$2,""hours""),importrange($AI$2,""lessondate"")&lt;=($A6),importrange($AI$2,""lessondate"")&gt;($A5),importrange($AI$2,""teacher"")=J$2)"),0.0)</f>
        <v>0</v>
      </c>
      <c r="K6" s="15">
        <f t="shared" si="1"/>
        <v>62.91666667</v>
      </c>
      <c r="L6" s="11">
        <v>15.0</v>
      </c>
      <c r="M6" s="11">
        <f t="shared" ref="M6:O6" si="7">B6*$L6</f>
        <v>555</v>
      </c>
      <c r="N6" s="11">
        <f t="shared" si="7"/>
        <v>0</v>
      </c>
      <c r="O6" s="11">
        <f t="shared" si="7"/>
        <v>388.75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f t="shared" si="3"/>
        <v>0</v>
      </c>
      <c r="V6" s="3">
        <f t="shared" si="8"/>
        <v>943.75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3">
        <f t="shared" si="4"/>
        <v>0</v>
      </c>
      <c r="AG6" s="3">
        <f t="shared" si="5"/>
        <v>0</v>
      </c>
    </row>
    <row r="7">
      <c r="A7" s="50">
        <v>44895.99930555555</v>
      </c>
      <c r="B7" s="51">
        <f>IFERROR(__xludf.DUMMYFUNCTION("sumproduct(importrange($AI$2,""hours""),importrange($AI$2,""lessondate"")&lt;=($A7),importrange($AI$2,""lessondate"")&gt;($A6),importrange($AI$2,""teacher"")=B$2)"),12.0)</f>
        <v>12</v>
      </c>
      <c r="C7" s="51">
        <f>IFERROR(__xludf.DUMMYFUNCTION("sumproduct(importrange($AI$2,""hours""),importrange($AI$2,""lessondate"")&lt;=($A7),importrange($AI$2,""lessondate"")&gt;($A6),importrange($AI$2,""teacher"")=C$2)"),0.0)</f>
        <v>0</v>
      </c>
      <c r="D7" s="51">
        <f>IFERROR(__xludf.DUMMYFUNCTION("sumproduct(importrange($AI$2,""hours""),importrange($AI$2,""lessondate"")&lt;=($A7),importrange($AI$2,""lessondate"")&gt;($A6),importrange($AI$2,""teacher"")=D$2)"),25.0)</f>
        <v>25</v>
      </c>
      <c r="E7" s="51">
        <f>IFERROR(__xludf.DUMMYFUNCTION("sumproduct(importrange($AI$2,""hours""),importrange($AI$2,""lessondate"")&lt;=($A7),importrange($AI$2,""lessondate"")&gt;($A6),importrange($AI$2,""teacher"")=E$2)"),0.0)</f>
        <v>0</v>
      </c>
      <c r="F7" s="51">
        <f>IFERROR(__xludf.DUMMYFUNCTION("sumproduct(importrange($AI$2,""hours""),importrange($AI$2,""lessondate"")&lt;=($A7),importrange($AI$2,""lessondate"")&gt;($A6),importrange($AI$2,""teacher"")=F$2)"),0.0)</f>
        <v>0</v>
      </c>
      <c r="G7" s="51">
        <f>IFERROR(__xludf.DUMMYFUNCTION("sumproduct(importrange($AI$2,""hours""),importrange($AI$2,""lessondate"")&lt;=($A7),importrange($AI$2,""lessondate"")&gt;($A6),importrange($AI$2,""teacher"")=G$2)"),0.0)</f>
        <v>0</v>
      </c>
      <c r="H7" s="51">
        <f>IFERROR(__xludf.DUMMYFUNCTION("sumproduct(importrange($AI$2,""hours""),importrange($AI$2,""lessondate"")&lt;=($A7),importrange($AI$2,""lessondate"")&gt;($A6),importrange($AI$2,""teacher"")=H$2)"),0.0)</f>
        <v>0</v>
      </c>
      <c r="I7" s="51">
        <f>IFERROR(__xludf.DUMMYFUNCTION("sumproduct(importrange($AI$2,""hours""),importrange($AI$2,""lessondate"")&lt;=($A7),importrange($AI$2,""lessondate"")&gt;($A6),importrange($AI$2,""teacher"")=I$2)"),0.0)</f>
        <v>0</v>
      </c>
      <c r="J7" s="51">
        <f>IFERROR(__xludf.DUMMYFUNCTION("sumproduct(importrange($AI$2,""hours""),importrange($AI$2,""lessondate"")&lt;=($A7),importrange($AI$2,""lessondate"")&gt;($A6),importrange($AI$2,""teacher"")=J$2)"),0.0)</f>
        <v>0</v>
      </c>
      <c r="K7" s="15">
        <f t="shared" si="1"/>
        <v>37</v>
      </c>
      <c r="L7" s="11">
        <v>15.0</v>
      </c>
      <c r="M7" s="11">
        <f t="shared" ref="M7:O7" si="9">B7*$L7</f>
        <v>180</v>
      </c>
      <c r="N7" s="11">
        <f t="shared" si="9"/>
        <v>0</v>
      </c>
      <c r="O7" s="11">
        <f t="shared" si="9"/>
        <v>375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f t="shared" si="3"/>
        <v>0</v>
      </c>
      <c r="V7" s="3">
        <f t="shared" si="8"/>
        <v>555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3">
        <f t="shared" si="4"/>
        <v>0</v>
      </c>
      <c r="AG7" s="3">
        <f t="shared" si="5"/>
        <v>0</v>
      </c>
    </row>
    <row r="8">
      <c r="A8" s="38">
        <v>44926.99930555555</v>
      </c>
      <c r="B8" s="51">
        <f>IFERROR(__xludf.DUMMYFUNCTION("sumproduct(importrange($AI$2,""hours""),importrange($AI$2,""lessondate"")&lt;=($A8),importrange($AI$2,""lessondate"")&gt;($A7),importrange($AI$2,""teacher"")=B$2)"),23.0)</f>
        <v>23</v>
      </c>
      <c r="C8" s="51">
        <f>IFERROR(__xludf.DUMMYFUNCTION("sumproduct(importrange($AI$2,""hours""),importrange($AI$2,""lessondate"")&lt;=($A8),importrange($AI$2,""lessondate"")&gt;($A7),importrange($AI$2,""teacher"")=C$2)"),0.0)</f>
        <v>0</v>
      </c>
      <c r="D8" s="51">
        <f>IFERROR(__xludf.DUMMYFUNCTION("sumproduct(importrange($AI$2,""hours""),importrange($AI$2,""lessondate"")&lt;=($A8),importrange($AI$2,""lessondate"")&gt;($A7),importrange($AI$2,""teacher"")=D$2)"),38.0)</f>
        <v>38</v>
      </c>
      <c r="E8" s="51">
        <f>IFERROR(__xludf.DUMMYFUNCTION("sumproduct(importrange($AI$2,""hours""),importrange($AI$2,""lessondate"")&lt;=($A8),importrange($AI$2,""lessondate"")&gt;($A7),importrange($AI$2,""teacher"")=E$2)"),0.0)</f>
        <v>0</v>
      </c>
      <c r="F8" s="51">
        <f>IFERROR(__xludf.DUMMYFUNCTION("sumproduct(importrange($AI$2,""hours""),importrange($AI$2,""lessondate"")&lt;=($A8),importrange($AI$2,""lessondate"")&gt;($A7),importrange($AI$2,""teacher"")=F$2)"),0.0)</f>
        <v>0</v>
      </c>
      <c r="G8" s="51">
        <f>IFERROR(__xludf.DUMMYFUNCTION("sumproduct(importrange($AI$2,""hours""),importrange($AI$2,""lessondate"")&lt;=($A8),importrange($AI$2,""lessondate"")&gt;($A7),importrange($AI$2,""teacher"")=G$2)"),0.0)</f>
        <v>0</v>
      </c>
      <c r="H8" s="51">
        <f>IFERROR(__xludf.DUMMYFUNCTION("sumproduct(importrange($AI$2,""hours""),importrange($AI$2,""lessondate"")&lt;=($A8),importrange($AI$2,""lessondate"")&gt;($A7),importrange($AI$2,""teacher"")=H$2)"),0.0)</f>
        <v>0</v>
      </c>
      <c r="I8" s="51">
        <f>IFERROR(__xludf.DUMMYFUNCTION("sumproduct(importrange($AI$2,""hours""),importrange($AI$2,""lessondate"")&lt;=($A8),importrange($AI$2,""lessondate"")&gt;($A7),importrange($AI$2,""teacher"")=I$2)"),0.0)</f>
        <v>0</v>
      </c>
      <c r="J8" s="51">
        <f>IFERROR(__xludf.DUMMYFUNCTION("sumproduct(importrange($AI$2,""hours""),importrange($AI$2,""lessondate"")&lt;=($A8),importrange($AI$2,""lessondate"")&gt;($A7),importrange($AI$2,""teacher"")=J$2)"),0.0)</f>
        <v>0</v>
      </c>
      <c r="K8" s="15">
        <f t="shared" si="1"/>
        <v>61</v>
      </c>
      <c r="L8" s="11">
        <v>15.0</v>
      </c>
      <c r="M8" s="11">
        <f t="shared" ref="M8:O8" si="10">B8*$L8</f>
        <v>345</v>
      </c>
      <c r="N8" s="11">
        <f t="shared" si="10"/>
        <v>0</v>
      </c>
      <c r="O8" s="11">
        <f t="shared" si="10"/>
        <v>570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f t="shared" si="3"/>
        <v>0</v>
      </c>
      <c r="V8" s="3">
        <f t="shared" ref="V8:V44" si="12">sum(M8:U8)</f>
        <v>915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3">
        <f t="shared" si="4"/>
        <v>0</v>
      </c>
      <c r="AG8" s="3">
        <f t="shared" si="5"/>
        <v>0</v>
      </c>
    </row>
    <row r="9">
      <c r="A9" s="50">
        <v>44957.99930555555</v>
      </c>
      <c r="B9" s="51">
        <f>IFERROR(__xludf.DUMMYFUNCTION("sumproduct(importrange($AI$2,""hours""),importrange($AI$2,""lessondate"")&lt;=($A9),importrange($AI$2,""lessondate"")&gt;($A8),importrange($AI$2,""teacher"")=B$2)"),49.0)</f>
        <v>49</v>
      </c>
      <c r="C9" s="51">
        <f>IFERROR(__xludf.DUMMYFUNCTION("sumproduct(importrange($AI$2,""hours""),importrange($AI$2,""lessondate"")&lt;=($A9),importrange($AI$2,""lessondate"")&gt;($A8),importrange($AI$2,""teacher"")=C$2)"),0.0)</f>
        <v>0</v>
      </c>
      <c r="D9" s="51">
        <f>IFERROR(__xludf.DUMMYFUNCTION("sumproduct(importrange($AI$2,""hours""),importrange($AI$2,""lessondate"")&lt;=($A9),importrange($AI$2,""lessondate"")&gt;($A8),importrange($AI$2,""teacher"")=D$2)"),55.0)</f>
        <v>55</v>
      </c>
      <c r="E9" s="51">
        <f>IFERROR(__xludf.DUMMYFUNCTION("sumproduct(importrange($AI$2,""hours""),importrange($AI$2,""lessondate"")&lt;=($A9),importrange($AI$2,""lessondate"")&gt;($A8),importrange($AI$2,""teacher"")=E$2)"),0.0)</f>
        <v>0</v>
      </c>
      <c r="F9" s="51">
        <f>IFERROR(__xludf.DUMMYFUNCTION("sumproduct(importrange($AI$2,""hours""),importrange($AI$2,""lessondate"")&lt;=($A9),importrange($AI$2,""lessondate"")&gt;($A8),importrange($AI$2,""teacher"")=F$2)"),0.0)</f>
        <v>0</v>
      </c>
      <c r="G9" s="51">
        <f>IFERROR(__xludf.DUMMYFUNCTION("sumproduct(importrange($AI$2,""hours""),importrange($AI$2,""lessondate"")&lt;=($A9),importrange($AI$2,""lessondate"")&gt;($A8),importrange($AI$2,""teacher"")=G$2)"),0.0)</f>
        <v>0</v>
      </c>
      <c r="H9" s="51">
        <f>IFERROR(__xludf.DUMMYFUNCTION("sumproduct(importrange($AI$2,""hours""),importrange($AI$2,""lessondate"")&lt;=($A9),importrange($AI$2,""lessondate"")&gt;($A8),importrange($AI$2,""teacher"")=H$2)"),0.0)</f>
        <v>0</v>
      </c>
      <c r="I9" s="51">
        <f>IFERROR(__xludf.DUMMYFUNCTION("sumproduct(importrange($AI$2,""hours""),importrange($AI$2,""lessondate"")&lt;=($A9),importrange($AI$2,""lessondate"")&gt;($A8),importrange($AI$2,""teacher"")=I$2)"),0.0)</f>
        <v>0</v>
      </c>
      <c r="J9" s="51">
        <f>IFERROR(__xludf.DUMMYFUNCTION("sumproduct(importrange($AI$2,""hours""),importrange($AI$2,""lessondate"")&lt;=($A9),importrange($AI$2,""lessondate"")&gt;($A8),importrange($AI$2,""teacher"")=J$2)"),0.0)</f>
        <v>0</v>
      </c>
      <c r="K9" s="15">
        <f t="shared" ref="K9:K23" si="13">SUM(B9:H9)</f>
        <v>104</v>
      </c>
      <c r="L9" s="11">
        <v>15.0</v>
      </c>
      <c r="M9" s="11">
        <f t="shared" ref="M9:O9" si="11">B9*$L9</f>
        <v>735</v>
      </c>
      <c r="N9" s="11">
        <f t="shared" si="11"/>
        <v>0</v>
      </c>
      <c r="O9" s="11">
        <f t="shared" si="11"/>
        <v>825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f t="shared" si="3"/>
        <v>0</v>
      </c>
      <c r="V9" s="3">
        <f t="shared" si="12"/>
        <v>1560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3">
        <f t="shared" si="4"/>
        <v>0</v>
      </c>
      <c r="AG9" s="3">
        <f t="shared" si="5"/>
        <v>0</v>
      </c>
    </row>
    <row r="10">
      <c r="A10" s="38">
        <v>44985.0</v>
      </c>
      <c r="B10" s="51">
        <f>IFERROR(__xludf.DUMMYFUNCTION("sumproduct(importrange($AI$2,""hours""),importrange($AI$2,""lessondate"")&lt;=($A10),importrange($AI$2,""lessondate"")&gt;($A9),importrange($AI$2,""teacher"")=B$2)"),48.0)</f>
        <v>48</v>
      </c>
      <c r="C10" s="51">
        <f>IFERROR(__xludf.DUMMYFUNCTION("sumproduct(importrange($AI$2,""hours""),importrange($AI$2,""lessondate"")&lt;=($A10),importrange($AI$2,""lessondate"")&gt;($A9),importrange($AI$2,""teacher"")=C$2)"),1.25)</f>
        <v>1.25</v>
      </c>
      <c r="D10" s="51">
        <f>IFERROR(__xludf.DUMMYFUNCTION("sumproduct(importrange($AI$2,""hours""),importrange($AI$2,""lessondate"")&lt;=($A10),importrange($AI$2,""lessondate"")&gt;($A9),importrange($AI$2,""teacher"")=D$2)"),69.5)</f>
        <v>69.5</v>
      </c>
      <c r="E10" s="51">
        <f>IFERROR(__xludf.DUMMYFUNCTION("sumproduct(importrange($AI$2,""hours""),importrange($AI$2,""lessondate"")&lt;=($A10),importrange($AI$2,""lessondate"")&gt;($A9),importrange($AI$2,""teacher"")=E$2)"),0.0)</f>
        <v>0</v>
      </c>
      <c r="F10" s="51">
        <f>IFERROR(__xludf.DUMMYFUNCTION("sumproduct(importrange($AI$2,""hours""),importrange($AI$2,""lessondate"")&lt;=($A10),importrange($AI$2,""lessondate"")&gt;($A9),importrange($AI$2,""teacher"")=F$2)"),0.0)</f>
        <v>0</v>
      </c>
      <c r="G10" s="51">
        <f>IFERROR(__xludf.DUMMYFUNCTION("sumproduct(importrange($AI$2,""hours""),importrange($AI$2,""lessondate"")&lt;=($A10),importrange($AI$2,""lessondate"")&gt;($A9),importrange($AI$2,""teacher"")=G$2)"),0.0)</f>
        <v>0</v>
      </c>
      <c r="H10" s="51">
        <f>IFERROR(__xludf.DUMMYFUNCTION("sumproduct(importrange($AI$2,""hours""),importrange($AI$2,""lessondate"")&lt;=($A10),importrange($AI$2,""lessondate"")&gt;($A9),importrange($AI$2,""teacher"")=H$2)"),0.0)</f>
        <v>0</v>
      </c>
      <c r="I10" s="51">
        <f>IFERROR(__xludf.DUMMYFUNCTION("sumproduct(importrange($AI$2,""hours""),importrange($AI$2,""lessondate"")&lt;=($A10),importrange($AI$2,""lessondate"")&gt;($A9),importrange($AI$2,""teacher"")=I$2)"),0.0)</f>
        <v>0</v>
      </c>
      <c r="J10" s="51">
        <f>IFERROR(__xludf.DUMMYFUNCTION("sumproduct(importrange($AI$2,""hours""),importrange($AI$2,""lessondate"")&lt;=($A10),importrange($AI$2,""lessondate"")&gt;($A9),importrange($AI$2,""teacher"")=J$2)"),0.0)</f>
        <v>0</v>
      </c>
      <c r="K10" s="15">
        <f t="shared" si="13"/>
        <v>118.75</v>
      </c>
      <c r="L10" s="11">
        <v>15.0</v>
      </c>
      <c r="M10" s="11">
        <f t="shared" ref="M10:O10" si="14">B10*$L10</f>
        <v>720</v>
      </c>
      <c r="N10" s="11">
        <f t="shared" si="14"/>
        <v>18.75</v>
      </c>
      <c r="O10" s="11">
        <f t="shared" si="14"/>
        <v>1042.5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f t="shared" si="3"/>
        <v>0</v>
      </c>
      <c r="V10" s="3">
        <f t="shared" si="12"/>
        <v>1781.25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3">
        <f t="shared" si="4"/>
        <v>0</v>
      </c>
      <c r="AG10" s="3">
        <f t="shared" si="5"/>
        <v>0</v>
      </c>
    </row>
    <row r="11">
      <c r="A11" s="38">
        <v>45016.0</v>
      </c>
      <c r="B11" s="51">
        <f>IFERROR(__xludf.DUMMYFUNCTION("sumproduct(importrange($AI$2,""hours""),importrange($AI$2,""lessondate"")&lt;=($A11),importrange($AI$2,""lessondate"")&gt;($A10),importrange($AI$2,""teacher"")=B$2)"),41.0)</f>
        <v>41</v>
      </c>
      <c r="C11" s="51">
        <f>IFERROR(__xludf.DUMMYFUNCTION("sumproduct(importrange($AI$2,""hours""),importrange($AI$2,""lessondate"")&lt;=($A11),importrange($AI$2,""lessondate"")&gt;($A10),importrange($AI$2,""teacher"")=C$2)"),11.25)</f>
        <v>11.25</v>
      </c>
      <c r="D11" s="51">
        <f>IFERROR(__xludf.DUMMYFUNCTION("sumproduct(importrange($AI$2,""hours""),importrange($AI$2,""lessondate"")&lt;=($A11),importrange($AI$2,""lessondate"")&gt;($A10),importrange($AI$2,""teacher"")=D$2)"),69.25)</f>
        <v>69.25</v>
      </c>
      <c r="E11" s="51">
        <f>IFERROR(__xludf.DUMMYFUNCTION("sumproduct(importrange($AI$2,""hours""),importrange($AI$2,""lessondate"")&lt;=($A11),importrange($AI$2,""lessondate"")&gt;($A10),importrange($AI$2,""teacher"")=E$2)"),0.0)</f>
        <v>0</v>
      </c>
      <c r="F11" s="51">
        <f>IFERROR(__xludf.DUMMYFUNCTION("sumproduct(importrange($AI$2,""hours""),importrange($AI$2,""lessondate"")&lt;=($A11),importrange($AI$2,""lessondate"")&gt;($A10),importrange($AI$2,""teacher"")=F$2)"),0.0)</f>
        <v>0</v>
      </c>
      <c r="G11" s="51">
        <f>IFERROR(__xludf.DUMMYFUNCTION("sumproduct(importrange($AI$2,""hours""),importrange($AI$2,""lessondate"")&lt;=($A11),importrange($AI$2,""lessondate"")&gt;($A10),importrange($AI$2,""teacher"")=G$2)"),0.0)</f>
        <v>0</v>
      </c>
      <c r="H11" s="51">
        <f>IFERROR(__xludf.DUMMYFUNCTION("sumproduct(importrange($AI$2,""hours""),importrange($AI$2,""lessondate"")&lt;=($A11),importrange($AI$2,""lessondate"")&gt;($A10),importrange($AI$2,""teacher"")=H$2)"),0.0)</f>
        <v>0</v>
      </c>
      <c r="I11" s="51">
        <f>IFERROR(__xludf.DUMMYFUNCTION("sumproduct(importrange($AI$2,""hours""),importrange($AI$2,""lessondate"")&lt;=($A11),importrange($AI$2,""lessondate"")&gt;($A10),importrange($AI$2,""teacher"")=I$2)"),0.0)</f>
        <v>0</v>
      </c>
      <c r="J11" s="51">
        <f>IFERROR(__xludf.DUMMYFUNCTION("sumproduct(importrange($AI$2,""hours""),importrange($AI$2,""lessondate"")&lt;=($A11),importrange($AI$2,""lessondate"")&gt;($A10),importrange($AI$2,""teacher"")=J$2)"),0.0)</f>
        <v>0</v>
      </c>
      <c r="K11" s="15">
        <f t="shared" si="13"/>
        <v>121.5</v>
      </c>
      <c r="L11" s="11">
        <v>15.0</v>
      </c>
      <c r="M11" s="11">
        <f t="shared" ref="M11:O11" si="15">B11*$L11</f>
        <v>615</v>
      </c>
      <c r="N11" s="11">
        <f t="shared" si="15"/>
        <v>168.75</v>
      </c>
      <c r="O11" s="11">
        <f t="shared" si="15"/>
        <v>1038.75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f t="shared" si="3"/>
        <v>0</v>
      </c>
      <c r="V11" s="3">
        <f t="shared" si="12"/>
        <v>1822.5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3">
        <f t="shared" si="4"/>
        <v>0</v>
      </c>
      <c r="AG11" s="3">
        <f t="shared" si="5"/>
        <v>0</v>
      </c>
    </row>
    <row r="12">
      <c r="A12" s="38">
        <v>45046.0</v>
      </c>
      <c r="B12" s="51">
        <f>IFERROR(__xludf.DUMMYFUNCTION("sumproduct(importrange($AI$2,""hours""),importrange($AI$2,""lessondate"")&lt;=($A12),importrange($AI$2,""lessondate"")&gt;($A11),importrange($AI$2,""teacher"")=B$2)"),26.0)</f>
        <v>26</v>
      </c>
      <c r="C12" s="51">
        <f>IFERROR(__xludf.DUMMYFUNCTION("sumproduct(importrange($AI$2,""hours""),importrange($AI$2,""lessondate"")&lt;=($A12),importrange($AI$2,""lessondate"")&gt;($A11),importrange($AI$2,""teacher"")=C$2)"),2.5)</f>
        <v>2.5</v>
      </c>
      <c r="D12" s="51">
        <f>IFERROR(__xludf.DUMMYFUNCTION("sumproduct(importrange($AI$2,""hours""),importrange($AI$2,""lessondate"")&lt;=($A12),importrange($AI$2,""lessondate"")&gt;($A11),importrange($AI$2,""teacher"")=D$2)"),56.0)</f>
        <v>56</v>
      </c>
      <c r="E12" s="51">
        <f>IFERROR(__xludf.DUMMYFUNCTION("sumproduct(importrange($AI$2,""hours""),importrange($AI$2,""lessondate"")&lt;=($A12),importrange($AI$2,""lessondate"")&gt;($A11),importrange($AI$2,""teacher"")=E$2)"),0.0)</f>
        <v>0</v>
      </c>
      <c r="F12" s="51">
        <f>IFERROR(__xludf.DUMMYFUNCTION("sumproduct(importrange($AI$2,""hours""),importrange($AI$2,""lessondate"")&lt;=($A12),importrange($AI$2,""lessondate"")&gt;($A11),importrange($AI$2,""teacher"")=F$2)"),0.0)</f>
        <v>0</v>
      </c>
      <c r="G12" s="51">
        <f>IFERROR(__xludf.DUMMYFUNCTION("sumproduct(importrange($AI$2,""hours""),importrange($AI$2,""lessondate"")&lt;=($A12),importrange($AI$2,""lessondate"")&gt;($A11),importrange($AI$2,""teacher"")=G$2)"),0.0)</f>
        <v>0</v>
      </c>
      <c r="H12" s="51">
        <f>IFERROR(__xludf.DUMMYFUNCTION("sumproduct(importrange($AI$2,""hours""),importrange($AI$2,""lessondate"")&lt;=($A12),importrange($AI$2,""lessondate"")&gt;($A11),importrange($AI$2,""teacher"")=H$2)"),0.0)</f>
        <v>0</v>
      </c>
      <c r="I12" s="51">
        <f>IFERROR(__xludf.DUMMYFUNCTION("sumproduct(importrange($AI$2,""hours""),importrange($AI$2,""lessondate"")&lt;=($A12),importrange($AI$2,""lessondate"")&gt;($A11),importrange($AI$2,""teacher"")=I$2)"),0.0)</f>
        <v>0</v>
      </c>
      <c r="J12" s="51">
        <f>IFERROR(__xludf.DUMMYFUNCTION("sumproduct(importrange($AI$2,""hours""),importrange($AI$2,""lessondate"")&lt;=($A12),importrange($AI$2,""lessondate"")&gt;($A11),importrange($AI$2,""teacher"")=J$2)"),0.0)</f>
        <v>0</v>
      </c>
      <c r="K12" s="15">
        <f t="shared" si="13"/>
        <v>84.5</v>
      </c>
      <c r="L12" s="11">
        <v>15.0</v>
      </c>
      <c r="M12" s="11">
        <f t="shared" ref="M12:O12" si="16">B12*$L12</f>
        <v>390</v>
      </c>
      <c r="N12" s="11">
        <f t="shared" si="16"/>
        <v>37.5</v>
      </c>
      <c r="O12" s="11">
        <f t="shared" si="16"/>
        <v>840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f t="shared" si="3"/>
        <v>0</v>
      </c>
      <c r="V12" s="3">
        <f t="shared" si="12"/>
        <v>1267.5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3">
        <f t="shared" si="4"/>
        <v>0</v>
      </c>
      <c r="AG12" s="3">
        <f t="shared" si="5"/>
        <v>0</v>
      </c>
    </row>
    <row r="13">
      <c r="A13" s="38">
        <v>45077.0</v>
      </c>
      <c r="B13" s="51">
        <f>IFERROR(__xludf.DUMMYFUNCTION("sumproduct(importrange($AI$2,""hours""),importrange($AI$2,""lessondate"")&lt;=($A13),importrange($AI$2,""lessondate"")&gt;($A12),importrange($AI$2,""teacher"")=B$2)"),50.0)</f>
        <v>50</v>
      </c>
      <c r="C13" s="51">
        <f>IFERROR(__xludf.DUMMYFUNCTION("sumproduct(importrange($AI$2,""hours""),importrange($AI$2,""lessondate"")&lt;=($A13),importrange($AI$2,""lessondate"")&gt;($A12),importrange($AI$2,""teacher"")=C$2)"),0.0)</f>
        <v>0</v>
      </c>
      <c r="D13" s="51">
        <f>IFERROR(__xludf.DUMMYFUNCTION("sumproduct(importrange($AI$2,""hours""),importrange($AI$2,""lessondate"")&lt;=($A13),importrange($AI$2,""lessondate"")&gt;($A12),importrange($AI$2,""teacher"")=D$2)"),65.25)</f>
        <v>65.25</v>
      </c>
      <c r="E13" s="51">
        <f>IFERROR(__xludf.DUMMYFUNCTION("sumproduct(importrange($AI$2,""hours""),importrange($AI$2,""lessondate"")&lt;=($A13),importrange($AI$2,""lessondate"")&gt;($A12),importrange($AI$2,""teacher"")=E$2)"),0.0)</f>
        <v>0</v>
      </c>
      <c r="F13" s="51">
        <f>IFERROR(__xludf.DUMMYFUNCTION("sumproduct(importrange($AI$2,""hours""),importrange($AI$2,""lessondate"")&lt;=($A13),importrange($AI$2,""lessondate"")&gt;($A12),importrange($AI$2,""teacher"")=F$2)"),0.0)</f>
        <v>0</v>
      </c>
      <c r="G13" s="51">
        <f>IFERROR(__xludf.DUMMYFUNCTION("sumproduct(importrange($AI$2,""hours""),importrange($AI$2,""lessondate"")&lt;=($A13),importrange($AI$2,""lessondate"")&gt;($A12),importrange($AI$2,""teacher"")=G$2)"),0.0)</f>
        <v>0</v>
      </c>
      <c r="H13" s="51">
        <f>IFERROR(__xludf.DUMMYFUNCTION("sumproduct(importrange($AI$2,""hours""),importrange($AI$2,""lessondate"")&lt;=($A13),importrange($AI$2,""lessondate"")&gt;($A12),importrange($AI$2,""teacher"")=H$2)"),0.0)</f>
        <v>0</v>
      </c>
      <c r="I13" s="51">
        <f>IFERROR(__xludf.DUMMYFUNCTION("sumproduct(importrange($AI$2,""hours""),importrange($AI$2,""lessondate"")&lt;=($A13),importrange($AI$2,""lessondate"")&gt;($A12),importrange($AI$2,""teacher"")=I$2)"),0.0)</f>
        <v>0</v>
      </c>
      <c r="J13" s="51">
        <f>IFERROR(__xludf.DUMMYFUNCTION("sumproduct(importrange($AI$2,""hours""),importrange($AI$2,""lessondate"")&lt;=($A13),importrange($AI$2,""lessondate"")&gt;($A12),importrange($AI$2,""teacher"")=J$2)"),0.0)</f>
        <v>0</v>
      </c>
      <c r="K13" s="15">
        <f t="shared" si="13"/>
        <v>115.25</v>
      </c>
      <c r="L13" s="11">
        <v>15.0</v>
      </c>
      <c r="M13" s="11">
        <f t="shared" ref="M13:O13" si="17">B13*$L13</f>
        <v>750</v>
      </c>
      <c r="N13" s="11">
        <f t="shared" si="17"/>
        <v>0</v>
      </c>
      <c r="O13" s="11">
        <f t="shared" si="17"/>
        <v>978.75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f t="shared" si="3"/>
        <v>0</v>
      </c>
      <c r="V13" s="3">
        <f t="shared" si="12"/>
        <v>1728.75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3">
        <f t="shared" si="4"/>
        <v>0</v>
      </c>
      <c r="AG13" s="3">
        <f t="shared" si="5"/>
        <v>0</v>
      </c>
    </row>
    <row r="14">
      <c r="A14" s="38">
        <v>45107.0</v>
      </c>
      <c r="B14" s="51">
        <f>IFERROR(__xludf.DUMMYFUNCTION("sumproduct(importrange($AI$2,""hours""),importrange($AI$2,""lessondate"")&lt;=($A14),importrange($AI$2,""lessondate"")&gt;($A13),importrange($AI$2,""teacher"")=B$2)"),28.0)</f>
        <v>28</v>
      </c>
      <c r="C14" s="51">
        <f>IFERROR(__xludf.DUMMYFUNCTION("sumproduct(importrange($AI$2,""hours""),importrange($AI$2,""lessondate"")&lt;=($A14),importrange($AI$2,""lessondate"")&gt;($A13),importrange($AI$2,""teacher"")=C$2)"),0.0)</f>
        <v>0</v>
      </c>
      <c r="D14" s="51">
        <f>IFERROR(__xludf.DUMMYFUNCTION("sumproduct(importrange($AI$2,""hours""),importrange($AI$2,""lessondate"")&lt;=($A14),importrange($AI$2,""lessondate"")&gt;($A13),importrange($AI$2,""teacher"")=D$2)"),58.5)</f>
        <v>58.5</v>
      </c>
      <c r="E14" s="51">
        <f>IFERROR(__xludf.DUMMYFUNCTION("sumproduct(importrange($AI$2,""hours""),importrange($AI$2,""lessondate"")&lt;=($A14),importrange($AI$2,""lessondate"")&gt;($A13),importrange($AI$2,""teacher"")=E$2)"),11.0)</f>
        <v>11</v>
      </c>
      <c r="F14" s="51">
        <f>IFERROR(__xludf.DUMMYFUNCTION("sumproduct(importrange($AI$2,""hours""),importrange($AI$2,""lessondate"")&lt;=($A14),importrange($AI$2,""lessondate"")&gt;($A13),importrange($AI$2,""teacher"")=F$2)"),0.0)</f>
        <v>0</v>
      </c>
      <c r="G14" s="51">
        <f>IFERROR(__xludf.DUMMYFUNCTION("sumproduct(importrange($AI$2,""hours""),importrange($AI$2,""lessondate"")&lt;=($A14),importrange($AI$2,""lessondate"")&gt;($A13),importrange($AI$2,""teacher"")=G$2)"),0.0)</f>
        <v>0</v>
      </c>
      <c r="H14" s="51">
        <f>IFERROR(__xludf.DUMMYFUNCTION("sumproduct(importrange($AI$2,""hours""),importrange($AI$2,""lessondate"")&lt;=($A14),importrange($AI$2,""lessondate"")&gt;($A13),importrange($AI$2,""teacher"")=H$2)"),0.0)</f>
        <v>0</v>
      </c>
      <c r="I14" s="51">
        <f>IFERROR(__xludf.DUMMYFUNCTION("sumproduct(importrange($AI$2,""hours""),importrange($AI$2,""lessondate"")&lt;=($A14),importrange($AI$2,""lessondate"")&gt;($A13),importrange($AI$2,""teacher"")=I$2)"),0.0)</f>
        <v>0</v>
      </c>
      <c r="J14" s="51">
        <f>IFERROR(__xludf.DUMMYFUNCTION("sumproduct(importrange($AI$2,""hours""),importrange($AI$2,""lessondate"")&lt;=($A14),importrange($AI$2,""lessondate"")&gt;($A13),importrange($AI$2,""teacher"")=J$2)"),0.0)</f>
        <v>0</v>
      </c>
      <c r="K14" s="15">
        <f t="shared" si="13"/>
        <v>97.5</v>
      </c>
      <c r="L14" s="11">
        <v>15.0</v>
      </c>
      <c r="M14" s="11">
        <f t="shared" ref="M14:O14" si="18">B14*$L14</f>
        <v>420</v>
      </c>
      <c r="N14" s="11">
        <f t="shared" si="18"/>
        <v>0</v>
      </c>
      <c r="O14" s="11">
        <f t="shared" si="18"/>
        <v>877.5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f t="shared" si="3"/>
        <v>0</v>
      </c>
      <c r="V14" s="3">
        <f t="shared" si="12"/>
        <v>1297.5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3">
        <f t="shared" si="4"/>
        <v>0</v>
      </c>
      <c r="AG14" s="3">
        <f t="shared" si="5"/>
        <v>0</v>
      </c>
    </row>
    <row r="15">
      <c r="A15" s="38">
        <v>45138.0</v>
      </c>
      <c r="B15" s="51">
        <f>IFERROR(__xludf.DUMMYFUNCTION("sumproduct(importrange($AI$2,""hours""),importrange($AI$2,""lessondate"")&lt;=($A15),importrange($AI$2,""lessondate"")&gt;($A14),importrange($AI$2,""teacher"")=B$2)"),0.0)</f>
        <v>0</v>
      </c>
      <c r="C15" s="51">
        <f>IFERROR(__xludf.DUMMYFUNCTION("sumproduct(importrange($AI$2,""hours""),importrange($AI$2,""lessondate"")&lt;=($A15),importrange($AI$2,""lessondate"")&gt;($A14),importrange($AI$2,""teacher"")=C$2)"),0.0)</f>
        <v>0</v>
      </c>
      <c r="D15" s="51">
        <f>IFERROR(__xludf.DUMMYFUNCTION("sumproduct(importrange($AI$2,""hours""),importrange($AI$2,""lessondate"")&lt;=($A15),importrange($AI$2,""lessondate"")&gt;($A14),importrange($AI$2,""teacher"")=D$2)"),29.5)</f>
        <v>29.5</v>
      </c>
      <c r="E15" s="51">
        <f>IFERROR(__xludf.DUMMYFUNCTION("sumproduct(importrange($AI$2,""hours""),importrange($AI$2,""lessondate"")&lt;=($A15),importrange($AI$2,""lessondate"")&gt;($A14),importrange($AI$2,""teacher"")=E$2)"),23.0)</f>
        <v>23</v>
      </c>
      <c r="F15" s="51">
        <f>IFERROR(__xludf.DUMMYFUNCTION("sumproduct(importrange($AI$2,""hours""),importrange($AI$2,""lessondate"")&lt;=($A15),importrange($AI$2,""lessondate"")&gt;($A14),importrange($AI$2,""teacher"")=F$2)"),2.0)</f>
        <v>2</v>
      </c>
      <c r="G15" s="51">
        <f>IFERROR(__xludf.DUMMYFUNCTION("sumproduct(importrange($AI$2,""hours""),importrange($AI$2,""lessondate"")&lt;=($A15),importrange($AI$2,""lessondate"")&gt;($A14),importrange($AI$2,""teacher"")=G$2)"),0.0)</f>
        <v>0</v>
      </c>
      <c r="H15" s="51">
        <f>IFERROR(__xludf.DUMMYFUNCTION("sumproduct(importrange($AI$2,""hours""),importrange($AI$2,""lessondate"")&lt;=($A15),importrange($AI$2,""lessondate"")&gt;($A14),importrange($AI$2,""teacher"")=H$2)"),0.0)</f>
        <v>0</v>
      </c>
      <c r="I15" s="51">
        <f>IFERROR(__xludf.DUMMYFUNCTION("sumproduct(importrange($AI$2,""hours""),importrange($AI$2,""lessondate"")&lt;=($A15),importrange($AI$2,""lessondate"")&gt;($A14),importrange($AI$2,""teacher"")=I$2)"),0.0)</f>
        <v>0</v>
      </c>
      <c r="J15" s="51">
        <f>IFERROR(__xludf.DUMMYFUNCTION("sumproduct(importrange($AI$2,""hours""),importrange($AI$2,""lessondate"")&lt;=($A15),importrange($AI$2,""lessondate"")&gt;($A14),importrange($AI$2,""teacher"")=J$2)"),0.0)</f>
        <v>0</v>
      </c>
      <c r="K15" s="15">
        <f t="shared" si="13"/>
        <v>54.5</v>
      </c>
      <c r="L15" s="11">
        <v>15.0</v>
      </c>
      <c r="M15" s="11">
        <f t="shared" ref="M15:O15" si="19">B15*$L15</f>
        <v>0</v>
      </c>
      <c r="N15" s="11">
        <f t="shared" si="19"/>
        <v>0</v>
      </c>
      <c r="O15" s="11">
        <f t="shared" si="19"/>
        <v>442.5</v>
      </c>
      <c r="P15" s="2">
        <v>200.0</v>
      </c>
      <c r="Q15" s="2">
        <v>100.0</v>
      </c>
      <c r="R15" s="2">
        <v>0.0</v>
      </c>
      <c r="S15" s="2">
        <v>0.0</v>
      </c>
      <c r="T15" s="2">
        <v>0.0</v>
      </c>
      <c r="U15" s="2">
        <f t="shared" si="3"/>
        <v>0</v>
      </c>
      <c r="V15" s="3">
        <f t="shared" si="12"/>
        <v>742.5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3">
        <f t="shared" si="4"/>
        <v>0</v>
      </c>
      <c r="AG15" s="3">
        <f t="shared" si="5"/>
        <v>0</v>
      </c>
    </row>
    <row r="16">
      <c r="A16" s="38">
        <v>45169.0</v>
      </c>
      <c r="B16" s="51">
        <f>IFERROR(__xludf.DUMMYFUNCTION("sumproduct(importrange($AI$2,""hours""),importrange($AI$2,""lessondate"")&lt;=($A16),importrange($AI$2,""lessondate"")&gt;($A15),importrange($AI$2,""teacher"")=B$2)"),0.0)</f>
        <v>0</v>
      </c>
      <c r="C16" s="51">
        <f>IFERROR(__xludf.DUMMYFUNCTION("sumproduct(importrange($AI$2,""hours""),importrange($AI$2,""lessondate"")&lt;=($A16),importrange($AI$2,""lessondate"")&gt;($A15),importrange($AI$2,""teacher"")=C$2)"),0.0)</f>
        <v>0</v>
      </c>
      <c r="D16" s="51">
        <f>IFERROR(__xludf.DUMMYFUNCTION("sumproduct(importrange($AI$2,""hours""),importrange($AI$2,""lessondate"")&lt;=($A16),importrange($AI$2,""lessondate"")&gt;($A15),importrange($AI$2,""teacher"")=D$2)"),24.75)</f>
        <v>24.75</v>
      </c>
      <c r="E16" s="51">
        <f>IFERROR(__xludf.DUMMYFUNCTION("sumproduct(importrange($AI$2,""hours""),importrange($AI$2,""lessondate"")&lt;=($A16),importrange($AI$2,""lessondate"")&gt;($A15),importrange($AI$2,""teacher"")=E$2)"),14.0)</f>
        <v>14</v>
      </c>
      <c r="F16" s="51">
        <f>IFERROR(__xludf.DUMMYFUNCTION("sumproduct(importrange($AI$2,""hours""),importrange($AI$2,""lessondate"")&lt;=($A16),importrange($AI$2,""lessondate"")&gt;($A15),importrange($AI$2,""teacher"")=F$2)"),28.0)</f>
        <v>28</v>
      </c>
      <c r="G16" s="51">
        <f>IFERROR(__xludf.DUMMYFUNCTION("sumproduct(importrange($AI$2,""hours""),importrange($AI$2,""lessondate"")&lt;=($A16),importrange($AI$2,""lessondate"")&gt;($A15),importrange($AI$2,""teacher"")=G$2)"),21.0)</f>
        <v>21</v>
      </c>
      <c r="H16" s="51">
        <f>IFERROR(__xludf.DUMMYFUNCTION("sumproduct(importrange($AI$2,""hours""),importrange($AI$2,""lessondate"")&lt;=($A16),importrange($AI$2,""lessondate"")&gt;($A15),importrange($AI$2,""teacher"")=H$2)"),0.0)</f>
        <v>0</v>
      </c>
      <c r="I16" s="51">
        <f>IFERROR(__xludf.DUMMYFUNCTION("sumproduct(importrange($AI$2,""hours""),importrange($AI$2,""lessondate"")&lt;=($A16),importrange($AI$2,""lessondate"")&gt;($A15),importrange($AI$2,""teacher"")=I$2)"),0.0)</f>
        <v>0</v>
      </c>
      <c r="J16" s="51">
        <f>IFERROR(__xludf.DUMMYFUNCTION("sumproduct(importrange($AI$2,""hours""),importrange($AI$2,""lessondate"")&lt;=($A16),importrange($AI$2,""lessondate"")&gt;($A15),importrange($AI$2,""teacher"")=J$2)"),0.0)</f>
        <v>0</v>
      </c>
      <c r="K16" s="15">
        <f t="shared" si="13"/>
        <v>87.75</v>
      </c>
      <c r="L16" s="11">
        <v>15.0</v>
      </c>
      <c r="M16" s="11">
        <f t="shared" ref="M16:O16" si="20">B16*$L16</f>
        <v>0</v>
      </c>
      <c r="N16" s="11">
        <f t="shared" si="20"/>
        <v>0</v>
      </c>
      <c r="O16" s="11">
        <f t="shared" si="20"/>
        <v>371.25</v>
      </c>
      <c r="P16" s="2">
        <v>200.0</v>
      </c>
      <c r="Q16" s="2">
        <v>200.0</v>
      </c>
      <c r="R16" s="2">
        <v>200.0</v>
      </c>
      <c r="S16" s="2">
        <v>0.0</v>
      </c>
      <c r="T16" s="2">
        <v>0.0</v>
      </c>
      <c r="U16" s="2">
        <f t="shared" si="3"/>
        <v>0</v>
      </c>
      <c r="V16" s="3">
        <f t="shared" si="12"/>
        <v>971.25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28.0</v>
      </c>
      <c r="AC16" s="2">
        <v>0.0</v>
      </c>
      <c r="AD16" s="2">
        <v>0.0</v>
      </c>
      <c r="AE16" s="2">
        <v>0.0</v>
      </c>
      <c r="AF16" s="3">
        <f t="shared" si="4"/>
        <v>28</v>
      </c>
      <c r="AG16" s="3">
        <f t="shared" si="5"/>
        <v>3.133928571</v>
      </c>
    </row>
    <row r="17">
      <c r="A17" s="38">
        <v>45199.0</v>
      </c>
      <c r="B17" s="51">
        <f>IFERROR(__xludf.DUMMYFUNCTION("sumproduct(importrange($AI$2,""hours""),importrange($AI$2,""lessondate"")&lt;=($A17),importrange($AI$2,""lessondate"")&gt;($A16),importrange($AI$2,""teacher"")=B$2)"),0.0)</f>
        <v>0</v>
      </c>
      <c r="C17" s="51">
        <f>IFERROR(__xludf.DUMMYFUNCTION("sumproduct(importrange($AI$2,""hours""),importrange($AI$2,""lessondate"")&lt;=($A17),importrange($AI$2,""lessondate"")&gt;($A16),importrange($AI$2,""teacher"")=C$2)"),0.0)</f>
        <v>0</v>
      </c>
      <c r="D17" s="51">
        <f>IFERROR(__xludf.DUMMYFUNCTION("sumproduct(importrange($AI$2,""hours""),importrange($AI$2,""lessondate"")&lt;=($A17),importrange($AI$2,""lessondate"")&gt;($A16),importrange($AI$2,""teacher"")=D$2)"),61.25)</f>
        <v>61.25</v>
      </c>
      <c r="E17" s="51">
        <f>IFERROR(__xludf.DUMMYFUNCTION("sumproduct(importrange($AI$2,""hours""),importrange($AI$2,""lessondate"")&lt;=($A17),importrange($AI$2,""lessondate"")&gt;($A16),importrange($AI$2,""teacher"")=E$2)"),0.0)</f>
        <v>0</v>
      </c>
      <c r="F17" s="51">
        <f>IFERROR(__xludf.DUMMYFUNCTION("sumproduct(importrange($AI$2,""hours""),importrange($AI$2,""lessondate"")&lt;=($A17),importrange($AI$2,""lessondate"")&gt;($A16),importrange($AI$2,""teacher"")=F$2)"),20.0)</f>
        <v>20</v>
      </c>
      <c r="G17" s="51">
        <f>IFERROR(__xludf.DUMMYFUNCTION("sumproduct(importrange($AI$2,""hours""),importrange($AI$2,""lessondate"")&lt;=($A17),importrange($AI$2,""lessondate"")&gt;($A16),importrange($AI$2,""teacher"")=G$2)"),29.0)</f>
        <v>29</v>
      </c>
      <c r="H17" s="51">
        <f>IFERROR(__xludf.DUMMYFUNCTION("sumproduct(importrange($AI$2,""hours""),importrange($AI$2,""lessondate"")&lt;=($A17),importrange($AI$2,""lessondate"")&gt;($A16),importrange($AI$2,""teacher"")=H$2)"),0.0)</f>
        <v>0</v>
      </c>
      <c r="I17" s="51">
        <f>IFERROR(__xludf.DUMMYFUNCTION("sumproduct(importrange($AI$2,""hours""),importrange($AI$2,""lessondate"")&lt;=($A17),importrange($AI$2,""lessondate"")&gt;($A16),importrange($AI$2,""teacher"")=I$2)"),0.0)</f>
        <v>0</v>
      </c>
      <c r="J17" s="51">
        <f>IFERROR(__xludf.DUMMYFUNCTION("sumproduct(importrange($AI$2,""hours""),importrange($AI$2,""lessondate"")&lt;=($A17),importrange($AI$2,""lessondate"")&gt;($A16),importrange($AI$2,""teacher"")=J$2)"),0.0)</f>
        <v>0</v>
      </c>
      <c r="K17" s="15">
        <f t="shared" si="13"/>
        <v>110.25</v>
      </c>
      <c r="L17" s="11">
        <v>15.0</v>
      </c>
      <c r="M17" s="11">
        <f t="shared" ref="M17:N17" si="21">B17*$L17</f>
        <v>0</v>
      </c>
      <c r="N17" s="11">
        <f t="shared" si="21"/>
        <v>0</v>
      </c>
      <c r="O17" s="11">
        <v>1200.0</v>
      </c>
      <c r="P17" s="2">
        <v>0.0</v>
      </c>
      <c r="Q17" s="2">
        <v>200.0</v>
      </c>
      <c r="R17" s="2">
        <v>200.0</v>
      </c>
      <c r="S17" s="2">
        <v>0.0</v>
      </c>
      <c r="T17" s="2">
        <v>0.0</v>
      </c>
      <c r="U17" s="2">
        <f t="shared" si="3"/>
        <v>0</v>
      </c>
      <c r="V17" s="3">
        <f t="shared" si="12"/>
        <v>1600</v>
      </c>
      <c r="W17" s="2">
        <v>0.0</v>
      </c>
      <c r="X17" s="2">
        <v>0.0</v>
      </c>
      <c r="Y17" s="2">
        <v>116.0</v>
      </c>
      <c r="Z17" s="2">
        <v>0.0</v>
      </c>
      <c r="AA17" s="2">
        <v>0.0</v>
      </c>
      <c r="AB17" s="2">
        <v>28.0</v>
      </c>
      <c r="AC17" s="2">
        <v>0.0</v>
      </c>
      <c r="AD17" s="2">
        <v>0.0</v>
      </c>
      <c r="AE17" s="2">
        <v>0.0</v>
      </c>
      <c r="AF17" s="3">
        <f t="shared" si="4"/>
        <v>144</v>
      </c>
      <c r="AG17" s="3">
        <f t="shared" si="5"/>
        <v>0.765625</v>
      </c>
    </row>
    <row r="18">
      <c r="A18" s="38">
        <v>45230.0</v>
      </c>
      <c r="B18" s="51">
        <f>IFERROR(__xludf.DUMMYFUNCTION("sumproduct(importrange($AI$2,""hours""),importrange($AI$2,""lessondate"")&lt;=($A18),importrange($AI$2,""lessondate"")&gt;($A17),importrange($AI$2,""teacher"")=B$2)"),0.0)</f>
        <v>0</v>
      </c>
      <c r="C18" s="51">
        <f>IFERROR(__xludf.DUMMYFUNCTION("sumproduct(importrange($AI$2,""hours""),importrange($AI$2,""lessondate"")&lt;=($A18),importrange($AI$2,""lessondate"")&gt;($A17),importrange($AI$2,""teacher"")=C$2)"),0.0)</f>
        <v>0</v>
      </c>
      <c r="D18" s="51">
        <f>IFERROR(__xludf.DUMMYFUNCTION("sumproduct(importrange($AI$2,""hours""),importrange($AI$2,""lessondate"")&lt;=($A18),importrange($AI$2,""lessondate"")&gt;($A17),importrange($AI$2,""teacher"")=D$2)"),90.5)</f>
        <v>90.5</v>
      </c>
      <c r="E18" s="51">
        <f>IFERROR(__xludf.DUMMYFUNCTION("sumproduct(importrange($AI$2,""hours""),importrange($AI$2,""lessondate"")&lt;=($A18),importrange($AI$2,""lessondate"")&gt;($A17),importrange($AI$2,""teacher"")=E$2)"),0.0)</f>
        <v>0</v>
      </c>
      <c r="F18" s="51">
        <f>IFERROR(__xludf.DUMMYFUNCTION("sumproduct(importrange($AI$2,""hours""),importrange($AI$2,""lessondate"")&lt;=($A18),importrange($AI$2,""lessondate"")&gt;($A17),importrange($AI$2,""teacher"")=F$2)"),22.0)</f>
        <v>22</v>
      </c>
      <c r="G18" s="51">
        <f>IFERROR(__xludf.DUMMYFUNCTION("sumproduct(importrange($AI$2,""hours""),importrange($AI$2,""lessondate"")&lt;=($A18),importrange($AI$2,""lessondate"")&gt;($A17),importrange($AI$2,""teacher"")=G$2)"),26.0)</f>
        <v>26</v>
      </c>
      <c r="H18" s="51">
        <f>IFERROR(__xludf.DUMMYFUNCTION("sumproduct(importrange($AI$2,""hours""),importrange($AI$2,""lessondate"")&lt;=($A18),importrange($AI$2,""lessondate"")&gt;($A17),importrange($AI$2,""teacher"")=H$2)"),0.0)</f>
        <v>0</v>
      </c>
      <c r="I18" s="51">
        <f>IFERROR(__xludf.DUMMYFUNCTION("sumproduct(importrange($AI$2,""hours""),importrange($AI$2,""lessondate"")&lt;=($A18),importrange($AI$2,""lessondate"")&gt;($A17),importrange($AI$2,""teacher"")=I$2)"),0.0)</f>
        <v>0</v>
      </c>
      <c r="J18" s="51">
        <f>IFERROR(__xludf.DUMMYFUNCTION("sumproduct(importrange($AI$2,""hours""),importrange($AI$2,""lessondate"")&lt;=($A18),importrange($AI$2,""lessondate"")&gt;($A17),importrange($AI$2,""teacher"")=J$2)"),0.0)</f>
        <v>0</v>
      </c>
      <c r="K18" s="15">
        <f t="shared" si="13"/>
        <v>138.5</v>
      </c>
      <c r="L18" s="11">
        <v>15.0</v>
      </c>
      <c r="M18" s="11">
        <f t="shared" ref="M18:N18" si="22">B18*$L18</f>
        <v>0</v>
      </c>
      <c r="N18" s="11">
        <f t="shared" si="22"/>
        <v>0</v>
      </c>
      <c r="O18" s="11">
        <v>1200.0</v>
      </c>
      <c r="P18" s="2">
        <v>0.0</v>
      </c>
      <c r="Q18" s="2">
        <v>200.0</v>
      </c>
      <c r="R18" s="2">
        <v>200.0</v>
      </c>
      <c r="S18" s="2">
        <v>0.0</v>
      </c>
      <c r="T18" s="2">
        <v>0.0</v>
      </c>
      <c r="U18" s="2">
        <f t="shared" si="3"/>
        <v>0</v>
      </c>
      <c r="V18" s="3">
        <f t="shared" si="12"/>
        <v>1600</v>
      </c>
      <c r="W18" s="2">
        <v>0.0</v>
      </c>
      <c r="X18" s="2">
        <v>0.0</v>
      </c>
      <c r="Y18" s="2">
        <v>116.0</v>
      </c>
      <c r="Z18" s="2">
        <v>0.0</v>
      </c>
      <c r="AA18" s="2">
        <v>0.0</v>
      </c>
      <c r="AB18" s="2">
        <v>28.0</v>
      </c>
      <c r="AC18" s="2">
        <v>0.0</v>
      </c>
      <c r="AD18" s="2">
        <v>0.0</v>
      </c>
      <c r="AE18" s="2">
        <v>0.0</v>
      </c>
      <c r="AF18" s="3">
        <f t="shared" si="4"/>
        <v>144</v>
      </c>
      <c r="AG18" s="3">
        <f t="shared" si="5"/>
        <v>0.9618055556</v>
      </c>
    </row>
    <row r="19">
      <c r="A19" s="38">
        <v>45260.0</v>
      </c>
      <c r="B19" s="51">
        <f>IFERROR(__xludf.DUMMYFUNCTION("sumproduct(importrange($AI$2,""hours""),importrange($AI$2,""lessondate"")&lt;=($A19),importrange($AI$2,""lessondate"")&gt;($A18),importrange($AI$2,""teacher"")=B$2)"),0.0)</f>
        <v>0</v>
      </c>
      <c r="C19" s="51">
        <f>IFERROR(__xludf.DUMMYFUNCTION("sumproduct(importrange($AI$2,""hours""),importrange($AI$2,""lessondate"")&lt;=($A19),importrange($AI$2,""lessondate"")&gt;($A18),importrange($AI$2,""teacher"")=C$2)"),0.0)</f>
        <v>0</v>
      </c>
      <c r="D19" s="51">
        <f>IFERROR(__xludf.DUMMYFUNCTION("sumproduct(importrange($AI$2,""hours""),importrange($AI$2,""lessondate"")&lt;=($A19),importrange($AI$2,""lessondate"")&gt;($A18),importrange($AI$2,""teacher"")=D$2)"),91.25)</f>
        <v>91.25</v>
      </c>
      <c r="E19" s="51">
        <f>IFERROR(__xludf.DUMMYFUNCTION("sumproduct(importrange($AI$2,""hours""),importrange($AI$2,""lessondate"")&lt;=($A19),importrange($AI$2,""lessondate"")&gt;($A18),importrange($AI$2,""teacher"")=E$2)"),0.0)</f>
        <v>0</v>
      </c>
      <c r="F19" s="51">
        <f>IFERROR(__xludf.DUMMYFUNCTION("sumproduct(importrange($AI$2,""hours""),importrange($AI$2,""lessondate"")&lt;=($A19),importrange($AI$2,""lessondate"")&gt;($A18),importrange($AI$2,""teacher"")=F$2)"),24.0)</f>
        <v>24</v>
      </c>
      <c r="G19" s="51">
        <f>IFERROR(__xludf.DUMMYFUNCTION("sumproduct(importrange($AI$2,""hours""),importrange($AI$2,""lessondate"")&lt;=($A19),importrange($AI$2,""lessondate"")&gt;($A18),importrange($AI$2,""teacher"")=G$2)"),39.0)</f>
        <v>39</v>
      </c>
      <c r="H19" s="51">
        <f>IFERROR(__xludf.DUMMYFUNCTION("sumproduct(importrange($AI$2,""hours""),importrange($AI$2,""lessondate"")&lt;=($A19),importrange($AI$2,""lessondate"")&gt;($A18),importrange($AI$2,""teacher"")=H$2)"),0.0)</f>
        <v>0</v>
      </c>
      <c r="I19" s="51">
        <f>IFERROR(__xludf.DUMMYFUNCTION("sumproduct(importrange($AI$2,""hours""),importrange($AI$2,""lessondate"")&lt;=($A19),importrange($AI$2,""lessondate"")&gt;($A18),importrange($AI$2,""teacher"")=I$2)"),0.0)</f>
        <v>0</v>
      </c>
      <c r="J19" s="51">
        <f>IFERROR(__xludf.DUMMYFUNCTION("sumproduct(importrange($AI$2,""hours""),importrange($AI$2,""lessondate"")&lt;=($A19),importrange($AI$2,""lessondate"")&gt;($A18),importrange($AI$2,""teacher"")=J$2)"),2.0)</f>
        <v>2</v>
      </c>
      <c r="K19" s="15">
        <f t="shared" si="13"/>
        <v>154.25</v>
      </c>
      <c r="L19" s="11">
        <v>15.0</v>
      </c>
      <c r="M19" s="11">
        <f t="shared" ref="M19:N19" si="23">B19*$L19</f>
        <v>0</v>
      </c>
      <c r="N19" s="11">
        <f t="shared" si="23"/>
        <v>0</v>
      </c>
      <c r="O19" s="11">
        <v>1200.0</v>
      </c>
      <c r="P19" s="2">
        <v>0.0</v>
      </c>
      <c r="Q19" s="2">
        <v>200.0</v>
      </c>
      <c r="R19" s="2">
        <v>300.0</v>
      </c>
      <c r="S19" s="2">
        <v>0.0</v>
      </c>
      <c r="T19" s="2">
        <v>0.0</v>
      </c>
      <c r="U19" s="2">
        <f t="shared" si="3"/>
        <v>22</v>
      </c>
      <c r="V19" s="3">
        <f t="shared" si="12"/>
        <v>1722</v>
      </c>
      <c r="W19" s="2">
        <v>0.0</v>
      </c>
      <c r="X19" s="2">
        <v>0.0</v>
      </c>
      <c r="Y19" s="2">
        <v>116.0</v>
      </c>
      <c r="Z19" s="2">
        <v>0.0</v>
      </c>
      <c r="AA19" s="2">
        <v>0.0</v>
      </c>
      <c r="AB19" s="2">
        <v>28.0</v>
      </c>
      <c r="AC19" s="2">
        <v>0.0</v>
      </c>
      <c r="AD19" s="2">
        <v>0.0</v>
      </c>
      <c r="AE19" s="2">
        <v>0.0</v>
      </c>
      <c r="AF19" s="3">
        <f t="shared" si="4"/>
        <v>144</v>
      </c>
      <c r="AG19" s="3">
        <f t="shared" si="5"/>
        <v>1.071180556</v>
      </c>
    </row>
    <row r="20">
      <c r="A20" s="38">
        <v>45291.0</v>
      </c>
      <c r="B20" s="51">
        <f>IFERROR(__xludf.DUMMYFUNCTION("sumproduct(importrange($AI$2,""hours""),importrange($AI$2,""lessondate"")&lt;=($A20),importrange($AI$2,""lessondate"")&gt;($A19),importrange($AI$2,""teacher"")=B$2)"),0.0)</f>
        <v>0</v>
      </c>
      <c r="C20" s="51">
        <f>IFERROR(__xludf.DUMMYFUNCTION("sumproduct(importrange($AI$2,""hours""),importrange($AI$2,""lessondate"")&lt;=($A20),importrange($AI$2,""lessondate"")&gt;($A19),importrange($AI$2,""teacher"")=C$2)"),0.0)</f>
        <v>0</v>
      </c>
      <c r="D20" s="51">
        <f>IFERROR(__xludf.DUMMYFUNCTION("sumproduct(importrange($AI$2,""hours""),importrange($AI$2,""lessondate"")&lt;=($A20),importrange($AI$2,""lessondate"")&gt;($A19),importrange($AI$2,""teacher"")=D$2)"),72.5)</f>
        <v>72.5</v>
      </c>
      <c r="E20" s="51">
        <f>IFERROR(__xludf.DUMMYFUNCTION("sumproduct(importrange($AI$2,""hours""),importrange($AI$2,""lessondate"")&lt;=($A20),importrange($AI$2,""lessondate"")&gt;($A19),importrange($AI$2,""teacher"")=E$2)"),0.0)</f>
        <v>0</v>
      </c>
      <c r="F20" s="51">
        <f>IFERROR(__xludf.DUMMYFUNCTION("sumproduct(importrange($AI$2,""hours""),importrange($AI$2,""lessondate"")&lt;=($A20),importrange($AI$2,""lessondate"")&gt;($A19),importrange($AI$2,""teacher"")=F$2)"),22.0)</f>
        <v>22</v>
      </c>
      <c r="G20" s="51">
        <f>IFERROR(__xludf.DUMMYFUNCTION("sumproduct(importrange($AI$2,""hours""),importrange($AI$2,""lessondate"")&lt;=($A20),importrange($AI$2,""lessondate"")&gt;($A19),importrange($AI$2,""teacher"")=G$2)"),45.5)</f>
        <v>45.5</v>
      </c>
      <c r="H20" s="51">
        <f>IFERROR(__xludf.DUMMYFUNCTION("sumproduct(importrange($AI$2,""hours""),importrange($AI$2,""lessondate"")&lt;=($A20),importrange($AI$2,""lessondate"")&gt;($A19),importrange($AI$2,""teacher"")=H$2)"),17.0)</f>
        <v>17</v>
      </c>
      <c r="I20" s="51">
        <f>IFERROR(__xludf.DUMMYFUNCTION("sumproduct(importrange($AI$2,""hours""),importrange($AI$2,""lessondate"")&lt;=($A20),importrange($AI$2,""lessondate"")&gt;($A19),importrange($AI$2,""teacher"")=I$2)"),0.0)</f>
        <v>0</v>
      </c>
      <c r="J20" s="51">
        <f>IFERROR(__xludf.DUMMYFUNCTION("sumproduct(importrange($AI$2,""hours""),importrange($AI$2,""lessondate"")&lt;=($A20),importrange($AI$2,""lessondate"")&gt;($A19),importrange($AI$2,""teacher"")=J$2)"),0.0)</f>
        <v>0</v>
      </c>
      <c r="K20" s="15">
        <f t="shared" si="13"/>
        <v>157</v>
      </c>
      <c r="L20" s="11">
        <v>15.0</v>
      </c>
      <c r="M20" s="11">
        <f t="shared" ref="M20:N20" si="24">B20*$L20</f>
        <v>0</v>
      </c>
      <c r="N20" s="11">
        <f t="shared" si="24"/>
        <v>0</v>
      </c>
      <c r="O20" s="11">
        <v>1200.0</v>
      </c>
      <c r="P20" s="2">
        <v>0.0</v>
      </c>
      <c r="Q20" s="2">
        <f>MAX(200,200+(F20-28)*8)</f>
        <v>200</v>
      </c>
      <c r="R20" s="2">
        <v>376.0</v>
      </c>
      <c r="S20" s="2">
        <f>MAX(200,200+(H20-28)*8)</f>
        <v>200</v>
      </c>
      <c r="T20" s="2">
        <v>0.0</v>
      </c>
      <c r="U20" s="2">
        <f t="shared" si="3"/>
        <v>0</v>
      </c>
      <c r="V20" s="3">
        <f t="shared" si="12"/>
        <v>1976</v>
      </c>
      <c r="W20" s="2">
        <v>0.0</v>
      </c>
      <c r="X20" s="2">
        <v>0.0</v>
      </c>
      <c r="Y20" s="2">
        <v>116.0</v>
      </c>
      <c r="Z20" s="2">
        <v>0.0</v>
      </c>
      <c r="AA20" s="2">
        <v>0.0</v>
      </c>
      <c r="AB20" s="2">
        <v>28.0</v>
      </c>
      <c r="AC20" s="2">
        <v>28.0</v>
      </c>
      <c r="AD20" s="2">
        <v>0.0</v>
      </c>
      <c r="AE20" s="2">
        <v>0.0</v>
      </c>
      <c r="AF20" s="3">
        <f t="shared" si="4"/>
        <v>172</v>
      </c>
      <c r="AG20" s="3">
        <f t="shared" si="5"/>
        <v>0.9127906977</v>
      </c>
    </row>
    <row r="21">
      <c r="A21" s="38">
        <v>45322.0</v>
      </c>
      <c r="B21" s="51">
        <f>IFERROR(__xludf.DUMMYFUNCTION("sumproduct(importrange($AI$2,""hours""),importrange($AI$2,""lessondate"")&lt;=($A21),importrange($AI$2,""lessondate"")&gt;($A20),importrange($AI$2,""teacher"")=B$2)"),0.0)</f>
        <v>0</v>
      </c>
      <c r="C21" s="51">
        <f>IFERROR(__xludf.DUMMYFUNCTION("sumproduct(importrange($AI$2,""hours""),importrange($AI$2,""lessondate"")&lt;=($A21),importrange($AI$2,""lessondate"")&gt;($A20),importrange($AI$2,""teacher"")=C$2)"),0.0)</f>
        <v>0</v>
      </c>
      <c r="D21" s="51">
        <f>IFERROR(__xludf.DUMMYFUNCTION("sumproduct(importrange($AI$2,""hours""),importrange($AI$2,""lessondate"")&lt;=($A21),importrange($AI$2,""lessondate"")&gt;($A20),importrange($AI$2,""teacher"")=D$2)"),99.25)</f>
        <v>99.25</v>
      </c>
      <c r="E21" s="51">
        <f>IFERROR(__xludf.DUMMYFUNCTION("sumproduct(importrange($AI$2,""hours""),importrange($AI$2,""lessondate"")&lt;=($A21),importrange($AI$2,""lessondate"")&gt;($A20),importrange($AI$2,""teacher"")=E$2)"),0.0)</f>
        <v>0</v>
      </c>
      <c r="F21" s="51">
        <f>IFERROR(__xludf.DUMMYFUNCTION("sumproduct(importrange($AI$2,""hours""),importrange($AI$2,""lessondate"")&lt;=($A21),importrange($AI$2,""lessondate"")&gt;($A20),importrange($AI$2,""teacher"")=F$2)"),12.0)</f>
        <v>12</v>
      </c>
      <c r="G21" s="51">
        <f>IFERROR(__xludf.DUMMYFUNCTION("sumproduct(importrange($AI$2,""hours""),importrange($AI$2,""lessondate"")&lt;=($A21),importrange($AI$2,""lessondate"")&gt;($A20),importrange($AI$2,""teacher"")=G$2)"),36.0)</f>
        <v>36</v>
      </c>
      <c r="H21" s="51">
        <f>IFERROR(__xludf.DUMMYFUNCTION("sumproduct(importrange($AI$2,""hours""),importrange($AI$2,""lessondate"")&lt;=($A21),importrange($AI$2,""lessondate"")&gt;($A20),importrange($AI$2,""teacher"")=H$2)"),24.0)</f>
        <v>24</v>
      </c>
      <c r="I21" s="51">
        <f>IFERROR(__xludf.DUMMYFUNCTION("sumproduct(importrange($AI$2,""hours""),importrange($AI$2,""lessondate"")&lt;=($A21),importrange($AI$2,""lessondate"")&gt;($A20),importrange($AI$2,""teacher"")=I$2)"),0.0)</f>
        <v>0</v>
      </c>
      <c r="J21" s="51">
        <f>IFERROR(__xludf.DUMMYFUNCTION("sumproduct(importrange($AI$2,""hours""),importrange($AI$2,""lessondate"")&lt;=($A21),importrange($AI$2,""lessondate"")&gt;($A20),importrange($AI$2,""teacher"")=J$2)"),0.0)</f>
        <v>0</v>
      </c>
      <c r="K21" s="15">
        <f t="shared" si="13"/>
        <v>171.25</v>
      </c>
      <c r="L21" s="11">
        <v>15.0</v>
      </c>
      <c r="M21" s="11">
        <f t="shared" ref="M21:N21" si="25">B21*$L21</f>
        <v>0</v>
      </c>
      <c r="N21" s="11">
        <f t="shared" si="25"/>
        <v>0</v>
      </c>
      <c r="O21" s="11">
        <v>1200.0</v>
      </c>
      <c r="P21" s="2">
        <v>0.0</v>
      </c>
      <c r="Q21" s="2">
        <f t="shared" ref="Q21:Q30" si="27">(F21)*8</f>
        <v>96</v>
      </c>
      <c r="R21" s="2">
        <f t="shared" ref="R21:R26" si="28">MAX(200,200+(G21-28)*8)</f>
        <v>264</v>
      </c>
      <c r="S21" s="2">
        <f t="shared" ref="S21:S27" si="29">MAX(600,600+(H21-64)*8)</f>
        <v>600</v>
      </c>
      <c r="T21" s="2">
        <v>0.0</v>
      </c>
      <c r="U21" s="2">
        <f t="shared" si="3"/>
        <v>0</v>
      </c>
      <c r="V21" s="3">
        <f t="shared" si="12"/>
        <v>2160</v>
      </c>
      <c r="W21" s="2">
        <v>0.0</v>
      </c>
      <c r="X21" s="2">
        <v>0.0</v>
      </c>
      <c r="Y21" s="2">
        <v>116.0</v>
      </c>
      <c r="Z21" s="2">
        <v>0.0</v>
      </c>
      <c r="AA21" s="2">
        <v>0.0</v>
      </c>
      <c r="AB21" s="2">
        <v>28.0</v>
      </c>
      <c r="AC21" s="2">
        <v>64.0</v>
      </c>
      <c r="AD21" s="2">
        <v>0.0</v>
      </c>
      <c r="AE21" s="2">
        <v>0.0</v>
      </c>
      <c r="AF21" s="3">
        <f t="shared" si="4"/>
        <v>208</v>
      </c>
      <c r="AG21" s="3">
        <f t="shared" si="5"/>
        <v>0.8233173077</v>
      </c>
    </row>
    <row r="22">
      <c r="A22" s="38">
        <v>45351.0</v>
      </c>
      <c r="B22" s="51">
        <f>IFERROR(__xludf.DUMMYFUNCTION("sumproduct(importrange($AI$2,""hours""),importrange($AI$2,""lessondate"")&lt;=($A22),importrange($AI$2,""lessondate"")&gt;($A21),importrange($AI$2,""teacher"")=B$2)"),0.0)</f>
        <v>0</v>
      </c>
      <c r="C22" s="51">
        <f>IFERROR(__xludf.DUMMYFUNCTION("sumproduct(importrange($AI$2,""hours""),importrange($AI$2,""lessondate"")&lt;=($A22),importrange($AI$2,""lessondate"")&gt;($A21),importrange($AI$2,""teacher"")=C$2)"),0.0)</f>
        <v>0</v>
      </c>
      <c r="D22" s="51">
        <f>IFERROR(__xludf.DUMMYFUNCTION("sumproduct(importrange($AI$2,""hours""),importrange($AI$2,""lessondate"")&lt;=($A22),importrange($AI$2,""lessondate"")&gt;($A21),importrange($AI$2,""teacher"")=D$2)"),101.41666666666666)</f>
        <v>101.4166667</v>
      </c>
      <c r="E22" s="51">
        <f>IFERROR(__xludf.DUMMYFUNCTION("sumproduct(importrange($AI$2,""hours""),importrange($AI$2,""lessondate"")&lt;=($A22),importrange($AI$2,""lessondate"")&gt;($A21),importrange($AI$2,""teacher"")=E$2)"),0.0)</f>
        <v>0</v>
      </c>
      <c r="F22" s="51">
        <f>IFERROR(__xludf.DUMMYFUNCTION("sumproduct(importrange($AI$2,""hours""),importrange($AI$2,""lessondate"")&lt;=($A22),importrange($AI$2,""lessondate"")&gt;($A21),importrange($AI$2,""teacher"")=F$2)"),12.0)</f>
        <v>12</v>
      </c>
      <c r="G22" s="51">
        <f>IFERROR(__xludf.DUMMYFUNCTION("sumproduct(importrange($AI$2,""hours""),importrange($AI$2,""lessondate"")&lt;=($A22),importrange($AI$2,""lessondate"")&gt;($A21),importrange($AI$2,""teacher"")=G$2)"),23.0)</f>
        <v>23</v>
      </c>
      <c r="H22" s="51">
        <f>IFERROR(__xludf.DUMMYFUNCTION("sumproduct(importrange($AI$2,""hours""),importrange($AI$2,""lessondate"")&lt;=($A22),importrange($AI$2,""lessondate"")&gt;($A21),importrange($AI$2,""teacher"")=H$2)"),36.0)</f>
        <v>36</v>
      </c>
      <c r="I22" s="51">
        <f>IFERROR(__xludf.DUMMYFUNCTION("sumproduct(importrange($AI$2,""hours""),importrange($AI$2,""lessondate"")&lt;=($A22),importrange($AI$2,""lessondate"")&gt;($A21),importrange($AI$2,""teacher"")=I$2)"),0.0)</f>
        <v>0</v>
      </c>
      <c r="J22" s="51">
        <f>IFERROR(__xludf.DUMMYFUNCTION("sumproduct(importrange($AI$2,""hours""),importrange($AI$2,""lessondate"")&lt;=($A22),importrange($AI$2,""lessondate"")&gt;($A21),importrange($AI$2,""teacher"")=J$2)"),0.0)</f>
        <v>0</v>
      </c>
      <c r="K22" s="15">
        <f t="shared" si="13"/>
        <v>172.4166667</v>
      </c>
      <c r="L22" s="11">
        <v>15.0</v>
      </c>
      <c r="M22" s="11">
        <f t="shared" ref="M22:N22" si="26">B22*$L22</f>
        <v>0</v>
      </c>
      <c r="N22" s="11">
        <f t="shared" si="26"/>
        <v>0</v>
      </c>
      <c r="O22" s="11">
        <v>1200.0</v>
      </c>
      <c r="P22" s="2">
        <v>0.0</v>
      </c>
      <c r="Q22" s="2">
        <f t="shared" si="27"/>
        <v>96</v>
      </c>
      <c r="R22" s="2">
        <f t="shared" si="28"/>
        <v>200</v>
      </c>
      <c r="S22" s="2">
        <f t="shared" si="29"/>
        <v>600</v>
      </c>
      <c r="T22" s="2">
        <v>0.0</v>
      </c>
      <c r="U22" s="2">
        <f t="shared" si="3"/>
        <v>0</v>
      </c>
      <c r="V22" s="3">
        <f t="shared" si="12"/>
        <v>2096</v>
      </c>
      <c r="W22" s="2">
        <v>0.0</v>
      </c>
      <c r="X22" s="2">
        <v>0.0</v>
      </c>
      <c r="Y22" s="2">
        <v>116.0</v>
      </c>
      <c r="Z22" s="2">
        <v>0.0</v>
      </c>
      <c r="AA22" s="2">
        <v>0.0</v>
      </c>
      <c r="AB22" s="2">
        <v>28.0</v>
      </c>
      <c r="AC22" s="2">
        <v>64.0</v>
      </c>
      <c r="AD22" s="2">
        <v>0.0</v>
      </c>
      <c r="AE22" s="2">
        <v>0.0</v>
      </c>
      <c r="AF22" s="3">
        <f t="shared" si="4"/>
        <v>208</v>
      </c>
      <c r="AG22" s="3">
        <f t="shared" si="5"/>
        <v>0.8289262821</v>
      </c>
    </row>
    <row r="23">
      <c r="A23" s="38">
        <v>45382.0</v>
      </c>
      <c r="B23" s="51">
        <f>IFERROR(__xludf.DUMMYFUNCTION("sumproduct(importrange($AI$2,""hours""),importrange($AI$2,""lessondate"")&lt;=($A23),importrange($AI$2,""lessondate"")&gt;($A22),importrange($AI$2,""teacher"")=B$2)"),0.0)</f>
        <v>0</v>
      </c>
      <c r="C23" s="51">
        <f>IFERROR(__xludf.DUMMYFUNCTION("sumproduct(importrange($AI$2,""hours""),importrange($AI$2,""lessondate"")&lt;=($A23),importrange($AI$2,""lessondate"")&gt;($A22),importrange($AI$2,""teacher"")=C$2)"),0.0)</f>
        <v>0</v>
      </c>
      <c r="D23" s="51">
        <f>IFERROR(__xludf.DUMMYFUNCTION("sumproduct(importrange($AI$2,""hours""),importrange($AI$2,""lessondate"")&lt;=($A23),importrange($AI$2,""lessondate"")&gt;($A22),importrange($AI$2,""teacher"")=D$2)"),102.5)</f>
        <v>102.5</v>
      </c>
      <c r="E23" s="51">
        <f>IFERROR(__xludf.DUMMYFUNCTION("sumproduct(importrange($AI$2,""hours""),importrange($AI$2,""lessondate"")&lt;=($A23),importrange($AI$2,""lessondate"")&gt;($A22),importrange($AI$2,""teacher"")=E$2)"),0.0)</f>
        <v>0</v>
      </c>
      <c r="F23" s="51">
        <f>IFERROR(__xludf.DUMMYFUNCTION("sumproduct(importrange($AI$2,""hours""),importrange($AI$2,""lessondate"")&lt;=($A23),importrange($AI$2,""lessondate"")&gt;($A22),importrange($AI$2,""teacher"")=F$2)"),14.0)</f>
        <v>14</v>
      </c>
      <c r="G23" s="51">
        <f>IFERROR(__xludf.DUMMYFUNCTION("sumproduct(importrange($AI$2,""hours""),importrange($AI$2,""lessondate"")&lt;=($A23),importrange($AI$2,""lessondate"")&gt;($A22),importrange($AI$2,""teacher"")=G$2)"),23.0)</f>
        <v>23</v>
      </c>
      <c r="H23" s="51">
        <f>IFERROR(__xludf.DUMMYFUNCTION("sumproduct(importrange($AI$2,""hours""),importrange($AI$2,""lessondate"")&lt;=($A23),importrange($AI$2,""lessondate"")&gt;($A22),importrange($AI$2,""teacher"")=H$2)"),43.0)</f>
        <v>43</v>
      </c>
      <c r="I23" s="51">
        <f>IFERROR(__xludf.DUMMYFUNCTION("sumproduct(importrange($AI$2,""hours""),importrange($AI$2,""lessondate"")&lt;=($A23),importrange($AI$2,""lessondate"")&gt;($A22),importrange($AI$2,""teacher"")=I$2)"),0.0)</f>
        <v>0</v>
      </c>
      <c r="J23" s="51">
        <f>IFERROR(__xludf.DUMMYFUNCTION("sumproduct(importrange($AI$2,""hours""),importrange($AI$2,""lessondate"")&lt;=($A23),importrange($AI$2,""lessondate"")&gt;($A22),importrange($AI$2,""teacher"")=J$2)"),0.0)</f>
        <v>0</v>
      </c>
      <c r="K23" s="15">
        <f t="shared" si="13"/>
        <v>182.5</v>
      </c>
      <c r="L23" s="11">
        <v>15.0</v>
      </c>
      <c r="M23" s="11">
        <f t="shared" ref="M23:N23" si="30">B23*$L23</f>
        <v>0</v>
      </c>
      <c r="N23" s="11">
        <f t="shared" si="30"/>
        <v>0</v>
      </c>
      <c r="O23" s="11">
        <v>1200.0</v>
      </c>
      <c r="P23" s="2">
        <v>0.0</v>
      </c>
      <c r="Q23" s="2">
        <f t="shared" si="27"/>
        <v>112</v>
      </c>
      <c r="R23" s="2">
        <f t="shared" si="28"/>
        <v>200</v>
      </c>
      <c r="S23" s="2">
        <f t="shared" si="29"/>
        <v>600</v>
      </c>
      <c r="T23" s="2">
        <v>0.0</v>
      </c>
      <c r="U23" s="2">
        <f t="shared" si="3"/>
        <v>0</v>
      </c>
      <c r="V23" s="3">
        <f t="shared" si="12"/>
        <v>2112</v>
      </c>
      <c r="W23" s="2">
        <v>0.0</v>
      </c>
      <c r="X23" s="2">
        <v>0.0</v>
      </c>
      <c r="Y23" s="2">
        <v>116.0</v>
      </c>
      <c r="Z23" s="2">
        <v>0.0</v>
      </c>
      <c r="AA23" s="2">
        <v>0.0</v>
      </c>
      <c r="AB23" s="2">
        <v>28.0</v>
      </c>
      <c r="AC23" s="2">
        <v>64.0</v>
      </c>
      <c r="AD23" s="2">
        <v>0.0</v>
      </c>
      <c r="AE23" s="2">
        <v>0.0</v>
      </c>
      <c r="AF23" s="3">
        <f t="shared" si="4"/>
        <v>208</v>
      </c>
      <c r="AG23" s="3">
        <f t="shared" si="5"/>
        <v>0.8774038462</v>
      </c>
    </row>
    <row r="24">
      <c r="A24" s="38">
        <v>45412.0</v>
      </c>
      <c r="B24" s="51">
        <f>IFERROR(__xludf.DUMMYFUNCTION("sumproduct(importrange($AI$2,""hours""),importrange($AI$2,""lessondate"")&lt;=($A24),importrange($AI$2,""lessondate"")&gt;($A23),importrange($AI$2,""teacher"")=B$2)"),0.0)</f>
        <v>0</v>
      </c>
      <c r="C24" s="51">
        <f>IFERROR(__xludf.DUMMYFUNCTION("sumproduct(importrange($AI$2,""hours""),importrange($AI$2,""lessondate"")&lt;=($A24),importrange($AI$2,""lessondate"")&gt;($A23),importrange($AI$2,""teacher"")=C$2)"),0.0)</f>
        <v>0</v>
      </c>
      <c r="D24" s="51">
        <f>IFERROR(__xludf.DUMMYFUNCTION("sumproduct(importrange($AI$2,""hours""),importrange($AI$2,""lessondate"")&lt;=($A24),importrange($AI$2,""lessondate"")&gt;($A23),importrange($AI$2,""teacher"")=D$2)"),63.75)</f>
        <v>63.75</v>
      </c>
      <c r="E24" s="51">
        <f>IFERROR(__xludf.DUMMYFUNCTION("sumproduct(importrange($AI$2,""hours""),importrange($AI$2,""lessondate"")&lt;=($A24),importrange($AI$2,""lessondate"")&gt;($A23),importrange($AI$2,""teacher"")=E$2)"),0.0)</f>
        <v>0</v>
      </c>
      <c r="F24" s="51">
        <f>IFERROR(__xludf.DUMMYFUNCTION("sumproduct(importrange($AI$2,""hours""),importrange($AI$2,""lessondate"")&lt;=($A24),importrange($AI$2,""lessondate"")&gt;($A23),importrange($AI$2,""teacher"")=F$2)"),17.0)</f>
        <v>17</v>
      </c>
      <c r="G24" s="51">
        <f>IFERROR(__xludf.DUMMYFUNCTION("sumproduct(importrange($AI$2,""hours""),importrange($AI$2,""lessondate"")&lt;=($A24),importrange($AI$2,""lessondate"")&gt;($A23),importrange($AI$2,""teacher"")=G$2)"),24.0)</f>
        <v>24</v>
      </c>
      <c r="H24" s="51">
        <f>IFERROR(__xludf.DUMMYFUNCTION("sumproduct(importrange($AI$2,""hours""),importrange($AI$2,""lessondate"")&lt;=($A24),importrange($AI$2,""lessondate"")&gt;($A23),importrange($AI$2,""teacher"")=H$2)"),41.666666666666664)</f>
        <v>41.66666667</v>
      </c>
      <c r="I24" s="51">
        <f>IFERROR(__xludf.DUMMYFUNCTION("sumproduct(importrange($AI$2,""hours""),importrange($AI$2,""lessondate"")&lt;=($A24),importrange($AI$2,""lessondate"")&gt;($A23),importrange($AI$2,""teacher"")=I$2)"),0.0)</f>
        <v>0</v>
      </c>
      <c r="J24" s="51">
        <f>IFERROR(__xludf.DUMMYFUNCTION("sumproduct(importrange($AI$2,""hours""),importrange($AI$2,""lessondate"")&lt;=($A24),importrange($AI$2,""lessondate"")&gt;($A23),importrange($AI$2,""teacher"")=J$2)"),0.0)</f>
        <v>0</v>
      </c>
      <c r="K24" s="15">
        <f t="shared" ref="K24:K44" si="32">SUM(B24:J24)</f>
        <v>146.4166667</v>
      </c>
      <c r="L24" s="11">
        <v>15.0</v>
      </c>
      <c r="M24" s="11">
        <f t="shared" ref="M24:N24" si="31">B24*$L24</f>
        <v>0</v>
      </c>
      <c r="N24" s="11">
        <f t="shared" si="31"/>
        <v>0</v>
      </c>
      <c r="O24" s="11">
        <v>1200.0</v>
      </c>
      <c r="P24" s="2">
        <v>0.0</v>
      </c>
      <c r="Q24" s="2">
        <f t="shared" si="27"/>
        <v>136</v>
      </c>
      <c r="R24" s="2">
        <f t="shared" si="28"/>
        <v>200</v>
      </c>
      <c r="S24" s="2">
        <f t="shared" si="29"/>
        <v>600</v>
      </c>
      <c r="T24" s="2">
        <v>0.0</v>
      </c>
      <c r="U24" s="2">
        <f t="shared" si="3"/>
        <v>0</v>
      </c>
      <c r="V24" s="3">
        <f t="shared" si="12"/>
        <v>2136</v>
      </c>
      <c r="W24" s="2">
        <v>0.0</v>
      </c>
      <c r="X24" s="2">
        <v>0.0</v>
      </c>
      <c r="Y24" s="2">
        <v>116.0</v>
      </c>
      <c r="Z24" s="2">
        <v>0.0</v>
      </c>
      <c r="AA24" s="2">
        <v>0.0</v>
      </c>
      <c r="AB24" s="2">
        <v>28.0</v>
      </c>
      <c r="AC24" s="2">
        <v>64.0</v>
      </c>
      <c r="AD24" s="2">
        <v>0.0</v>
      </c>
      <c r="AE24" s="2">
        <v>0.0</v>
      </c>
      <c r="AF24" s="3">
        <f t="shared" si="4"/>
        <v>208</v>
      </c>
      <c r="AG24" s="3">
        <f t="shared" si="5"/>
        <v>0.7039262821</v>
      </c>
    </row>
    <row r="25">
      <c r="A25" s="38">
        <v>45443.0</v>
      </c>
      <c r="B25" s="51">
        <f>IFERROR(__xludf.DUMMYFUNCTION("sumproduct(importrange($AI$2,""hours""),importrange($AI$2,""lessondate"")&lt;=($A25),importrange($AI$2,""lessondate"")&gt;($A24),importrange($AI$2,""teacher"")=B$2)"),0.0)</f>
        <v>0</v>
      </c>
      <c r="C25" s="51">
        <f>IFERROR(__xludf.DUMMYFUNCTION("sumproduct(importrange($AI$2,""hours""),importrange($AI$2,""lessondate"")&lt;=($A25),importrange($AI$2,""lessondate"")&gt;($A24),importrange($AI$2,""teacher"")=C$2)"),0.0)</f>
        <v>0</v>
      </c>
      <c r="D25" s="51">
        <f>IFERROR(__xludf.DUMMYFUNCTION("sumproduct(importrange($AI$2,""hours""),importrange($AI$2,""lessondate"")&lt;=($A25),importrange($AI$2,""lessondate"")&gt;($A24),importrange($AI$2,""teacher"")=D$2)"),83.0)</f>
        <v>83</v>
      </c>
      <c r="E25" s="51">
        <f>IFERROR(__xludf.DUMMYFUNCTION("sumproduct(importrange($AI$2,""hours""),importrange($AI$2,""lessondate"")&lt;=($A25),importrange($AI$2,""lessondate"")&gt;($A24),importrange($AI$2,""teacher"")=E$2)"),0.0)</f>
        <v>0</v>
      </c>
      <c r="F25" s="51">
        <f>IFERROR(__xludf.DUMMYFUNCTION("sumproduct(importrange($AI$2,""hours""),importrange($AI$2,""lessondate"")&lt;=($A25),importrange($AI$2,""lessondate"")&gt;($A24),importrange($AI$2,""teacher"")=F$2)"),13.0)</f>
        <v>13</v>
      </c>
      <c r="G25" s="51">
        <f>IFERROR(__xludf.DUMMYFUNCTION("sumproduct(importrange($AI$2,""hours""),importrange($AI$2,""lessondate"")&lt;=($A25),importrange($AI$2,""lessondate"")&gt;($A24),importrange($AI$2,""teacher"")=G$2)"),17.0)</f>
        <v>17</v>
      </c>
      <c r="H25" s="51">
        <f>IFERROR(__xludf.DUMMYFUNCTION("sumproduct(importrange($AI$2,""hours""),importrange($AI$2,""lessondate"")&lt;=($A25),importrange($AI$2,""lessondate"")&gt;($A24),importrange($AI$2,""teacher"")=H$2)"),53.0)</f>
        <v>53</v>
      </c>
      <c r="I25" s="51">
        <f>IFERROR(__xludf.DUMMYFUNCTION("sumproduct(importrange($AI$2,""hours""),importrange($AI$2,""lessondate"")&lt;=($A25),importrange($AI$2,""lessondate"")&gt;($A24),importrange($AI$2,""teacher"")=I$2)"),8.0)</f>
        <v>8</v>
      </c>
      <c r="J25" s="51">
        <f>IFERROR(__xludf.DUMMYFUNCTION("sumproduct(importrange($AI$2,""hours""),importrange($AI$2,""lessondate"")&lt;=($A25),importrange($AI$2,""lessondate"")&gt;($A24),importrange($AI$2,""teacher"")=J$2)"),0.0)</f>
        <v>0</v>
      </c>
      <c r="K25" s="15">
        <f t="shared" si="32"/>
        <v>174</v>
      </c>
      <c r="L25" s="11">
        <v>15.0</v>
      </c>
      <c r="M25" s="11">
        <f t="shared" ref="M25:N25" si="33">B25*$L25</f>
        <v>0</v>
      </c>
      <c r="N25" s="11">
        <f t="shared" si="33"/>
        <v>0</v>
      </c>
      <c r="O25" s="11">
        <v>1200.0</v>
      </c>
      <c r="P25" s="2">
        <v>0.0</v>
      </c>
      <c r="Q25" s="2">
        <f t="shared" si="27"/>
        <v>104</v>
      </c>
      <c r="R25" s="2">
        <f t="shared" si="28"/>
        <v>200</v>
      </c>
      <c r="S25" s="2">
        <f t="shared" si="29"/>
        <v>600</v>
      </c>
      <c r="T25" s="2">
        <f t="shared" ref="T25:T31" si="35">MAX(375,375+(I25-48)*8)</f>
        <v>375</v>
      </c>
      <c r="U25" s="2">
        <f t="shared" si="3"/>
        <v>0</v>
      </c>
      <c r="V25" s="3">
        <f t="shared" si="12"/>
        <v>2479</v>
      </c>
      <c r="W25" s="2">
        <v>0.0</v>
      </c>
      <c r="X25" s="2">
        <v>0.0</v>
      </c>
      <c r="Y25" s="2">
        <v>116.0</v>
      </c>
      <c r="Z25" s="2">
        <v>0.0</v>
      </c>
      <c r="AA25" s="2">
        <v>0.0</v>
      </c>
      <c r="AB25" s="2">
        <v>28.0</v>
      </c>
      <c r="AC25" s="2">
        <v>64.0</v>
      </c>
      <c r="AD25" s="2">
        <v>48.0</v>
      </c>
      <c r="AE25" s="2">
        <v>0.0</v>
      </c>
      <c r="AF25" s="3">
        <f t="shared" si="4"/>
        <v>256</v>
      </c>
      <c r="AG25" s="3">
        <f t="shared" si="5"/>
        <v>0.6796875</v>
      </c>
    </row>
    <row r="26">
      <c r="A26" s="38">
        <v>45473.0</v>
      </c>
      <c r="B26" s="51">
        <f>IFERROR(__xludf.DUMMYFUNCTION("sumproduct(importrange($AI$2,""hours""),importrange($AI$2,""lessondate"")&lt;=($A26),importrange($AI$2,""lessondate"")&gt;($A25),importrange($AI$2,""teacher"")=B$2)"),0.0)</f>
        <v>0</v>
      </c>
      <c r="C26" s="51">
        <f>IFERROR(__xludf.DUMMYFUNCTION("sumproduct(importrange($AI$2,""hours""),importrange($AI$2,""lessondate"")&lt;=($A26),importrange($AI$2,""lessondate"")&gt;($A25),importrange($AI$2,""teacher"")=C$2)"),0.0)</f>
        <v>0</v>
      </c>
      <c r="D26" s="51">
        <f>IFERROR(__xludf.DUMMYFUNCTION("sumproduct(importrange($AI$2,""hours""),importrange($AI$2,""lessondate"")&lt;=($A26),importrange($AI$2,""lessondate"")&gt;($A25),importrange($AI$2,""teacher"")=D$2)"),71.75)</f>
        <v>71.75</v>
      </c>
      <c r="E26" s="51">
        <f>IFERROR(__xludf.DUMMYFUNCTION("sumproduct(importrange($AI$2,""hours""),importrange($AI$2,""lessondate"")&lt;=($A26),importrange($AI$2,""lessondate"")&gt;($A25),importrange($AI$2,""teacher"")=E$2)"),0.0)</f>
        <v>0</v>
      </c>
      <c r="F26" s="51">
        <f>IFERROR(__xludf.DUMMYFUNCTION("sumproduct(importrange($AI$2,""hours""),importrange($AI$2,""lessondate"")&lt;=($A26),importrange($AI$2,""lessondate"")&gt;($A25),importrange($AI$2,""teacher"")=F$2)"),14.0)</f>
        <v>14</v>
      </c>
      <c r="G26" s="51">
        <f>IFERROR(__xludf.DUMMYFUNCTION("sumproduct(importrange($AI$2,""hours""),importrange($AI$2,""lessondate"")&lt;=($A26),importrange($AI$2,""lessondate"")&gt;($A25),importrange($AI$2,""teacher"")=G$2)"),17.0)</f>
        <v>17</v>
      </c>
      <c r="H26" s="51">
        <f>IFERROR(__xludf.DUMMYFUNCTION("sumproduct(importrange($AI$2,""hours""),importrange($AI$2,""lessondate"")&lt;=($A26),importrange($AI$2,""lessondate"")&gt;($A25),importrange($AI$2,""teacher"")=H$2)"),42.0)</f>
        <v>42</v>
      </c>
      <c r="I26" s="51">
        <f>IFERROR(__xludf.DUMMYFUNCTION("sumproduct(importrange($AI$2,""hours""),importrange($AI$2,""lessondate"")&lt;=($A26),importrange($AI$2,""lessondate"")&gt;($A25),importrange($AI$2,""teacher"")=I$2)"),15.0)</f>
        <v>15</v>
      </c>
      <c r="J26" s="51">
        <f>IFERROR(__xludf.DUMMYFUNCTION("sumproduct(importrange($AI$2,""hours""),importrange($AI$2,""lessondate"")&lt;=($A26),importrange($AI$2,""lessondate"")&gt;($A25),importrange($AI$2,""teacher"")=J$2)"),0.0)</f>
        <v>0</v>
      </c>
      <c r="K26" s="15">
        <f t="shared" si="32"/>
        <v>159.75</v>
      </c>
      <c r="L26" s="11">
        <v>15.0</v>
      </c>
      <c r="M26" s="11">
        <f t="shared" ref="M26:N26" si="34">B26*$L26</f>
        <v>0</v>
      </c>
      <c r="N26" s="11">
        <f t="shared" si="34"/>
        <v>0</v>
      </c>
      <c r="O26" s="11">
        <v>1200.0</v>
      </c>
      <c r="P26" s="2">
        <v>0.0</v>
      </c>
      <c r="Q26" s="2">
        <f t="shared" si="27"/>
        <v>112</v>
      </c>
      <c r="R26" s="2">
        <f t="shared" si="28"/>
        <v>200</v>
      </c>
      <c r="S26" s="2">
        <f t="shared" si="29"/>
        <v>600</v>
      </c>
      <c r="T26" s="2">
        <f t="shared" si="35"/>
        <v>375</v>
      </c>
      <c r="U26" s="2">
        <f t="shared" si="3"/>
        <v>0</v>
      </c>
      <c r="V26" s="3">
        <f t="shared" si="12"/>
        <v>2487</v>
      </c>
      <c r="W26" s="2">
        <v>0.0</v>
      </c>
      <c r="X26" s="2">
        <v>0.0</v>
      </c>
      <c r="Y26" s="2">
        <v>116.0</v>
      </c>
      <c r="Z26" s="2">
        <v>0.0</v>
      </c>
      <c r="AA26" s="2">
        <v>0.0</v>
      </c>
      <c r="AB26" s="2">
        <v>28.0</v>
      </c>
      <c r="AC26" s="2">
        <v>64.0</v>
      </c>
      <c r="AD26" s="2">
        <v>48.0</v>
      </c>
      <c r="AE26" s="2">
        <v>0.0</v>
      </c>
      <c r="AF26" s="3">
        <f t="shared" si="4"/>
        <v>256</v>
      </c>
      <c r="AG26" s="3">
        <f t="shared" si="5"/>
        <v>0.6240234375</v>
      </c>
    </row>
    <row r="27">
      <c r="A27" s="38">
        <v>45504.0</v>
      </c>
      <c r="B27" s="51">
        <f>IFERROR(__xludf.DUMMYFUNCTION("sumproduct(importrange($AI$2,""hours""),importrange($AI$2,""lessondate"")&lt;=($A27),importrange($AI$2,""lessondate"")&gt;($A26),importrange($AI$2,""teacher"")=B$2)"),0.0)</f>
        <v>0</v>
      </c>
      <c r="C27" s="51">
        <f>IFERROR(__xludf.DUMMYFUNCTION("sumproduct(importrange($AI$2,""hours""),importrange($AI$2,""lessondate"")&lt;=($A27),importrange($AI$2,""lessondate"")&gt;($A26),importrange($AI$2,""teacher"")=C$2)"),0.0)</f>
        <v>0</v>
      </c>
      <c r="D27" s="51">
        <f>IFERROR(__xludf.DUMMYFUNCTION("sumproduct(importrange($AI$2,""hours""),importrange($AI$2,""lessondate"")&lt;=($A27),importrange($AI$2,""lessondate"")&gt;($A26),importrange($AI$2,""teacher"")=D$2)"),80.25)</f>
        <v>80.25</v>
      </c>
      <c r="E27" s="51">
        <f>IFERROR(__xludf.DUMMYFUNCTION("sumproduct(importrange($AI$2,""hours""),importrange($AI$2,""lessondate"")&lt;=($A27),importrange($AI$2,""lessondate"")&gt;($A26),importrange($AI$2,""teacher"")=E$2)"),0.0)</f>
        <v>0</v>
      </c>
      <c r="F27" s="51">
        <f>IFERROR(__xludf.DUMMYFUNCTION("sumproduct(importrange($AI$2,""hours""),importrange($AI$2,""lessondate"")&lt;=($A27),importrange($AI$2,""lessondate"")&gt;($A26),importrange($AI$2,""teacher"")=F$2)"),10.0)</f>
        <v>10</v>
      </c>
      <c r="G27" s="51">
        <f>IFERROR(__xludf.DUMMYFUNCTION("sumproduct(importrange($AI$2,""hours""),importrange($AI$2,""lessondate"")&lt;=($A27),importrange($AI$2,""lessondate"")&gt;($A26),importrange($AI$2,""teacher"")=G$2)"),1.0)</f>
        <v>1</v>
      </c>
      <c r="H27" s="51">
        <f>IFERROR(__xludf.DUMMYFUNCTION("sumproduct(importrange($AI$2,""hours""),importrange($AI$2,""lessondate"")&lt;=($A27),importrange($AI$2,""lessondate"")&gt;($A26),importrange($AI$2,""teacher"")=H$2)"),50.0)</f>
        <v>50</v>
      </c>
      <c r="I27" s="51">
        <f>IFERROR(__xludf.DUMMYFUNCTION("sumproduct(importrange($AI$2,""hours""),importrange($AI$2,""lessondate"")&lt;=($A27),importrange($AI$2,""lessondate"")&gt;($A26),importrange($AI$2,""teacher"")=I$2)"),14.0)</f>
        <v>14</v>
      </c>
      <c r="J27" s="51">
        <f>IFERROR(__xludf.DUMMYFUNCTION("sumproduct(importrange($AI$2,""hours""),importrange($AI$2,""lessondate"")&lt;=($A27),importrange($AI$2,""lessondate"")&gt;($A26),importrange($AI$2,""teacher"")=J$2)"),0.0)</f>
        <v>0</v>
      </c>
      <c r="K27" s="15">
        <f t="shared" si="32"/>
        <v>155.25</v>
      </c>
      <c r="L27" s="11">
        <v>15.0</v>
      </c>
      <c r="M27" s="11">
        <f t="shared" ref="M27:N27" si="36">B27*$L27</f>
        <v>0</v>
      </c>
      <c r="N27" s="11">
        <f t="shared" si="36"/>
        <v>0</v>
      </c>
      <c r="O27" s="11">
        <v>1200.0</v>
      </c>
      <c r="P27" s="2">
        <v>0.0</v>
      </c>
      <c r="Q27" s="2">
        <f t="shared" si="27"/>
        <v>80</v>
      </c>
      <c r="R27" s="2">
        <f t="shared" ref="R27:R44" si="38">0</f>
        <v>0</v>
      </c>
      <c r="S27" s="2">
        <f t="shared" si="29"/>
        <v>600</v>
      </c>
      <c r="T27" s="2">
        <f t="shared" si="35"/>
        <v>375</v>
      </c>
      <c r="U27" s="2">
        <f t="shared" si="3"/>
        <v>0</v>
      </c>
      <c r="V27" s="3">
        <f t="shared" si="12"/>
        <v>2255</v>
      </c>
      <c r="W27" s="2">
        <v>0.0</v>
      </c>
      <c r="X27" s="2">
        <v>0.0</v>
      </c>
      <c r="Y27" s="2">
        <v>116.0</v>
      </c>
      <c r="Z27" s="2">
        <v>0.0</v>
      </c>
      <c r="AA27" s="2">
        <v>0.0</v>
      </c>
      <c r="AB27" s="2">
        <v>0.0</v>
      </c>
      <c r="AC27" s="2">
        <v>64.0</v>
      </c>
      <c r="AD27" s="2">
        <v>48.0</v>
      </c>
      <c r="AE27" s="2">
        <v>0.0</v>
      </c>
      <c r="AF27" s="3">
        <f t="shared" si="4"/>
        <v>228</v>
      </c>
      <c r="AG27" s="3">
        <f t="shared" si="5"/>
        <v>0.6809210526</v>
      </c>
    </row>
    <row r="28">
      <c r="A28" s="38">
        <v>45535.0</v>
      </c>
      <c r="B28" s="51">
        <f>IFERROR(__xludf.DUMMYFUNCTION("sumproduct(importrange($AI$2,""hours""),importrange($AI$2,""lessondate"")&lt;=($A28),importrange($AI$2,""lessondate"")&gt;($A27),importrange($AI$2,""teacher"")=B$2)"),0.0)</f>
        <v>0</v>
      </c>
      <c r="C28" s="51">
        <f>IFERROR(__xludf.DUMMYFUNCTION("sumproduct(importrange($AI$2,""hours""),importrange($AI$2,""lessondate"")&lt;=($A28),importrange($AI$2,""lessondate"")&gt;($A27),importrange($AI$2,""teacher"")=C$2)"),0.0)</f>
        <v>0</v>
      </c>
      <c r="D28" s="51">
        <f>IFERROR(__xludf.DUMMYFUNCTION("sumproduct(importrange($AI$2,""hours""),importrange($AI$2,""lessondate"")&lt;=($A28),importrange($AI$2,""lessondate"")&gt;($A27),importrange($AI$2,""teacher"")=D$2)"),62.25)</f>
        <v>62.25</v>
      </c>
      <c r="E28" s="51">
        <f>IFERROR(__xludf.DUMMYFUNCTION("sumproduct(importrange($AI$2,""hours""),importrange($AI$2,""lessondate"")&lt;=($A28),importrange($AI$2,""lessondate"")&gt;($A27),importrange($AI$2,""teacher"")=E$2)"),0.0)</f>
        <v>0</v>
      </c>
      <c r="F28" s="51">
        <f>IFERROR(__xludf.DUMMYFUNCTION("sumproduct(importrange($AI$2,""hours""),importrange($AI$2,""lessondate"")&lt;=($A28),importrange($AI$2,""lessondate"")&gt;($A27),importrange($AI$2,""teacher"")=F$2)"),9.0)</f>
        <v>9</v>
      </c>
      <c r="G28" s="51">
        <f>IFERROR(__xludf.DUMMYFUNCTION("sumproduct(importrange($AI$2,""hours""),importrange($AI$2,""lessondate"")&lt;=($A28),importrange($AI$2,""lessondate"")&gt;($A27),importrange($AI$2,""teacher"")=G$2)"),0.0)</f>
        <v>0</v>
      </c>
      <c r="H28" s="51">
        <f>IFERROR(__xludf.DUMMYFUNCTION("sumproduct(importrange($AI$2,""hours""),importrange($AI$2,""lessondate"")&lt;=($A28),importrange($AI$2,""lessondate"")&gt;($A27),importrange($AI$2,""teacher"")=H$2)"),59.0)</f>
        <v>59</v>
      </c>
      <c r="I28" s="51">
        <f>IFERROR(__xludf.DUMMYFUNCTION("sumproduct(importrange($AI$2,""hours""),importrange($AI$2,""lessondate"")&lt;=($A28),importrange($AI$2,""lessondate"")&gt;($A27),importrange($AI$2,""teacher"")=I$2)"),17.0)</f>
        <v>17</v>
      </c>
      <c r="J28" s="51">
        <f>IFERROR(__xludf.DUMMYFUNCTION("sumproduct(importrange($AI$2,""hours""),importrange($AI$2,""lessondate"")&lt;=($A28),importrange($AI$2,""lessondate"")&gt;($A27),importrange($AI$2,""teacher"")=J$2)"),6.0)</f>
        <v>6</v>
      </c>
      <c r="K28" s="15">
        <f t="shared" si="32"/>
        <v>153.25</v>
      </c>
      <c r="L28" s="11">
        <v>15.0</v>
      </c>
      <c r="M28" s="11">
        <f t="shared" ref="M28:N28" si="37">B28*$L28</f>
        <v>0</v>
      </c>
      <c r="N28" s="11">
        <f t="shared" si="37"/>
        <v>0</v>
      </c>
      <c r="O28" s="11">
        <v>1200.0</v>
      </c>
      <c r="P28" s="2">
        <v>0.0</v>
      </c>
      <c r="Q28" s="2">
        <f t="shared" si="27"/>
        <v>72</v>
      </c>
      <c r="R28" s="2">
        <f t="shared" si="38"/>
        <v>0</v>
      </c>
      <c r="S28" s="2">
        <f t="shared" ref="S28:S31" si="40">MAX(700,700+(H28-64)*8)</f>
        <v>700</v>
      </c>
      <c r="T28" s="2">
        <f t="shared" si="35"/>
        <v>375</v>
      </c>
      <c r="U28" s="2">
        <f t="shared" si="3"/>
        <v>66</v>
      </c>
      <c r="V28" s="3">
        <f t="shared" si="12"/>
        <v>2413</v>
      </c>
      <c r="W28" s="2">
        <v>0.0</v>
      </c>
      <c r="X28" s="2">
        <v>0.0</v>
      </c>
      <c r="Y28" s="2">
        <v>116.0</v>
      </c>
      <c r="Z28" s="2">
        <v>0.0</v>
      </c>
      <c r="AA28" s="2">
        <v>0.0</v>
      </c>
      <c r="AB28" s="2">
        <v>0.0</v>
      </c>
      <c r="AC28" s="2">
        <v>64.0</v>
      </c>
      <c r="AD28" s="2">
        <v>48.0</v>
      </c>
      <c r="AE28" s="2">
        <v>0.0</v>
      </c>
      <c r="AF28" s="3">
        <f t="shared" si="4"/>
        <v>228</v>
      </c>
      <c r="AG28" s="3">
        <f t="shared" si="5"/>
        <v>0.6721491228</v>
      </c>
    </row>
    <row r="29">
      <c r="A29" s="38">
        <v>45565.0</v>
      </c>
      <c r="B29" s="51">
        <f>IFERROR(__xludf.DUMMYFUNCTION("sumproduct(importrange($AI$2,""hours""),importrange($AI$2,""lessondate"")&lt;=($A29),importrange($AI$2,""lessondate"")&gt;($A28),importrange($AI$2,""teacher"")=B$2)"),0.0)</f>
        <v>0</v>
      </c>
      <c r="C29" s="51">
        <f>IFERROR(__xludf.DUMMYFUNCTION("sumproduct(importrange($AI$2,""hours""),importrange($AI$2,""lessondate"")&lt;=($A29),importrange($AI$2,""lessondate"")&gt;($A28),importrange($AI$2,""teacher"")=C$2)"),0.0)</f>
        <v>0</v>
      </c>
      <c r="D29" s="51">
        <f>IFERROR(__xludf.DUMMYFUNCTION("sumproduct(importrange($AI$2,""hours""),importrange($AI$2,""lessondate"")&lt;=($A29),importrange($AI$2,""lessondate"")&gt;($A28),importrange($AI$2,""teacher"")=D$2)"),62.5)</f>
        <v>62.5</v>
      </c>
      <c r="E29" s="51">
        <f>IFERROR(__xludf.DUMMYFUNCTION("sumproduct(importrange($AI$2,""hours""),importrange($AI$2,""lessondate"")&lt;=($A29),importrange($AI$2,""lessondate"")&gt;($A28),importrange($AI$2,""teacher"")=E$2)"),0.0)</f>
        <v>0</v>
      </c>
      <c r="F29" s="51">
        <f>IFERROR(__xludf.DUMMYFUNCTION("sumproduct(importrange($AI$2,""hours""),importrange($AI$2,""lessondate"")&lt;=($A29),importrange($AI$2,""lessondate"")&gt;($A28),importrange($AI$2,""teacher"")=F$2)"),3.0)</f>
        <v>3</v>
      </c>
      <c r="G29" s="51">
        <f>IFERROR(__xludf.DUMMYFUNCTION("sumproduct(importrange($AI$2,""hours""),importrange($AI$2,""lessondate"")&lt;=($A29),importrange($AI$2,""lessondate"")&gt;($A28),importrange($AI$2,""teacher"")=G$2)"),0.0)</f>
        <v>0</v>
      </c>
      <c r="H29" s="51">
        <f>IFERROR(__xludf.DUMMYFUNCTION("sumproduct(importrange($AI$2,""hours""),importrange($AI$2,""lessondate"")&lt;=($A29),importrange($AI$2,""lessondate"")&gt;($A28),importrange($AI$2,""teacher"")=H$2)"),44.0)</f>
        <v>44</v>
      </c>
      <c r="I29" s="51">
        <f>IFERROR(__xludf.DUMMYFUNCTION("sumproduct(importrange($AI$2,""hours""),importrange($AI$2,""lessondate"")&lt;=($A29),importrange($AI$2,""lessondate"")&gt;($A28),importrange($AI$2,""teacher"")=I$2)"),29.0)</f>
        <v>29</v>
      </c>
      <c r="J29" s="51">
        <f>IFERROR(__xludf.DUMMYFUNCTION("sumproduct(importrange($AI$2,""hours""),importrange($AI$2,""lessondate"")&lt;=($A29),importrange($AI$2,""lessondate"")&gt;($A28),importrange($AI$2,""teacher"")=J$2)"),29.0)</f>
        <v>29</v>
      </c>
      <c r="K29" s="15">
        <f t="shared" si="32"/>
        <v>167.5</v>
      </c>
      <c r="L29" s="11">
        <v>15.0</v>
      </c>
      <c r="M29" s="11">
        <f t="shared" ref="M29:N29" si="39">B29*$L29</f>
        <v>0</v>
      </c>
      <c r="N29" s="11">
        <f t="shared" si="39"/>
        <v>0</v>
      </c>
      <c r="O29" s="11">
        <v>1200.0</v>
      </c>
      <c r="P29" s="2">
        <v>0.0</v>
      </c>
      <c r="Q29" s="2">
        <f t="shared" si="27"/>
        <v>24</v>
      </c>
      <c r="R29" s="2">
        <f t="shared" si="38"/>
        <v>0</v>
      </c>
      <c r="S29" s="2">
        <f t="shared" si="40"/>
        <v>700</v>
      </c>
      <c r="T29" s="2">
        <f t="shared" si="35"/>
        <v>375</v>
      </c>
      <c r="U29" s="2">
        <f t="shared" si="3"/>
        <v>319</v>
      </c>
      <c r="V29" s="3">
        <f t="shared" si="12"/>
        <v>2618</v>
      </c>
      <c r="W29" s="2">
        <v>0.0</v>
      </c>
      <c r="X29" s="2">
        <v>0.0</v>
      </c>
      <c r="Y29" s="2">
        <v>116.0</v>
      </c>
      <c r="Z29" s="2">
        <v>0.0</v>
      </c>
      <c r="AA29" s="2">
        <v>0.0</v>
      </c>
      <c r="AB29" s="2">
        <v>0.0</v>
      </c>
      <c r="AC29" s="2">
        <v>64.0</v>
      </c>
      <c r="AD29" s="2">
        <v>48.0</v>
      </c>
      <c r="AE29" s="2">
        <v>0.0</v>
      </c>
      <c r="AF29" s="3">
        <f t="shared" si="4"/>
        <v>228</v>
      </c>
      <c r="AG29" s="3">
        <f t="shared" si="5"/>
        <v>0.7346491228</v>
      </c>
    </row>
    <row r="30">
      <c r="A30" s="38">
        <v>45596.0</v>
      </c>
      <c r="B30" s="51">
        <f>IFERROR(__xludf.DUMMYFUNCTION("sumproduct(importrange($AI$2,""hours""),importrange($AI$2,""lessondate"")&lt;=($A30),importrange($AI$2,""lessondate"")&gt;($A29),importrange($AI$2,""teacher"")=B$2)"),0.0)</f>
        <v>0</v>
      </c>
      <c r="C30" s="51">
        <f>IFERROR(__xludf.DUMMYFUNCTION("sumproduct(importrange($AI$2,""hours""),importrange($AI$2,""lessondate"")&lt;=($A30),importrange($AI$2,""lessondate"")&gt;($A29),importrange($AI$2,""teacher"")=C$2)"),0.0)</f>
        <v>0</v>
      </c>
      <c r="D30" s="51">
        <f>IFERROR(__xludf.DUMMYFUNCTION("sumproduct(importrange($AI$2,""hours""),importrange($AI$2,""lessondate"")&lt;=($A30),importrange($AI$2,""lessondate"")&gt;($A29),importrange($AI$2,""teacher"")=D$2)"),58.5)</f>
        <v>58.5</v>
      </c>
      <c r="E30" s="51">
        <f>IFERROR(__xludf.DUMMYFUNCTION("sumproduct(importrange($AI$2,""hours""),importrange($AI$2,""lessondate"")&lt;=($A30),importrange($AI$2,""lessondate"")&gt;($A29),importrange($AI$2,""teacher"")=E$2)"),0.0)</f>
        <v>0</v>
      </c>
      <c r="F30" s="51">
        <f>IFERROR(__xludf.DUMMYFUNCTION("sumproduct(importrange($AI$2,""hours""),importrange($AI$2,""lessondate"")&lt;=($A30),importrange($AI$2,""lessondate"")&gt;($A29),importrange($AI$2,""teacher"")=F$2)"),11.0)</f>
        <v>11</v>
      </c>
      <c r="G30" s="51">
        <f>IFERROR(__xludf.DUMMYFUNCTION("sumproduct(importrange($AI$2,""hours""),importrange($AI$2,""lessondate"")&lt;=($A30),importrange($AI$2,""lessondate"")&gt;($A29),importrange($AI$2,""teacher"")=G$2)"),0.0)</f>
        <v>0</v>
      </c>
      <c r="H30" s="51">
        <f>IFERROR(__xludf.DUMMYFUNCTION("sumproduct(importrange($AI$2,""hours""),importrange($AI$2,""lessondate"")&lt;=($A30),importrange($AI$2,""lessondate"")&gt;($A29),importrange($AI$2,""teacher"")=H$2)"),56.0)</f>
        <v>56</v>
      </c>
      <c r="I30" s="51">
        <f>IFERROR(__xludf.DUMMYFUNCTION("sumproduct(importrange($AI$2,""hours""),importrange($AI$2,""lessondate"")&lt;=($A30),importrange($AI$2,""lessondate"")&gt;($A29),importrange($AI$2,""teacher"")=I$2)"),29.0)</f>
        <v>29</v>
      </c>
      <c r="J30" s="51">
        <f>IFERROR(__xludf.DUMMYFUNCTION("sumproduct(importrange($AI$2,""hours""),importrange($AI$2,""lessondate"")&lt;=($A30),importrange($AI$2,""lessondate"")&gt;($A29),importrange($AI$2,""teacher"")=J$2)"),65.0)</f>
        <v>65</v>
      </c>
      <c r="K30" s="15">
        <f t="shared" si="32"/>
        <v>219.5</v>
      </c>
      <c r="L30" s="11">
        <v>15.0</v>
      </c>
      <c r="M30" s="11">
        <f t="shared" ref="M30:N30" si="41">B30*$L30</f>
        <v>0</v>
      </c>
      <c r="N30" s="11">
        <f t="shared" si="41"/>
        <v>0</v>
      </c>
      <c r="O30" s="11">
        <f t="shared" ref="O30:O31" si="43">MAX(840,840+(H30-81.7)*8)</f>
        <v>840</v>
      </c>
      <c r="P30" s="2">
        <v>0.0</v>
      </c>
      <c r="Q30" s="2">
        <f t="shared" si="27"/>
        <v>88</v>
      </c>
      <c r="R30" s="2">
        <f t="shared" si="38"/>
        <v>0</v>
      </c>
      <c r="S30" s="2">
        <f t="shared" si="40"/>
        <v>700</v>
      </c>
      <c r="T30" s="2">
        <f t="shared" si="35"/>
        <v>375</v>
      </c>
      <c r="U30" s="2">
        <f t="shared" ref="U30:U31" si="44">MAX(900,900+(H30-86)*8)</f>
        <v>900</v>
      </c>
      <c r="V30" s="3">
        <f t="shared" si="12"/>
        <v>2903</v>
      </c>
      <c r="W30" s="2">
        <v>0.0</v>
      </c>
      <c r="X30" s="2">
        <v>0.0</v>
      </c>
      <c r="Y30" s="2">
        <v>87.0</v>
      </c>
      <c r="Z30" s="2">
        <v>0.0</v>
      </c>
      <c r="AA30" s="2">
        <v>0.0</v>
      </c>
      <c r="AB30" s="2">
        <v>0.0</v>
      </c>
      <c r="AC30" s="2">
        <v>64.0</v>
      </c>
      <c r="AD30" s="2">
        <v>48.0</v>
      </c>
      <c r="AE30" s="2">
        <v>86.0</v>
      </c>
      <c r="AF30" s="3">
        <f t="shared" si="4"/>
        <v>285</v>
      </c>
      <c r="AG30" s="3">
        <f t="shared" si="5"/>
        <v>0.7701754386</v>
      </c>
    </row>
    <row r="31">
      <c r="A31" s="27">
        <v>45626.0</v>
      </c>
      <c r="B31" s="51">
        <f>IFERROR(__xludf.DUMMYFUNCTION("sumproduct(importrange($AI$2,""hours""),importrange($AI$2,""lessondate"")&lt;=($A31),importrange($AI$2,""lessondate"")&gt;($A30),importrange($AI$2,""teacher"")=B$2)"),0.0)</f>
        <v>0</v>
      </c>
      <c r="C31" s="51">
        <f>IFERROR(__xludf.DUMMYFUNCTION("sumproduct(importrange($AI$2,""hours""),importrange($AI$2,""lessondate"")&lt;=($A31),importrange($AI$2,""lessondate"")&gt;($A30),importrange($AI$2,""teacher"")=C$2)"),0.0)</f>
        <v>0</v>
      </c>
      <c r="D31" s="51">
        <f>IFERROR(__xludf.DUMMYFUNCTION("sumproduct(importrange($AI$2,""hours""),importrange($AI$2,""lessondate"")&lt;=($A31),importrange($AI$2,""lessondate"")&gt;($A30),importrange($AI$2,""teacher"")=D$2)"),55.5)</f>
        <v>55.5</v>
      </c>
      <c r="E31" s="51">
        <f>IFERROR(__xludf.DUMMYFUNCTION("sumproduct(importrange($AI$2,""hours""),importrange($AI$2,""lessondate"")&lt;=($A31),importrange($AI$2,""lessondate"")&gt;($A30),importrange($AI$2,""teacher"")=E$2)"),0.0)</f>
        <v>0</v>
      </c>
      <c r="F31" s="51">
        <f>IFERROR(__xludf.DUMMYFUNCTION("sumproduct(importrange($AI$2,""hours""),importrange($AI$2,""lessondate"")&lt;=($A31),importrange($AI$2,""lessondate"")&gt;($A30),importrange($AI$2,""teacher"")=F$2)"),16.0)</f>
        <v>16</v>
      </c>
      <c r="G31" s="51">
        <f>IFERROR(__xludf.DUMMYFUNCTION("sumproduct(importrange($AI$2,""hours""),importrange($AI$2,""lessondate"")&lt;=($A31),importrange($AI$2,""lessondate"")&gt;($A30),importrange($AI$2,""teacher"")=G$2)"),0.0)</f>
        <v>0</v>
      </c>
      <c r="H31" s="51">
        <f>IFERROR(__xludf.DUMMYFUNCTION("sumproduct(importrange($AI$2,""hours""),importrange($AI$2,""lessondate"")&lt;=($A31),importrange($AI$2,""lessondate"")&gt;($A30),importrange($AI$2,""teacher"")=H$2)"),51.0)</f>
        <v>51</v>
      </c>
      <c r="I31" s="51">
        <f>IFERROR(__xludf.DUMMYFUNCTION("sumproduct(importrange($AI$2,""hours""),importrange($AI$2,""lessondate"")&lt;=($A31),importrange($AI$2,""lessondate"")&gt;($A30),importrange($AI$2,""teacher"")=I$2)"),21.0)</f>
        <v>21</v>
      </c>
      <c r="J31" s="51">
        <f>IFERROR(__xludf.DUMMYFUNCTION("sumproduct(importrange($AI$2,""hours""),importrange($AI$2,""lessondate"")&lt;=($A31),importrange($AI$2,""lessondate"")&gt;($A30),importrange($AI$2,""teacher"")=J$2)"),70.25)</f>
        <v>70.25</v>
      </c>
      <c r="K31" s="15">
        <f t="shared" si="32"/>
        <v>213.75</v>
      </c>
      <c r="L31" s="11">
        <v>15.0</v>
      </c>
      <c r="M31" s="11">
        <f t="shared" ref="M31:N31" si="42">B31*$L31</f>
        <v>0</v>
      </c>
      <c r="N31" s="11">
        <f t="shared" si="42"/>
        <v>0</v>
      </c>
      <c r="O31" s="11">
        <f t="shared" si="43"/>
        <v>840</v>
      </c>
      <c r="P31" s="2">
        <v>0.0</v>
      </c>
      <c r="Q31" s="2">
        <f>(F31)*11</f>
        <v>176</v>
      </c>
      <c r="R31" s="2">
        <f t="shared" si="38"/>
        <v>0</v>
      </c>
      <c r="S31" s="2">
        <f t="shared" si="40"/>
        <v>700</v>
      </c>
      <c r="T31" s="2">
        <f t="shared" si="35"/>
        <v>375</v>
      </c>
      <c r="U31" s="2">
        <f t="shared" si="44"/>
        <v>900</v>
      </c>
      <c r="V31" s="3">
        <f t="shared" si="12"/>
        <v>2991</v>
      </c>
      <c r="W31" s="2">
        <v>0.0</v>
      </c>
      <c r="X31" s="2">
        <v>0.0</v>
      </c>
      <c r="Y31" s="2">
        <v>87.0</v>
      </c>
      <c r="Z31" s="2">
        <v>0.0</v>
      </c>
      <c r="AA31" s="2">
        <v>0.0</v>
      </c>
      <c r="AB31" s="2">
        <v>0.0</v>
      </c>
      <c r="AC31" s="2">
        <v>64.0</v>
      </c>
      <c r="AD31" s="2">
        <v>48.0</v>
      </c>
      <c r="AE31" s="2">
        <v>86.0</v>
      </c>
      <c r="AF31" s="3">
        <f t="shared" si="4"/>
        <v>285</v>
      </c>
      <c r="AG31" s="3">
        <f t="shared" si="5"/>
        <v>0.75</v>
      </c>
    </row>
    <row r="32">
      <c r="A32" s="38">
        <v>45657.0</v>
      </c>
      <c r="B32" s="51">
        <f>IFERROR(__xludf.DUMMYFUNCTION("sumproduct(importrange($AI$2,""hours""),importrange($AI$2,""lessondate"")&lt;=($A32),importrange($AI$2,""lessondate"")&gt;($A31),importrange($AI$2,""teacher"")=B$2)"),0.0)</f>
        <v>0</v>
      </c>
      <c r="C32" s="51">
        <f>IFERROR(__xludf.DUMMYFUNCTION("sumproduct(importrange($AI$2,""hours""),importrange($AI$2,""lessondate"")&lt;=($A32),importrange($AI$2,""lessondate"")&gt;($A31),importrange($AI$2,""teacher"")=C$2)"),0.0)</f>
        <v>0</v>
      </c>
      <c r="D32" s="51">
        <f>IFERROR(__xludf.DUMMYFUNCTION("sumproduct(importrange($AI$2,""hours""),importrange($AI$2,""lessondate"")&lt;=($A32),importrange($AI$2,""lessondate"")&gt;($A31),importrange($AI$2,""teacher"")=D$2)"),43.25)</f>
        <v>43.25</v>
      </c>
      <c r="E32" s="51">
        <f>IFERROR(__xludf.DUMMYFUNCTION("sumproduct(importrange($AI$2,""hours""),importrange($AI$2,""lessondate"")&lt;=($A32),importrange($AI$2,""lessondate"")&gt;($A31),importrange($AI$2,""teacher"")=E$2)"),0.0)</f>
        <v>0</v>
      </c>
      <c r="F32" s="51">
        <f>IFERROR(__xludf.DUMMYFUNCTION("sumproduct(importrange($AI$2,""hours""),importrange($AI$2,""lessondate"")&lt;=($A32),importrange($AI$2,""lessondate"")&gt;($A31),importrange($AI$2,""teacher"")=F$2)"),12.0)</f>
        <v>12</v>
      </c>
      <c r="G32" s="51">
        <f>IFERROR(__xludf.DUMMYFUNCTION("sumproduct(importrange($AI$2,""hours""),importrange($AI$2,""lessondate"")&lt;=($A32),importrange($AI$2,""lessondate"")&gt;($A31),importrange($AI$2,""teacher"")=G$2)"),0.0)</f>
        <v>0</v>
      </c>
      <c r="H32" s="51">
        <f>IFERROR(__xludf.DUMMYFUNCTION("sumproduct(importrange($AI$2,""hours""),importrange($AI$2,""lessondate"")&lt;=($A32),importrange($AI$2,""lessondate"")&gt;($A31),importrange($AI$2,""teacher"")=H$2)"),42.0)</f>
        <v>42</v>
      </c>
      <c r="I32" s="51">
        <f>IFERROR(__xludf.DUMMYFUNCTION("sumproduct(importrange($AI$2,""hours""),importrange($AI$2,""lessondate"")&lt;=($A32),importrange($AI$2,""lessondate"")&gt;($A31),importrange($AI$2,""teacher"")=I$2)"),10.0)</f>
        <v>10</v>
      </c>
      <c r="J32" s="51">
        <f>IFERROR(__xludf.DUMMYFUNCTION("sumproduct(importrange($AI$2,""hours""),importrange($AI$2,""lessondate"")&lt;=($A32),importrange($AI$2,""lessondate"")&gt;($A31),importrange($AI$2,""teacher"")=J$2)"),69.75)</f>
        <v>69.75</v>
      </c>
      <c r="K32" s="15">
        <f t="shared" si="32"/>
        <v>177</v>
      </c>
      <c r="L32" s="11">
        <v>15.0</v>
      </c>
      <c r="M32" s="11">
        <f t="shared" ref="M32:N32" si="45">B32*$L32</f>
        <v>0</v>
      </c>
      <c r="N32" s="11">
        <f t="shared" si="45"/>
        <v>0</v>
      </c>
      <c r="O32" s="11">
        <f t="shared" ref="O32:O37" si="47">MAX(840,840+(H32-81.7)*8)+20</f>
        <v>860</v>
      </c>
      <c r="P32" s="2">
        <v>0.0</v>
      </c>
      <c r="Q32" s="2">
        <f t="shared" ref="Q32:Q44" si="48">(F32)*11+20</f>
        <v>152</v>
      </c>
      <c r="R32" s="2">
        <f t="shared" si="38"/>
        <v>0</v>
      </c>
      <c r="S32" s="2">
        <f t="shared" ref="S32:S37" si="49">MAX(700,700+(H32-64)*8)+20</f>
        <v>720</v>
      </c>
      <c r="T32" s="2">
        <f t="shared" ref="T32:T34" si="50">MAX(375,375+(I32-48)*8)+20</f>
        <v>395</v>
      </c>
      <c r="U32" s="2">
        <f t="shared" ref="U32:U37" si="51">MAX(900,900+(H32-86)*8)+20</f>
        <v>920</v>
      </c>
      <c r="V32" s="3">
        <f t="shared" si="12"/>
        <v>3047</v>
      </c>
      <c r="W32" s="2">
        <v>0.0</v>
      </c>
      <c r="X32" s="2">
        <v>0.0</v>
      </c>
      <c r="Y32" s="2">
        <v>87.0</v>
      </c>
      <c r="Z32" s="2">
        <v>0.0</v>
      </c>
      <c r="AA32" s="2">
        <v>0.0</v>
      </c>
      <c r="AB32" s="2">
        <v>0.0</v>
      </c>
      <c r="AC32" s="2">
        <v>64.0</v>
      </c>
      <c r="AD32" s="2">
        <v>48.0</v>
      </c>
      <c r="AE32" s="2">
        <v>86.0</v>
      </c>
      <c r="AF32" s="3">
        <f t="shared" si="4"/>
        <v>285</v>
      </c>
      <c r="AG32" s="3">
        <f t="shared" si="5"/>
        <v>0.6210526316</v>
      </c>
    </row>
    <row r="33">
      <c r="A33" s="27">
        <v>45688.0</v>
      </c>
      <c r="B33" s="51">
        <f>IFERROR(__xludf.DUMMYFUNCTION("sumproduct(importrange($AI$2,""hours""),importrange($AI$2,""lessondate"")&lt;=($A33),importrange($AI$2,""lessondate"")&gt;($A32),importrange($AI$2,""teacher"")=B$2)"),0.0)</f>
        <v>0</v>
      </c>
      <c r="C33" s="51">
        <f>IFERROR(__xludf.DUMMYFUNCTION("sumproduct(importrange($AI$2,""hours""),importrange($AI$2,""lessondate"")&lt;=($A33),importrange($AI$2,""lessondate"")&gt;($A32),importrange($AI$2,""teacher"")=C$2)"),0.0)</f>
        <v>0</v>
      </c>
      <c r="D33" s="51">
        <f>IFERROR(__xludf.DUMMYFUNCTION("sumproduct(importrange($AI$2,""hours""),importrange($AI$2,""lessondate"")&lt;=($A33),importrange($AI$2,""lessondate"")&gt;($A32),importrange($AI$2,""teacher"")=D$2)"),57.25)</f>
        <v>57.25</v>
      </c>
      <c r="E33" s="51">
        <f>IFERROR(__xludf.DUMMYFUNCTION("sumproduct(importrange($AI$2,""hours""),importrange($AI$2,""lessondate"")&lt;=($A33),importrange($AI$2,""lessondate"")&gt;($A32),importrange($AI$2,""teacher"")=E$2)"),0.0)</f>
        <v>0</v>
      </c>
      <c r="F33" s="51">
        <f>IFERROR(__xludf.DUMMYFUNCTION("sumproduct(importrange($AI$2,""hours""),importrange($AI$2,""lessondate"")&lt;=($A33),importrange($AI$2,""lessondate"")&gt;($A32),importrange($AI$2,""teacher"")=F$2)"),22.0)</f>
        <v>22</v>
      </c>
      <c r="G33" s="51">
        <f>IFERROR(__xludf.DUMMYFUNCTION("sumproduct(importrange($AI$2,""hours""),importrange($AI$2,""lessondate"")&lt;=($A33),importrange($AI$2,""lessondate"")&gt;($A32),importrange($AI$2,""teacher"")=G$2)"),0.0)</f>
        <v>0</v>
      </c>
      <c r="H33" s="51">
        <f>IFERROR(__xludf.DUMMYFUNCTION("sumproduct(importrange($AI$2,""hours""),importrange($AI$2,""lessondate"")&lt;=($A33),importrange($AI$2,""lessondate"")&gt;($A32),importrange($AI$2,""teacher"")=H$2)"),28.0)</f>
        <v>28</v>
      </c>
      <c r="I33" s="51">
        <f>IFERROR(__xludf.DUMMYFUNCTION("sumproduct(importrange($AI$2,""hours""),importrange($AI$2,""lessondate"")&lt;=($A33),importrange($AI$2,""lessondate"")&gt;($A32),importrange($AI$2,""teacher"")=I$2)"),15.0)</f>
        <v>15</v>
      </c>
      <c r="J33" s="51">
        <f>IFERROR(__xludf.DUMMYFUNCTION("sumproduct(importrange($AI$2,""hours""),importrange($AI$2,""lessondate"")&lt;=($A33),importrange($AI$2,""lessondate"")&gt;($A32),importrange($AI$2,""teacher"")=J$2)"),68.0)</f>
        <v>68</v>
      </c>
      <c r="K33" s="15">
        <f t="shared" si="32"/>
        <v>190.25</v>
      </c>
      <c r="L33" s="11">
        <v>15.0</v>
      </c>
      <c r="M33" s="11">
        <f t="shared" ref="M33:N33" si="46">B33*$L33</f>
        <v>0</v>
      </c>
      <c r="N33" s="11">
        <f t="shared" si="46"/>
        <v>0</v>
      </c>
      <c r="O33" s="11">
        <f t="shared" si="47"/>
        <v>860</v>
      </c>
      <c r="P33" s="2">
        <v>0.0</v>
      </c>
      <c r="Q33" s="2">
        <f t="shared" si="48"/>
        <v>262</v>
      </c>
      <c r="R33" s="2">
        <f t="shared" si="38"/>
        <v>0</v>
      </c>
      <c r="S33" s="2">
        <f t="shared" si="49"/>
        <v>720</v>
      </c>
      <c r="T33" s="2">
        <f t="shared" si="50"/>
        <v>395</v>
      </c>
      <c r="U33" s="2">
        <f t="shared" si="51"/>
        <v>920</v>
      </c>
      <c r="V33" s="3">
        <f t="shared" si="12"/>
        <v>3157</v>
      </c>
      <c r="W33" s="2">
        <v>0.0</v>
      </c>
      <c r="X33" s="2">
        <v>0.0</v>
      </c>
      <c r="Y33" s="2">
        <v>87.0</v>
      </c>
      <c r="Z33" s="2">
        <v>0.0</v>
      </c>
      <c r="AA33" s="2">
        <v>0.0</v>
      </c>
      <c r="AB33" s="2">
        <v>0.0</v>
      </c>
      <c r="AC33" s="2">
        <v>64.0</v>
      </c>
      <c r="AD33" s="2">
        <v>48.0</v>
      </c>
      <c r="AE33" s="2">
        <v>86.0</v>
      </c>
      <c r="AF33" s="3">
        <f t="shared" si="4"/>
        <v>285</v>
      </c>
      <c r="AG33" s="3">
        <f t="shared" si="5"/>
        <v>0.6675438596</v>
      </c>
    </row>
    <row r="34">
      <c r="A34" s="38">
        <v>45716.0</v>
      </c>
      <c r="B34" s="51">
        <f>IFERROR(__xludf.DUMMYFUNCTION("sumproduct(importrange($AI$2,""hours""),importrange($AI$2,""lessondate"")&lt;=($A34),importrange($AI$2,""lessondate"")&gt;($A33),importrange($AI$2,""teacher"")=B$2)"),0.0)</f>
        <v>0</v>
      </c>
      <c r="C34" s="51">
        <f>IFERROR(__xludf.DUMMYFUNCTION("sumproduct(importrange($AI$2,""hours""),importrange($AI$2,""lessondate"")&lt;=($A34),importrange($AI$2,""lessondate"")&gt;($A33),importrange($AI$2,""teacher"")=C$2)"),0.0)</f>
        <v>0</v>
      </c>
      <c r="D34" s="51">
        <f>IFERROR(__xludf.DUMMYFUNCTION("sumproduct(importrange($AI$2,""hours""),importrange($AI$2,""lessondate"")&lt;=($A34),importrange($AI$2,""lessondate"")&gt;($A33),importrange($AI$2,""teacher"")=D$2)"),54.5)</f>
        <v>54.5</v>
      </c>
      <c r="E34" s="51">
        <f>IFERROR(__xludf.DUMMYFUNCTION("sumproduct(importrange($AI$2,""hours""),importrange($AI$2,""lessondate"")&lt;=($A34),importrange($AI$2,""lessondate"")&gt;($A33),importrange($AI$2,""teacher"")=E$2)"),0.0)</f>
        <v>0</v>
      </c>
      <c r="F34" s="51">
        <f>IFERROR(__xludf.DUMMYFUNCTION("sumproduct(importrange($AI$2,""hours""),importrange($AI$2,""lessondate"")&lt;=($A34),importrange($AI$2,""lessondate"")&gt;($A33),importrange($AI$2,""teacher"")=F$2)"),10.0)</f>
        <v>10</v>
      </c>
      <c r="G34" s="51">
        <f>IFERROR(__xludf.DUMMYFUNCTION("sumproduct(importrange($AI$2,""hours""),importrange($AI$2,""lessondate"")&lt;=($A34),importrange($AI$2,""lessondate"")&gt;($A33),importrange($AI$2,""teacher"")=G$2)"),0.0)</f>
        <v>0</v>
      </c>
      <c r="H34" s="51">
        <f>IFERROR(__xludf.DUMMYFUNCTION("sumproduct(importrange($AI$2,""hours""),importrange($AI$2,""lessondate"")&lt;=($A34),importrange($AI$2,""lessondate"")&gt;($A33),importrange($AI$2,""teacher"")=H$2)"),45.0)</f>
        <v>45</v>
      </c>
      <c r="I34" s="51">
        <f>IFERROR(__xludf.DUMMYFUNCTION("sumproduct(importrange($AI$2,""hours""),importrange($AI$2,""lessondate"")&lt;=($A34),importrange($AI$2,""lessondate"")&gt;($A33),importrange($AI$2,""teacher"")=I$2)"),26.0)</f>
        <v>26</v>
      </c>
      <c r="J34" s="51">
        <f>IFERROR(__xludf.DUMMYFUNCTION("sumproduct(importrange($AI$2,""hours""),importrange($AI$2,""lessondate"")&lt;=($A34),importrange($AI$2,""lessondate"")&gt;($A33),importrange($AI$2,""teacher"")=J$2)"),53.0)</f>
        <v>53</v>
      </c>
      <c r="K34" s="15">
        <f t="shared" si="32"/>
        <v>188.5</v>
      </c>
      <c r="L34" s="11">
        <v>15.0</v>
      </c>
      <c r="M34" s="11">
        <f t="shared" ref="M34:N34" si="52">B34*$L34</f>
        <v>0</v>
      </c>
      <c r="N34" s="11">
        <f t="shared" si="52"/>
        <v>0</v>
      </c>
      <c r="O34" s="11">
        <f t="shared" si="47"/>
        <v>860</v>
      </c>
      <c r="P34" s="2">
        <v>0.0</v>
      </c>
      <c r="Q34" s="2">
        <f t="shared" si="48"/>
        <v>130</v>
      </c>
      <c r="R34" s="2">
        <f t="shared" si="38"/>
        <v>0</v>
      </c>
      <c r="S34" s="2">
        <f t="shared" si="49"/>
        <v>720</v>
      </c>
      <c r="T34" s="2">
        <f t="shared" si="50"/>
        <v>395</v>
      </c>
      <c r="U34" s="2">
        <f t="shared" si="51"/>
        <v>920</v>
      </c>
      <c r="V34" s="3">
        <f t="shared" si="12"/>
        <v>3025</v>
      </c>
      <c r="W34" s="2">
        <v>0.0</v>
      </c>
      <c r="X34" s="2">
        <v>0.0</v>
      </c>
      <c r="Y34" s="2">
        <v>87.0</v>
      </c>
      <c r="Z34" s="2">
        <v>0.0</v>
      </c>
      <c r="AA34" s="2">
        <v>0.0</v>
      </c>
      <c r="AB34" s="2">
        <v>0.0</v>
      </c>
      <c r="AC34" s="2">
        <v>64.0</v>
      </c>
      <c r="AD34" s="2">
        <v>48.0</v>
      </c>
      <c r="AE34" s="2">
        <v>86.0</v>
      </c>
      <c r="AF34" s="3">
        <f t="shared" si="4"/>
        <v>285</v>
      </c>
      <c r="AG34" s="3">
        <f t="shared" si="5"/>
        <v>0.6614035088</v>
      </c>
    </row>
    <row r="35">
      <c r="A35" s="27">
        <v>45747.0</v>
      </c>
      <c r="B35" s="51">
        <f>IFERROR(__xludf.DUMMYFUNCTION("sumproduct(importrange($AI$2,""hours""),importrange($AI$2,""lessondate"")&lt;=($A35),importrange($AI$2,""lessondate"")&gt;($A34),importrange($AI$2,""teacher"")=B$2)"),0.0)</f>
        <v>0</v>
      </c>
      <c r="C35" s="51">
        <f>IFERROR(__xludf.DUMMYFUNCTION("sumproduct(importrange($AI$2,""hours""),importrange($AI$2,""lessondate"")&lt;=($A35),importrange($AI$2,""lessondate"")&gt;($A34),importrange($AI$2,""teacher"")=C$2)"),0.0)</f>
        <v>0</v>
      </c>
      <c r="D35" s="51">
        <f>IFERROR(__xludf.DUMMYFUNCTION("sumproduct(importrange($AI$2,""hours""),importrange($AI$2,""lessondate"")&lt;=($A35),importrange($AI$2,""lessondate"")&gt;($A34),importrange($AI$2,""teacher"")=D$2)"),53.25)</f>
        <v>53.25</v>
      </c>
      <c r="E35" s="51">
        <f>IFERROR(__xludf.DUMMYFUNCTION("sumproduct(importrange($AI$2,""hours""),importrange($AI$2,""lessondate"")&lt;=($A35),importrange($AI$2,""lessondate"")&gt;($A34),importrange($AI$2,""teacher"")=E$2)"),0.0)</f>
        <v>0</v>
      </c>
      <c r="F35" s="51">
        <f>IFERROR(__xludf.DUMMYFUNCTION("sumproduct(importrange($AI$2,""hours""),importrange($AI$2,""lessondate"")&lt;=($A35),importrange($AI$2,""lessondate"")&gt;($A34),importrange($AI$2,""teacher"")=F$2)"),17.0)</f>
        <v>17</v>
      </c>
      <c r="G35" s="51">
        <f>IFERROR(__xludf.DUMMYFUNCTION("sumproduct(importrange($AI$2,""hours""),importrange($AI$2,""lessondate"")&lt;=($A35),importrange($AI$2,""lessondate"")&gt;($A34),importrange($AI$2,""teacher"")=G$2)"),0.0)</f>
        <v>0</v>
      </c>
      <c r="H35" s="51">
        <f>IFERROR(__xludf.DUMMYFUNCTION("sumproduct(importrange($AI$2,""hours""),importrange($AI$2,""lessondate"")&lt;=($A35),importrange($AI$2,""lessondate"")&gt;($A34),importrange($AI$2,""teacher"")=H$2)"),37.0)</f>
        <v>37</v>
      </c>
      <c r="I35" s="51">
        <f>IFERROR(__xludf.DUMMYFUNCTION("sumproduct(importrange($AI$2,""hours""),importrange($AI$2,""lessondate"")&lt;=($A35),importrange($AI$2,""lessondate"")&gt;($A34),importrange($AI$2,""teacher"")=I$2)"),21.0)</f>
        <v>21</v>
      </c>
      <c r="J35" s="51">
        <f>IFERROR(__xludf.DUMMYFUNCTION("sumproduct(importrange($AI$2,""hours""),importrange($AI$2,""lessondate"")&lt;=($A35),importrange($AI$2,""lessondate"")&gt;($A34),importrange($AI$2,""teacher"")=J$2)"),59.0)</f>
        <v>59</v>
      </c>
      <c r="K35" s="15">
        <f t="shared" si="32"/>
        <v>187.25</v>
      </c>
      <c r="L35" s="11">
        <v>15.0</v>
      </c>
      <c r="M35" s="11">
        <f t="shared" ref="M35:N35" si="53">B35*$L35</f>
        <v>0</v>
      </c>
      <c r="N35" s="11">
        <f t="shared" si="53"/>
        <v>0</v>
      </c>
      <c r="O35" s="11">
        <f t="shared" si="47"/>
        <v>860</v>
      </c>
      <c r="P35" s="2">
        <v>0.0</v>
      </c>
      <c r="Q35" s="2">
        <f t="shared" si="48"/>
        <v>207</v>
      </c>
      <c r="R35" s="2">
        <f t="shared" si="38"/>
        <v>0</v>
      </c>
      <c r="S35" s="2">
        <f t="shared" si="49"/>
        <v>720</v>
      </c>
      <c r="T35" s="2">
        <f t="shared" ref="T35:T37" si="55">MAX(550,550+(I35-51.7)*8)+20</f>
        <v>570</v>
      </c>
      <c r="U35" s="2">
        <f t="shared" si="51"/>
        <v>920</v>
      </c>
      <c r="V35" s="3">
        <f t="shared" si="12"/>
        <v>3277</v>
      </c>
      <c r="W35" s="2">
        <v>0.0</v>
      </c>
      <c r="X35" s="2">
        <v>0.0</v>
      </c>
      <c r="Y35" s="2">
        <v>87.0</v>
      </c>
      <c r="Z35" s="2">
        <v>0.0</v>
      </c>
      <c r="AA35" s="2">
        <v>0.0</v>
      </c>
      <c r="AB35" s="2">
        <v>0.0</v>
      </c>
      <c r="AC35" s="2">
        <v>64.0</v>
      </c>
      <c r="AD35" s="2">
        <v>48.0</v>
      </c>
      <c r="AE35" s="2">
        <v>86.0</v>
      </c>
      <c r="AF35" s="3">
        <f t="shared" si="4"/>
        <v>285</v>
      </c>
      <c r="AG35" s="3">
        <f t="shared" si="5"/>
        <v>0.6570175439</v>
      </c>
    </row>
    <row r="36">
      <c r="A36" s="27">
        <v>45777.0</v>
      </c>
      <c r="B36" s="51">
        <f>IFERROR(__xludf.DUMMYFUNCTION("sumproduct(importrange($AI$2,""hours""),importrange($AI$2,""lessondate"")&lt;=($A36),importrange($AI$2,""lessondate"")&gt;($A35),importrange($AI$2,""teacher"")=B$2)"),0.0)</f>
        <v>0</v>
      </c>
      <c r="C36" s="51">
        <f>IFERROR(__xludf.DUMMYFUNCTION("sumproduct(importrange($AI$2,""hours""),importrange($AI$2,""lessondate"")&lt;=($A36),importrange($AI$2,""lessondate"")&gt;($A35),importrange($AI$2,""teacher"")=C$2)"),0.0)</f>
        <v>0</v>
      </c>
      <c r="D36" s="51">
        <f>IFERROR(__xludf.DUMMYFUNCTION("sumproduct(importrange($AI$2,""hours""),importrange($AI$2,""lessondate"")&lt;=($A36),importrange($AI$2,""lessondate"")&gt;($A35),importrange($AI$2,""teacher"")=D$2)"),47.0)</f>
        <v>47</v>
      </c>
      <c r="E36" s="51">
        <f>IFERROR(__xludf.DUMMYFUNCTION("sumproduct(importrange($AI$2,""hours""),importrange($AI$2,""lessondate"")&lt;=($A36),importrange($AI$2,""lessondate"")&gt;($A35),importrange($AI$2,""teacher"")=E$2)"),0.0)</f>
        <v>0</v>
      </c>
      <c r="F36" s="51">
        <f>IFERROR(__xludf.DUMMYFUNCTION("sumproduct(importrange($AI$2,""hours""),importrange($AI$2,""lessondate"")&lt;=($A36),importrange($AI$2,""lessondate"")&gt;($A35),importrange($AI$2,""teacher"")=F$2)"),8.0)</f>
        <v>8</v>
      </c>
      <c r="G36" s="51">
        <f>IFERROR(__xludf.DUMMYFUNCTION("sumproduct(importrange($AI$2,""hours""),importrange($AI$2,""lessondate"")&lt;=($A36),importrange($AI$2,""lessondate"")&gt;($A35),importrange($AI$2,""teacher"")=G$2)"),0.0)</f>
        <v>0</v>
      </c>
      <c r="H36" s="51">
        <f>IFERROR(__xludf.DUMMYFUNCTION("sumproduct(importrange($AI$2,""hours""),importrange($AI$2,""lessondate"")&lt;=($A36),importrange($AI$2,""lessondate"")&gt;($A35),importrange($AI$2,""teacher"")=H$2)"),47.0)</f>
        <v>47</v>
      </c>
      <c r="I36" s="51">
        <f>IFERROR(__xludf.DUMMYFUNCTION("sumproduct(importrange($AI$2,""hours""),importrange($AI$2,""lessondate"")&lt;=($A36),importrange($AI$2,""lessondate"")&gt;($A35),importrange($AI$2,""teacher"")=I$2)"),17.0)</f>
        <v>17</v>
      </c>
      <c r="J36" s="51">
        <f>IFERROR(__xludf.DUMMYFUNCTION("sumproduct(importrange($AI$2,""hours""),importrange($AI$2,""lessondate"")&lt;=($A36),importrange($AI$2,""lessondate"")&gt;($A35),importrange($AI$2,""teacher"")=J$2)"),0.0)</f>
        <v>0</v>
      </c>
      <c r="K36" s="15">
        <f t="shared" si="32"/>
        <v>119</v>
      </c>
      <c r="L36" s="11">
        <v>15.0</v>
      </c>
      <c r="M36" s="11">
        <f t="shared" ref="M36:N36" si="54">B36*$L36</f>
        <v>0</v>
      </c>
      <c r="N36" s="11">
        <f t="shared" si="54"/>
        <v>0</v>
      </c>
      <c r="O36" s="11">
        <f t="shared" si="47"/>
        <v>860</v>
      </c>
      <c r="P36" s="2">
        <v>0.0</v>
      </c>
      <c r="Q36" s="2">
        <f t="shared" si="48"/>
        <v>108</v>
      </c>
      <c r="R36" s="2">
        <f t="shared" si="38"/>
        <v>0</v>
      </c>
      <c r="S36" s="2">
        <f t="shared" si="49"/>
        <v>720</v>
      </c>
      <c r="T36" s="2">
        <f t="shared" si="55"/>
        <v>570</v>
      </c>
      <c r="U36" s="2">
        <f t="shared" si="51"/>
        <v>920</v>
      </c>
      <c r="V36" s="3">
        <f t="shared" si="12"/>
        <v>3178</v>
      </c>
      <c r="W36" s="2">
        <v>0.0</v>
      </c>
      <c r="X36" s="2">
        <v>0.0</v>
      </c>
      <c r="Y36" s="2">
        <v>87.0</v>
      </c>
      <c r="Z36" s="2">
        <v>0.0</v>
      </c>
      <c r="AA36" s="2">
        <v>0.0</v>
      </c>
      <c r="AB36" s="2">
        <v>0.0</v>
      </c>
      <c r="AC36" s="2">
        <v>64.0</v>
      </c>
      <c r="AD36" s="2">
        <v>48.0</v>
      </c>
      <c r="AE36" s="2">
        <v>86.0</v>
      </c>
      <c r="AF36" s="3">
        <f t="shared" si="4"/>
        <v>285</v>
      </c>
      <c r="AG36" s="3">
        <f t="shared" si="5"/>
        <v>0.4175438596</v>
      </c>
    </row>
    <row r="37">
      <c r="A37" s="27">
        <v>45808.0</v>
      </c>
      <c r="B37" s="51">
        <f>IFERROR(__xludf.DUMMYFUNCTION("sumproduct(importrange($AI$2,""hours""),importrange($AI$2,""lessondate"")&lt;=($A37),importrange($AI$2,""lessondate"")&gt;($A36),importrange($AI$2,""teacher"")=B$2)"),0.0)</f>
        <v>0</v>
      </c>
      <c r="C37" s="51">
        <f>IFERROR(__xludf.DUMMYFUNCTION("sumproduct(importrange($AI$2,""hours""),importrange($AI$2,""lessondate"")&lt;=($A37),importrange($AI$2,""lessondate"")&gt;($A36),importrange($AI$2,""teacher"")=C$2)"),0.0)</f>
        <v>0</v>
      </c>
      <c r="D37" s="51">
        <f>IFERROR(__xludf.DUMMYFUNCTION("sumproduct(importrange($AI$2,""hours""),importrange($AI$2,""lessondate"")&lt;=($A37),importrange($AI$2,""lessondate"")&gt;($A36),importrange($AI$2,""teacher"")=D$2)"),46.0)</f>
        <v>46</v>
      </c>
      <c r="E37" s="51">
        <f>IFERROR(__xludf.DUMMYFUNCTION("sumproduct(importrange($AI$2,""hours""),importrange($AI$2,""lessondate"")&lt;=($A37),importrange($AI$2,""lessondate"")&gt;($A36),importrange($AI$2,""teacher"")=E$2)"),0.0)</f>
        <v>0</v>
      </c>
      <c r="F37" s="51">
        <f>IFERROR(__xludf.DUMMYFUNCTION("sumproduct(importrange($AI$2,""hours""),importrange($AI$2,""lessondate"")&lt;=($A37),importrange($AI$2,""lessondate"")&gt;($A36),importrange($AI$2,""teacher"")=F$2)"),11.0)</f>
        <v>11</v>
      </c>
      <c r="G37" s="51">
        <f>IFERROR(__xludf.DUMMYFUNCTION("sumproduct(importrange($AI$2,""hours""),importrange($AI$2,""lessondate"")&lt;=($A37),importrange($AI$2,""lessondate"")&gt;($A36),importrange($AI$2,""teacher"")=G$2)"),0.0)</f>
        <v>0</v>
      </c>
      <c r="H37" s="51">
        <f>IFERROR(__xludf.DUMMYFUNCTION("sumproduct(importrange($AI$2,""hours""),importrange($AI$2,""lessondate"")&lt;=($A37),importrange($AI$2,""lessondate"")&gt;($A36),importrange($AI$2,""teacher"")=H$2)"),46.0)</f>
        <v>46</v>
      </c>
      <c r="I37" s="51">
        <f>IFERROR(__xludf.DUMMYFUNCTION("sumproduct(importrange($AI$2,""hours""),importrange($AI$2,""lessondate"")&lt;=($A37),importrange($AI$2,""lessondate"")&gt;($A36),importrange($AI$2,""teacher"")=I$2)"),22.0)</f>
        <v>22</v>
      </c>
      <c r="J37" s="51">
        <f>IFERROR(__xludf.DUMMYFUNCTION("sumproduct(importrange($AI$2,""hours""),importrange($AI$2,""lessondate"")&lt;=($A37),importrange($AI$2,""lessondate"")&gt;($A36),importrange($AI$2,""teacher"")=J$2)"),20.0)</f>
        <v>20</v>
      </c>
      <c r="K37" s="15">
        <f t="shared" si="32"/>
        <v>145</v>
      </c>
      <c r="L37" s="11">
        <v>15.0</v>
      </c>
      <c r="M37" s="11">
        <f t="shared" ref="M37:N37" si="56">B37*$L37</f>
        <v>0</v>
      </c>
      <c r="N37" s="11">
        <f t="shared" si="56"/>
        <v>0</v>
      </c>
      <c r="O37" s="11">
        <f t="shared" si="47"/>
        <v>860</v>
      </c>
      <c r="P37" s="2">
        <v>0.0</v>
      </c>
      <c r="Q37" s="2">
        <f t="shared" si="48"/>
        <v>141</v>
      </c>
      <c r="R37" s="2">
        <f t="shared" si="38"/>
        <v>0</v>
      </c>
      <c r="S37" s="2">
        <f t="shared" si="49"/>
        <v>720</v>
      </c>
      <c r="T37" s="2">
        <f t="shared" si="55"/>
        <v>570</v>
      </c>
      <c r="U37" s="2">
        <f t="shared" si="51"/>
        <v>920</v>
      </c>
      <c r="V37" s="3">
        <f t="shared" si="12"/>
        <v>3211</v>
      </c>
      <c r="W37" s="2">
        <v>0.0</v>
      </c>
      <c r="X37" s="2">
        <v>0.0</v>
      </c>
      <c r="Y37" s="2">
        <v>87.0</v>
      </c>
      <c r="Z37" s="2">
        <v>0.0</v>
      </c>
      <c r="AA37" s="2">
        <v>0.0</v>
      </c>
      <c r="AB37" s="2">
        <v>0.0</v>
      </c>
      <c r="AC37" s="2">
        <v>64.0</v>
      </c>
      <c r="AD37" s="2">
        <v>48.0</v>
      </c>
      <c r="AE37" s="2">
        <v>86.0</v>
      </c>
      <c r="AF37" s="3">
        <f t="shared" si="4"/>
        <v>285</v>
      </c>
      <c r="AG37" s="3">
        <f t="shared" si="5"/>
        <v>0.5087719298</v>
      </c>
    </row>
    <row r="38">
      <c r="A38" s="27">
        <v>45838.0</v>
      </c>
      <c r="B38" s="51">
        <f>IFERROR(__xludf.DUMMYFUNCTION("sumproduct(importrange($AI$2,""hours""),importrange($AI$2,""lessondate"")&lt;=($A38),importrange($AI$2,""lessondate"")&gt;($A37),importrange($AI$2,""teacher"")=B$2)"),0.0)</f>
        <v>0</v>
      </c>
      <c r="C38" s="51">
        <f>IFERROR(__xludf.DUMMYFUNCTION("sumproduct(importrange($AI$2,""hours""),importrange($AI$2,""lessondate"")&lt;=($A38),importrange($AI$2,""lessondate"")&gt;($A37),importrange($AI$2,""teacher"")=C$2)"),0.0)</f>
        <v>0</v>
      </c>
      <c r="D38" s="51">
        <f>IFERROR(__xludf.DUMMYFUNCTION("sumproduct(importrange($AI$2,""hours""),importrange($AI$2,""lessondate"")&lt;=($A38),importrange($AI$2,""lessondate"")&gt;($A37),importrange($AI$2,""teacher"")=D$2)"),57.0)</f>
        <v>57</v>
      </c>
      <c r="E38" s="51">
        <f>IFERROR(__xludf.DUMMYFUNCTION("sumproduct(importrange($AI$2,""hours""),importrange($AI$2,""lessondate"")&lt;=($A38),importrange($AI$2,""lessondate"")&gt;($A37),importrange($AI$2,""teacher"")=E$2)"),0.0)</f>
        <v>0</v>
      </c>
      <c r="F38" s="51">
        <f>IFERROR(__xludf.DUMMYFUNCTION("sumproduct(importrange($AI$2,""hours""),importrange($AI$2,""lessondate"")&lt;=($A38),importrange($AI$2,""lessondate"")&gt;($A37),importrange($AI$2,""teacher"")=F$2)"),8.0)</f>
        <v>8</v>
      </c>
      <c r="G38" s="51">
        <f>IFERROR(__xludf.DUMMYFUNCTION("sumproduct(importrange($AI$2,""hours""),importrange($AI$2,""lessondate"")&lt;=($A38),importrange($AI$2,""lessondate"")&gt;($A37),importrange($AI$2,""teacher"")=G$2)"),0.0)</f>
        <v>0</v>
      </c>
      <c r="H38" s="51">
        <f>IFERROR(__xludf.DUMMYFUNCTION("sumproduct(importrange($AI$2,""hours""),importrange($AI$2,""lessondate"")&lt;=($A38),importrange($AI$2,""lessondate"")&gt;($A37),importrange($AI$2,""teacher"")=H$2)"),40.0)</f>
        <v>40</v>
      </c>
      <c r="I38" s="51">
        <f>IFERROR(__xludf.DUMMYFUNCTION("sumproduct(importrange($AI$2,""hours""),importrange($AI$2,""lessondate"")&lt;=($A38),importrange($AI$2,""lessondate"")&gt;($A37),importrange($AI$2,""teacher"")=I$2)"),35.0)</f>
        <v>35</v>
      </c>
      <c r="J38" s="51">
        <f>IFERROR(__xludf.DUMMYFUNCTION("sumproduct(importrange($AI$2,""hours""),importrange($AI$2,""lessondate"")&lt;=($A38),importrange($AI$2,""lessondate"")&gt;($A37),importrange($AI$2,""teacher"")=J$2)"),1.0)</f>
        <v>1</v>
      </c>
      <c r="K38" s="15">
        <f t="shared" si="32"/>
        <v>141</v>
      </c>
      <c r="L38" s="11">
        <v>15.0</v>
      </c>
      <c r="M38" s="11">
        <f t="shared" ref="M38:N38" si="57">B38*$L38</f>
        <v>0</v>
      </c>
      <c r="N38" s="11">
        <f t="shared" si="57"/>
        <v>0</v>
      </c>
      <c r="O38" s="11">
        <f t="shared" ref="O38:O44" si="59">MAX(1200,1200+(H38-116)*11)+20</f>
        <v>1220</v>
      </c>
      <c r="P38" s="2">
        <v>0.0</v>
      </c>
      <c r="Q38" s="2">
        <f t="shared" si="48"/>
        <v>108</v>
      </c>
      <c r="R38" s="2">
        <f t="shared" si="38"/>
        <v>0</v>
      </c>
      <c r="S38" s="2">
        <f t="shared" ref="S38:S44" si="60">MAX(700,700+(H38-64)*11)+20</f>
        <v>720</v>
      </c>
      <c r="T38" s="2">
        <f t="shared" ref="T38:T43" si="61">MAX(750,750+(I38-68.8)*11)+20</f>
        <v>770</v>
      </c>
      <c r="U38" s="2">
        <f t="shared" ref="U38:U44" si="62">0</f>
        <v>0</v>
      </c>
      <c r="V38" s="3">
        <f t="shared" si="12"/>
        <v>2818</v>
      </c>
      <c r="W38" s="2">
        <v>0.0</v>
      </c>
      <c r="X38" s="2">
        <v>0.0</v>
      </c>
      <c r="Y38" s="2">
        <v>87.0</v>
      </c>
      <c r="Z38" s="2">
        <v>0.0</v>
      </c>
      <c r="AA38" s="2">
        <v>0.0</v>
      </c>
      <c r="AB38" s="2">
        <v>0.0</v>
      </c>
      <c r="AC38" s="2">
        <v>64.0</v>
      </c>
      <c r="AD38" s="2">
        <v>48.0</v>
      </c>
      <c r="AE38" s="2">
        <v>86.0</v>
      </c>
      <c r="AF38" s="3">
        <f t="shared" si="4"/>
        <v>285</v>
      </c>
      <c r="AG38" s="3">
        <f t="shared" si="5"/>
        <v>0.4947368421</v>
      </c>
    </row>
    <row r="39">
      <c r="A39" s="27">
        <v>45869.0</v>
      </c>
      <c r="B39" s="51">
        <f>IFERROR(__xludf.DUMMYFUNCTION("sumproduct(importrange($AI$2,""hours""),importrange($AI$2,""lessondate"")&lt;=($A39),importrange($AI$2,""lessondate"")&gt;($A38),importrange($AI$2,""teacher"")=B$2)"),0.0)</f>
        <v>0</v>
      </c>
      <c r="C39" s="51">
        <f>IFERROR(__xludf.DUMMYFUNCTION("sumproduct(importrange($AI$2,""hours""),importrange($AI$2,""lessondate"")&lt;=($A39),importrange($AI$2,""lessondate"")&gt;($A38),importrange($AI$2,""teacher"")=C$2)"),0.0)</f>
        <v>0</v>
      </c>
      <c r="D39" s="51">
        <f>IFERROR(__xludf.DUMMYFUNCTION("sumproduct(importrange($AI$2,""hours""),importrange($AI$2,""lessondate"")&lt;=($A39),importrange($AI$2,""lessondate"")&gt;($A38),importrange($AI$2,""teacher"")=D$2)"),56.0)</f>
        <v>56</v>
      </c>
      <c r="E39" s="51">
        <f>IFERROR(__xludf.DUMMYFUNCTION("sumproduct(importrange($AI$2,""hours""),importrange($AI$2,""lessondate"")&lt;=($A39),importrange($AI$2,""lessondate"")&gt;($A38),importrange($AI$2,""teacher"")=E$2)"),0.0)</f>
        <v>0</v>
      </c>
      <c r="F39" s="51">
        <f>IFERROR(__xludf.DUMMYFUNCTION("sumproduct(importrange($AI$2,""hours""),importrange($AI$2,""lessondate"")&lt;=($A39),importrange($AI$2,""lessondate"")&gt;($A38),importrange($AI$2,""teacher"")=F$2)"),16.0)</f>
        <v>16</v>
      </c>
      <c r="G39" s="51">
        <f>IFERROR(__xludf.DUMMYFUNCTION("sumproduct(importrange($AI$2,""hours""),importrange($AI$2,""lessondate"")&lt;=($A39),importrange($AI$2,""lessondate"")&gt;($A38),importrange($AI$2,""teacher"")=G$2)"),0.0)</f>
        <v>0</v>
      </c>
      <c r="H39" s="51">
        <f>IFERROR(__xludf.DUMMYFUNCTION("sumproduct(importrange($AI$2,""hours""),importrange($AI$2,""lessondate"")&lt;=($A39),importrange($AI$2,""lessondate"")&gt;($A38),importrange($AI$2,""teacher"")=H$2)"),44.0)</f>
        <v>44</v>
      </c>
      <c r="I39" s="51">
        <f>IFERROR(__xludf.DUMMYFUNCTION("sumproduct(importrange($AI$2,""hours""),importrange($AI$2,""lessondate"")&lt;=($A39),importrange($AI$2,""lessondate"")&gt;($A38),importrange($AI$2,""teacher"")=I$2)"),36.0)</f>
        <v>36</v>
      </c>
      <c r="J39" s="51">
        <f>IFERROR(__xludf.DUMMYFUNCTION("sumproduct(importrange($AI$2,""hours""),importrange($AI$2,""lessondate"")&lt;=($A39),importrange($AI$2,""lessondate"")&gt;($A38),importrange($AI$2,""teacher"")=J$2)"),0.0)</f>
        <v>0</v>
      </c>
      <c r="K39" s="15">
        <f t="shared" si="32"/>
        <v>152</v>
      </c>
      <c r="L39" s="11">
        <v>15.0</v>
      </c>
      <c r="M39" s="11">
        <f t="shared" ref="M39:N39" si="58">B39*$L39</f>
        <v>0</v>
      </c>
      <c r="N39" s="11">
        <f t="shared" si="58"/>
        <v>0</v>
      </c>
      <c r="O39" s="11">
        <f t="shared" si="59"/>
        <v>1220</v>
      </c>
      <c r="P39" s="2">
        <v>0.0</v>
      </c>
      <c r="Q39" s="2">
        <f t="shared" si="48"/>
        <v>196</v>
      </c>
      <c r="R39" s="2">
        <f t="shared" si="38"/>
        <v>0</v>
      </c>
      <c r="S39" s="2">
        <f t="shared" si="60"/>
        <v>720</v>
      </c>
      <c r="T39" s="2">
        <f t="shared" si="61"/>
        <v>770</v>
      </c>
      <c r="U39" s="2">
        <f t="shared" si="62"/>
        <v>0</v>
      </c>
      <c r="V39" s="3">
        <f t="shared" si="12"/>
        <v>2906</v>
      </c>
      <c r="W39" s="2">
        <v>0.0</v>
      </c>
      <c r="X39" s="2">
        <v>0.0</v>
      </c>
      <c r="Y39" s="2">
        <v>87.0</v>
      </c>
      <c r="Z39" s="2">
        <v>0.0</v>
      </c>
      <c r="AA39" s="2">
        <v>0.0</v>
      </c>
      <c r="AB39" s="2">
        <v>0.0</v>
      </c>
      <c r="AC39" s="2">
        <v>64.0</v>
      </c>
      <c r="AD39" s="2">
        <v>48.0</v>
      </c>
      <c r="AE39" s="2">
        <v>86.0</v>
      </c>
      <c r="AF39" s="3">
        <f t="shared" si="4"/>
        <v>285</v>
      </c>
      <c r="AG39" s="3">
        <f t="shared" si="5"/>
        <v>0.5333333333</v>
      </c>
    </row>
    <row r="40">
      <c r="A40" s="27">
        <v>45900.0</v>
      </c>
      <c r="B40" s="51">
        <f>IFERROR(__xludf.DUMMYFUNCTION("sumproduct(importrange($AI$2,""hours""),importrange($AI$2,""lessondate"")&lt;=($A40),importrange($AI$2,""lessondate"")&gt;($A39),importrange($AI$2,""teacher"")=B$2)"),0.0)</f>
        <v>0</v>
      </c>
      <c r="C40" s="51">
        <f>IFERROR(__xludf.DUMMYFUNCTION("sumproduct(importrange($AI$2,""hours""),importrange($AI$2,""lessondate"")&lt;=($A40),importrange($AI$2,""lessondate"")&gt;($A39),importrange($AI$2,""teacher"")=C$2)"),0.0)</f>
        <v>0</v>
      </c>
      <c r="D40" s="51">
        <f>IFERROR(__xludf.DUMMYFUNCTION("sumproduct(importrange($AI$2,""hours""),importrange($AI$2,""lessondate"")&lt;=($A40),importrange($AI$2,""lessondate"")&gt;($A39),importrange($AI$2,""teacher"")=D$2)"),58.0)</f>
        <v>58</v>
      </c>
      <c r="E40" s="51">
        <f>IFERROR(__xludf.DUMMYFUNCTION("sumproduct(importrange($AI$2,""hours""),importrange($AI$2,""lessondate"")&lt;=($A40),importrange($AI$2,""lessondate"")&gt;($A39),importrange($AI$2,""teacher"")=E$2)"),0.0)</f>
        <v>0</v>
      </c>
      <c r="F40" s="51">
        <f>IFERROR(__xludf.DUMMYFUNCTION("sumproduct(importrange($AI$2,""hours""),importrange($AI$2,""lessondate"")&lt;=($A40),importrange($AI$2,""lessondate"")&gt;($A39),importrange($AI$2,""teacher"")=F$2)"),15.0)</f>
        <v>15</v>
      </c>
      <c r="G40" s="51">
        <f>IFERROR(__xludf.DUMMYFUNCTION("sumproduct(importrange($AI$2,""hours""),importrange($AI$2,""lessondate"")&lt;=($A40),importrange($AI$2,""lessondate"")&gt;($A39),importrange($AI$2,""teacher"")=G$2)"),0.0)</f>
        <v>0</v>
      </c>
      <c r="H40" s="51">
        <f>IFERROR(__xludf.DUMMYFUNCTION("sumproduct(importrange($AI$2,""hours""),importrange($AI$2,""lessondate"")&lt;=($A40),importrange($AI$2,""lessondate"")&gt;($A39),importrange($AI$2,""teacher"")=H$2)"),27.0)</f>
        <v>27</v>
      </c>
      <c r="I40" s="51">
        <f>IFERROR(__xludf.DUMMYFUNCTION("sumproduct(importrange($AI$2,""hours""),importrange($AI$2,""lessondate"")&lt;=($A40),importrange($AI$2,""lessondate"")&gt;($A39),importrange($AI$2,""teacher"")=I$2)"),32.0)</f>
        <v>32</v>
      </c>
      <c r="J40" s="51">
        <f>IFERROR(__xludf.DUMMYFUNCTION("sumproduct(importrange($AI$2,""hours""),importrange($AI$2,""lessondate"")&lt;=($A40),importrange($AI$2,""lessondate"")&gt;($A39),importrange($AI$2,""teacher"")=J$2)"),0.0)</f>
        <v>0</v>
      </c>
      <c r="K40" s="15">
        <f t="shared" si="32"/>
        <v>132</v>
      </c>
      <c r="L40" s="11">
        <v>15.0</v>
      </c>
      <c r="M40" s="11">
        <f t="shared" ref="M40:N40" si="63">B40*$L40</f>
        <v>0</v>
      </c>
      <c r="N40" s="11">
        <f t="shared" si="63"/>
        <v>0</v>
      </c>
      <c r="O40" s="11">
        <f t="shared" si="59"/>
        <v>1220</v>
      </c>
      <c r="P40" s="2">
        <v>0.0</v>
      </c>
      <c r="Q40" s="2">
        <f t="shared" si="48"/>
        <v>185</v>
      </c>
      <c r="R40" s="2">
        <f t="shared" si="38"/>
        <v>0</v>
      </c>
      <c r="S40" s="2">
        <f t="shared" si="60"/>
        <v>720</v>
      </c>
      <c r="T40" s="2">
        <f t="shared" si="61"/>
        <v>770</v>
      </c>
      <c r="U40" s="2">
        <f t="shared" si="62"/>
        <v>0</v>
      </c>
      <c r="V40" s="3">
        <f t="shared" si="12"/>
        <v>2895</v>
      </c>
      <c r="W40" s="2">
        <v>0.0</v>
      </c>
      <c r="X40" s="2">
        <v>0.0</v>
      </c>
      <c r="Y40" s="2">
        <v>87.0</v>
      </c>
      <c r="Z40" s="2">
        <v>0.0</v>
      </c>
      <c r="AA40" s="2">
        <v>0.0</v>
      </c>
      <c r="AB40" s="2">
        <v>0.0</v>
      </c>
      <c r="AC40" s="2">
        <v>64.0</v>
      </c>
      <c r="AD40" s="2">
        <v>48.0</v>
      </c>
      <c r="AE40" s="2">
        <v>86.0</v>
      </c>
      <c r="AF40" s="3">
        <f t="shared" si="4"/>
        <v>285</v>
      </c>
      <c r="AG40" s="3">
        <f t="shared" si="5"/>
        <v>0.4631578947</v>
      </c>
    </row>
    <row r="41">
      <c r="A41" s="27">
        <v>45930.0</v>
      </c>
      <c r="B41" s="51">
        <f>IFERROR(__xludf.DUMMYFUNCTION("sumproduct(importrange($AI$2,""hours""),importrange($AI$2,""lessondate"")&lt;=($A41),importrange($AI$2,""lessondate"")&gt;($A40),importrange($AI$2,""teacher"")=B$2)"),0.0)</f>
        <v>0</v>
      </c>
      <c r="C41" s="51">
        <f>IFERROR(__xludf.DUMMYFUNCTION("sumproduct(importrange($AI$2,""hours""),importrange($AI$2,""lessondate"")&lt;=($A41),importrange($AI$2,""lessondate"")&gt;($A40),importrange($AI$2,""teacher"")=C$2)"),0.0)</f>
        <v>0</v>
      </c>
      <c r="D41" s="51">
        <f>IFERROR(__xludf.DUMMYFUNCTION("sumproduct(importrange($AI$2,""hours""),importrange($AI$2,""lessondate"")&lt;=($A41),importrange($AI$2,""lessondate"")&gt;($A40),importrange($AI$2,""teacher"")=D$2)"),33.0)</f>
        <v>33</v>
      </c>
      <c r="E41" s="51">
        <f>IFERROR(__xludf.DUMMYFUNCTION("sumproduct(importrange($AI$2,""hours""),importrange($AI$2,""lessondate"")&lt;=($A41),importrange($AI$2,""lessondate"")&gt;($A40),importrange($AI$2,""teacher"")=E$2)"),0.0)</f>
        <v>0</v>
      </c>
      <c r="F41" s="51">
        <f>IFERROR(__xludf.DUMMYFUNCTION("sumproduct(importrange($AI$2,""hours""),importrange($AI$2,""lessondate"")&lt;=($A41),importrange($AI$2,""lessondate"")&gt;($A40),importrange($AI$2,""teacher"")=F$2)"),5.0)</f>
        <v>5</v>
      </c>
      <c r="G41" s="51">
        <f>IFERROR(__xludf.DUMMYFUNCTION("sumproduct(importrange($AI$2,""hours""),importrange($AI$2,""lessondate"")&lt;=($A41),importrange($AI$2,""lessondate"")&gt;($A40),importrange($AI$2,""teacher"")=G$2)"),0.0)</f>
        <v>0</v>
      </c>
      <c r="H41" s="51">
        <f>IFERROR(__xludf.DUMMYFUNCTION("sumproduct(importrange($AI$2,""hours""),importrange($AI$2,""lessondate"")&lt;=($A41),importrange($AI$2,""lessondate"")&gt;($A40),importrange($AI$2,""teacher"")=H$2)"),37.0)</f>
        <v>37</v>
      </c>
      <c r="I41" s="51">
        <f>IFERROR(__xludf.DUMMYFUNCTION("sumproduct(importrange($AI$2,""hours""),importrange($AI$2,""lessondate"")&lt;=($A41),importrange($AI$2,""lessondate"")&gt;($A40),importrange($AI$2,""teacher"")=I$2)"),19.0)</f>
        <v>19</v>
      </c>
      <c r="J41" s="51">
        <f>IFERROR(__xludf.DUMMYFUNCTION("sumproduct(importrange($AI$2,""hours""),importrange($AI$2,""lessondate"")&lt;=($A41),importrange($AI$2,""lessondate"")&gt;($A40),importrange($AI$2,""teacher"")=J$2)"),0.0)</f>
        <v>0</v>
      </c>
      <c r="K41" s="15">
        <f t="shared" si="32"/>
        <v>94</v>
      </c>
      <c r="L41" s="11">
        <v>15.0</v>
      </c>
      <c r="M41" s="11">
        <f t="shared" ref="M41:N41" si="64">B41*$L41</f>
        <v>0</v>
      </c>
      <c r="N41" s="11">
        <f t="shared" si="64"/>
        <v>0</v>
      </c>
      <c r="O41" s="11">
        <f t="shared" si="59"/>
        <v>1220</v>
      </c>
      <c r="P41" s="2">
        <v>0.0</v>
      </c>
      <c r="Q41" s="2">
        <f t="shared" si="48"/>
        <v>75</v>
      </c>
      <c r="R41" s="2">
        <f t="shared" si="38"/>
        <v>0</v>
      </c>
      <c r="S41" s="2">
        <f t="shared" si="60"/>
        <v>720</v>
      </c>
      <c r="T41" s="2">
        <f t="shared" si="61"/>
        <v>770</v>
      </c>
      <c r="U41" s="2">
        <f t="shared" si="62"/>
        <v>0</v>
      </c>
      <c r="V41" s="3">
        <f t="shared" si="12"/>
        <v>2785</v>
      </c>
      <c r="W41" s="2">
        <v>0.0</v>
      </c>
      <c r="X41" s="2">
        <v>0.0</v>
      </c>
      <c r="Y41" s="2">
        <v>87.0</v>
      </c>
      <c r="Z41" s="2">
        <v>0.0</v>
      </c>
      <c r="AA41" s="2">
        <v>0.0</v>
      </c>
      <c r="AB41" s="2">
        <v>0.0</v>
      </c>
      <c r="AC41" s="2">
        <v>64.0</v>
      </c>
      <c r="AD41" s="2">
        <v>48.0</v>
      </c>
      <c r="AE41" s="2">
        <v>86.0</v>
      </c>
      <c r="AF41" s="3">
        <f t="shared" si="4"/>
        <v>285</v>
      </c>
      <c r="AG41" s="3">
        <f t="shared" si="5"/>
        <v>0.3298245614</v>
      </c>
    </row>
    <row r="42">
      <c r="A42" s="27">
        <v>45961.0</v>
      </c>
      <c r="B42" s="51">
        <f>IFERROR(__xludf.DUMMYFUNCTION("sumproduct(importrange($AI$2,""hours""),importrange($AI$2,""lessondate"")&lt;=($A42),importrange($AI$2,""lessondate"")&gt;($A41),importrange($AI$2,""teacher"")=B$2)"),0.0)</f>
        <v>0</v>
      </c>
      <c r="C42" s="51">
        <f>IFERROR(__xludf.DUMMYFUNCTION("sumproduct(importrange($AI$2,""hours""),importrange($AI$2,""lessondate"")&lt;=($A42),importrange($AI$2,""lessondate"")&gt;($A41),importrange($AI$2,""teacher"")=C$2)"),0.0)</f>
        <v>0</v>
      </c>
      <c r="D42" s="51">
        <f>IFERROR(__xludf.DUMMYFUNCTION("sumproduct(importrange($AI$2,""hours""),importrange($AI$2,""lessondate"")&lt;=($A42),importrange($AI$2,""lessondate"")&gt;($A41),importrange($AI$2,""teacher"")=D$2)"),73.0)</f>
        <v>73</v>
      </c>
      <c r="E42" s="51">
        <f>IFERROR(__xludf.DUMMYFUNCTION("sumproduct(importrange($AI$2,""hours""),importrange($AI$2,""lessondate"")&lt;=($A42),importrange($AI$2,""lessondate"")&gt;($A41),importrange($AI$2,""teacher"")=E$2)"),0.0)</f>
        <v>0</v>
      </c>
      <c r="F42" s="51">
        <f>IFERROR(__xludf.DUMMYFUNCTION("sumproduct(importrange($AI$2,""hours""),importrange($AI$2,""lessondate"")&lt;=($A42),importrange($AI$2,""lessondate"")&gt;($A41),importrange($AI$2,""teacher"")=F$2)"),7.0)</f>
        <v>7</v>
      </c>
      <c r="G42" s="51">
        <f>IFERROR(__xludf.DUMMYFUNCTION("sumproduct(importrange($AI$2,""hours""),importrange($AI$2,""lessondate"")&lt;=($A42),importrange($AI$2,""lessondate"")&gt;($A41),importrange($AI$2,""teacher"")=G$2)"),0.0)</f>
        <v>0</v>
      </c>
      <c r="H42" s="51">
        <f>IFERROR(__xludf.DUMMYFUNCTION("sumproduct(importrange($AI$2,""hours""),importrange($AI$2,""lessondate"")&lt;=($A42),importrange($AI$2,""lessondate"")&gt;($A41),importrange($AI$2,""teacher"")=H$2)"),53.0)</f>
        <v>53</v>
      </c>
      <c r="I42" s="51">
        <f>IFERROR(__xludf.DUMMYFUNCTION("sumproduct(importrange($AI$2,""hours""),importrange($AI$2,""lessondate"")&lt;=($A42),importrange($AI$2,""lessondate"")&gt;($A41),importrange($AI$2,""teacher"")=I$2)"),21.0)</f>
        <v>21</v>
      </c>
      <c r="J42" s="51">
        <f>IFERROR(__xludf.DUMMYFUNCTION("sumproduct(importrange($AI$2,""hours""),importrange($AI$2,""lessondate"")&lt;=($A42),importrange($AI$2,""lessondate"")&gt;($A41),importrange($AI$2,""teacher"")=J$2)"),0.0)</f>
        <v>0</v>
      </c>
      <c r="K42" s="15">
        <f t="shared" si="32"/>
        <v>154</v>
      </c>
      <c r="L42" s="11">
        <v>15.0</v>
      </c>
      <c r="M42" s="11">
        <f t="shared" ref="M42:N42" si="65">B42*$L42</f>
        <v>0</v>
      </c>
      <c r="N42" s="11">
        <f t="shared" si="65"/>
        <v>0</v>
      </c>
      <c r="O42" s="11">
        <f t="shared" si="59"/>
        <v>1220</v>
      </c>
      <c r="P42" s="2">
        <v>0.0</v>
      </c>
      <c r="Q42" s="2">
        <f t="shared" si="48"/>
        <v>97</v>
      </c>
      <c r="R42" s="2">
        <f t="shared" si="38"/>
        <v>0</v>
      </c>
      <c r="S42" s="2">
        <f t="shared" si="60"/>
        <v>720</v>
      </c>
      <c r="T42" s="2">
        <f t="shared" si="61"/>
        <v>770</v>
      </c>
      <c r="U42" s="2">
        <f t="shared" si="62"/>
        <v>0</v>
      </c>
      <c r="V42" s="3">
        <f t="shared" si="12"/>
        <v>2807</v>
      </c>
      <c r="W42" s="2">
        <v>0.0</v>
      </c>
      <c r="X42" s="2">
        <v>0.0</v>
      </c>
      <c r="Y42" s="2">
        <v>87.0</v>
      </c>
      <c r="Z42" s="2">
        <v>0.0</v>
      </c>
      <c r="AA42" s="2">
        <v>0.0</v>
      </c>
      <c r="AB42" s="2">
        <v>0.0</v>
      </c>
      <c r="AC42" s="2">
        <v>64.0</v>
      </c>
      <c r="AD42" s="2">
        <v>48.0</v>
      </c>
      <c r="AE42" s="2">
        <v>86.0</v>
      </c>
      <c r="AF42" s="3">
        <f t="shared" si="4"/>
        <v>285</v>
      </c>
      <c r="AG42" s="3">
        <f t="shared" si="5"/>
        <v>0.5403508772</v>
      </c>
    </row>
    <row r="43">
      <c r="A43" s="27">
        <v>45991.0</v>
      </c>
      <c r="B43" s="51">
        <f>IFERROR(__xludf.DUMMYFUNCTION("sumproduct(importrange($AI$2,""hours""),importrange($AI$2,""lessondate"")&lt;=($A43),importrange($AI$2,""lessondate"")&gt;($A42),importrange($AI$2,""teacher"")=B$2)"),0.0)</f>
        <v>0</v>
      </c>
      <c r="C43" s="51">
        <f>IFERROR(__xludf.DUMMYFUNCTION("sumproduct(importrange($AI$2,""hours""),importrange($AI$2,""lessondate"")&lt;=($A43),importrange($AI$2,""lessondate"")&gt;($A42),importrange($AI$2,""teacher"")=C$2)"),0.0)</f>
        <v>0</v>
      </c>
      <c r="D43" s="51">
        <f>IFERROR(__xludf.DUMMYFUNCTION("sumproduct(importrange($AI$2,""hours""),importrange($AI$2,""lessondate"")&lt;=($A43),importrange($AI$2,""lessondate"")&gt;($A42),importrange($AI$2,""teacher"")=D$2)"),69.0)</f>
        <v>69</v>
      </c>
      <c r="E43" s="51">
        <f>IFERROR(__xludf.DUMMYFUNCTION("sumproduct(importrange($AI$2,""hours""),importrange($AI$2,""lessondate"")&lt;=($A43),importrange($AI$2,""lessondate"")&gt;($A42),importrange($AI$2,""teacher"")=E$2)"),0.0)</f>
        <v>0</v>
      </c>
      <c r="F43" s="51">
        <f>IFERROR(__xludf.DUMMYFUNCTION("sumproduct(importrange($AI$2,""hours""),importrange($AI$2,""lessondate"")&lt;=($A43),importrange($AI$2,""lessondate"")&gt;($A42),importrange($AI$2,""teacher"")=F$2)"),7.0)</f>
        <v>7</v>
      </c>
      <c r="G43" s="51">
        <f>IFERROR(__xludf.DUMMYFUNCTION("sumproduct(importrange($AI$2,""hours""),importrange($AI$2,""lessondate"")&lt;=($A43),importrange($AI$2,""lessondate"")&gt;($A42),importrange($AI$2,""teacher"")=G$2)"),0.0)</f>
        <v>0</v>
      </c>
      <c r="H43" s="51">
        <f>IFERROR(__xludf.DUMMYFUNCTION("sumproduct(importrange($AI$2,""hours""),importrange($AI$2,""lessondate"")&lt;=($A43),importrange($AI$2,""lessondate"")&gt;($A42),importrange($AI$2,""teacher"")=H$2)"),38.0)</f>
        <v>38</v>
      </c>
      <c r="I43" s="51">
        <f>IFERROR(__xludf.DUMMYFUNCTION("sumproduct(importrange($AI$2,""hours""),importrange($AI$2,""lessondate"")&lt;=($A43),importrange($AI$2,""lessondate"")&gt;($A42),importrange($AI$2,""teacher"")=I$2)"),25.0)</f>
        <v>25</v>
      </c>
      <c r="J43" s="51">
        <f>IFERROR(__xludf.DUMMYFUNCTION("sumproduct(importrange($AI$2,""hours""),importrange($AI$2,""lessondate"")&lt;=($A43),importrange($AI$2,""lessondate"")&gt;($A42),importrange($AI$2,""teacher"")=J$2)"),0.0)</f>
        <v>0</v>
      </c>
      <c r="K43" s="15">
        <f t="shared" si="32"/>
        <v>139</v>
      </c>
      <c r="L43" s="11">
        <v>15.0</v>
      </c>
      <c r="M43" s="11">
        <f t="shared" ref="M43:N43" si="66">B43*$L43</f>
        <v>0</v>
      </c>
      <c r="N43" s="11">
        <f t="shared" si="66"/>
        <v>0</v>
      </c>
      <c r="O43" s="11">
        <f t="shared" si="59"/>
        <v>1220</v>
      </c>
      <c r="P43" s="2">
        <v>0.0</v>
      </c>
      <c r="Q43" s="2">
        <f t="shared" si="48"/>
        <v>97</v>
      </c>
      <c r="R43" s="2">
        <f t="shared" si="38"/>
        <v>0</v>
      </c>
      <c r="S43" s="2">
        <f t="shared" si="60"/>
        <v>720</v>
      </c>
      <c r="T43" s="2">
        <f t="shared" si="61"/>
        <v>770</v>
      </c>
      <c r="U43" s="2">
        <f t="shared" si="62"/>
        <v>0</v>
      </c>
      <c r="V43" s="3">
        <f t="shared" si="12"/>
        <v>2807</v>
      </c>
      <c r="W43" s="2">
        <v>0.0</v>
      </c>
      <c r="X43" s="2">
        <v>0.0</v>
      </c>
      <c r="Y43" s="2">
        <v>87.0</v>
      </c>
      <c r="Z43" s="2">
        <v>0.0</v>
      </c>
      <c r="AA43" s="2">
        <v>0.0</v>
      </c>
      <c r="AB43" s="2">
        <v>0.0</v>
      </c>
      <c r="AC43" s="2">
        <v>64.0</v>
      </c>
      <c r="AD43" s="2">
        <v>48.0</v>
      </c>
      <c r="AE43" s="2">
        <v>86.0</v>
      </c>
      <c r="AF43" s="3">
        <f t="shared" si="4"/>
        <v>285</v>
      </c>
      <c r="AG43" s="3">
        <f t="shared" si="5"/>
        <v>0.4877192982</v>
      </c>
    </row>
    <row r="44">
      <c r="A44" s="27">
        <v>46022.0</v>
      </c>
      <c r="B44" s="51">
        <f>IFERROR(__xludf.DUMMYFUNCTION("sumproduct(importrange($AI$2,""hours""),importrange($AI$2,""lessondate"")&lt;=($A44),importrange($AI$2,""lessondate"")&gt;($A43),importrange($AI$2,""teacher"")=B$2)"),0.0)</f>
        <v>0</v>
      </c>
      <c r="C44" s="51">
        <f>IFERROR(__xludf.DUMMYFUNCTION("sumproduct(importrange($AI$2,""hours""),importrange($AI$2,""lessondate"")&lt;=($A44),importrange($AI$2,""lessondate"")&gt;($A43),importrange($AI$2,""teacher"")=C$2)"),0.0)</f>
        <v>0</v>
      </c>
      <c r="D44" s="51">
        <f>IFERROR(__xludf.DUMMYFUNCTION("sumproduct(importrange($AI$2,""hours""),importrange($AI$2,""lessondate"")&lt;=($A44),importrange($AI$2,""lessondate"")&gt;($A43),importrange($AI$2,""teacher"")=D$2)"),50.0)</f>
        <v>50</v>
      </c>
      <c r="E44" s="51">
        <f>IFERROR(__xludf.DUMMYFUNCTION("sumproduct(importrange($AI$2,""hours""),importrange($AI$2,""lessondate"")&lt;=($A44),importrange($AI$2,""lessondate"")&gt;($A43),importrange($AI$2,""teacher"")=E$2)"),0.0)</f>
        <v>0</v>
      </c>
      <c r="F44" s="51">
        <f>IFERROR(__xludf.DUMMYFUNCTION("sumproduct(importrange($AI$2,""hours""),importrange($AI$2,""lessondate"")&lt;=($A44),importrange($AI$2,""lessondate"")&gt;($A43),importrange($AI$2,""teacher"")=F$2)"),2.0)</f>
        <v>2</v>
      </c>
      <c r="G44" s="51">
        <f>IFERROR(__xludf.DUMMYFUNCTION("sumproduct(importrange($AI$2,""hours""),importrange($AI$2,""lessondate"")&lt;=($A44),importrange($AI$2,""lessondate"")&gt;($A43),importrange($AI$2,""teacher"")=G$2)"),0.0)</f>
        <v>0</v>
      </c>
      <c r="H44" s="51">
        <f>IFERROR(__xludf.DUMMYFUNCTION("sumproduct(importrange($AI$2,""hours""),importrange($AI$2,""lessondate"")&lt;=($A44),importrange($AI$2,""lessondate"")&gt;($A43),importrange($AI$2,""teacher"")=H$2)"),35.0)</f>
        <v>35</v>
      </c>
      <c r="I44" s="51">
        <f>IFERROR(__xludf.DUMMYFUNCTION("sumproduct(importrange($AI$2,""hours""),importrange($AI$2,""lessondate"")&lt;=($A44),importrange($AI$2,""lessondate"")&gt;($A43),importrange($AI$2,""teacher"")=I$2)"),30.0)</f>
        <v>30</v>
      </c>
      <c r="J44" s="51">
        <f>IFERROR(__xludf.DUMMYFUNCTION("sumproduct(importrange($AI$2,""hours""),importrange($AI$2,""lessondate"")&lt;=($A44),importrange($AI$2,""lessondate"")&gt;($A43),importrange($AI$2,""teacher"")=J$2)"),0.0)</f>
        <v>0</v>
      </c>
      <c r="K44" s="15">
        <f t="shared" si="32"/>
        <v>117</v>
      </c>
      <c r="L44" s="11">
        <v>15.0</v>
      </c>
      <c r="M44" s="11">
        <f t="shared" ref="M44:N44" si="67">B44*$L44</f>
        <v>0</v>
      </c>
      <c r="N44" s="11">
        <f t="shared" si="67"/>
        <v>0</v>
      </c>
      <c r="O44" s="11">
        <f t="shared" si="59"/>
        <v>1220</v>
      </c>
      <c r="P44" s="2">
        <v>0.0</v>
      </c>
      <c r="Q44" s="2">
        <f t="shared" si="48"/>
        <v>42</v>
      </c>
      <c r="R44" s="2">
        <f t="shared" si="38"/>
        <v>0</v>
      </c>
      <c r="S44" s="2">
        <f t="shared" si="60"/>
        <v>720</v>
      </c>
      <c r="T44" s="2">
        <f>MAX(375,375+(I44-34.4)*11)+20</f>
        <v>395</v>
      </c>
      <c r="U44" s="2">
        <f t="shared" si="62"/>
        <v>0</v>
      </c>
      <c r="V44" s="3">
        <f t="shared" si="12"/>
        <v>2377</v>
      </c>
      <c r="W44" s="2">
        <v>0.0</v>
      </c>
      <c r="X44" s="2">
        <v>0.0</v>
      </c>
      <c r="Y44" s="2">
        <v>87.0</v>
      </c>
      <c r="Z44" s="2">
        <v>0.0</v>
      </c>
      <c r="AA44" s="2">
        <v>0.0</v>
      </c>
      <c r="AB44" s="2">
        <v>0.0</v>
      </c>
      <c r="AC44" s="2">
        <v>64.0</v>
      </c>
      <c r="AD44" s="2">
        <v>48.0</v>
      </c>
      <c r="AE44" s="2">
        <v>86.0</v>
      </c>
      <c r="AF44" s="3">
        <f t="shared" si="4"/>
        <v>285</v>
      </c>
      <c r="AG44" s="3">
        <f t="shared" si="5"/>
        <v>0.4105263158</v>
      </c>
    </row>
  </sheetData>
  <mergeCells count="3">
    <mergeCell ref="B1:K1"/>
    <mergeCell ref="M1:V1"/>
    <mergeCell ref="W1:AF1"/>
  </mergeCells>
  <hyperlinks>
    <hyperlink r:id="rId1" ref="AI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52"/>
      <c r="E1" s="52" t="s">
        <v>1242</v>
      </c>
    </row>
    <row r="2">
      <c r="A2" s="11" t="s">
        <v>1227</v>
      </c>
      <c r="B2" s="11" t="s">
        <v>24</v>
      </c>
      <c r="C2" s="11" t="s">
        <v>15</v>
      </c>
      <c r="E2" s="11" t="s">
        <v>1243</v>
      </c>
      <c r="F2" s="19">
        <f>sumif('Staff Salaries'!C:C,"="&amp;$E2,'Staff Salaries'!B:B)-sumif('Staff Payments'!C:C,"="&amp;$E2,'Staff Payments'!B:B)</f>
        <v>0.87</v>
      </c>
      <c r="G2" s="19">
        <f>sumif('Staff Salaries'!C:C,"="&amp;$E2,'Staff Salaries'!B:B)</f>
        <v>25543</v>
      </c>
    </row>
    <row r="3">
      <c r="A3" s="27">
        <v>44742.0</v>
      </c>
      <c r="B3" s="11">
        <v>128.0</v>
      </c>
      <c r="C3" s="11" t="s">
        <v>1243</v>
      </c>
      <c r="E3" s="11" t="s">
        <v>1244</v>
      </c>
      <c r="F3" s="19">
        <f>sumif('Staff Salaries'!C:C,"="&amp;$E3,'Staff Salaries'!B:B)-sumif('Staff Payments'!C:C,"="&amp;$E3,'Staff Payments'!B:B)</f>
        <v>0</v>
      </c>
      <c r="G3" s="19">
        <f>sumif('Staff Salaries'!C:C,"="&amp;$E3,'Staff Salaries'!B:B)</f>
        <v>750</v>
      </c>
    </row>
    <row r="4">
      <c r="A4" s="27">
        <v>44773.0</v>
      </c>
      <c r="B4" s="11">
        <v>300.0</v>
      </c>
      <c r="C4" s="11" t="s">
        <v>1243</v>
      </c>
      <c r="E4" s="11" t="s">
        <v>1245</v>
      </c>
      <c r="F4" s="19">
        <f>sumif('Staff Salaries'!C:C,"="&amp;$E4,'Staff Salaries'!B:B)-sumif('Staff Payments'!C:C,"="&amp;$E4,'Staff Payments'!B:B)</f>
        <v>0</v>
      </c>
      <c r="G4" s="19">
        <f>sumif('Staff Salaries'!C:C,"="&amp;$E4,'Staff Salaries'!B:B)</f>
        <v>6100</v>
      </c>
    </row>
    <row r="5">
      <c r="A5" s="24">
        <v>44804.0</v>
      </c>
      <c r="B5" s="11">
        <v>300.0</v>
      </c>
      <c r="C5" s="11" t="s">
        <v>1243</v>
      </c>
    </row>
    <row r="6">
      <c r="A6" s="24">
        <v>44834.0</v>
      </c>
      <c r="B6" s="11">
        <v>300.0</v>
      </c>
      <c r="C6" s="11" t="s">
        <v>1243</v>
      </c>
    </row>
    <row r="7">
      <c r="A7" s="27">
        <v>44865.0</v>
      </c>
      <c r="B7" s="11">
        <v>300.0</v>
      </c>
      <c r="C7" s="11" t="s">
        <v>1243</v>
      </c>
    </row>
    <row r="8">
      <c r="A8" s="24">
        <v>44895.0</v>
      </c>
      <c r="B8" s="11">
        <v>300.0</v>
      </c>
      <c r="C8" s="11" t="s">
        <v>1243</v>
      </c>
    </row>
    <row r="9">
      <c r="A9" s="27">
        <v>44926.0</v>
      </c>
      <c r="B9" s="11">
        <v>300.0</v>
      </c>
      <c r="C9" s="11" t="s">
        <v>1243</v>
      </c>
    </row>
    <row r="10">
      <c r="A10" s="27">
        <v>44957.0</v>
      </c>
      <c r="B10" s="11">
        <v>300.0</v>
      </c>
      <c r="C10" s="11" t="s">
        <v>1243</v>
      </c>
    </row>
    <row r="11">
      <c r="A11" s="24">
        <v>44985.0</v>
      </c>
      <c r="B11" s="11">
        <v>300.0</v>
      </c>
      <c r="C11" s="11" t="s">
        <v>1243</v>
      </c>
    </row>
    <row r="12">
      <c r="A12" s="24">
        <v>45016.0</v>
      </c>
      <c r="B12" s="11">
        <v>300.0</v>
      </c>
      <c r="C12" s="11" t="s">
        <v>1243</v>
      </c>
    </row>
    <row r="13">
      <c r="A13" s="27">
        <v>45046.0</v>
      </c>
      <c r="B13" s="11">
        <v>300.0</v>
      </c>
      <c r="C13" s="11" t="s">
        <v>1243</v>
      </c>
    </row>
    <row r="14">
      <c r="A14" s="24">
        <v>45077.0</v>
      </c>
      <c r="B14" s="11">
        <v>300.0</v>
      </c>
      <c r="C14" s="11" t="s">
        <v>1243</v>
      </c>
    </row>
    <row r="15">
      <c r="A15" s="27">
        <v>45107.0</v>
      </c>
      <c r="B15" s="11">
        <v>300.0</v>
      </c>
      <c r="C15" s="11" t="s">
        <v>1243</v>
      </c>
    </row>
    <row r="16">
      <c r="A16" s="27">
        <v>45138.0</v>
      </c>
      <c r="B16" s="11">
        <v>300.0</v>
      </c>
      <c r="C16" s="11" t="s">
        <v>1243</v>
      </c>
    </row>
    <row r="17">
      <c r="A17" s="27">
        <v>45322.0</v>
      </c>
      <c r="B17" s="11">
        <v>150.0</v>
      </c>
      <c r="C17" s="11" t="s">
        <v>1244</v>
      </c>
    </row>
    <row r="18">
      <c r="A18" s="27">
        <v>45351.0</v>
      </c>
      <c r="B18" s="11">
        <v>150.0</v>
      </c>
      <c r="C18" s="11" t="s">
        <v>1244</v>
      </c>
    </row>
    <row r="19">
      <c r="A19" s="27">
        <v>45382.0</v>
      </c>
      <c r="B19" s="11">
        <v>150.0</v>
      </c>
      <c r="C19" s="11" t="s">
        <v>1244</v>
      </c>
    </row>
    <row r="20">
      <c r="A20" s="27">
        <v>45412.0</v>
      </c>
      <c r="B20" s="11">
        <v>150.0</v>
      </c>
      <c r="C20" s="11" t="s">
        <v>1244</v>
      </c>
    </row>
    <row r="21">
      <c r="A21" s="27">
        <v>45442.0</v>
      </c>
      <c r="B21" s="11">
        <v>150.0</v>
      </c>
      <c r="C21" s="11" t="s">
        <v>1244</v>
      </c>
    </row>
    <row r="22">
      <c r="A22" s="27">
        <v>45473.0</v>
      </c>
      <c r="B22" s="11">
        <v>792.0</v>
      </c>
      <c r="C22" s="11" t="s">
        <v>1243</v>
      </c>
    </row>
    <row r="23">
      <c r="A23" s="27">
        <v>45504.0</v>
      </c>
      <c r="B23" s="11">
        <v>822.0</v>
      </c>
      <c r="C23" s="11" t="s">
        <v>1243</v>
      </c>
    </row>
    <row r="24">
      <c r="A24" s="27">
        <v>45535.0</v>
      </c>
      <c r="B24" s="11">
        <v>2736.0</v>
      </c>
      <c r="C24" s="11" t="s">
        <v>1243</v>
      </c>
    </row>
    <row r="25">
      <c r="A25" s="27">
        <v>45565.0</v>
      </c>
      <c r="B25" s="11">
        <v>300.0</v>
      </c>
      <c r="C25" s="11" t="s">
        <v>1245</v>
      </c>
    </row>
    <row r="26">
      <c r="A26" s="27">
        <v>45565.0</v>
      </c>
      <c r="B26" s="11">
        <v>1565.0</v>
      </c>
      <c r="C26" s="11" t="s">
        <v>1243</v>
      </c>
    </row>
    <row r="27">
      <c r="A27" s="27">
        <v>45596.0</v>
      </c>
      <c r="B27" s="11">
        <v>300.0</v>
      </c>
      <c r="C27" s="11" t="s">
        <v>1245</v>
      </c>
    </row>
    <row r="28">
      <c r="A28" s="27">
        <v>45596.0</v>
      </c>
      <c r="B28" s="11">
        <v>1300.0</v>
      </c>
      <c r="C28" s="11" t="s">
        <v>1243</v>
      </c>
    </row>
    <row r="29">
      <c r="A29" s="27">
        <v>45626.0</v>
      </c>
      <c r="B29" s="11">
        <v>300.0</v>
      </c>
      <c r="C29" s="11" t="s">
        <v>1245</v>
      </c>
    </row>
    <row r="30">
      <c r="A30" s="27">
        <v>45626.0</v>
      </c>
      <c r="B30" s="11">
        <v>1300.0</v>
      </c>
      <c r="C30" s="11" t="s">
        <v>1243</v>
      </c>
    </row>
    <row r="31">
      <c r="A31" s="27">
        <v>45657.0</v>
      </c>
      <c r="B31" s="11">
        <v>400.0</v>
      </c>
      <c r="C31" s="11" t="s">
        <v>1245</v>
      </c>
    </row>
    <row r="32">
      <c r="A32" s="27">
        <v>45657.0</v>
      </c>
      <c r="B32" s="11">
        <v>1300.0</v>
      </c>
      <c r="C32" s="11" t="s">
        <v>1243</v>
      </c>
    </row>
    <row r="33">
      <c r="A33" s="27">
        <v>45688.0</v>
      </c>
      <c r="B33" s="11">
        <v>400.0</v>
      </c>
      <c r="C33" s="11" t="s">
        <v>1245</v>
      </c>
    </row>
    <row r="34">
      <c r="A34" s="27">
        <v>45688.0</v>
      </c>
      <c r="B34" s="11">
        <v>1300.0</v>
      </c>
      <c r="C34" s="11" t="s">
        <v>1243</v>
      </c>
    </row>
    <row r="35">
      <c r="A35" s="27">
        <v>45473.0</v>
      </c>
      <c r="B35" s="11">
        <v>800.0</v>
      </c>
      <c r="C35" s="11" t="s">
        <v>1228</v>
      </c>
    </row>
    <row r="36">
      <c r="A36" s="27">
        <v>45504.0</v>
      </c>
      <c r="B36" s="11">
        <v>800.0</v>
      </c>
      <c r="C36" s="11" t="s">
        <v>1228</v>
      </c>
    </row>
    <row r="37">
      <c r="A37" s="27">
        <v>45716.0</v>
      </c>
      <c r="B37" s="11">
        <v>400.0</v>
      </c>
      <c r="C37" s="11" t="s">
        <v>1245</v>
      </c>
    </row>
    <row r="38">
      <c r="A38" s="27">
        <v>45716.0</v>
      </c>
      <c r="B38" s="11">
        <v>1300.0</v>
      </c>
      <c r="C38" s="11" t="s">
        <v>1243</v>
      </c>
    </row>
    <row r="39">
      <c r="A39" s="27">
        <v>45747.0</v>
      </c>
      <c r="B39" s="11">
        <v>400.0</v>
      </c>
      <c r="C39" s="11" t="s">
        <v>1245</v>
      </c>
    </row>
    <row r="40">
      <c r="A40" s="27">
        <v>45747.0</v>
      </c>
      <c r="B40" s="11">
        <v>1300.0</v>
      </c>
      <c r="C40" s="11" t="s">
        <v>1243</v>
      </c>
    </row>
    <row r="41">
      <c r="A41" s="27">
        <v>45777.0</v>
      </c>
      <c r="B41" s="11">
        <v>400.0</v>
      </c>
      <c r="C41" s="11" t="s">
        <v>1245</v>
      </c>
    </row>
    <row r="42">
      <c r="A42" s="27">
        <v>45777.0</v>
      </c>
      <c r="B42" s="11">
        <v>1300.0</v>
      </c>
      <c r="C42" s="11" t="s">
        <v>1243</v>
      </c>
    </row>
    <row r="43">
      <c r="A43" s="27">
        <v>45808.0</v>
      </c>
      <c r="B43" s="11">
        <v>400.0</v>
      </c>
      <c r="C43" s="11" t="s">
        <v>1245</v>
      </c>
    </row>
    <row r="44">
      <c r="A44" s="27">
        <v>45808.0</v>
      </c>
      <c r="B44" s="11">
        <v>1300.0</v>
      </c>
      <c r="C44" s="11" t="s">
        <v>1243</v>
      </c>
    </row>
    <row r="45">
      <c r="A45" s="27">
        <v>45838.0</v>
      </c>
      <c r="B45" s="11">
        <v>400.0</v>
      </c>
      <c r="C45" s="11" t="s">
        <v>1245</v>
      </c>
    </row>
    <row r="46">
      <c r="A46" s="27">
        <v>45838.0</v>
      </c>
      <c r="B46" s="11">
        <v>1300.0</v>
      </c>
      <c r="C46" s="11" t="s">
        <v>1243</v>
      </c>
    </row>
    <row r="47">
      <c r="A47" s="27">
        <v>45869.0</v>
      </c>
      <c r="B47" s="11">
        <v>400.0</v>
      </c>
      <c r="C47" s="11" t="s">
        <v>1245</v>
      </c>
    </row>
    <row r="48">
      <c r="A48" s="27">
        <v>45869.0</v>
      </c>
      <c r="B48" s="11">
        <v>1300.0</v>
      </c>
      <c r="C48" s="11" t="s">
        <v>1243</v>
      </c>
    </row>
    <row r="49">
      <c r="A49" s="27">
        <v>45900.0</v>
      </c>
      <c r="B49" s="11">
        <v>400.0</v>
      </c>
      <c r="C49" s="11" t="s">
        <v>1245</v>
      </c>
    </row>
    <row r="50">
      <c r="A50" s="27">
        <v>45900.0</v>
      </c>
      <c r="B50" s="11">
        <v>1300.0</v>
      </c>
      <c r="C50" s="11" t="s">
        <v>1243</v>
      </c>
    </row>
    <row r="51">
      <c r="A51" s="27">
        <v>45930.0</v>
      </c>
      <c r="B51" s="11">
        <v>400.0</v>
      </c>
      <c r="C51" s="11" t="s">
        <v>1245</v>
      </c>
    </row>
    <row r="52">
      <c r="A52" s="27">
        <v>45930.0</v>
      </c>
      <c r="B52" s="11">
        <v>1300.0</v>
      </c>
      <c r="C52" s="11" t="s">
        <v>1243</v>
      </c>
    </row>
    <row r="53">
      <c r="A53" s="27">
        <v>45961.0</v>
      </c>
      <c r="B53" s="11">
        <v>400.0</v>
      </c>
      <c r="C53" s="11" t="s">
        <v>1245</v>
      </c>
    </row>
    <row r="54">
      <c r="A54" s="27">
        <v>45991.0</v>
      </c>
      <c r="B54" s="11">
        <v>400.0</v>
      </c>
      <c r="C54" s="11" t="s">
        <v>1245</v>
      </c>
    </row>
    <row r="55">
      <c r="A55" s="27">
        <v>46022.0</v>
      </c>
      <c r="B55" s="11">
        <v>400.0</v>
      </c>
      <c r="C55" s="11" t="s">
        <v>1245</v>
      </c>
    </row>
  </sheetData>
  <mergeCells count="1">
    <mergeCell ref="E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4" max="4" width="9.63"/>
    <col customWidth="1" min="5" max="5" width="17.0"/>
  </cols>
  <sheetData>
    <row r="1">
      <c r="A1" s="11" t="s">
        <v>1246</v>
      </c>
      <c r="B1" s="11" t="s">
        <v>1247</v>
      </c>
      <c r="C1" s="11" t="s">
        <v>1248</v>
      </c>
      <c r="D1" s="11" t="s">
        <v>1249</v>
      </c>
      <c r="E1" s="11" t="s">
        <v>1250</v>
      </c>
    </row>
    <row r="2">
      <c r="A2" s="11" t="s">
        <v>1228</v>
      </c>
      <c r="B2" s="53">
        <f>sum('Teacher Salaries'!M:M)+sumif('Staff Salaries'!C:C,"="&amp;$A2,'Staff Salaries'!B:B)-sumif('Staff Payments'!C:C,"="&amp;$A2,'Staff Payments'!B:B)</f>
        <v>0</v>
      </c>
      <c r="C2" s="53">
        <f>sum(B2:B10)</f>
        <v>42</v>
      </c>
      <c r="D2" s="53">
        <f>sum(B:B)</f>
        <v>42.87</v>
      </c>
      <c r="E2" s="11">
        <v>0.0</v>
      </c>
    </row>
    <row r="3">
      <c r="A3" s="11" t="s">
        <v>1230</v>
      </c>
      <c r="B3" s="53">
        <f>sum('Teacher Salaries'!O:O)-sumif('Staff Payments'!C:C,"="&amp;$A3,'Staff Payments'!B:B)</f>
        <v>0</v>
      </c>
    </row>
    <row r="4">
      <c r="A4" s="11" t="s">
        <v>1229</v>
      </c>
      <c r="B4" s="53">
        <f>sum('Teacher Salaries'!N:N)-sumif('Staff Payments'!C:C,"="&amp;$A4,'Staff Payments'!B:B)</f>
        <v>0</v>
      </c>
    </row>
    <row r="5">
      <c r="A5" s="11" t="s">
        <v>1231</v>
      </c>
      <c r="B5" s="53">
        <f>sum('Teacher Salaries'!P:P)-sumif('Staff Payments'!C:C,"="&amp;$A5,'Staff Payments'!B:B)</f>
        <v>0</v>
      </c>
    </row>
    <row r="6">
      <c r="A6" s="11" t="s">
        <v>1232</v>
      </c>
      <c r="B6" s="53">
        <f>sum('Teacher Salaries'!Q:Q)-sumif('Staff Payments'!C:C,"="&amp;$A6,'Staff Payments'!B:B)</f>
        <v>42</v>
      </c>
    </row>
    <row r="7">
      <c r="A7" s="11" t="s">
        <v>1233</v>
      </c>
      <c r="B7" s="53">
        <f>sum('Teacher Salaries'!R:R)-sumif('Staff Payments'!C:C,"="&amp;$A7,'Staff Payments'!B:B)</f>
        <v>0</v>
      </c>
    </row>
    <row r="8">
      <c r="A8" s="11" t="s">
        <v>1234</v>
      </c>
      <c r="B8" s="53">
        <f>sum('Teacher Salaries'!S:S)-sumif('Staff Payments'!C:C,"="&amp;$A8,'Staff Payments'!B:B)</f>
        <v>0</v>
      </c>
    </row>
    <row r="9">
      <c r="A9" s="11" t="s">
        <v>1236</v>
      </c>
      <c r="B9" s="53">
        <f>sum('Teacher Salaries'!U:U)-sumif('Staff Payments'!C:C,"="&amp;$A9,'Staff Payments'!B:B)</f>
        <v>0</v>
      </c>
    </row>
    <row r="10">
      <c r="A10" s="11" t="s">
        <v>1235</v>
      </c>
      <c r="B10" s="53">
        <f>sum('Teacher Salaries'!T:T)-sumif('Staff Payments'!C:C,"="&amp;$A10,'Staff Payments'!B:B)</f>
        <v>0</v>
      </c>
    </row>
    <row r="11">
      <c r="A11" s="11" t="s">
        <v>1245</v>
      </c>
      <c r="B11" s="19">
        <f>sumif('Staff Salaries'!C:C,"="&amp;$A11,'Staff Salaries'!B:B)-sumif('Staff Payments'!C:C,"="&amp;$A11,'Staff Payments'!B:B)</f>
        <v>0</v>
      </c>
    </row>
    <row r="12">
      <c r="A12" s="11" t="s">
        <v>1243</v>
      </c>
      <c r="B12" s="19">
        <f>sumif('Staff Salaries'!C:C,"="&amp;$A12,'Staff Salaries'!B:B)-sumif('Staff Payments'!C:C,"="&amp;$A12,'Staff Payments'!B:B)</f>
        <v>0.87</v>
      </c>
    </row>
    <row r="13">
      <c r="A13" s="11" t="s">
        <v>1244</v>
      </c>
      <c r="B13" s="19">
        <f>sumif('Staff Salaries'!C:C,"="&amp;$A13,'Staff Salaries'!B:B)-sumif('Staff Payments'!C:C,"="&amp;$A13,'Staff Payments'!B:B)</f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1100</v>
      </c>
      <c r="B1" s="11" t="s">
        <v>16</v>
      </c>
      <c r="C1" s="11" t="s">
        <v>15</v>
      </c>
    </row>
    <row r="2">
      <c r="A2" s="27">
        <v>44615.0</v>
      </c>
      <c r="B2" s="11">
        <v>100.0</v>
      </c>
      <c r="C2" s="11" t="s">
        <v>1228</v>
      </c>
    </row>
    <row r="3">
      <c r="A3" s="24">
        <v>44785.0</v>
      </c>
      <c r="B3" s="11">
        <v>550.0</v>
      </c>
      <c r="C3" s="11" t="s">
        <v>1243</v>
      </c>
    </row>
    <row r="4">
      <c r="A4" s="24">
        <v>44788.0</v>
      </c>
      <c r="B4" s="11">
        <v>510.0</v>
      </c>
      <c r="C4" s="11" t="s">
        <v>1228</v>
      </c>
    </row>
    <row r="5">
      <c r="A5" s="24">
        <v>44788.0</v>
      </c>
      <c r="B5" s="11">
        <v>90.0</v>
      </c>
      <c r="C5" s="11" t="s">
        <v>1230</v>
      </c>
    </row>
    <row r="6">
      <c r="A6" s="24">
        <v>44805.0</v>
      </c>
      <c r="B6" s="11">
        <v>100.0</v>
      </c>
      <c r="C6" s="11" t="s">
        <v>1228</v>
      </c>
    </row>
    <row r="7">
      <c r="A7" s="24">
        <v>44816.0</v>
      </c>
      <c r="B7" s="11">
        <v>100.0</v>
      </c>
      <c r="C7" s="11" t="s">
        <v>1228</v>
      </c>
    </row>
    <row r="8">
      <c r="A8" s="24">
        <v>44833.0</v>
      </c>
      <c r="B8" s="11">
        <v>100.0</v>
      </c>
      <c r="C8" s="11" t="s">
        <v>1243</v>
      </c>
    </row>
    <row r="9">
      <c r="A9" s="27">
        <v>44833.0</v>
      </c>
      <c r="B9" s="11">
        <v>300.0</v>
      </c>
      <c r="C9" s="11" t="s">
        <v>1228</v>
      </c>
    </row>
    <row r="10">
      <c r="A10" s="27">
        <v>44838.0</v>
      </c>
      <c r="B10" s="11">
        <v>400.0</v>
      </c>
      <c r="C10" s="11" t="s">
        <v>1230</v>
      </c>
    </row>
    <row r="11">
      <c r="A11" s="27">
        <v>44841.0</v>
      </c>
      <c r="B11" s="11">
        <v>200.0</v>
      </c>
      <c r="C11" s="11" t="s">
        <v>1228</v>
      </c>
    </row>
    <row r="12">
      <c r="A12" s="27">
        <v>44841.0</v>
      </c>
      <c r="B12" s="11">
        <v>400.0</v>
      </c>
      <c r="C12" s="11" t="s">
        <v>1243</v>
      </c>
    </row>
    <row r="13">
      <c r="A13" s="27">
        <v>44846.0</v>
      </c>
      <c r="B13" s="11">
        <v>200.0</v>
      </c>
      <c r="C13" s="11" t="s">
        <v>1228</v>
      </c>
    </row>
    <row r="14">
      <c r="A14" s="27">
        <v>44851.0</v>
      </c>
      <c r="B14" s="11">
        <v>100.0</v>
      </c>
      <c r="C14" s="11" t="s">
        <v>1243</v>
      </c>
    </row>
    <row r="15">
      <c r="A15" s="27">
        <v>44874.0</v>
      </c>
      <c r="B15" s="11">
        <v>435.0</v>
      </c>
      <c r="C15" s="11" t="s">
        <v>1230</v>
      </c>
    </row>
    <row r="16">
      <c r="A16" s="27">
        <v>44886.0</v>
      </c>
      <c r="B16" s="11">
        <v>100.0</v>
      </c>
      <c r="C16" s="11" t="s">
        <v>1228</v>
      </c>
    </row>
    <row r="17">
      <c r="A17" s="27">
        <v>44886.0</v>
      </c>
      <c r="B17" s="11">
        <v>200.0</v>
      </c>
      <c r="C17" s="11" t="s">
        <v>1243</v>
      </c>
    </row>
    <row r="18">
      <c r="A18" s="27">
        <v>44895.0</v>
      </c>
      <c r="B18" s="11">
        <v>393.93</v>
      </c>
      <c r="C18" s="11" t="s">
        <v>1228</v>
      </c>
    </row>
    <row r="19">
      <c r="A19" s="27">
        <v>44898.0</v>
      </c>
      <c r="B19" s="11">
        <v>320.0</v>
      </c>
      <c r="C19" s="11" t="s">
        <v>1230</v>
      </c>
    </row>
    <row r="20">
      <c r="A20" s="27">
        <v>44900.0</v>
      </c>
      <c r="B20" s="11">
        <v>390.0</v>
      </c>
      <c r="C20" s="11" t="s">
        <v>1243</v>
      </c>
    </row>
    <row r="21">
      <c r="A21" s="27">
        <v>44917.0</v>
      </c>
      <c r="B21" s="11">
        <v>500.0</v>
      </c>
      <c r="C21" s="11" t="s">
        <v>1230</v>
      </c>
    </row>
    <row r="22">
      <c r="A22" s="27">
        <v>44917.0</v>
      </c>
      <c r="B22" s="11">
        <v>-80.0</v>
      </c>
      <c r="C22" s="11" t="s">
        <v>1243</v>
      </c>
    </row>
    <row r="23">
      <c r="A23" s="27">
        <v>44922.0</v>
      </c>
      <c r="B23" s="11">
        <v>100.0</v>
      </c>
      <c r="C23" s="11" t="s">
        <v>1243</v>
      </c>
    </row>
    <row r="24">
      <c r="A24" s="27">
        <v>44943.0</v>
      </c>
      <c r="B24" s="11">
        <v>100.0</v>
      </c>
      <c r="C24" s="11" t="s">
        <v>1243</v>
      </c>
    </row>
    <row r="25">
      <c r="A25" s="27">
        <v>44944.0</v>
      </c>
      <c r="B25" s="11">
        <v>400.0</v>
      </c>
      <c r="C25" s="11" t="s">
        <v>1228</v>
      </c>
    </row>
    <row r="26">
      <c r="A26" s="27">
        <v>44951.0</v>
      </c>
      <c r="B26" s="11">
        <v>600.0</v>
      </c>
      <c r="C26" s="11" t="s">
        <v>1228</v>
      </c>
    </row>
    <row r="27">
      <c r="A27" s="27">
        <v>44955.0</v>
      </c>
      <c r="B27" s="11">
        <v>400.0</v>
      </c>
      <c r="C27" s="11" t="s">
        <v>1243</v>
      </c>
    </row>
    <row r="28">
      <c r="A28" s="27">
        <v>44965.0</v>
      </c>
      <c r="B28" s="11">
        <v>900.0</v>
      </c>
      <c r="C28" s="11" t="s">
        <v>1230</v>
      </c>
    </row>
    <row r="29">
      <c r="A29" s="27">
        <v>44984.0</v>
      </c>
      <c r="B29" s="11">
        <v>650.0</v>
      </c>
      <c r="C29" s="11" t="s">
        <v>1228</v>
      </c>
    </row>
    <row r="30">
      <c r="A30" s="27">
        <v>44984.0</v>
      </c>
      <c r="B30" s="11">
        <v>310.0</v>
      </c>
      <c r="C30" s="11" t="s">
        <v>1243</v>
      </c>
    </row>
    <row r="31">
      <c r="A31" s="27">
        <v>44993.0</v>
      </c>
      <c r="B31" s="11">
        <v>1020.0</v>
      </c>
      <c r="C31" s="11" t="s">
        <v>1230</v>
      </c>
    </row>
    <row r="32">
      <c r="A32" s="27">
        <v>45013.0</v>
      </c>
      <c r="B32" s="11">
        <v>600.0</v>
      </c>
      <c r="C32" s="11" t="s">
        <v>1228</v>
      </c>
    </row>
    <row r="33">
      <c r="A33" s="27">
        <v>45023.0</v>
      </c>
      <c r="B33" s="11">
        <v>280.0</v>
      </c>
      <c r="C33" s="11" t="s">
        <v>1243</v>
      </c>
    </row>
    <row r="34">
      <c r="A34" s="27">
        <v>45028.0</v>
      </c>
      <c r="B34" s="11">
        <v>1050.0</v>
      </c>
      <c r="C34" s="11" t="s">
        <v>1230</v>
      </c>
    </row>
    <row r="35">
      <c r="A35" s="27">
        <v>45048.0</v>
      </c>
      <c r="B35" s="11">
        <v>300.0</v>
      </c>
      <c r="C35" s="11" t="s">
        <v>1243</v>
      </c>
    </row>
    <row r="36">
      <c r="A36" s="27">
        <v>45054.0</v>
      </c>
      <c r="B36" s="11">
        <v>600.0</v>
      </c>
      <c r="C36" s="11" t="s">
        <v>1228</v>
      </c>
    </row>
    <row r="37">
      <c r="A37" s="27">
        <v>45055.0</v>
      </c>
      <c r="B37" s="11">
        <v>-9.0</v>
      </c>
      <c r="C37" s="11" t="s">
        <v>1243</v>
      </c>
    </row>
    <row r="38">
      <c r="A38" s="27">
        <v>45055.0</v>
      </c>
      <c r="B38" s="11">
        <v>809.0</v>
      </c>
      <c r="C38" s="11" t="s">
        <v>1230</v>
      </c>
    </row>
    <row r="39">
      <c r="A39" s="27">
        <v>45077.0</v>
      </c>
      <c r="B39" s="11">
        <v>600.0</v>
      </c>
      <c r="C39" s="11" t="s">
        <v>1228</v>
      </c>
    </row>
    <row r="40">
      <c r="A40" s="27">
        <v>45085.0</v>
      </c>
      <c r="B40" s="11">
        <v>1000.0</v>
      </c>
      <c r="C40" s="11" t="s">
        <v>1230</v>
      </c>
    </row>
    <row r="41">
      <c r="A41" s="27">
        <v>45090.0</v>
      </c>
      <c r="B41" s="11">
        <v>500.0</v>
      </c>
      <c r="C41" s="11" t="s">
        <v>1228</v>
      </c>
    </row>
    <row r="42">
      <c r="A42" s="27">
        <v>45097.0</v>
      </c>
      <c r="B42" s="11">
        <v>300.0</v>
      </c>
      <c r="C42" s="11" t="s">
        <v>1243</v>
      </c>
    </row>
    <row r="43">
      <c r="A43" s="27">
        <v>45122.0</v>
      </c>
      <c r="B43" s="11">
        <v>900.0</v>
      </c>
      <c r="C43" s="11" t="s">
        <v>1230</v>
      </c>
    </row>
    <row r="44">
      <c r="A44" s="27">
        <v>45128.0</v>
      </c>
      <c r="B44" s="11">
        <v>225.0</v>
      </c>
      <c r="C44" s="11" t="s">
        <v>1229</v>
      </c>
    </row>
    <row r="45">
      <c r="A45" s="27">
        <v>45128.0</v>
      </c>
      <c r="B45" s="11">
        <v>200.0</v>
      </c>
      <c r="C45" s="11" t="s">
        <v>1231</v>
      </c>
    </row>
    <row r="46">
      <c r="A46" s="27">
        <v>45138.0</v>
      </c>
      <c r="B46" s="11">
        <v>-73.93</v>
      </c>
      <c r="C46" s="11" t="s">
        <v>1228</v>
      </c>
    </row>
    <row r="47">
      <c r="A47" s="27">
        <v>45138.0</v>
      </c>
      <c r="B47" s="11">
        <v>587.0</v>
      </c>
      <c r="C47" s="11" t="s">
        <v>1243</v>
      </c>
    </row>
    <row r="48">
      <c r="A48" s="27">
        <v>45156.0</v>
      </c>
      <c r="B48" s="11">
        <v>300.0</v>
      </c>
      <c r="C48" s="11" t="s">
        <v>1232</v>
      </c>
    </row>
    <row r="49">
      <c r="A49" s="27">
        <v>45157.0</v>
      </c>
      <c r="B49" s="11">
        <v>500.0</v>
      </c>
      <c r="C49" s="11" t="s">
        <v>1230</v>
      </c>
    </row>
    <row r="50">
      <c r="A50" s="27">
        <v>45168.0</v>
      </c>
      <c r="B50" s="11">
        <v>200.0</v>
      </c>
      <c r="C50" s="11" t="s">
        <v>1233</v>
      </c>
    </row>
    <row r="51">
      <c r="A51" s="27">
        <v>45168.0</v>
      </c>
      <c r="B51" s="11">
        <v>200.0</v>
      </c>
      <c r="C51" s="11" t="s">
        <v>1231</v>
      </c>
    </row>
    <row r="52">
      <c r="A52" s="27">
        <v>45196.0</v>
      </c>
      <c r="B52" s="11">
        <v>200.0</v>
      </c>
      <c r="C52" s="11" t="s">
        <v>1232</v>
      </c>
    </row>
    <row r="53">
      <c r="A53" s="27">
        <v>45196.0</v>
      </c>
      <c r="B53" s="11">
        <v>271.0</v>
      </c>
      <c r="C53" s="11" t="s">
        <v>1230</v>
      </c>
    </row>
    <row r="54">
      <c r="A54" s="27">
        <v>45200.0</v>
      </c>
      <c r="B54" s="11">
        <v>1200.0</v>
      </c>
      <c r="C54" s="11" t="s">
        <v>1230</v>
      </c>
    </row>
    <row r="55">
      <c r="A55" s="27">
        <v>45200.0</v>
      </c>
      <c r="B55" s="11">
        <v>200.0</v>
      </c>
      <c r="C55" s="11" t="s">
        <v>1233</v>
      </c>
    </row>
    <row r="56">
      <c r="A56" s="27">
        <v>45226.0</v>
      </c>
      <c r="B56" s="11">
        <v>1200.0</v>
      </c>
      <c r="C56" s="11" t="s">
        <v>1230</v>
      </c>
    </row>
    <row r="57">
      <c r="A57" s="27">
        <v>45226.0</v>
      </c>
      <c r="B57" s="11">
        <v>200.0</v>
      </c>
      <c r="C57" s="11" t="s">
        <v>1233</v>
      </c>
    </row>
    <row r="58">
      <c r="A58" s="27">
        <v>45226.0</v>
      </c>
      <c r="B58" s="11">
        <v>200.0</v>
      </c>
      <c r="C58" s="11" t="s">
        <v>1232</v>
      </c>
    </row>
    <row r="59">
      <c r="A59" s="27">
        <v>45260.0</v>
      </c>
      <c r="B59" s="11">
        <v>1200.0</v>
      </c>
      <c r="C59" s="11" t="s">
        <v>1230</v>
      </c>
    </row>
    <row r="60">
      <c r="A60" s="27">
        <v>45260.0</v>
      </c>
      <c r="B60" s="11">
        <v>300.0</v>
      </c>
      <c r="C60" s="11" t="s">
        <v>1233</v>
      </c>
    </row>
    <row r="61">
      <c r="A61" s="27">
        <v>45260.0</v>
      </c>
      <c r="B61" s="11">
        <v>200.0</v>
      </c>
      <c r="C61" s="11" t="s">
        <v>1232</v>
      </c>
    </row>
    <row r="62">
      <c r="A62" s="27">
        <v>45290.0</v>
      </c>
      <c r="B62" s="54">
        <v>356.0</v>
      </c>
      <c r="C62" s="11" t="s">
        <v>1233</v>
      </c>
    </row>
    <row r="63">
      <c r="A63" s="27">
        <v>45290.0</v>
      </c>
      <c r="B63" s="11">
        <v>200.0</v>
      </c>
      <c r="C63" s="11" t="s">
        <v>1232</v>
      </c>
    </row>
    <row r="64">
      <c r="A64" s="27">
        <v>45290.0</v>
      </c>
      <c r="B64" s="11">
        <v>200.0</v>
      </c>
      <c r="C64" s="11" t="s">
        <v>1234</v>
      </c>
    </row>
    <row r="65">
      <c r="A65" s="27">
        <v>45290.0</v>
      </c>
      <c r="B65" s="11">
        <v>1200.0</v>
      </c>
      <c r="C65" s="11" t="s">
        <v>1230</v>
      </c>
    </row>
    <row r="66">
      <c r="A66" s="24">
        <v>45320.0</v>
      </c>
      <c r="B66" s="11">
        <v>1200.0</v>
      </c>
      <c r="C66" s="11" t="s">
        <v>1230</v>
      </c>
    </row>
    <row r="67">
      <c r="A67" s="24">
        <v>45323.0</v>
      </c>
      <c r="B67" s="11">
        <v>600.0</v>
      </c>
      <c r="C67" s="11" t="s">
        <v>1234</v>
      </c>
    </row>
    <row r="68">
      <c r="A68" s="24">
        <v>45325.0</v>
      </c>
      <c r="B68" s="11">
        <v>300.0</v>
      </c>
      <c r="C68" s="11" t="s">
        <v>1233</v>
      </c>
    </row>
    <row r="69">
      <c r="A69" s="24">
        <v>45344.0</v>
      </c>
      <c r="B69" s="11">
        <v>100.0</v>
      </c>
      <c r="C69" s="11" t="s">
        <v>1232</v>
      </c>
    </row>
    <row r="70">
      <c r="A70" s="24">
        <v>45356.0</v>
      </c>
      <c r="B70" s="11">
        <v>300.0</v>
      </c>
      <c r="C70" s="11" t="s">
        <v>1244</v>
      </c>
    </row>
    <row r="71">
      <c r="A71" s="24">
        <v>45356.0</v>
      </c>
      <c r="B71" s="11">
        <v>1200.0</v>
      </c>
      <c r="C71" s="11" t="s">
        <v>1230</v>
      </c>
    </row>
    <row r="72">
      <c r="A72" s="24">
        <v>45356.0</v>
      </c>
      <c r="B72" s="11">
        <v>600.0</v>
      </c>
      <c r="C72" s="11" t="s">
        <v>1234</v>
      </c>
    </row>
    <row r="73">
      <c r="A73" s="24">
        <v>45356.0</v>
      </c>
      <c r="B73" s="11">
        <v>184.0</v>
      </c>
      <c r="C73" s="11" t="s">
        <v>1233</v>
      </c>
    </row>
    <row r="74">
      <c r="A74" s="24">
        <v>45385.0</v>
      </c>
      <c r="B74" s="11">
        <v>600.0</v>
      </c>
      <c r="C74" s="11" t="s">
        <v>1234</v>
      </c>
    </row>
    <row r="75">
      <c r="A75" s="24">
        <v>45385.0</v>
      </c>
      <c r="B75" s="11">
        <v>92.0</v>
      </c>
      <c r="C75" s="11" t="s">
        <v>1232</v>
      </c>
    </row>
    <row r="76">
      <c r="A76" s="24">
        <v>45385.0</v>
      </c>
      <c r="B76" s="11">
        <v>1230.0</v>
      </c>
      <c r="C76" s="11" t="s">
        <v>1230</v>
      </c>
    </row>
    <row r="77">
      <c r="A77" s="24">
        <v>45385.0</v>
      </c>
      <c r="B77" s="11">
        <v>112.0</v>
      </c>
      <c r="C77" s="11" t="s">
        <v>1232</v>
      </c>
    </row>
    <row r="78">
      <c r="A78" s="24">
        <v>45385.0</v>
      </c>
      <c r="B78" s="11">
        <v>150.0</v>
      </c>
      <c r="C78" s="11" t="s">
        <v>1244</v>
      </c>
    </row>
    <row r="79">
      <c r="A79" s="24">
        <v>45415.0</v>
      </c>
      <c r="B79" s="11">
        <v>1190.0</v>
      </c>
      <c r="C79" s="11" t="s">
        <v>1230</v>
      </c>
    </row>
    <row r="80">
      <c r="A80" s="24">
        <v>45415.0</v>
      </c>
      <c r="B80" s="11">
        <v>600.0</v>
      </c>
      <c r="C80" s="11" t="s">
        <v>1234</v>
      </c>
    </row>
    <row r="81">
      <c r="A81" s="24">
        <v>45415.0</v>
      </c>
      <c r="B81" s="11">
        <v>380.0</v>
      </c>
      <c r="C81" s="11" t="s">
        <v>1233</v>
      </c>
    </row>
    <row r="82">
      <c r="A82" s="24">
        <v>45415.0</v>
      </c>
      <c r="B82" s="11">
        <v>140.0</v>
      </c>
      <c r="C82" s="11" t="s">
        <v>1232</v>
      </c>
    </row>
    <row r="83">
      <c r="A83" s="24">
        <v>45415.0</v>
      </c>
      <c r="B83" s="11">
        <v>150.0</v>
      </c>
      <c r="C83" s="11" t="s">
        <v>1244</v>
      </c>
    </row>
    <row r="84">
      <c r="A84" s="24">
        <v>45447.0</v>
      </c>
      <c r="B84" s="11">
        <v>600.0</v>
      </c>
      <c r="C84" s="11" t="s">
        <v>1234</v>
      </c>
    </row>
    <row r="85">
      <c r="A85" s="24">
        <v>45447.0</v>
      </c>
      <c r="B85" s="11">
        <v>180.0</v>
      </c>
      <c r="C85" s="11" t="s">
        <v>1232</v>
      </c>
    </row>
    <row r="86">
      <c r="A86" s="24">
        <v>45447.0</v>
      </c>
      <c r="B86" s="11">
        <v>260.0</v>
      </c>
      <c r="C86" s="11" t="s">
        <v>1233</v>
      </c>
    </row>
    <row r="87">
      <c r="A87" s="24">
        <v>45447.0</v>
      </c>
      <c r="B87" s="11">
        <v>375.0</v>
      </c>
      <c r="C87" s="11" t="s">
        <v>1235</v>
      </c>
    </row>
    <row r="88">
      <c r="A88" s="24">
        <v>45447.0</v>
      </c>
      <c r="B88" s="11">
        <v>150.0</v>
      </c>
      <c r="C88" s="11" t="s">
        <v>1244</v>
      </c>
    </row>
    <row r="89">
      <c r="A89" s="24">
        <v>45447.0</v>
      </c>
      <c r="B89" s="11">
        <v>1230.0</v>
      </c>
      <c r="C89" s="11" t="s">
        <v>1230</v>
      </c>
    </row>
    <row r="90">
      <c r="A90" s="24">
        <v>45475.0</v>
      </c>
      <c r="B90" s="11">
        <v>1180.0</v>
      </c>
      <c r="C90" s="11" t="s">
        <v>1230</v>
      </c>
    </row>
    <row r="91">
      <c r="A91" s="24">
        <v>45475.0</v>
      </c>
      <c r="B91" s="11">
        <v>45.0</v>
      </c>
      <c r="C91" s="11" t="s">
        <v>1232</v>
      </c>
    </row>
    <row r="92">
      <c r="A92" s="24">
        <v>45475.0</v>
      </c>
      <c r="B92" s="11">
        <v>375.0</v>
      </c>
      <c r="C92" s="11" t="s">
        <v>1235</v>
      </c>
    </row>
    <row r="93">
      <c r="A93" s="24">
        <v>45475.0</v>
      </c>
      <c r="B93" s="11">
        <v>200.0</v>
      </c>
      <c r="C93" s="11" t="s">
        <v>1233</v>
      </c>
    </row>
    <row r="94">
      <c r="A94" s="24">
        <v>45475.0</v>
      </c>
      <c r="B94" s="11">
        <v>600.0</v>
      </c>
      <c r="C94" s="11" t="s">
        <v>1234</v>
      </c>
    </row>
    <row r="95">
      <c r="A95" s="24">
        <v>45506.0</v>
      </c>
      <c r="B95" s="11">
        <v>600.0</v>
      </c>
      <c r="C95" s="11" t="s">
        <v>1234</v>
      </c>
    </row>
    <row r="96">
      <c r="A96" s="24">
        <v>45506.0</v>
      </c>
      <c r="B96" s="11">
        <v>1180.0</v>
      </c>
      <c r="C96" s="11" t="s">
        <v>1230</v>
      </c>
    </row>
    <row r="97">
      <c r="A97" s="24">
        <v>45506.0</v>
      </c>
      <c r="B97" s="11">
        <v>375.0</v>
      </c>
      <c r="C97" s="11" t="s">
        <v>1235</v>
      </c>
    </row>
    <row r="98">
      <c r="A98" s="24">
        <v>45538.0</v>
      </c>
      <c r="B98" s="11">
        <v>1180.0</v>
      </c>
      <c r="C98" s="11" t="s">
        <v>1230</v>
      </c>
    </row>
    <row r="99">
      <c r="A99" s="24">
        <v>45538.0</v>
      </c>
      <c r="B99" s="11">
        <v>580.0</v>
      </c>
      <c r="C99" s="11" t="s">
        <v>1234</v>
      </c>
    </row>
    <row r="100">
      <c r="A100" s="24">
        <v>45538.0</v>
      </c>
      <c r="B100" s="11">
        <v>375.0</v>
      </c>
      <c r="C100" s="11" t="s">
        <v>1235</v>
      </c>
    </row>
    <row r="101">
      <c r="A101" s="27">
        <v>45473.0</v>
      </c>
      <c r="B101" s="11">
        <v>792.0</v>
      </c>
      <c r="C101" s="11" t="s">
        <v>1243</v>
      </c>
    </row>
    <row r="102">
      <c r="A102" s="27">
        <v>45504.0</v>
      </c>
      <c r="B102" s="11">
        <v>822.0</v>
      </c>
      <c r="C102" s="11" t="s">
        <v>1243</v>
      </c>
    </row>
    <row r="103">
      <c r="A103" s="27">
        <v>45535.0</v>
      </c>
      <c r="B103" s="11">
        <v>2736.0</v>
      </c>
      <c r="C103" s="11" t="s">
        <v>1243</v>
      </c>
    </row>
    <row r="104">
      <c r="A104" s="27">
        <v>45535.0</v>
      </c>
      <c r="B104" s="11">
        <v>-40.0</v>
      </c>
      <c r="C104" s="11" t="s">
        <v>1233</v>
      </c>
      <c r="D104" s="11" t="s">
        <v>1251</v>
      </c>
    </row>
    <row r="105">
      <c r="A105" s="27">
        <v>45565.0</v>
      </c>
      <c r="B105" s="11">
        <v>1565.0</v>
      </c>
      <c r="C105" s="11" t="s">
        <v>1243</v>
      </c>
    </row>
    <row r="106">
      <c r="A106" s="24">
        <v>45567.0</v>
      </c>
      <c r="B106" s="11">
        <v>820.0</v>
      </c>
      <c r="C106" s="11" t="s">
        <v>1234</v>
      </c>
    </row>
    <row r="107">
      <c r="A107" s="24">
        <v>45567.0</v>
      </c>
      <c r="B107" s="11">
        <v>375.0</v>
      </c>
      <c r="C107" s="11" t="s">
        <v>1235</v>
      </c>
    </row>
    <row r="108">
      <c r="A108" s="24">
        <v>45567.0</v>
      </c>
      <c r="B108" s="11">
        <v>163.0</v>
      </c>
      <c r="C108" s="11" t="s">
        <v>1232</v>
      </c>
    </row>
    <row r="109">
      <c r="A109" s="24">
        <v>45567.0</v>
      </c>
      <c r="B109" s="11">
        <v>1230.0</v>
      </c>
      <c r="C109" s="11" t="s">
        <v>1230</v>
      </c>
    </row>
    <row r="110">
      <c r="A110" s="24">
        <v>45567.0</v>
      </c>
      <c r="B110" s="11">
        <v>561.0</v>
      </c>
      <c r="C110" s="11" t="s">
        <v>1236</v>
      </c>
    </row>
    <row r="111">
      <c r="A111" s="24">
        <v>45567.0</v>
      </c>
      <c r="B111" s="11">
        <v>300.0</v>
      </c>
      <c r="C111" s="11" t="s">
        <v>1245</v>
      </c>
    </row>
    <row r="112">
      <c r="A112" s="24">
        <v>45599.0</v>
      </c>
      <c r="B112" s="11">
        <v>1300.0</v>
      </c>
      <c r="C112" s="11" t="s">
        <v>1243</v>
      </c>
    </row>
    <row r="113">
      <c r="A113" s="24">
        <v>45600.0</v>
      </c>
      <c r="B113" s="11">
        <v>840.0</v>
      </c>
      <c r="C113" s="11" t="s">
        <v>1230</v>
      </c>
    </row>
    <row r="114">
      <c r="A114" s="24">
        <v>45600.0</v>
      </c>
      <c r="B114" s="11">
        <v>733.0</v>
      </c>
      <c r="C114" s="11" t="s">
        <v>1236</v>
      </c>
    </row>
    <row r="115">
      <c r="A115" s="24">
        <v>45600.0</v>
      </c>
      <c r="B115" s="11">
        <v>375.0</v>
      </c>
      <c r="C115" s="11" t="s">
        <v>1235</v>
      </c>
    </row>
    <row r="116">
      <c r="A116" s="24">
        <v>45600.0</v>
      </c>
      <c r="B116" s="11">
        <v>88.0</v>
      </c>
      <c r="C116" s="11" t="s">
        <v>1232</v>
      </c>
    </row>
    <row r="117">
      <c r="A117" s="24">
        <v>45600.0</v>
      </c>
      <c r="B117" s="11">
        <v>300.0</v>
      </c>
      <c r="C117" s="11" t="s">
        <v>1245</v>
      </c>
    </row>
    <row r="118">
      <c r="A118" s="24">
        <v>45600.0</v>
      </c>
      <c r="B118" s="11">
        <v>700.0</v>
      </c>
      <c r="C118" s="11" t="s">
        <v>1234</v>
      </c>
    </row>
    <row r="119">
      <c r="A119" s="24">
        <v>45630.0</v>
      </c>
      <c r="B119" s="11">
        <v>1300.0</v>
      </c>
      <c r="C119" s="11" t="s">
        <v>1243</v>
      </c>
    </row>
    <row r="120">
      <c r="A120" s="24">
        <v>45630.0</v>
      </c>
      <c r="B120" s="11">
        <v>300.0</v>
      </c>
      <c r="C120" s="11" t="s">
        <v>1245</v>
      </c>
    </row>
    <row r="121">
      <c r="A121" s="24">
        <v>45630.0</v>
      </c>
      <c r="B121" s="11">
        <v>154.0</v>
      </c>
      <c r="C121" s="11" t="s">
        <v>1232</v>
      </c>
    </row>
    <row r="122">
      <c r="A122" s="24">
        <v>45630.0</v>
      </c>
      <c r="B122" s="11">
        <v>700.0</v>
      </c>
      <c r="C122" s="11" t="s">
        <v>1234</v>
      </c>
    </row>
    <row r="123">
      <c r="A123" s="24">
        <v>45630.0</v>
      </c>
      <c r="B123" s="11">
        <v>375.0</v>
      </c>
      <c r="C123" s="11" t="s">
        <v>1235</v>
      </c>
    </row>
    <row r="124">
      <c r="A124" s="24">
        <v>45630.0</v>
      </c>
      <c r="B124" s="11">
        <v>902.0</v>
      </c>
      <c r="C124" s="11" t="s">
        <v>1236</v>
      </c>
    </row>
    <row r="125">
      <c r="A125" s="24">
        <v>45630.0</v>
      </c>
      <c r="B125" s="11">
        <v>840.0</v>
      </c>
      <c r="C125" s="11" t="s">
        <v>1230</v>
      </c>
    </row>
    <row r="126">
      <c r="A126" s="27">
        <v>45658.0</v>
      </c>
      <c r="B126" s="11">
        <v>1300.0</v>
      </c>
      <c r="C126" s="11" t="s">
        <v>1243</v>
      </c>
    </row>
    <row r="127">
      <c r="A127" s="27">
        <v>45661.0</v>
      </c>
      <c r="B127" s="11">
        <v>400.0</v>
      </c>
      <c r="C127" s="11" t="s">
        <v>1245</v>
      </c>
    </row>
    <row r="128">
      <c r="A128" s="27">
        <v>45661.0</v>
      </c>
      <c r="B128" s="11">
        <v>200.0</v>
      </c>
      <c r="C128" s="11" t="s">
        <v>1232</v>
      </c>
    </row>
    <row r="129">
      <c r="A129" s="27">
        <v>45661.0</v>
      </c>
      <c r="B129" s="11">
        <v>900.0</v>
      </c>
      <c r="C129" s="11" t="s">
        <v>1230</v>
      </c>
    </row>
    <row r="130">
      <c r="A130" s="27">
        <v>45661.0</v>
      </c>
      <c r="B130" s="11">
        <v>720.0</v>
      </c>
      <c r="C130" s="11" t="s">
        <v>1234</v>
      </c>
    </row>
    <row r="131">
      <c r="A131" s="27">
        <v>45661.0</v>
      </c>
      <c r="B131" s="11">
        <v>400.0</v>
      </c>
      <c r="C131" s="11" t="s">
        <v>1235</v>
      </c>
    </row>
    <row r="132">
      <c r="A132" s="27">
        <v>45661.0</v>
      </c>
      <c r="B132" s="11">
        <v>900.0</v>
      </c>
      <c r="C132" s="11" t="s">
        <v>1236</v>
      </c>
    </row>
    <row r="133">
      <c r="A133" s="27">
        <v>45689.0</v>
      </c>
      <c r="B133" s="11">
        <v>1300.0</v>
      </c>
      <c r="C133" s="11" t="s">
        <v>1243</v>
      </c>
    </row>
    <row r="134">
      <c r="A134" s="27">
        <v>45691.0</v>
      </c>
      <c r="B134" s="11">
        <v>951.0</v>
      </c>
      <c r="C134" s="11" t="s">
        <v>1236</v>
      </c>
    </row>
    <row r="135">
      <c r="A135" s="27">
        <v>45691.0</v>
      </c>
      <c r="B135" s="11">
        <v>820.0</v>
      </c>
      <c r="C135" s="11" t="s">
        <v>1230</v>
      </c>
    </row>
    <row r="136">
      <c r="A136" s="27">
        <v>45691.0</v>
      </c>
      <c r="B136" s="11">
        <v>720.0</v>
      </c>
      <c r="C136" s="11" t="s">
        <v>1234</v>
      </c>
    </row>
    <row r="137">
      <c r="A137" s="27">
        <v>45692.0</v>
      </c>
      <c r="B137" s="11">
        <v>390.0</v>
      </c>
      <c r="C137" s="11" t="s">
        <v>1235</v>
      </c>
    </row>
    <row r="138">
      <c r="A138" s="27">
        <v>45692.0</v>
      </c>
      <c r="B138" s="11">
        <v>200.0</v>
      </c>
      <c r="C138" s="11" t="s">
        <v>1232</v>
      </c>
    </row>
    <row r="139">
      <c r="A139" s="55">
        <v>45692.0</v>
      </c>
      <c r="B139" s="11">
        <v>400.0</v>
      </c>
      <c r="C139" s="11" t="s">
        <v>1245</v>
      </c>
    </row>
    <row r="140">
      <c r="A140" s="27">
        <v>45701.0</v>
      </c>
      <c r="B140" s="11">
        <v>300.0</v>
      </c>
      <c r="C140" s="11" t="s">
        <v>1228</v>
      </c>
    </row>
    <row r="141">
      <c r="A141" s="27">
        <v>45717.0</v>
      </c>
      <c r="B141" s="11">
        <v>400.0</v>
      </c>
      <c r="C141" s="11" t="s">
        <v>1245</v>
      </c>
    </row>
    <row r="142">
      <c r="A142" s="27">
        <v>45717.0</v>
      </c>
      <c r="B142" s="11">
        <v>500.0</v>
      </c>
      <c r="C142" s="11" t="s">
        <v>1228</v>
      </c>
    </row>
    <row r="143">
      <c r="A143" s="27">
        <v>45717.0</v>
      </c>
      <c r="B143" s="11">
        <v>920.0</v>
      </c>
      <c r="C143" s="11" t="s">
        <v>1236</v>
      </c>
    </row>
    <row r="144">
      <c r="A144" s="27">
        <v>45717.0</v>
      </c>
      <c r="B144" s="11">
        <v>900.0</v>
      </c>
      <c r="C144" s="11" t="s">
        <v>1230</v>
      </c>
    </row>
    <row r="145">
      <c r="A145" s="27">
        <v>45717.0</v>
      </c>
      <c r="B145" s="11">
        <v>800.0</v>
      </c>
      <c r="C145" s="11" t="s">
        <v>1234</v>
      </c>
    </row>
    <row r="146">
      <c r="A146" s="27">
        <v>45717.0</v>
      </c>
      <c r="B146" s="11">
        <v>400.0</v>
      </c>
      <c r="C146" s="11" t="s">
        <v>1235</v>
      </c>
    </row>
    <row r="147">
      <c r="A147" s="27">
        <v>45717.0</v>
      </c>
      <c r="B147" s="11">
        <v>1300.0</v>
      </c>
      <c r="C147" s="11" t="s">
        <v>1243</v>
      </c>
    </row>
    <row r="148">
      <c r="A148" s="24">
        <v>45726.0</v>
      </c>
      <c r="B148" s="11">
        <v>166.0</v>
      </c>
      <c r="C148" s="11" t="s">
        <v>1232</v>
      </c>
    </row>
    <row r="149">
      <c r="A149" s="24">
        <v>45736.0</v>
      </c>
      <c r="B149" s="11">
        <v>400.0</v>
      </c>
      <c r="C149" s="11" t="s">
        <v>1228</v>
      </c>
    </row>
    <row r="150">
      <c r="A150" s="24">
        <v>45748.0</v>
      </c>
      <c r="B150" s="11">
        <v>920.0</v>
      </c>
      <c r="C150" s="11" t="s">
        <v>1236</v>
      </c>
    </row>
    <row r="151">
      <c r="A151" s="24">
        <v>45748.0</v>
      </c>
      <c r="B151" s="11">
        <v>820.0</v>
      </c>
      <c r="C151" s="11" t="s">
        <v>1230</v>
      </c>
    </row>
    <row r="152">
      <c r="A152" s="24">
        <v>45748.0</v>
      </c>
      <c r="B152" s="11">
        <v>640.0</v>
      </c>
      <c r="C152" s="11" t="s">
        <v>1234</v>
      </c>
    </row>
    <row r="153">
      <c r="A153" s="24">
        <v>45748.0</v>
      </c>
      <c r="B153" s="11">
        <v>207.0</v>
      </c>
      <c r="C153" s="11" t="s">
        <v>1232</v>
      </c>
    </row>
    <row r="154">
      <c r="A154" s="24">
        <v>45748.0</v>
      </c>
      <c r="B154" s="11">
        <v>565.0</v>
      </c>
      <c r="C154" s="11" t="s">
        <v>1235</v>
      </c>
    </row>
    <row r="155">
      <c r="A155" s="24">
        <v>45748.0</v>
      </c>
      <c r="B155" s="11">
        <v>400.0</v>
      </c>
      <c r="C155" s="11" t="s">
        <v>1245</v>
      </c>
    </row>
    <row r="156">
      <c r="A156" s="24">
        <v>45748.0</v>
      </c>
      <c r="B156" s="11">
        <v>1300.0</v>
      </c>
      <c r="C156" s="11" t="s">
        <v>1243</v>
      </c>
    </row>
    <row r="157">
      <c r="A157" s="24">
        <v>45778.0</v>
      </c>
      <c r="B157" s="11">
        <v>1300.0</v>
      </c>
      <c r="C157" s="11" t="s">
        <v>1243</v>
      </c>
    </row>
    <row r="158">
      <c r="A158" s="24">
        <v>45785.0</v>
      </c>
      <c r="B158" s="11">
        <v>400.0</v>
      </c>
      <c r="C158" s="11" t="s">
        <v>1245</v>
      </c>
    </row>
    <row r="159">
      <c r="A159" s="24">
        <v>45785.0</v>
      </c>
      <c r="B159" s="11">
        <v>108.0</v>
      </c>
      <c r="C159" s="11" t="s">
        <v>1232</v>
      </c>
    </row>
    <row r="160">
      <c r="A160" s="24">
        <v>45785.0</v>
      </c>
      <c r="B160" s="11">
        <v>570.0</v>
      </c>
      <c r="C160" s="11" t="s">
        <v>1235</v>
      </c>
    </row>
    <row r="161">
      <c r="A161" s="24">
        <v>45785.0</v>
      </c>
      <c r="B161" s="11">
        <v>720.0</v>
      </c>
      <c r="C161" s="11" t="s">
        <v>1234</v>
      </c>
    </row>
    <row r="162">
      <c r="A162" s="24">
        <v>45785.0</v>
      </c>
      <c r="B162" s="11">
        <v>920.0</v>
      </c>
      <c r="C162" s="11" t="s">
        <v>1236</v>
      </c>
    </row>
    <row r="163">
      <c r="A163" s="24">
        <v>45785.0</v>
      </c>
      <c r="B163" s="11">
        <v>860.0</v>
      </c>
      <c r="C163" s="11" t="s">
        <v>1230</v>
      </c>
    </row>
    <row r="164">
      <c r="A164" s="24">
        <v>45785.0</v>
      </c>
      <c r="B164" s="11">
        <v>400.0</v>
      </c>
      <c r="C164" s="11" t="s">
        <v>1228</v>
      </c>
    </row>
    <row r="165">
      <c r="A165" s="24">
        <v>45811.0</v>
      </c>
      <c r="B165" s="11">
        <v>141.0</v>
      </c>
      <c r="C165" s="11" t="s">
        <v>1232</v>
      </c>
    </row>
    <row r="166">
      <c r="A166" s="24">
        <v>45811.0</v>
      </c>
      <c r="B166" s="11">
        <v>720.0</v>
      </c>
      <c r="C166" s="11" t="s">
        <v>1234</v>
      </c>
    </row>
    <row r="167">
      <c r="A167" s="24">
        <v>45811.0</v>
      </c>
      <c r="B167" s="11">
        <v>920.0</v>
      </c>
      <c r="C167" s="11" t="s">
        <v>1236</v>
      </c>
    </row>
    <row r="168">
      <c r="A168" s="24">
        <v>45811.0</v>
      </c>
      <c r="B168" s="11">
        <v>570.0</v>
      </c>
      <c r="C168" s="11" t="s">
        <v>1235</v>
      </c>
    </row>
    <row r="169">
      <c r="A169" s="24">
        <v>45811.0</v>
      </c>
      <c r="B169" s="11">
        <v>860.0</v>
      </c>
      <c r="C169" s="11" t="s">
        <v>1230</v>
      </c>
    </row>
    <row r="170">
      <c r="A170" s="24">
        <v>45811.0</v>
      </c>
      <c r="B170" s="11">
        <v>400.0</v>
      </c>
      <c r="C170" s="11" t="s">
        <v>1245</v>
      </c>
    </row>
    <row r="171">
      <c r="A171" s="24">
        <v>45811.0</v>
      </c>
      <c r="B171" s="11">
        <v>1300.0</v>
      </c>
      <c r="C171" s="11" t="s">
        <v>1243</v>
      </c>
    </row>
    <row r="172">
      <c r="A172" s="24">
        <v>45811.0</v>
      </c>
      <c r="B172" s="11">
        <v>619.13</v>
      </c>
      <c r="C172" s="11" t="s">
        <v>1243</v>
      </c>
    </row>
    <row r="173">
      <c r="A173" s="24">
        <v>45840.0</v>
      </c>
      <c r="B173" s="11">
        <v>720.0</v>
      </c>
      <c r="C173" s="11" t="s">
        <v>1234</v>
      </c>
    </row>
    <row r="174">
      <c r="A174" s="24">
        <v>45840.0</v>
      </c>
      <c r="B174" s="11">
        <v>770.0</v>
      </c>
      <c r="C174" s="11" t="s">
        <v>1235</v>
      </c>
    </row>
    <row r="175">
      <c r="A175" s="24">
        <v>45840.0</v>
      </c>
      <c r="B175" s="11">
        <v>1220.0</v>
      </c>
      <c r="C175" s="11" t="s">
        <v>1230</v>
      </c>
    </row>
    <row r="176">
      <c r="A176" s="24">
        <v>45840.0</v>
      </c>
      <c r="B176" s="11">
        <v>108.0</v>
      </c>
      <c r="C176" s="11" t="s">
        <v>1232</v>
      </c>
    </row>
    <row r="177">
      <c r="A177" s="24">
        <v>45840.0</v>
      </c>
      <c r="B177" s="11">
        <v>700.0</v>
      </c>
      <c r="C177" s="11" t="s">
        <v>1243</v>
      </c>
    </row>
    <row r="178">
      <c r="A178" s="24">
        <v>45840.0</v>
      </c>
      <c r="B178" s="11">
        <v>400.0</v>
      </c>
      <c r="C178" s="11" t="s">
        <v>1245</v>
      </c>
    </row>
    <row r="179">
      <c r="A179" s="24">
        <v>45871.0</v>
      </c>
      <c r="B179" s="11">
        <v>1280.0</v>
      </c>
      <c r="C179" s="11" t="s">
        <v>1243</v>
      </c>
    </row>
    <row r="180">
      <c r="A180" s="24">
        <v>45874.0</v>
      </c>
      <c r="B180" s="11">
        <v>400.0</v>
      </c>
      <c r="C180" s="11" t="s">
        <v>1245</v>
      </c>
    </row>
    <row r="181">
      <c r="A181" s="24">
        <v>45874.0</v>
      </c>
      <c r="B181" s="11">
        <v>196.0</v>
      </c>
      <c r="C181" s="11" t="s">
        <v>1232</v>
      </c>
    </row>
    <row r="182">
      <c r="A182" s="24">
        <v>45874.0</v>
      </c>
      <c r="B182" s="11">
        <v>1220.0</v>
      </c>
      <c r="C182" s="11" t="s">
        <v>1230</v>
      </c>
    </row>
    <row r="183">
      <c r="A183" s="24">
        <v>45874.0</v>
      </c>
      <c r="B183" s="11">
        <v>770.0</v>
      </c>
      <c r="C183" s="11" t="s">
        <v>1235</v>
      </c>
    </row>
    <row r="184">
      <c r="A184" s="24">
        <v>45874.0</v>
      </c>
      <c r="B184" s="11">
        <v>720.0</v>
      </c>
      <c r="C184" s="11" t="s">
        <v>1234</v>
      </c>
    </row>
    <row r="185">
      <c r="A185" s="24">
        <v>45902.0</v>
      </c>
      <c r="B185" s="11">
        <v>1220.0</v>
      </c>
      <c r="C185" s="11" t="s">
        <v>1230</v>
      </c>
    </row>
    <row r="186">
      <c r="A186" s="24">
        <v>45902.0</v>
      </c>
      <c r="B186" s="11">
        <v>770.0</v>
      </c>
      <c r="C186" s="11" t="s">
        <v>1235</v>
      </c>
    </row>
    <row r="187">
      <c r="A187" s="24">
        <v>45902.0</v>
      </c>
      <c r="B187" s="11">
        <v>720.0</v>
      </c>
      <c r="C187" s="11" t="s">
        <v>1234</v>
      </c>
    </row>
    <row r="188">
      <c r="A188" s="24">
        <v>45902.0</v>
      </c>
      <c r="B188" s="11">
        <v>185.0</v>
      </c>
      <c r="C188" s="11" t="s">
        <v>1232</v>
      </c>
    </row>
    <row r="189">
      <c r="A189" s="24">
        <v>45902.0</v>
      </c>
      <c r="B189" s="11">
        <v>1300.0</v>
      </c>
      <c r="C189" s="11" t="s">
        <v>1243</v>
      </c>
    </row>
    <row r="190">
      <c r="A190" s="24">
        <v>45902.0</v>
      </c>
      <c r="B190" s="11">
        <v>400.0</v>
      </c>
      <c r="C190" s="11" t="s">
        <v>1245</v>
      </c>
    </row>
    <row r="191">
      <c r="A191" s="24">
        <v>45932.0</v>
      </c>
      <c r="B191" s="11">
        <v>75.0</v>
      </c>
      <c r="C191" s="11" t="s">
        <v>1232</v>
      </c>
    </row>
    <row r="192">
      <c r="A192" s="24">
        <v>45932.0</v>
      </c>
      <c r="B192" s="11">
        <v>720.0</v>
      </c>
      <c r="C192" s="11" t="s">
        <v>1234</v>
      </c>
    </row>
    <row r="193">
      <c r="A193" s="24">
        <v>45932.0</v>
      </c>
      <c r="B193" s="11">
        <v>1220.0</v>
      </c>
      <c r="C193" s="11" t="s">
        <v>1230</v>
      </c>
    </row>
    <row r="194">
      <c r="A194" s="24">
        <v>45932.0</v>
      </c>
      <c r="B194" s="11">
        <v>770.0</v>
      </c>
      <c r="C194" s="11" t="s">
        <v>1235</v>
      </c>
    </row>
    <row r="195">
      <c r="A195" s="24">
        <v>45931.0</v>
      </c>
      <c r="B195" s="11">
        <v>400.0</v>
      </c>
      <c r="C195" s="11" t="s">
        <v>1245</v>
      </c>
    </row>
    <row r="196">
      <c r="A196" s="24">
        <v>45965.0</v>
      </c>
      <c r="B196" s="11">
        <v>97.0</v>
      </c>
      <c r="C196" s="11" t="s">
        <v>1232</v>
      </c>
    </row>
    <row r="197">
      <c r="A197" s="24">
        <v>45965.0</v>
      </c>
      <c r="B197" s="11">
        <v>720.0</v>
      </c>
      <c r="C197" s="11" t="s">
        <v>1234</v>
      </c>
    </row>
    <row r="198">
      <c r="A198" s="24">
        <v>45965.0</v>
      </c>
      <c r="B198" s="11">
        <v>1220.0</v>
      </c>
      <c r="C198" s="11" t="s">
        <v>1230</v>
      </c>
    </row>
    <row r="199">
      <c r="A199" s="24">
        <v>45965.0</v>
      </c>
      <c r="B199" s="11">
        <v>770.0</v>
      </c>
      <c r="C199" s="11" t="s">
        <v>1235</v>
      </c>
    </row>
    <row r="200">
      <c r="A200" s="24">
        <v>45965.0</v>
      </c>
      <c r="B200" s="11">
        <v>400.0</v>
      </c>
      <c r="C200" s="11" t="s">
        <v>1245</v>
      </c>
    </row>
    <row r="201">
      <c r="A201" s="24">
        <v>45996.0</v>
      </c>
      <c r="B201" s="11">
        <v>720.0</v>
      </c>
      <c r="C201" s="11" t="s">
        <v>1234</v>
      </c>
    </row>
    <row r="202">
      <c r="A202" s="24">
        <v>45996.0</v>
      </c>
      <c r="B202" s="11">
        <v>1220.0</v>
      </c>
      <c r="C202" s="11" t="s">
        <v>1230</v>
      </c>
    </row>
    <row r="203">
      <c r="A203" s="24">
        <v>45996.0</v>
      </c>
      <c r="B203" s="11">
        <v>770.0</v>
      </c>
      <c r="C203" s="11" t="s">
        <v>1235</v>
      </c>
    </row>
    <row r="204">
      <c r="A204" s="24">
        <v>45996.0</v>
      </c>
      <c r="B204" s="11">
        <v>400.0</v>
      </c>
      <c r="C204" s="11" t="s">
        <v>1245</v>
      </c>
    </row>
    <row r="205">
      <c r="A205" s="24">
        <v>45932.0</v>
      </c>
      <c r="B205" s="11">
        <v>1300.0</v>
      </c>
      <c r="C205" s="11" t="s">
        <v>1243</v>
      </c>
    </row>
    <row r="206">
      <c r="A206" s="27">
        <v>46006.0</v>
      </c>
      <c r="B206" s="11">
        <v>97.0</v>
      </c>
      <c r="C206" s="11" t="s">
        <v>1232</v>
      </c>
    </row>
    <row r="207">
      <c r="A207" s="24">
        <v>46026.0</v>
      </c>
      <c r="B207" s="11">
        <v>400.0</v>
      </c>
      <c r="C207" s="11" t="s">
        <v>1245</v>
      </c>
    </row>
    <row r="208">
      <c r="A208" s="24">
        <v>46026.0</v>
      </c>
      <c r="B208" s="11">
        <v>720.0</v>
      </c>
      <c r="C208" s="11" t="s">
        <v>1234</v>
      </c>
    </row>
    <row r="209">
      <c r="A209" s="24">
        <v>46026.0</v>
      </c>
      <c r="B209" s="11">
        <v>1220.0</v>
      </c>
      <c r="C209" s="11" t="s">
        <v>1230</v>
      </c>
    </row>
    <row r="210">
      <c r="A210" s="24">
        <v>46026.0</v>
      </c>
      <c r="B210" s="11">
        <v>395.0</v>
      </c>
      <c r="C210" s="11" t="s">
        <v>1235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1100</v>
      </c>
      <c r="B1" s="11" t="s">
        <v>16</v>
      </c>
      <c r="C1" s="11" t="s">
        <v>15</v>
      </c>
      <c r="D1" s="11" t="s">
        <v>1252</v>
      </c>
      <c r="E1" s="52" t="s">
        <v>1253</v>
      </c>
    </row>
    <row r="2">
      <c r="A2" s="24">
        <v>44960.0</v>
      </c>
      <c r="B2" s="11">
        <v>508.0</v>
      </c>
      <c r="C2" s="11" t="s">
        <v>1243</v>
      </c>
      <c r="E2" s="52" t="s">
        <v>1243</v>
      </c>
      <c r="F2" s="52" t="s">
        <v>1228</v>
      </c>
      <c r="G2" s="11" t="s">
        <v>1254</v>
      </c>
    </row>
    <row r="3">
      <c r="A3" s="24">
        <v>44976.0</v>
      </c>
      <c r="B3" s="11">
        <v>592.0</v>
      </c>
      <c r="C3" s="11" t="s">
        <v>1243</v>
      </c>
      <c r="E3" s="19">
        <f t="shared" ref="E3:G3" si="1">sumproduct($B$2:$B998,($C$2:$C998)=E2)</f>
        <v>10666</v>
      </c>
      <c r="F3" s="19">
        <f t="shared" si="1"/>
        <v>10666</v>
      </c>
      <c r="G3" s="19">
        <f t="shared" si="1"/>
        <v>0</v>
      </c>
    </row>
    <row r="4">
      <c r="A4" s="24">
        <v>45013.0</v>
      </c>
      <c r="B4" s="11">
        <v>1100.0</v>
      </c>
      <c r="C4" s="11" t="s">
        <v>1228</v>
      </c>
    </row>
    <row r="5">
      <c r="A5" s="24">
        <v>45065.0</v>
      </c>
      <c r="B5" s="11">
        <v>700.0</v>
      </c>
      <c r="C5" s="11" t="s">
        <v>1228</v>
      </c>
    </row>
    <row r="6">
      <c r="A6" s="24">
        <v>45065.0</v>
      </c>
      <c r="B6" s="11">
        <v>700.0</v>
      </c>
      <c r="C6" s="11" t="s">
        <v>1243</v>
      </c>
    </row>
    <row r="7">
      <c r="A7" s="24">
        <v>45130.0</v>
      </c>
      <c r="B7" s="11">
        <v>200.0</v>
      </c>
      <c r="C7" s="11" t="s">
        <v>1228</v>
      </c>
    </row>
    <row r="8">
      <c r="A8" s="27">
        <v>45138.0</v>
      </c>
      <c r="B8" s="11">
        <v>74.0</v>
      </c>
      <c r="C8" s="11" t="s">
        <v>1228</v>
      </c>
    </row>
    <row r="9">
      <c r="A9" s="27">
        <v>45143.0</v>
      </c>
      <c r="B9" s="11">
        <v>1600.0</v>
      </c>
      <c r="C9" s="11" t="s">
        <v>1254</v>
      </c>
    </row>
    <row r="10">
      <c r="A10" s="27">
        <v>45146.0</v>
      </c>
      <c r="B10" s="11">
        <v>1300.0</v>
      </c>
      <c r="C10" s="11" t="s">
        <v>1243</v>
      </c>
    </row>
    <row r="11">
      <c r="A11" s="27">
        <v>45156.0</v>
      </c>
      <c r="B11" s="11">
        <v>500.0</v>
      </c>
      <c r="C11" s="11" t="s">
        <v>1228</v>
      </c>
    </row>
    <row r="12">
      <c r="A12" s="27">
        <v>45197.0</v>
      </c>
      <c r="B12" s="11">
        <v>100.0</v>
      </c>
      <c r="C12" s="11" t="s">
        <v>1228</v>
      </c>
    </row>
    <row r="13">
      <c r="A13" s="27">
        <v>45198.0</v>
      </c>
      <c r="B13" s="11">
        <v>1500.0</v>
      </c>
      <c r="C13" s="11" t="s">
        <v>1228</v>
      </c>
    </row>
    <row r="14">
      <c r="A14" s="27">
        <v>45198.0</v>
      </c>
      <c r="B14" s="11">
        <v>1074.0</v>
      </c>
      <c r="C14" s="11" t="s">
        <v>1243</v>
      </c>
    </row>
    <row r="15">
      <c r="A15" s="27">
        <v>45232.0</v>
      </c>
      <c r="B15" s="11">
        <v>1000.0</v>
      </c>
      <c r="C15" s="11" t="s">
        <v>1228</v>
      </c>
    </row>
    <row r="16">
      <c r="A16" s="27">
        <v>45232.0</v>
      </c>
      <c r="B16" s="11">
        <v>1000.0</v>
      </c>
      <c r="C16" s="11" t="s">
        <v>1243</v>
      </c>
    </row>
    <row r="17">
      <c r="A17" s="27">
        <v>45260.0</v>
      </c>
      <c r="B17" s="11">
        <v>200.0</v>
      </c>
      <c r="C17" s="11" t="s">
        <v>1254</v>
      </c>
    </row>
    <row r="18">
      <c r="A18" s="27">
        <v>45260.0</v>
      </c>
      <c r="B18" s="11">
        <v>240.0</v>
      </c>
      <c r="C18" s="11" t="s">
        <v>1228</v>
      </c>
    </row>
    <row r="19">
      <c r="A19" s="27">
        <v>45280.0</v>
      </c>
      <c r="B19" s="54">
        <v>644.0</v>
      </c>
      <c r="C19" s="11" t="s">
        <v>1228</v>
      </c>
    </row>
    <row r="20">
      <c r="A20" s="27">
        <v>45300.0</v>
      </c>
      <c r="B20" s="11">
        <v>600.0</v>
      </c>
      <c r="C20" s="11" t="s">
        <v>1243</v>
      </c>
    </row>
    <row r="21">
      <c r="A21" s="27">
        <v>45322.0</v>
      </c>
      <c r="B21" s="11">
        <v>-50.0</v>
      </c>
      <c r="C21" s="11" t="s">
        <v>1243</v>
      </c>
    </row>
    <row r="22">
      <c r="A22" s="27">
        <v>45322.0</v>
      </c>
      <c r="B22" s="11">
        <v>1000.0</v>
      </c>
      <c r="C22" s="11" t="s">
        <v>1254</v>
      </c>
    </row>
    <row r="23">
      <c r="A23" s="27">
        <v>45322.0</v>
      </c>
      <c r="B23" s="11">
        <v>1700.0</v>
      </c>
      <c r="C23" s="11" t="s">
        <v>1254</v>
      </c>
    </row>
    <row r="24">
      <c r="A24" s="27">
        <v>45323.0</v>
      </c>
      <c r="B24" s="11">
        <v>1000.0</v>
      </c>
      <c r="C24" s="11" t="s">
        <v>1228</v>
      </c>
    </row>
    <row r="25">
      <c r="A25" s="27">
        <v>45356.0</v>
      </c>
      <c r="B25" s="11">
        <v>808.0</v>
      </c>
      <c r="C25" s="11" t="s">
        <v>1228</v>
      </c>
    </row>
    <row r="26">
      <c r="A26" s="27">
        <v>45384.0</v>
      </c>
      <c r="B26" s="11">
        <v>300.0</v>
      </c>
      <c r="C26" s="11" t="s">
        <v>1228</v>
      </c>
    </row>
    <row r="27">
      <c r="A27" s="27">
        <v>45397.0</v>
      </c>
      <c r="B27" s="11">
        <v>300.0</v>
      </c>
      <c r="C27" s="11" t="s">
        <v>1228</v>
      </c>
    </row>
    <row r="28">
      <c r="A28" s="27">
        <v>45407.0</v>
      </c>
      <c r="B28" s="11">
        <v>100.0</v>
      </c>
      <c r="C28" s="11" t="s">
        <v>1228</v>
      </c>
    </row>
    <row r="29">
      <c r="A29" s="27">
        <v>45407.0</v>
      </c>
      <c r="B29" s="11">
        <v>300.0</v>
      </c>
      <c r="C29" s="11" t="s">
        <v>1243</v>
      </c>
    </row>
    <row r="30">
      <c r="A30" s="24">
        <v>45422.0</v>
      </c>
      <c r="B30" s="11">
        <v>2942.0</v>
      </c>
      <c r="C30" s="11" t="s">
        <v>1243</v>
      </c>
    </row>
    <row r="31">
      <c r="A31" s="24">
        <v>45422.0</v>
      </c>
      <c r="B31" s="11">
        <v>400.0</v>
      </c>
      <c r="C31" s="11" t="s">
        <v>1228</v>
      </c>
    </row>
    <row r="32">
      <c r="A32" s="24">
        <v>45423.0</v>
      </c>
      <c r="B32" s="11">
        <v>640.0</v>
      </c>
      <c r="C32" s="11" t="s">
        <v>1254</v>
      </c>
    </row>
    <row r="33">
      <c r="A33" s="24">
        <v>45422.0</v>
      </c>
      <c r="B33" s="11">
        <v>100.0</v>
      </c>
      <c r="C33" s="11" t="s">
        <v>1228</v>
      </c>
    </row>
    <row r="34">
      <c r="A34" s="24">
        <v>45443.0</v>
      </c>
      <c r="B34" s="11">
        <v>1700.0</v>
      </c>
      <c r="C34" s="11" t="s">
        <v>1243</v>
      </c>
    </row>
    <row r="35">
      <c r="A35" s="24">
        <v>45443.0</v>
      </c>
      <c r="B35" s="11">
        <v>1000.0</v>
      </c>
      <c r="C35" s="11" t="s">
        <v>1228</v>
      </c>
      <c r="D35" s="11" t="s">
        <v>1255</v>
      </c>
    </row>
    <row r="36">
      <c r="A36" s="24">
        <v>45443.0</v>
      </c>
      <c r="B36" s="11">
        <v>600.0</v>
      </c>
      <c r="C36" s="11" t="s">
        <v>1228</v>
      </c>
      <c r="D36" s="11" t="s">
        <v>1256</v>
      </c>
    </row>
    <row r="37">
      <c r="A37" s="24">
        <v>45778.0</v>
      </c>
      <c r="B37" s="11">
        <v>-3000.0</v>
      </c>
      <c r="C37" s="11" t="s">
        <v>1254</v>
      </c>
      <c r="D37" s="11" t="s">
        <v>1257</v>
      </c>
    </row>
    <row r="38">
      <c r="A38" s="24">
        <v>45870.0</v>
      </c>
      <c r="B38" s="11">
        <v>-2140.0</v>
      </c>
      <c r="C38" s="11" t="s">
        <v>1254</v>
      </c>
      <c r="D38" s="11" t="s">
        <v>1258</v>
      </c>
    </row>
  </sheetData>
  <mergeCells count="1">
    <mergeCell ref="E1:F1"/>
  </mergeCells>
  <drawing r:id="rId1"/>
</worksheet>
</file>